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947" activeTab="2"/>
  </bookViews>
  <sheets>
    <sheet name="利润分析表" sheetId="32" r:id="rId1"/>
    <sheet name="6月" sheetId="1" r:id="rId2"/>
    <sheet name="月汇总" sheetId="2" r:id="rId3"/>
    <sheet name="日报表" sheetId="3" r:id="rId4"/>
    <sheet name="磅单" sheetId="5" r:id="rId5"/>
    <sheet name="均摊" sheetId="25" r:id="rId6"/>
    <sheet name="付款明细" sheetId="4" r:id="rId7"/>
    <sheet name="现金充电明细" sheetId="6" r:id="rId8"/>
    <sheet name="华瑞-曙光，大水井，老水井充电站" sheetId="17" r:id="rId9"/>
    <sheet name="银盛-青龙坪充电站" sheetId="18" r:id="rId10"/>
    <sheet name="砚山锦佳-砚山充电站" sheetId="19" r:id="rId11"/>
    <sheet name="中石油广西百色靖西市龙临加油充电站" sheetId="24" r:id="rId12"/>
    <sheet name="德保众擎充电站" sheetId="26" r:id="rId13"/>
    <sheet name="南网八宝充电站" sheetId="27" r:id="rId14"/>
    <sheet name="南屏充电站" sheetId="31" r:id="rId15"/>
    <sheet name="鑫鸿充电站" sheetId="34" r:id="rId16"/>
    <sheet name="锦田-百色田东充电站" sheetId="35" r:id="rId17"/>
    <sheet name="平远充电站" sheetId="36" r:id="rId18"/>
    <sheet name="农行卡" sheetId="20" r:id="rId19"/>
    <sheet name="微信" sheetId="28" r:id="rId20"/>
    <sheet name="骏恒对公户" sheetId="22" r:id="rId21"/>
    <sheet name="轮胎" sheetId="8" r:id="rId22"/>
    <sheet name="维修费" sheetId="9" r:id="rId23"/>
    <sheet name="配件" sheetId="7" r:id="rId24"/>
    <sheet name="司机考勤" sheetId="10" r:id="rId25"/>
    <sheet name="管理人员工资" sheetId="13" r:id="rId26"/>
    <sheet name="司机工资表" sheetId="11" r:id="rId27"/>
    <sheet name="挂板租金" sheetId="14" r:id="rId28"/>
    <sheet name="Sheet1" sheetId="29" r:id="rId29"/>
    <sheet name="Sheet2" sheetId="33" r:id="rId30"/>
  </sheets>
  <externalReferences>
    <externalReference r:id="rId31"/>
  </externalReferences>
  <definedNames>
    <definedName name="_xlnm._FilterDatabase" localSheetId="0" hidden="1">利润分析表!$A$4:$AQ$66</definedName>
    <definedName name="_xlnm._FilterDatabase" localSheetId="2" hidden="1">月汇总!$A$1:$AE$98</definedName>
    <definedName name="_xlnm._FilterDatabase" localSheetId="3" hidden="1">日报表!$A$2:$X$64</definedName>
    <definedName name="_xlnm._FilterDatabase" localSheetId="4" hidden="1">磅单!$A$1:$W$750</definedName>
    <definedName name="_xlnm._FilterDatabase" localSheetId="6" hidden="1">付款明细!$A$1:$I$1368</definedName>
    <definedName name="_xlnm._FilterDatabase" localSheetId="7" hidden="1">现金充电明细!$A$1:$XEV$99</definedName>
    <definedName name="_xlnm._FilterDatabase" localSheetId="8" hidden="1">'华瑞-曙光，大水井，老水井充电站'!$A$1:$Q$471</definedName>
    <definedName name="_xlnm._FilterDatabase" localSheetId="9" hidden="1">'银盛-青龙坪充电站'!$A$1:$O$791</definedName>
    <definedName name="_xlnm._FilterDatabase" localSheetId="10" hidden="1">'砚山锦佳-砚山充电站'!$A$1:$N$415</definedName>
    <definedName name="_xlnm._FilterDatabase" localSheetId="11" hidden="1">中石油广西百色靖西市龙临加油充电站!$A$1:$O$416</definedName>
    <definedName name="_xlnm._FilterDatabase" localSheetId="12" hidden="1">德保众擎充电站!$A$1:$P$210</definedName>
    <definedName name="_xlnm._FilterDatabase" localSheetId="13" hidden="1">南网八宝充电站!$A$1:$P$358</definedName>
    <definedName name="_xlnm._FilterDatabase" localSheetId="14" hidden="1">南屏充电站!$A$1:$P$390</definedName>
    <definedName name="_xlnm._FilterDatabase" localSheetId="15" hidden="1">鑫鸿充电站!$A$1:$R$241</definedName>
    <definedName name="_xlnm._FilterDatabase" localSheetId="16" hidden="1">'锦田-百色田东充电站'!$A$1:$P$127</definedName>
    <definedName name="_xlnm._FilterDatabase" localSheetId="22" hidden="1">维修费!$A$1:$H$143</definedName>
    <definedName name="_xlnm._FilterDatabase" localSheetId="26" hidden="1">司机工资表!$A$2:$Q$66</definedName>
    <definedName name="_xlnm._FilterDatabase" localSheetId="19" hidden="1">微信!#REF!</definedName>
    <definedName name="_xlnm._FilterDatabase" localSheetId="20" hidden="1">骏恒对公户!#REF!</definedName>
    <definedName name="_xlnm._FilterDatabase" localSheetId="18" hidden="1">农行卡!#REF!</definedName>
    <definedName name="物料编码">[1]产品信息!$A$3:$A$5000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  <author>HP</author>
  </authors>
  <commentList>
    <comment ref="L27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司机何荣俊出事故受伤，由司机杨光傅进行卸货</t>
        </r>
      </text>
    </comment>
    <comment ref="J713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天桂-砚山(放空)</t>
        </r>
      </text>
    </comment>
    <comment ref="J714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天桂-砚山（放空）</t>
        </r>
      </text>
    </comment>
    <comment ref="J715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天桂-砚山（放空）
</t>
        </r>
      </text>
    </comment>
    <comment ref="J716" authorId="1">
      <text>
        <r>
          <rPr>
            <b/>
            <sz val="9"/>
            <rFont val="宋体"/>
            <charset val="134"/>
          </rPr>
          <t>HP:放空</t>
        </r>
      </text>
    </comment>
    <comment ref="J717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18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19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20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32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33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34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35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36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37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38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38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39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39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40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40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41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42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51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51" authorId="1">
      <text>
        <r>
          <rPr>
            <b/>
            <sz val="9"/>
            <rFont val="宋体"/>
            <charset val="134"/>
          </rPr>
          <t>HP:放空</t>
        </r>
      </text>
    </comment>
    <comment ref="J752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52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53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53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54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54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55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55" authorId="1">
      <text>
        <r>
          <rPr>
            <b/>
            <sz val="9"/>
            <rFont val="宋体"/>
            <charset val="134"/>
          </rPr>
          <t>HP:放空</t>
        </r>
      </text>
    </comment>
    <comment ref="J756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56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57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57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58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58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59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60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60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61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62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63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64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65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66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67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68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69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69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70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70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71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71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72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72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73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73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74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74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75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75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76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76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77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77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78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78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79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防空</t>
        </r>
      </text>
    </comment>
    <comment ref="O779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80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O780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81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82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83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84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  <comment ref="J785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放空</t>
        </r>
      </text>
    </comment>
  </commentList>
</comments>
</file>

<file path=xl/sharedStrings.xml><?xml version="1.0" encoding="utf-8"?>
<sst xmlns="http://schemas.openxmlformats.org/spreadsheetml/2006/main" count="23032" uniqueCount="2053">
  <si>
    <t>2026年6月广西利润分析表</t>
  </si>
  <si>
    <t>附件表位置：</t>
  </si>
  <si>
    <t>序号</t>
  </si>
  <si>
    <t>车牌</t>
  </si>
  <si>
    <t>负责人</t>
  </si>
  <si>
    <t>项目</t>
  </si>
  <si>
    <t>挂板车牌</t>
  </si>
  <si>
    <t>车型</t>
  </si>
  <si>
    <t>车辆趟数</t>
  </si>
  <si>
    <t>吨位</t>
  </si>
  <si>
    <t>运费产值收入</t>
  </si>
  <si>
    <t>油/电费实际金额</t>
  </si>
  <si>
    <t>油/电费占收入比%</t>
  </si>
  <si>
    <t>司机工资
（提成+保底）</t>
  </si>
  <si>
    <t>司机工资占收入比%</t>
  </si>
  <si>
    <t>车辆费</t>
  </si>
  <si>
    <t>管理人员工资</t>
  </si>
  <si>
    <t>均摊费元</t>
  </si>
  <si>
    <t>总车辆费用
合计</t>
  </si>
  <si>
    <t>车贷</t>
  </si>
  <si>
    <t>毛利</t>
  </si>
  <si>
    <t>毛利率</t>
  </si>
  <si>
    <t>挂板租金</t>
  </si>
  <si>
    <t>保险费</t>
  </si>
  <si>
    <t>毛利-租金-保险费=利润</t>
  </si>
  <si>
    <t>司机</t>
  </si>
  <si>
    <t>货物险</t>
  </si>
  <si>
    <t>磅差金额</t>
  </si>
  <si>
    <t>单趟电耗</t>
  </si>
  <si>
    <t>维修费</t>
  </si>
  <si>
    <t>维修费占收入比%</t>
  </si>
  <si>
    <t>配件</t>
  </si>
  <si>
    <t>配件费占收入比%</t>
  </si>
  <si>
    <t>前期费用</t>
  </si>
  <si>
    <t>前期费用占收入比%</t>
  </si>
  <si>
    <t>车辆费用</t>
  </si>
  <si>
    <t>车辆费用占收入比%</t>
  </si>
  <si>
    <t>轮胎</t>
  </si>
  <si>
    <t>轮胎费占收入比%</t>
  </si>
  <si>
    <t>罚款</t>
  </si>
  <si>
    <t>罚款占收入比%</t>
  </si>
  <si>
    <t>税点</t>
  </si>
  <si>
    <t>税点占收入比%</t>
  </si>
  <si>
    <t>管理人员工资占比</t>
  </si>
  <si>
    <t>均摊占比</t>
  </si>
  <si>
    <t>赣J01379D</t>
  </si>
  <si>
    <t>沈正元</t>
  </si>
  <si>
    <t>杨发明</t>
  </si>
  <si>
    <t>广西-玉溪</t>
  </si>
  <si>
    <t>桂LD735挂</t>
  </si>
  <si>
    <t>重型半挂牵引车</t>
  </si>
  <si>
    <t>赣J00236D</t>
  </si>
  <si>
    <t>熊廷春</t>
  </si>
  <si>
    <t>桂LA725挂</t>
  </si>
  <si>
    <t>赣J05550D</t>
  </si>
  <si>
    <t>任正勇</t>
  </si>
  <si>
    <t>桂LD517挂</t>
  </si>
  <si>
    <t>赣J00607D</t>
  </si>
  <si>
    <t>程大昌</t>
  </si>
  <si>
    <t>桂LD396挂</t>
  </si>
  <si>
    <t>赣J00677D</t>
  </si>
  <si>
    <t>付建东</t>
  </si>
  <si>
    <t>桂LB829挂</t>
  </si>
  <si>
    <t>赣J01095D</t>
  </si>
  <si>
    <t>张和平</t>
  </si>
  <si>
    <t>桂LC705挂</t>
  </si>
  <si>
    <t>赣J03136D</t>
  </si>
  <si>
    <t>朱家访</t>
  </si>
  <si>
    <t>桂L9856挂</t>
  </si>
  <si>
    <t>赣J03688D</t>
  </si>
  <si>
    <t>刘小福</t>
  </si>
  <si>
    <t>桂LA935挂</t>
  </si>
  <si>
    <t>赣J07535D</t>
  </si>
  <si>
    <t>李家宝</t>
  </si>
  <si>
    <t>桂LB307挂</t>
  </si>
  <si>
    <t>赣J08536D</t>
  </si>
  <si>
    <t>李建祥</t>
  </si>
  <si>
    <t>桂LD179挂</t>
  </si>
  <si>
    <t>赣J05857D</t>
  </si>
  <si>
    <t>高洪伟</t>
  </si>
  <si>
    <t>桂LB659挂</t>
  </si>
  <si>
    <t>赣J06519D</t>
  </si>
  <si>
    <t>冯育柱</t>
  </si>
  <si>
    <t>桂L5759挂</t>
  </si>
  <si>
    <t>赣J09113D</t>
  </si>
  <si>
    <t>赵云江</t>
  </si>
  <si>
    <t>桂LE938挂</t>
  </si>
  <si>
    <t>赣J05805D</t>
  </si>
  <si>
    <t>邱红志</t>
  </si>
  <si>
    <t>桂L5676挂</t>
  </si>
  <si>
    <t>赣J05389D</t>
  </si>
  <si>
    <t>蒋永平</t>
  </si>
  <si>
    <t>桂LA778挂</t>
  </si>
  <si>
    <t>赣J02906D</t>
  </si>
  <si>
    <t>胡俊</t>
  </si>
  <si>
    <t>桂LD096挂</t>
  </si>
  <si>
    <t>赣J07957D</t>
  </si>
  <si>
    <t>徐天鹏</t>
  </si>
  <si>
    <t>桂LB367挂</t>
  </si>
  <si>
    <t>赣J06039D</t>
  </si>
  <si>
    <t>朱勋玉</t>
  </si>
  <si>
    <t>桂LE795挂</t>
  </si>
  <si>
    <t>赣J05617D</t>
  </si>
  <si>
    <t>徐进林</t>
  </si>
  <si>
    <t>桂LE999挂</t>
  </si>
  <si>
    <t>赣J05067D</t>
  </si>
  <si>
    <t>张朴全</t>
  </si>
  <si>
    <t>桂L0439挂</t>
  </si>
  <si>
    <t>沪A04114D</t>
  </si>
  <si>
    <t>李玉红</t>
  </si>
  <si>
    <t>桂LB957挂</t>
  </si>
  <si>
    <t>赣J08767D</t>
  </si>
  <si>
    <t>何仕财</t>
  </si>
  <si>
    <t>桂LA357挂</t>
  </si>
  <si>
    <t>赣J03528D</t>
  </si>
  <si>
    <t>罗晶</t>
  </si>
  <si>
    <t>桂LE308挂</t>
  </si>
  <si>
    <t>赣J03373D</t>
  </si>
  <si>
    <t>陆金城</t>
  </si>
  <si>
    <t>袁俊杰</t>
  </si>
  <si>
    <t>桂LC575挂</t>
  </si>
  <si>
    <t>赣J02525D</t>
  </si>
  <si>
    <t>杨仁华</t>
  </si>
  <si>
    <t>桂LB297挂</t>
  </si>
  <si>
    <t>赣J05379D</t>
  </si>
  <si>
    <t>昝建伟</t>
  </si>
  <si>
    <t>桂LC316挂</t>
  </si>
  <si>
    <t>赣J03535D</t>
  </si>
  <si>
    <t>刘炳宏</t>
  </si>
  <si>
    <t>桂LB917挂</t>
  </si>
  <si>
    <t>赣J09206D</t>
  </si>
  <si>
    <t>桂L9026挂</t>
  </si>
  <si>
    <t>粤B32450D</t>
  </si>
  <si>
    <t>潘加松</t>
  </si>
  <si>
    <t>桂LB675挂</t>
  </si>
  <si>
    <t>粤B95976D</t>
  </si>
  <si>
    <t>侯开雄</t>
  </si>
  <si>
    <t>桂LB629挂</t>
  </si>
  <si>
    <t>粤B79120D</t>
  </si>
  <si>
    <t>周忠银</t>
  </si>
  <si>
    <t>桂LD489挂</t>
  </si>
  <si>
    <t>粤B43551D</t>
  </si>
  <si>
    <t>罗吴华</t>
  </si>
  <si>
    <t>桂LC523挂</t>
  </si>
  <si>
    <t>粤B98485D</t>
  </si>
  <si>
    <t>覃胜猛</t>
  </si>
  <si>
    <t>陈金杰</t>
  </si>
  <si>
    <t>桂L4036挂</t>
  </si>
  <si>
    <t>粤B93085D</t>
  </si>
  <si>
    <t>盘靖</t>
  </si>
  <si>
    <t>桂L13C55挂</t>
  </si>
  <si>
    <t>粤B85970D</t>
  </si>
  <si>
    <t>陆世鹏</t>
  </si>
  <si>
    <t>桂L76464挂</t>
  </si>
  <si>
    <t>粤B78432D</t>
  </si>
  <si>
    <t>张俊</t>
  </si>
  <si>
    <t>桂L6429挂</t>
  </si>
  <si>
    <r>
      <rPr>
        <sz val="10"/>
        <rFont val="宋体"/>
        <charset val="134"/>
      </rPr>
      <t>粤</t>
    </r>
    <r>
      <rPr>
        <sz val="10"/>
        <rFont val="Arial"/>
        <charset val="134"/>
      </rPr>
      <t>B94650D</t>
    </r>
  </si>
  <si>
    <t>赵雄</t>
  </si>
  <si>
    <t>桂LD631挂</t>
  </si>
  <si>
    <t>粤B47340D</t>
  </si>
  <si>
    <t>曾龙龙</t>
  </si>
  <si>
    <t>桂L5748挂</t>
  </si>
  <si>
    <t>粤B99322D</t>
  </si>
  <si>
    <t>李昆</t>
  </si>
  <si>
    <t>桂L6249挂</t>
  </si>
  <si>
    <t>粤B96406D</t>
  </si>
  <si>
    <t>杨光傅</t>
  </si>
  <si>
    <t>桂L8626挂</t>
  </si>
  <si>
    <r>
      <rPr>
        <sz val="10"/>
        <rFont val="宋体"/>
        <charset val="134"/>
      </rPr>
      <t>粤</t>
    </r>
    <r>
      <rPr>
        <sz val="10"/>
        <rFont val="Arial"/>
        <charset val="134"/>
      </rPr>
      <t>B95488D</t>
    </r>
  </si>
  <si>
    <t>赵洪凡</t>
  </si>
  <si>
    <t>桂L5939挂</t>
  </si>
  <si>
    <t>云F03990D</t>
  </si>
  <si>
    <t>赵大云</t>
  </si>
  <si>
    <t>粤B87855D</t>
  </si>
  <si>
    <t>马辉</t>
  </si>
  <si>
    <t>桂LD762挂</t>
  </si>
  <si>
    <t>粤B49365D</t>
  </si>
  <si>
    <t>兰荣建</t>
  </si>
  <si>
    <t>桂LC671挂</t>
  </si>
  <si>
    <t>粤B93372D</t>
  </si>
  <si>
    <t>玉圣杰</t>
  </si>
  <si>
    <t>桂L0466挂</t>
  </si>
  <si>
    <t>粤B41547D</t>
  </si>
  <si>
    <t>张克</t>
  </si>
  <si>
    <t>桂LC701挂</t>
  </si>
  <si>
    <t>粤B94652D</t>
  </si>
  <si>
    <t>李张红</t>
  </si>
  <si>
    <t>桂L5408挂</t>
  </si>
  <si>
    <t>粤B98145D</t>
  </si>
  <si>
    <t>汪良友</t>
  </si>
  <si>
    <t>桂L5163挂</t>
  </si>
  <si>
    <t>粤B96063D</t>
  </si>
  <si>
    <t>陆光锐</t>
  </si>
  <si>
    <t>桂LB192挂</t>
  </si>
  <si>
    <t>粤B96373D</t>
  </si>
  <si>
    <t>高克禹</t>
  </si>
  <si>
    <t>桂LE571挂</t>
  </si>
  <si>
    <t>粤B94050D</t>
  </si>
  <si>
    <t>刘耀铭</t>
  </si>
  <si>
    <t>桂LE017挂</t>
  </si>
  <si>
    <t>粤B98382D</t>
  </si>
  <si>
    <t>尹绍族</t>
  </si>
  <si>
    <t>桂L7502挂</t>
  </si>
  <si>
    <t>粤B93345D</t>
  </si>
  <si>
    <t>李云聪</t>
  </si>
  <si>
    <t>桂LE683挂</t>
  </si>
  <si>
    <t>粤B98081D</t>
  </si>
  <si>
    <t>唐四川</t>
  </si>
  <si>
    <t>贵LB763挂</t>
  </si>
  <si>
    <t>粤B91025D</t>
  </si>
  <si>
    <t>陆杰</t>
  </si>
  <si>
    <t>桂L8685挂</t>
  </si>
  <si>
    <t>粤B94092D</t>
  </si>
  <si>
    <t>马全伟</t>
  </si>
  <si>
    <t>桂L6496挂</t>
  </si>
  <si>
    <r>
      <rPr>
        <sz val="10"/>
        <rFont val="宋体"/>
        <charset val="134"/>
      </rPr>
      <t>粤</t>
    </r>
    <r>
      <rPr>
        <sz val="10"/>
        <rFont val="Arial"/>
        <charset val="134"/>
      </rPr>
      <t>B95241D</t>
    </r>
  </si>
  <si>
    <t>纳存江</t>
  </si>
  <si>
    <t>桂LC873挂</t>
  </si>
  <si>
    <t>粤B92439D</t>
  </si>
  <si>
    <t>桂L7761挂</t>
  </si>
  <si>
    <t>粤B98790D</t>
  </si>
  <si>
    <t>桂L5346挂</t>
  </si>
  <si>
    <t>粤B95641D</t>
  </si>
  <si>
    <t>桂L2510挂</t>
  </si>
  <si>
    <t>粤B94058D</t>
  </si>
  <si>
    <t>总计</t>
  </si>
  <si>
    <t>应收汇总表</t>
  </si>
  <si>
    <t>客户</t>
  </si>
  <si>
    <t>前期应收</t>
  </si>
  <si>
    <t>3月应收</t>
  </si>
  <si>
    <t>3月已收</t>
  </si>
  <si>
    <t>合计未收</t>
  </si>
  <si>
    <t>广西华银铝业有限公司</t>
  </si>
  <si>
    <t>广西信发物流有限公司(铝粉)</t>
  </si>
  <si>
    <t>云南省煤炭交易（储配）中心有限公司</t>
  </si>
  <si>
    <t>靖西天桂铝业有限公司</t>
  </si>
  <si>
    <t>广西田东锦鑫化工有限公司</t>
  </si>
  <si>
    <t>合计</t>
  </si>
  <si>
    <t>二、应付账款</t>
  </si>
  <si>
    <t>应付汇总表</t>
  </si>
  <si>
    <t>前期未付</t>
  </si>
  <si>
    <t>4月应付</t>
  </si>
  <si>
    <t>4月已付</t>
  </si>
  <si>
    <t>合计未付</t>
  </si>
  <si>
    <t>充电费</t>
  </si>
  <si>
    <t>配件费</t>
  </si>
  <si>
    <t>轮胎费</t>
  </si>
  <si>
    <t>高速费</t>
  </si>
  <si>
    <t>车队-司机工资</t>
  </si>
  <si>
    <t>综合费用</t>
  </si>
  <si>
    <t>车头利息</t>
  </si>
  <si>
    <t>保险</t>
  </si>
  <si>
    <t>车队-罚款</t>
  </si>
  <si>
    <t>税点费用</t>
  </si>
  <si>
    <t>应收-应付</t>
  </si>
  <si>
    <t>利润</t>
  </si>
  <si>
    <t>三、其他应收</t>
  </si>
  <si>
    <t>应收账款</t>
  </si>
  <si>
    <t>前期未收</t>
  </si>
  <si>
    <t>6月应收</t>
  </si>
  <si>
    <t>6月已收</t>
  </si>
  <si>
    <t>未收</t>
  </si>
  <si>
    <t>借款（联合重卡）</t>
  </si>
  <si>
    <t>借款（高彩云）</t>
  </si>
  <si>
    <t>其他应收款-房租押金</t>
  </si>
  <si>
    <t>其他应收款-代付联合重卡前期费用</t>
  </si>
  <si>
    <t>陈庆</t>
  </si>
  <si>
    <t>其他应收款-赫荣</t>
  </si>
  <si>
    <t>江西同欣达汽车贸易有限公司</t>
  </si>
  <si>
    <t>赣J03373D配件款</t>
  </si>
  <si>
    <t>粤B94092D后视镜配件款</t>
  </si>
  <si>
    <t>四、其他应付</t>
  </si>
  <si>
    <t>应付账款</t>
  </si>
  <si>
    <t>6月应付</t>
  </si>
  <si>
    <t>6月已付</t>
  </si>
  <si>
    <t>未付</t>
  </si>
  <si>
    <t>林超车辆运费</t>
  </si>
  <si>
    <t>长沙海安供应链</t>
  </si>
  <si>
    <t>借款（陈庆）</t>
  </si>
  <si>
    <t>四、收支平衡</t>
  </si>
  <si>
    <t>资产类科目</t>
  </si>
  <si>
    <t>金额</t>
  </si>
  <si>
    <t>负债类科目</t>
  </si>
  <si>
    <t>农行卡余额</t>
  </si>
  <si>
    <t>微信余额</t>
  </si>
  <si>
    <t>车挂租金</t>
  </si>
  <si>
    <t>骏恒公户</t>
  </si>
  <si>
    <t>马队公户</t>
  </si>
  <si>
    <t>车队-充电</t>
  </si>
  <si>
    <r>
      <rPr>
        <sz val="11"/>
        <color theme="1"/>
        <rFont val="宋体"/>
        <charset val="134"/>
      </rPr>
      <t>车队</t>
    </r>
    <r>
      <rPr>
        <sz val="11"/>
        <color theme="1"/>
        <rFont val="Microsoft YaHei UI"/>
        <charset val="134"/>
      </rPr>
      <t>-</t>
    </r>
    <r>
      <rPr>
        <sz val="11"/>
        <color theme="1"/>
        <rFont val="宋体"/>
        <charset val="134"/>
      </rPr>
      <t>配件</t>
    </r>
  </si>
  <si>
    <t>其他应收款</t>
  </si>
  <si>
    <r>
      <rPr>
        <sz val="11"/>
        <color theme="1"/>
        <rFont val="宋体"/>
        <charset val="134"/>
      </rPr>
      <t>车队</t>
    </r>
    <r>
      <rPr>
        <sz val="11"/>
        <color theme="1"/>
        <rFont val="Microsoft YaHei UI"/>
        <charset val="134"/>
      </rPr>
      <t>-</t>
    </r>
    <r>
      <rPr>
        <sz val="11"/>
        <color theme="1"/>
        <rFont val="宋体"/>
        <charset val="134"/>
      </rPr>
      <t>轮胎</t>
    </r>
  </si>
  <si>
    <t>固定资产-前期车辆投资</t>
  </si>
  <si>
    <r>
      <rPr>
        <sz val="11"/>
        <color theme="1"/>
        <rFont val="宋体"/>
        <charset val="134"/>
      </rPr>
      <t>车队</t>
    </r>
    <r>
      <rPr>
        <sz val="11"/>
        <color theme="1"/>
        <rFont val="Microsoft YaHei UI"/>
        <charset val="134"/>
      </rPr>
      <t>-</t>
    </r>
    <r>
      <rPr>
        <sz val="11"/>
        <color theme="1"/>
        <rFont val="宋体"/>
        <charset val="134"/>
      </rPr>
      <t>高速费</t>
    </r>
  </si>
  <si>
    <r>
      <rPr>
        <sz val="11"/>
        <color theme="1"/>
        <rFont val="宋体"/>
        <charset val="134"/>
      </rPr>
      <t>车队</t>
    </r>
    <r>
      <rPr>
        <sz val="11"/>
        <color theme="1"/>
        <rFont val="Microsoft YaHei UI"/>
        <charset val="134"/>
      </rPr>
      <t>-</t>
    </r>
    <r>
      <rPr>
        <sz val="11"/>
        <color theme="1"/>
        <rFont val="宋体"/>
        <charset val="134"/>
      </rPr>
      <t>司机工资</t>
    </r>
  </si>
  <si>
    <t>车队-工时费</t>
  </si>
  <si>
    <t>车队-车辆费用</t>
  </si>
  <si>
    <t>其他应付</t>
  </si>
  <si>
    <t>管理工资</t>
  </si>
  <si>
    <t>负债合计</t>
  </si>
  <si>
    <t>实收资本</t>
  </si>
  <si>
    <t>2月利润</t>
  </si>
  <si>
    <t>未分配利润</t>
  </si>
  <si>
    <t>3月利润</t>
  </si>
  <si>
    <t>权益合计</t>
  </si>
  <si>
    <t>4月利润</t>
  </si>
  <si>
    <t>资产合计</t>
  </si>
  <si>
    <t>负债+权益</t>
  </si>
  <si>
    <t>5月利润</t>
  </si>
  <si>
    <t>2026年玉溪广西6月报汇总表</t>
  </si>
  <si>
    <t>挂板</t>
  </si>
  <si>
    <t>车辆状态</t>
  </si>
  <si>
    <t>趟数</t>
  </si>
  <si>
    <t>卸货吨位</t>
  </si>
  <si>
    <t>含税产值</t>
  </si>
  <si>
    <t>磅差和罚款金额</t>
  </si>
  <si>
    <t>电费</t>
  </si>
  <si>
    <t>电费占比</t>
  </si>
  <si>
    <t>电费税点</t>
  </si>
  <si>
    <t>提成工资</t>
  </si>
  <si>
    <t>补助</t>
  </si>
  <si>
    <t>均摊</t>
  </si>
  <si>
    <t>车辆保险</t>
  </si>
  <si>
    <t>贷款</t>
  </si>
  <si>
    <t>挂板租金/贷款</t>
  </si>
  <si>
    <t>正常</t>
  </si>
  <si>
    <t>柏万云</t>
  </si>
  <si>
    <t>杨咏富</t>
  </si>
  <si>
    <t>事故侧翻维修中</t>
  </si>
  <si>
    <t>周本兴</t>
  </si>
  <si>
    <t>整备</t>
  </si>
  <si>
    <t>电耗比例</t>
  </si>
  <si>
    <t>产值</t>
  </si>
  <si>
    <t>油/电费</t>
  </si>
  <si>
    <t>日期</t>
  </si>
  <si>
    <t>基本工资</t>
  </si>
  <si>
    <t>车头租金</t>
  </si>
  <si>
    <t>粤B94650D</t>
  </si>
  <si>
    <t>粤B95488D</t>
  </si>
  <si>
    <t>装货日期</t>
  </si>
  <si>
    <t>卸货日期</t>
  </si>
  <si>
    <t>单号</t>
  </si>
  <si>
    <t>装货名称</t>
  </si>
  <si>
    <t>装货地点</t>
  </si>
  <si>
    <t>装货吨位</t>
  </si>
  <si>
    <t>卸货地点</t>
  </si>
  <si>
    <t>含税单价</t>
  </si>
  <si>
    <t>不含税单价</t>
  </si>
  <si>
    <t>司机工资</t>
  </si>
  <si>
    <t>已收运费</t>
  </si>
  <si>
    <t>收款日期</t>
  </si>
  <si>
    <t>期间</t>
  </si>
  <si>
    <t>WCKT260531000173</t>
  </si>
  <si>
    <t>散装氧化铝</t>
  </si>
  <si>
    <t>广西华银</t>
  </si>
  <si>
    <t>云南砚山</t>
  </si>
  <si>
    <t>WCKT260531000175</t>
  </si>
  <si>
    <t>WCKT260531000174</t>
  </si>
  <si>
    <t>WCKT260531000179</t>
  </si>
  <si>
    <t>WCKT260531000186</t>
  </si>
  <si>
    <t>WCKT260601000001</t>
  </si>
  <si>
    <t>WCKT260601000137</t>
  </si>
  <si>
    <t>WCKT260601000138</t>
  </si>
  <si>
    <t>WCKT260601000177</t>
  </si>
  <si>
    <t>WCKT260601000178</t>
  </si>
  <si>
    <t>WCKT260601000182</t>
  </si>
  <si>
    <t>WCKT260601000183</t>
  </si>
  <si>
    <t>褐煤32</t>
  </si>
  <si>
    <t>靖西天桂</t>
  </si>
  <si>
    <t>罗仕华</t>
  </si>
  <si>
    <t>广西德保电厂</t>
  </si>
  <si>
    <t>张波</t>
  </si>
  <si>
    <t>TGCKT260601000008</t>
  </si>
  <si>
    <t>TGCKT260602000033</t>
  </si>
  <si>
    <t>TGCKT260602000034</t>
  </si>
  <si>
    <t>WCKT260601000187</t>
  </si>
  <si>
    <t>WCKT260601000188</t>
  </si>
  <si>
    <t>WCKT260601000193</t>
  </si>
  <si>
    <t>WCKT260601000195</t>
  </si>
  <si>
    <t>WCKT260601000198</t>
  </si>
  <si>
    <t>WCKT260601000199</t>
  </si>
  <si>
    <t>WCKT260602000121</t>
  </si>
  <si>
    <t>WCKT260602000124</t>
  </si>
  <si>
    <t>褐煤20</t>
  </si>
  <si>
    <t>TGCKT260603000020</t>
  </si>
  <si>
    <t>TGCKT260603000057</t>
  </si>
  <si>
    <t>WCKT260602000129</t>
  </si>
  <si>
    <t>WCKT260602000128</t>
  </si>
  <si>
    <t>WCKT260602000131</t>
  </si>
  <si>
    <t>WCKT260602000133</t>
  </si>
  <si>
    <t>WCKT260602000139</t>
  </si>
  <si>
    <t>WCKT260603000001</t>
  </si>
  <si>
    <t>WCKT260603000002</t>
  </si>
  <si>
    <t>WCKT260603000003</t>
  </si>
  <si>
    <t>WCKT260603000004</t>
  </si>
  <si>
    <t>WCKT260603000140</t>
  </si>
  <si>
    <t>WCKT260603000150</t>
  </si>
  <si>
    <t>WCKT260603000152</t>
  </si>
  <si>
    <t>A2026060200047</t>
  </si>
  <si>
    <t>A2026060200052</t>
  </si>
  <si>
    <t>A2026060300001</t>
  </si>
  <si>
    <t>A2026060300004</t>
  </si>
  <si>
    <t>A2026060300011</t>
  </si>
  <si>
    <t>A2026060200043</t>
  </si>
  <si>
    <t>A2026060300032</t>
  </si>
  <si>
    <t>XYBD2606030306</t>
  </si>
  <si>
    <t>广西田东</t>
  </si>
  <si>
    <t>XYBD2606040699</t>
  </si>
  <si>
    <t>XYBD2606040808</t>
  </si>
  <si>
    <t>王昌福</t>
  </si>
  <si>
    <t>XYBD2606040816</t>
  </si>
  <si>
    <t>TGCKT260604000016</t>
  </si>
  <si>
    <t>TGCKT260604000070</t>
  </si>
  <si>
    <t>WCKT260603000174</t>
  </si>
  <si>
    <t>WCKT260604000113</t>
  </si>
  <si>
    <t>WCKT260604000114</t>
  </si>
  <si>
    <t>A2026060300070</t>
  </si>
  <si>
    <t>XY8D2606030148</t>
  </si>
  <si>
    <t>刀进平</t>
  </si>
  <si>
    <t>XYBD2606040002</t>
  </si>
  <si>
    <t>XYBD2606050040</t>
  </si>
  <si>
    <t>XYBD2606050062</t>
  </si>
  <si>
    <t>XYBD2606050058</t>
  </si>
  <si>
    <t>XYBD2606050077</t>
  </si>
  <si>
    <t>XYBD2606040041</t>
  </si>
  <si>
    <t>XYBD2606050446</t>
  </si>
  <si>
    <t>XYBD2606050691</t>
  </si>
  <si>
    <t>TGCKT260605000022</t>
  </si>
  <si>
    <t>WCKT260605000003</t>
  </si>
  <si>
    <t>WCKT260605000006</t>
  </si>
  <si>
    <t>WCKT260605000004</t>
  </si>
  <si>
    <t>WCKT260605000008</t>
  </si>
  <si>
    <t>WCKT260605000009</t>
  </si>
  <si>
    <t>WCKT260605000010</t>
  </si>
  <si>
    <t>WCKT260605000012</t>
  </si>
  <si>
    <t>WCKT260605000047</t>
  </si>
  <si>
    <t>WCKT260605000048</t>
  </si>
  <si>
    <t>WCKT260605000052</t>
  </si>
  <si>
    <t>WCKT260605000187</t>
  </si>
  <si>
    <t>XYBD2606060034</t>
  </si>
  <si>
    <t>XYBD2606060075</t>
  </si>
  <si>
    <t>XYBD2606060052</t>
  </si>
  <si>
    <t>WCKT260606000149</t>
  </si>
  <si>
    <t>WCKT260606000181</t>
  </si>
  <si>
    <t>WCKT260606000182</t>
  </si>
  <si>
    <t>WCKT260606000184</t>
  </si>
  <si>
    <t>WCKT260606000187</t>
  </si>
  <si>
    <t>WCKT260606000188</t>
  </si>
  <si>
    <t>A2026060600024</t>
  </si>
  <si>
    <t>A2026060600029</t>
  </si>
  <si>
    <t>A2026060600030</t>
  </si>
  <si>
    <t>A2025060600032</t>
  </si>
  <si>
    <t>A2026060600031</t>
  </si>
  <si>
    <t>任清发</t>
  </si>
  <si>
    <t>TGCKT260607000071</t>
  </si>
  <si>
    <t>TGCKT260607000185</t>
  </si>
  <si>
    <t>WCKT260606000191</t>
  </si>
  <si>
    <t>WCKT260606000195</t>
  </si>
  <si>
    <t>WCKT260606000199</t>
  </si>
  <si>
    <t>WCKT260606000201</t>
  </si>
  <si>
    <t>WCKT260607000148</t>
  </si>
  <si>
    <t>WCKT260607000147</t>
  </si>
  <si>
    <t>WCKT260607000150</t>
  </si>
  <si>
    <t>WCKT260607000151</t>
  </si>
  <si>
    <t>WCKT260607000153</t>
  </si>
  <si>
    <t>WCKT260607000156</t>
  </si>
  <si>
    <t>WCKT260607000157</t>
  </si>
  <si>
    <t>WCKT260607000162</t>
  </si>
  <si>
    <t>XYBD2606080004</t>
  </si>
  <si>
    <t>XYBD2606070801</t>
  </si>
  <si>
    <t>XYBD2606070802</t>
  </si>
  <si>
    <t>XYBD2606080010</t>
  </si>
  <si>
    <t>XY802606080018</t>
  </si>
  <si>
    <t>WCKT260607000170</t>
  </si>
  <si>
    <t>WCKT260607000174</t>
  </si>
  <si>
    <t>WCKT260607000176</t>
  </si>
  <si>
    <t>WCKT260607000175</t>
  </si>
  <si>
    <t>WCKT260607000183</t>
  </si>
  <si>
    <t>WCKT260607000186</t>
  </si>
  <si>
    <t>WCKT260608000064</t>
  </si>
  <si>
    <t>WCKT260608000106</t>
  </si>
  <si>
    <t>WCKT260608000128</t>
  </si>
  <si>
    <t>WCKT260608000134</t>
  </si>
  <si>
    <t>WCKT260608000135</t>
  </si>
  <si>
    <t>WCKT260608000129</t>
  </si>
  <si>
    <t>A2026060700055</t>
  </si>
  <si>
    <t>XYBD2606080582</t>
  </si>
  <si>
    <t>XYBD2606090793</t>
  </si>
  <si>
    <t>XYBD2606090810</t>
  </si>
  <si>
    <t>WCKT260608000152</t>
  </si>
  <si>
    <t>WCKT260608000151</t>
  </si>
  <si>
    <t>WCKT260609000002</t>
  </si>
  <si>
    <t>WCKT260608000155</t>
  </si>
  <si>
    <t>WCKT260609000003</t>
  </si>
  <si>
    <t>WCKT260609000005</t>
  </si>
  <si>
    <t>WCKT260609000016</t>
  </si>
  <si>
    <t>WCKT260609000142</t>
  </si>
  <si>
    <t>WCKT260609000152</t>
  </si>
  <si>
    <t>WCKT260609000153</t>
  </si>
  <si>
    <t>WCKT260609000155</t>
  </si>
  <si>
    <t>A2026060900037</t>
  </si>
  <si>
    <t>A2026060900038</t>
  </si>
  <si>
    <t>A2026060900040</t>
  </si>
  <si>
    <t>A2026060900051</t>
  </si>
  <si>
    <t>XYBD2606100006</t>
  </si>
  <si>
    <t>222606090099</t>
  </si>
  <si>
    <t>广西信发</t>
  </si>
  <si>
    <t>222606090100</t>
  </si>
  <si>
    <t>222606100029</t>
  </si>
  <si>
    <t>222606100028</t>
  </si>
  <si>
    <t>222606100053</t>
  </si>
  <si>
    <t>WCKT260609000175</t>
  </si>
  <si>
    <t>WCKT260610000004</t>
  </si>
  <si>
    <t>WCKT260610000005</t>
  </si>
  <si>
    <t>WCKT260610000009</t>
  </si>
  <si>
    <t>WCKT260610000080</t>
  </si>
  <si>
    <t>WCKT260610000124</t>
  </si>
  <si>
    <t>WCKT260610000139</t>
  </si>
  <si>
    <t>WCKT260610000171</t>
  </si>
  <si>
    <t>XYBD2606110016</t>
  </si>
  <si>
    <t>XYBD2606110135</t>
  </si>
  <si>
    <t>XYBD2606110292</t>
  </si>
  <si>
    <t>XYBD2606110283</t>
  </si>
  <si>
    <t>XYBD2606110450</t>
  </si>
  <si>
    <t>XYBD2606110778</t>
  </si>
  <si>
    <t>XY8D2606110781</t>
  </si>
  <si>
    <t>WCKT260610000176</t>
  </si>
  <si>
    <t>WCKT260611000001</t>
  </si>
  <si>
    <t>WCKT260611000002</t>
  </si>
  <si>
    <t>WCKT260611000057</t>
  </si>
  <si>
    <t>WCKT260611000095</t>
  </si>
  <si>
    <t>WCKT260611000144</t>
  </si>
  <si>
    <t>WCKT260611000145</t>
  </si>
  <si>
    <t>A2026061100020</t>
  </si>
  <si>
    <t>XYBD2606110022</t>
  </si>
  <si>
    <t>XYBD2606120211</t>
  </si>
  <si>
    <t>XYBD2606120619</t>
  </si>
  <si>
    <t>XYBD2606120887</t>
  </si>
  <si>
    <t>222606110067</t>
  </si>
  <si>
    <t>222606110096</t>
  </si>
  <si>
    <t>WCKT260611000146</t>
  </si>
  <si>
    <t>WCKT260611000149</t>
  </si>
  <si>
    <t>WCKT260611000152</t>
  </si>
  <si>
    <t>WCKT260612000002</t>
  </si>
  <si>
    <t>WCKT260612000003</t>
  </si>
  <si>
    <t>WCKT260612000007</t>
  </si>
  <si>
    <t>WCKT260612000006</t>
  </si>
  <si>
    <t>WCKT260612000008</t>
  </si>
  <si>
    <t>WCKT260612000009</t>
  </si>
  <si>
    <t>WCKT260612000152</t>
  </si>
  <si>
    <t>WCKT260611000160</t>
  </si>
  <si>
    <t>WCKT260612000171</t>
  </si>
  <si>
    <t>WCKT260612000189</t>
  </si>
  <si>
    <t>A2026061200055</t>
  </si>
  <si>
    <t>A2026061200056</t>
  </si>
  <si>
    <t>A2026061200078</t>
  </si>
  <si>
    <t>A2026061200076</t>
  </si>
  <si>
    <t>A2026061200077</t>
  </si>
  <si>
    <t>XYBD2606130007</t>
  </si>
  <si>
    <t>XYBD2606130020</t>
  </si>
  <si>
    <t>XYBD2606130009</t>
  </si>
  <si>
    <t>XYBD2606130158</t>
  </si>
  <si>
    <t>XYBD2606130887</t>
  </si>
  <si>
    <t>TGCKT260613000135</t>
  </si>
  <si>
    <t>TGCKT260613000154</t>
  </si>
  <si>
    <t>WCKT260612000197</t>
  </si>
  <si>
    <t>WCKT260612000203</t>
  </si>
  <si>
    <t>WCKT260612000207</t>
  </si>
  <si>
    <t>WCKT260613000005</t>
  </si>
  <si>
    <t>WCKT260613000007</t>
  </si>
  <si>
    <t>WCKT260613000008</t>
  </si>
  <si>
    <t>WCKT260613000009</t>
  </si>
  <si>
    <t>WCKT260613000057</t>
  </si>
  <si>
    <t>WCKT260613000063</t>
  </si>
  <si>
    <t>XYBD2606140002</t>
  </si>
  <si>
    <t>XYBD2606140028</t>
  </si>
  <si>
    <t>XYBD2606140033</t>
  </si>
  <si>
    <t>XYBD2606140031</t>
  </si>
  <si>
    <t>XYBD2606140029</t>
  </si>
  <si>
    <t>XYBD2606140193</t>
  </si>
  <si>
    <t>TGCKT260614000001</t>
  </si>
  <si>
    <t>WCKT260613000188</t>
  </si>
  <si>
    <t>WCKT260613000190</t>
  </si>
  <si>
    <t>WCKT260614000001</t>
  </si>
  <si>
    <t>WCKT260614000004</t>
  </si>
  <si>
    <t>WCKT260614000042</t>
  </si>
  <si>
    <t>WCKT260614000043</t>
  </si>
  <si>
    <t>XYBD2606140999</t>
  </si>
  <si>
    <t>XYBD2606150462</t>
  </si>
  <si>
    <t>XYBD2606150463</t>
  </si>
  <si>
    <t>XYBD2606150760</t>
  </si>
  <si>
    <t>TGCKT260615000017</t>
  </si>
  <si>
    <t>TGCKT260615000020</t>
  </si>
  <si>
    <t>TGCKT260615000016</t>
  </si>
  <si>
    <t>WCKT260614000167</t>
  </si>
  <si>
    <t>WCKT260615000003</t>
  </si>
  <si>
    <t>WCKT260615000004</t>
  </si>
  <si>
    <t>WCKT260615000007</t>
  </si>
  <si>
    <t>WCKT260615000100</t>
  </si>
  <si>
    <t>WCKT260615000093</t>
  </si>
  <si>
    <t>WCKT260615000193</t>
  </si>
  <si>
    <t>WCKT260615000142</t>
  </si>
  <si>
    <t>WCKT260615000143</t>
  </si>
  <si>
    <t>WCKT260615000147</t>
  </si>
  <si>
    <t>WCKT260615000150</t>
  </si>
  <si>
    <t>WCKT260615000152</t>
  </si>
  <si>
    <t>XYBD2606150079</t>
  </si>
  <si>
    <t>XYBD2606150168</t>
  </si>
  <si>
    <t>XYBD2606150216</t>
  </si>
  <si>
    <t>XYBD2606150387</t>
  </si>
  <si>
    <t>XYBD2606150295</t>
  </si>
  <si>
    <t>XYBD2606150344</t>
  </si>
  <si>
    <t>A2026061500008</t>
  </si>
  <si>
    <t>A2026061500043</t>
  </si>
  <si>
    <t>A2026061500052</t>
  </si>
  <si>
    <t>TGCKT260616000012</t>
  </si>
  <si>
    <t>TGCKT260616000047</t>
  </si>
  <si>
    <t>TGCKT260616000054</t>
  </si>
  <si>
    <t>WCKT260615000154</t>
  </si>
  <si>
    <t>WCKT260615000153</t>
  </si>
  <si>
    <t>WCKT260616000002</t>
  </si>
  <si>
    <t>WCKT260616000058</t>
  </si>
  <si>
    <t>XYBD2600160003</t>
  </si>
  <si>
    <t>A2026061600062</t>
  </si>
  <si>
    <t>A2026061600063</t>
  </si>
  <si>
    <t>A2026061600064</t>
  </si>
  <si>
    <t>A2026061600066</t>
  </si>
  <si>
    <t>XYBD2606160703</t>
  </si>
  <si>
    <t>WCKT260617000007</t>
  </si>
  <si>
    <t>WCKT260617000008</t>
  </si>
  <si>
    <t>WCKT260617000012</t>
  </si>
  <si>
    <t>WCKT260617000001</t>
  </si>
  <si>
    <t>WCKT260617000073</t>
  </si>
  <si>
    <t>WCKT260617000079</t>
  </si>
  <si>
    <t>XYBD2606170031</t>
  </si>
  <si>
    <t>XY802606160010</t>
  </si>
  <si>
    <t>XYBD2606170494</t>
  </si>
  <si>
    <t>XYBD2606170850</t>
  </si>
  <si>
    <t>XYBD2606170865</t>
  </si>
  <si>
    <t>XYBD2606171105</t>
  </si>
  <si>
    <t>XYBD2606170005</t>
  </si>
  <si>
    <t>XYBD2606170025</t>
  </si>
  <si>
    <t>TGCKT260618000034</t>
  </si>
  <si>
    <t>TGCKT260618000156</t>
  </si>
  <si>
    <t>TGCKT260619000003</t>
  </si>
  <si>
    <t>TGCKT260619000055</t>
  </si>
  <si>
    <t>TGCKT260619000091</t>
  </si>
  <si>
    <t>TGCKT260619000107</t>
  </si>
  <si>
    <t>WCKT260617000131</t>
  </si>
  <si>
    <t>WCKT260617000132</t>
  </si>
  <si>
    <t>WCKT260618000002</t>
  </si>
  <si>
    <t>WCKT260618000003</t>
  </si>
  <si>
    <t>WCKT260618000008</t>
  </si>
  <si>
    <t>WCKT260619000001</t>
  </si>
  <si>
    <t>WCKT260618000098</t>
  </si>
  <si>
    <t>WCKT260619000002</t>
  </si>
  <si>
    <t>WCKT260619000003</t>
  </si>
  <si>
    <t>WCKT260619000004</t>
  </si>
  <si>
    <t>WCKT260619000006</t>
  </si>
  <si>
    <t>WCKT260619000007</t>
  </si>
  <si>
    <t>WCKT260619000008</t>
  </si>
  <si>
    <t>WCKT260619000011</t>
  </si>
  <si>
    <t>WCKT260619000012</t>
  </si>
  <si>
    <t>WCKT260619000014</t>
  </si>
  <si>
    <t>WCKT260619000013</t>
  </si>
  <si>
    <t>磅单日期错误</t>
  </si>
  <si>
    <t>XYBD2606180627</t>
  </si>
  <si>
    <t>XYBD2606181245</t>
  </si>
  <si>
    <t>XYBD2606190001</t>
  </si>
  <si>
    <t>粤B95241D</t>
  </si>
  <si>
    <t>XYBD2606190204</t>
  </si>
  <si>
    <t>WCKT260618000012</t>
  </si>
  <si>
    <t>A2026061900002</t>
  </si>
  <si>
    <t>XYBD2606190658</t>
  </si>
  <si>
    <t>WCKT260618000007</t>
  </si>
  <si>
    <t>WCKT260618000009</t>
  </si>
  <si>
    <t>A2026061800037</t>
  </si>
  <si>
    <t>汪地伟</t>
  </si>
  <si>
    <t>A2026061800054</t>
  </si>
  <si>
    <t>TGCKT260620000055</t>
  </si>
  <si>
    <t>TGCKT260620000083</t>
  </si>
  <si>
    <t>TGCKT260620000088</t>
  </si>
  <si>
    <t>TGCKT260620000076</t>
  </si>
  <si>
    <t>TGCKT260621000010</t>
  </si>
  <si>
    <t>TGCKT260621000011</t>
  </si>
  <si>
    <t>TGCKT260621000025</t>
  </si>
  <si>
    <t>TGCKT260621000026</t>
  </si>
  <si>
    <t>222606200030</t>
  </si>
  <si>
    <t>WCKT260619000111</t>
  </si>
  <si>
    <t>WCKT260620000002</t>
  </si>
  <si>
    <t>WCKT260620000004</t>
  </si>
  <si>
    <t>WCKT260620000109</t>
  </si>
  <si>
    <t>WCKT260620000112</t>
  </si>
  <si>
    <t>WCKT260621000002</t>
  </si>
  <si>
    <t>WCKT260621000007</t>
  </si>
  <si>
    <t>WCKT260621000151</t>
  </si>
  <si>
    <t>WCKT260621000152</t>
  </si>
  <si>
    <t>WCKT260621000154</t>
  </si>
  <si>
    <t>WCKT260621000158</t>
  </si>
  <si>
    <t>WCKT260621000159</t>
  </si>
  <si>
    <t>WCKT260621000169</t>
  </si>
  <si>
    <t>XYBD2606200005</t>
  </si>
  <si>
    <t>XYBD2606200008</t>
  </si>
  <si>
    <t>何明军</t>
  </si>
  <si>
    <t>XYBD2606200011</t>
  </si>
  <si>
    <t>XYBD2606200016</t>
  </si>
  <si>
    <t>XYBD2606200017</t>
  </si>
  <si>
    <t>王二平</t>
  </si>
  <si>
    <t>XYBD2606200019</t>
  </si>
  <si>
    <t>XYBD2606200696</t>
  </si>
  <si>
    <t>XYBD2606210065</t>
  </si>
  <si>
    <t>XYBD2606210120</t>
  </si>
  <si>
    <t>XYBD2606210234</t>
  </si>
  <si>
    <t>XYBD2606211148</t>
  </si>
  <si>
    <t>刘海云</t>
  </si>
  <si>
    <t>XYBD2606210098</t>
  </si>
  <si>
    <t>XYBD2606210101</t>
  </si>
  <si>
    <t>XYBD2606210122</t>
  </si>
  <si>
    <t>陈世熊</t>
  </si>
  <si>
    <t>TGCKT260621000144</t>
  </si>
  <si>
    <t>TGCKT260622000010</t>
  </si>
  <si>
    <t>TGCKT260621000150</t>
  </si>
  <si>
    <t>TGCKT260622000027</t>
  </si>
  <si>
    <t>TGCKT260622000031</t>
  </si>
  <si>
    <t>WTCKT260621000171</t>
  </si>
  <si>
    <t>WTCKT260621000170</t>
  </si>
  <si>
    <t>WTCKT260621000182</t>
  </si>
  <si>
    <t>WTCKT260621000181</t>
  </si>
  <si>
    <t>XYBD2606220014</t>
  </si>
  <si>
    <t>WTCKT260622000009</t>
  </si>
  <si>
    <t>WTCKT260622000012</t>
  </si>
  <si>
    <t>A202606220034</t>
  </si>
  <si>
    <t>褐煤26</t>
  </si>
  <si>
    <t>TGCKT260623000032</t>
  </si>
  <si>
    <t>TGCKT260623000097</t>
  </si>
  <si>
    <t>TGCKT260623000110</t>
  </si>
  <si>
    <t>TGCKT260623000111</t>
  </si>
  <si>
    <t>WTCKT260622000183</t>
  </si>
  <si>
    <t>WTCKT260623000013</t>
  </si>
  <si>
    <t>WTCKT260623000152</t>
  </si>
  <si>
    <t>WTCKT260623000155</t>
  </si>
  <si>
    <t>WTCKT260623000156</t>
  </si>
  <si>
    <t>WTCKT260623000161</t>
  </si>
  <si>
    <t>WTCKT260623000165</t>
  </si>
  <si>
    <t>XYBD2606230025</t>
  </si>
  <si>
    <t>XYBD2606230037</t>
  </si>
  <si>
    <t>XYBD2606230045</t>
  </si>
  <si>
    <t>XYBD2606230058</t>
  </si>
  <si>
    <t>XYBD2606230061</t>
  </si>
  <si>
    <t>XYBD2606230062</t>
  </si>
  <si>
    <t>XYBD2606230118</t>
  </si>
  <si>
    <t>WTCKT260623000004</t>
  </si>
  <si>
    <t>WTCKT260623000005</t>
  </si>
  <si>
    <t>A2026062300044</t>
  </si>
  <si>
    <t>XYBD2606230012</t>
  </si>
  <si>
    <t>XYBD2606240062</t>
  </si>
  <si>
    <t>TGCKT260624000057</t>
  </si>
  <si>
    <t>TGCKT260624000062</t>
  </si>
  <si>
    <t>TGCKT260624000085</t>
  </si>
  <si>
    <t>TGCKT260624000097</t>
  </si>
  <si>
    <t>TGCKT260624000098</t>
  </si>
  <si>
    <t>TGCKT260624000096</t>
  </si>
  <si>
    <t>TGCKT260624000104</t>
  </si>
  <si>
    <t>TGCKT260624000101</t>
  </si>
  <si>
    <t>TGCKT260624000123</t>
  </si>
  <si>
    <t>WTCKT260623000170</t>
  </si>
  <si>
    <t>WTCKT260624000084</t>
  </si>
  <si>
    <t>WTCKT260624000200</t>
  </si>
  <si>
    <t>WTCKT260624000193</t>
  </si>
  <si>
    <t>WTCKT260624000202</t>
  </si>
  <si>
    <t>WTCKT260624000203</t>
  </si>
  <si>
    <t>XYBD2606240074</t>
  </si>
  <si>
    <t>XYBD2606240257</t>
  </si>
  <si>
    <t>简安阳</t>
  </si>
  <si>
    <t>XYBD2606241142</t>
  </si>
  <si>
    <t>WTCKT260624000005</t>
  </si>
  <si>
    <t>XYBD2606240927</t>
  </si>
  <si>
    <t>XYBD2606240934</t>
  </si>
  <si>
    <t>XYBD2606251012</t>
  </si>
  <si>
    <t>XYBD2606251054</t>
  </si>
  <si>
    <t>TGCKT260625000039</t>
  </si>
  <si>
    <t>TGCKT260625000056</t>
  </si>
  <si>
    <t>TGCKT260625000063</t>
  </si>
  <si>
    <t>TGCKT260625000092</t>
  </si>
  <si>
    <t>TGCKT260625000098</t>
  </si>
  <si>
    <t>TGCKT260625000096</t>
  </si>
  <si>
    <t>WTCKT260624000218</t>
  </si>
  <si>
    <t>WTCKT260624000231</t>
  </si>
  <si>
    <t>WTCKT260625000132</t>
  </si>
  <si>
    <t>WTCKT260625000133</t>
  </si>
  <si>
    <t>XYBD2606250910</t>
  </si>
  <si>
    <t>XYBD2606251032</t>
  </si>
  <si>
    <t>WTCKT260624000234</t>
  </si>
  <si>
    <t>WTCKT260624000236</t>
  </si>
  <si>
    <t>WTCKT260625000002</t>
  </si>
  <si>
    <t>WTCKT260624000235</t>
  </si>
  <si>
    <t>XYBD2606241255</t>
  </si>
  <si>
    <t>XYBD2606250019</t>
  </si>
  <si>
    <t>XYBD2606250079</t>
  </si>
  <si>
    <t>WTCKT260624000214</t>
  </si>
  <si>
    <t>WTCKT260624000217</t>
  </si>
  <si>
    <t>TGCKT260626000010</t>
  </si>
  <si>
    <t>TGCKT260626000064</t>
  </si>
  <si>
    <t>TGCKT260626000069</t>
  </si>
  <si>
    <t>TGCKT260626000090</t>
  </si>
  <si>
    <t>TGCKT260626000084</t>
  </si>
  <si>
    <t>TGCKT260626000096</t>
  </si>
  <si>
    <t>222606260003</t>
  </si>
  <si>
    <t>WTCKT260625000151</t>
  </si>
  <si>
    <t>WTCKT260626000007</t>
  </si>
  <si>
    <t>WTCKT260626000128</t>
  </si>
  <si>
    <t>WTCKT260626000130</t>
  </si>
  <si>
    <t>XYBD2606260017</t>
  </si>
  <si>
    <t>XYBD2606261110</t>
  </si>
  <si>
    <t>XYBD2606261166</t>
  </si>
  <si>
    <t>WTCKT260626000002</t>
  </si>
  <si>
    <t>WTCKT260626000003</t>
  </si>
  <si>
    <t>王沛</t>
  </si>
  <si>
    <t>WTCKT260626000010</t>
  </si>
  <si>
    <t>A2026062500049</t>
  </si>
  <si>
    <t>XYBD2606260551</t>
  </si>
  <si>
    <t>TGCKT260626000196</t>
  </si>
  <si>
    <t>TGCKT260627000007</t>
  </si>
  <si>
    <t>TGCKT260627000016</t>
  </si>
  <si>
    <t>TGCKT260627000022</t>
  </si>
  <si>
    <t>TGCKT260627000025</t>
  </si>
  <si>
    <t>TGCKT260627000049</t>
  </si>
  <si>
    <t>TGCKT260627000100</t>
  </si>
  <si>
    <t>TGCKT260627000113</t>
  </si>
  <si>
    <t>TGCKT260627000118</t>
  </si>
  <si>
    <t>TGCKT260627000149</t>
  </si>
  <si>
    <t>TGCKT260628000037</t>
  </si>
  <si>
    <t>TGCKT260628000040</t>
  </si>
  <si>
    <t>TGCKT260628000041</t>
  </si>
  <si>
    <t>TGCKT260628000062</t>
  </si>
  <si>
    <t>TGCKT260628000085</t>
  </si>
  <si>
    <t>TGCKT260628000141</t>
  </si>
  <si>
    <t>TGCKT260628000143</t>
  </si>
  <si>
    <t>TGCKT260628000147</t>
  </si>
  <si>
    <t>WTCKT260626000129</t>
  </si>
  <si>
    <t>WTCKT260626000140</t>
  </si>
  <si>
    <t>WTCKT260626000146</t>
  </si>
  <si>
    <t>WTCKT260626000144</t>
  </si>
  <si>
    <t>WTCKT260626000147</t>
  </si>
  <si>
    <t>WTCKT260626000134</t>
  </si>
  <si>
    <t>WTCKT260627000002</t>
  </si>
  <si>
    <t>WTCKT260627000005</t>
  </si>
  <si>
    <t>WTCKT260627000146</t>
  </si>
  <si>
    <t>WTCKT260627000149</t>
  </si>
  <si>
    <t>WTCKT260627000153</t>
  </si>
  <si>
    <t>WTCKT260627000157</t>
  </si>
  <si>
    <t>WTCKT260627000173</t>
  </si>
  <si>
    <t>WTCKT260628000153</t>
  </si>
  <si>
    <t>WTCKT260628000164</t>
  </si>
  <si>
    <t>XYBD2606280172</t>
  </si>
  <si>
    <t>XYBD2606280974</t>
  </si>
  <si>
    <t>XYBD2606280999</t>
  </si>
  <si>
    <t>XYBD2606281020</t>
  </si>
  <si>
    <t>XYBD2606281036</t>
  </si>
  <si>
    <t>XYBD2606281039</t>
  </si>
  <si>
    <t>WTCKT260626000143</t>
  </si>
  <si>
    <t>WTCKT260627000004</t>
  </si>
  <si>
    <t>WTCKT260627000154</t>
  </si>
  <si>
    <t>WTCKT260627000166</t>
  </si>
  <si>
    <t>WTCKT260627000172</t>
  </si>
  <si>
    <t>WTCKT260627000171</t>
  </si>
  <si>
    <t>A2026062700015</t>
  </si>
  <si>
    <t>A2026062800034</t>
  </si>
  <si>
    <t>WTCKT260626000142</t>
  </si>
  <si>
    <t>付款日期</t>
  </si>
  <si>
    <t>一级科目</t>
  </si>
  <si>
    <t>对方账户</t>
  </si>
  <si>
    <t>内容</t>
  </si>
  <si>
    <t>支付</t>
  </si>
  <si>
    <t>备注</t>
  </si>
  <si>
    <t>申请日期</t>
  </si>
  <si>
    <t>6月</t>
  </si>
  <si>
    <t>冲洗货箱10+15=25元</t>
  </si>
  <si>
    <t>加水10元打印2元共12元</t>
  </si>
  <si>
    <t>过磅费15元</t>
  </si>
  <si>
    <t>洗货箱10元</t>
  </si>
  <si>
    <t>加水5元</t>
  </si>
  <si>
    <t>空调：1019.15元</t>
  </si>
  <si>
    <t>4套铁架床+一套桌椅：640+150=790元</t>
  </si>
  <si>
    <t>油费：275+360=635元</t>
  </si>
  <si>
    <t>过路费：84+74+178=336元(云南曲靖-砚山-八宝-靖西)</t>
  </si>
  <si>
    <t>3把扳手：21元</t>
  </si>
  <si>
    <t>冲货箱10+15=25元</t>
  </si>
  <si>
    <t>加水4次共20元</t>
  </si>
  <si>
    <t>华银一砚山，加水2次共10元</t>
  </si>
  <si>
    <t>砚山拉煤一靖西，加水2次共10元</t>
  </si>
  <si>
    <t>砚山过磅15元，靖西过磅15元共30元</t>
  </si>
  <si>
    <t>冲货箱15元</t>
  </si>
  <si>
    <t>郑钰杰</t>
  </si>
  <si>
    <t>路费：46元</t>
  </si>
  <si>
    <t>-电费：39.44元</t>
  </si>
  <si>
    <t>6.2号交警罚款：200元</t>
  </si>
  <si>
    <t>6.2号扣驾驶证1分公司补：200元</t>
  </si>
  <si>
    <t>冲洗车厢一次：20元</t>
  </si>
  <si>
    <t>加水：2次共10元</t>
  </si>
  <si>
    <t>两瓶泡沫胶30元</t>
  </si>
  <si>
    <t>加水10元</t>
  </si>
  <si>
    <t>冲货箱：20元</t>
  </si>
  <si>
    <t>加水：10元</t>
  </si>
  <si>
    <t>6.2号罚款:200元</t>
  </si>
  <si>
    <t>6.2号补分补助200元</t>
  </si>
  <si>
    <t>冲货箱：15元</t>
  </si>
  <si>
    <t>洗车箱15元</t>
  </si>
  <si>
    <t>洗车箱10元</t>
  </si>
  <si>
    <t>宏泰过磅标签10元</t>
  </si>
  <si>
    <t>加水2次共10元</t>
  </si>
  <si>
    <t>青龙坪充电停车费3元</t>
  </si>
  <si>
    <t>砚山冲货箱加水：20元</t>
  </si>
  <si>
    <t>德保冲货箱：15元</t>
  </si>
  <si>
    <t>加水两次共10元</t>
  </si>
  <si>
    <t>洗车厢1次共15元</t>
  </si>
  <si>
    <t>6.2号交警罚款：20元</t>
  </si>
  <si>
    <t>砚山货场冲货箱: 15元</t>
  </si>
  <si>
    <t>德保冲货箱：10元</t>
  </si>
  <si>
    <t>加水:2次共10元</t>
  </si>
  <si>
    <t>冲货箱:15元</t>
  </si>
  <si>
    <t>加淋水：10元</t>
  </si>
  <si>
    <t>路费：23+269+46=338元</t>
  </si>
  <si>
    <t>油费：360元</t>
  </si>
  <si>
    <t>冲货厢:15+15=30元</t>
  </si>
  <si>
    <t>加水：5元</t>
  </si>
  <si>
    <t>冲货厢：15元</t>
  </si>
  <si>
    <t>加水：10元，打印单子：2元，共12元</t>
  </si>
  <si>
    <t>何荣俊</t>
  </si>
  <si>
    <t>加水3次共15元</t>
  </si>
  <si>
    <t>煤厂冲车厢15元</t>
  </si>
  <si>
    <t>加水四次共20元</t>
  </si>
  <si>
    <t>冲货箱：15+15=30元</t>
  </si>
  <si>
    <t>6.2号交通罚款：20元</t>
  </si>
  <si>
    <t>加水：5+5+5=15元</t>
  </si>
  <si>
    <t>6.3号罚款：200元</t>
  </si>
  <si>
    <t>6.3号扣1分补助：200元</t>
  </si>
  <si>
    <t>冲货箱：10元</t>
  </si>
  <si>
    <t>加水：4次共20元</t>
  </si>
  <si>
    <t>砚山冲货箱15元</t>
  </si>
  <si>
    <t>德保冲货箱加水15+5=20元</t>
  </si>
  <si>
    <t>6.3号油费：430元</t>
  </si>
  <si>
    <t>张柳</t>
  </si>
  <si>
    <t>5月</t>
  </si>
  <si>
    <t>小车加油费</t>
  </si>
  <si>
    <t>李锋</t>
  </si>
  <si>
    <t>5.25号深圳送车7台到广西的送车费用2600*7=18200</t>
  </si>
  <si>
    <t>7台送车费，2400元x7=16800</t>
  </si>
  <si>
    <t>加水三次共15元</t>
  </si>
  <si>
    <t>6.3号-路费：25元</t>
  </si>
  <si>
    <t>6.3号-电费：43.07元</t>
  </si>
  <si>
    <t>6.4号-住宿：120元</t>
  </si>
  <si>
    <t>冲洗货箱2次共30元</t>
  </si>
  <si>
    <t>6.2号违罚款，交警罚款：20元</t>
  </si>
  <si>
    <t>洗车2次：30元</t>
  </si>
  <si>
    <t>买铁链扣子2个：10元</t>
  </si>
  <si>
    <t>冲货箱2次共30元</t>
  </si>
  <si>
    <t>泡沫胶3*10元=30元，结构胶2*15元=30元，剪刀1把10元，胶布5元，共75元</t>
  </si>
  <si>
    <t>洗车箱15+15=30元</t>
  </si>
  <si>
    <t>冲货箱1次10元</t>
  </si>
  <si>
    <t>加水2次：10元</t>
  </si>
  <si>
    <t>进厂上磅码10元</t>
  </si>
  <si>
    <t>过磅磁条10元</t>
  </si>
  <si>
    <t>泡沫胶共20元</t>
  </si>
  <si>
    <t>油费：100元</t>
  </si>
  <si>
    <t>-路费：74+11+34+67+83+84=353元</t>
  </si>
  <si>
    <t>6.4号路费：19+44+44=107元</t>
  </si>
  <si>
    <t>6月2号交通罚款忘报:20元</t>
  </si>
  <si>
    <t>3瓶泡沫胶：45元</t>
  </si>
  <si>
    <t>冲货厢:15元</t>
  </si>
  <si>
    <t>赣J08767D在5.30运往云南宏泰铝厂的1车氧化铝经质检发现杂志较多，罚款500元</t>
  </si>
  <si>
    <t>加水：两次共10元</t>
  </si>
  <si>
    <t>冲货箱10元</t>
  </si>
  <si>
    <t>住宿费5天：138+138+138+138+100=652元</t>
  </si>
  <si>
    <t>车牌费用9张：45*9=405元</t>
  </si>
  <si>
    <t>工具类：螺丝刀5元，防晒冰袖5*8元=40元，针织手套10元，指甲钳3元，共58元</t>
  </si>
  <si>
    <t>加水：5+5=10元，打印单子：2元，共12元</t>
  </si>
  <si>
    <t>德保洗车厢20元</t>
  </si>
  <si>
    <t>买锄头25元</t>
  </si>
  <si>
    <t>加水5元,洗货箱15元共20元</t>
  </si>
  <si>
    <t>停车费：30元</t>
  </si>
  <si>
    <t>由于老路阿三龙至弥勒封路，从阿三龙上高速至五三收费站出路费312元</t>
  </si>
  <si>
    <t>买了一个安全帽：30元</t>
  </si>
  <si>
    <t>下铝粉过磅买小卡10元</t>
  </si>
  <si>
    <t>加水1次5元</t>
  </si>
  <si>
    <t>冲车厢15+15=30元</t>
  </si>
  <si>
    <t>德保冲货10元</t>
  </si>
  <si>
    <t>补报6.5号交警罚款改装改型：150元</t>
  </si>
  <si>
    <t>冲洗货箱15元</t>
  </si>
  <si>
    <t>加水10元，打印2元共12元</t>
  </si>
  <si>
    <t>6.7号加油费</t>
  </si>
  <si>
    <t>胡益明</t>
  </si>
  <si>
    <t>5.31靖西到德保高速费15,   5.31德保到百色高速费46，5.31靖西到百色高速费88，  6.3号那坡-德保救车高速费63，6.2号百色-那洒救车高速费131，</t>
  </si>
  <si>
    <t>5.29午餐费用18,    5.31号和维修工的早餐费用30，  6.1号和维修工，李锋等早餐费用44，6.2号和维修工早餐费用26， 6.2号两个人的午餐费用29，  6.2号和司机两个人晚餐费用28， 6.3号和司机那洒早餐费用20，午餐费用50，6.5号中餐费用19，6.6号早餐费用7.5+26=33.5,   6.7号早餐费用38，</t>
  </si>
  <si>
    <t>6.2号住宿费128，6.3-6.4号两晚住宿费128+120=248，</t>
  </si>
  <si>
    <t>6.3号采购一个32GU盘75，用于拷贝事故车当时行车记录仪视频</t>
  </si>
  <si>
    <t>6.3号加油费515</t>
  </si>
  <si>
    <t>加水5+5=10元</t>
  </si>
  <si>
    <t>停车费：10元</t>
  </si>
  <si>
    <t>6.5号交警罚款200元，扣1分</t>
  </si>
  <si>
    <t>6.5号补1分补助200元</t>
  </si>
  <si>
    <t>泡沫胶三瓶共45元</t>
  </si>
  <si>
    <t>冲货箱1次15元</t>
  </si>
  <si>
    <t>冲货箱:10元</t>
  </si>
  <si>
    <t>加水：4*5元=20元</t>
  </si>
  <si>
    <t>加水：5+3=8元</t>
  </si>
  <si>
    <t>泡沫胶2瓶共30元，头灯一个15元，共45元</t>
  </si>
  <si>
    <t>加水5次共25元</t>
  </si>
  <si>
    <t>6.5号交警罚款20元</t>
  </si>
  <si>
    <t>洗车箱 15元</t>
  </si>
  <si>
    <t>加水5元，电夹子5元，共10元</t>
  </si>
  <si>
    <t>6.5号交警罚款200元</t>
  </si>
  <si>
    <t>进场感应牌10元</t>
  </si>
  <si>
    <t>感应卡10元</t>
  </si>
  <si>
    <t>6.5号交警罚款200元驾驶证被扣1分</t>
  </si>
  <si>
    <t>洗车2次共30元</t>
  </si>
  <si>
    <t>加水：5+5+10=20元</t>
  </si>
  <si>
    <t>砚山冲货箱：15元</t>
  </si>
  <si>
    <t>德保冲货箱： 15元</t>
  </si>
  <si>
    <t>6.2号交警罚款200元</t>
  </si>
  <si>
    <t>6.2号驾驶证扣1分补分补助200元</t>
  </si>
  <si>
    <t>6.6号路费：63元</t>
  </si>
  <si>
    <t>6.6号电费：42.03元</t>
  </si>
  <si>
    <t>6.6号油费：380元</t>
  </si>
  <si>
    <t>因车子坏了在文山服务站修，为了等材料修车一共3天，公司规定修车两天，超出了两天给予补助。6月4日在文山服务站等修车的，6月6日晚上离开服务站的。超出一天给予补助：200元</t>
  </si>
  <si>
    <t>泡沫胶4瓶共60元</t>
  </si>
  <si>
    <t>冲车厢15元，两瓶泡沫胶共30元，总共45元</t>
  </si>
  <si>
    <t>冲货厢:20元</t>
  </si>
  <si>
    <t>靖西煤场过磅费15元，靖西洗车厢15元，共30元</t>
  </si>
  <si>
    <t>煤场洗车厢15元</t>
  </si>
  <si>
    <t>德保洗车厢10元</t>
  </si>
  <si>
    <t>砚山铝厂新车第一趟开磁卡 过磅10元</t>
  </si>
  <si>
    <t>泡沫胶：15元×4=60元，手套：3元，共63元</t>
  </si>
  <si>
    <t>靖西冲货箱：20元</t>
  </si>
  <si>
    <t>过磅：15元</t>
  </si>
  <si>
    <t>加水:3次共15元</t>
  </si>
  <si>
    <t>过磅费15元.</t>
  </si>
  <si>
    <t>泡沫胶两瓶24元</t>
  </si>
  <si>
    <t>6.5号那坡交警罚款200元</t>
  </si>
  <si>
    <t>冲货箱15+15+15+10=55元。</t>
  </si>
  <si>
    <t>洗货箱15+15=30元</t>
  </si>
  <si>
    <t>冲货箱:两次共30元</t>
  </si>
  <si>
    <t>买两条绷带12元</t>
  </si>
  <si>
    <t>卸铝粉冲货箱：15元</t>
  </si>
  <si>
    <t>洗车箱10+15=25元</t>
  </si>
  <si>
    <t>洗车箱两次15+10=25元</t>
  </si>
  <si>
    <t>过称费15元</t>
  </si>
  <si>
    <t>泡沫胶+手套+小扳手：62+4=66元</t>
  </si>
  <si>
    <t>冲洗车头+加水：15+5+5=25元</t>
  </si>
  <si>
    <t>冲洗车厢：15元</t>
  </si>
  <si>
    <t>冲洗车厢：20元</t>
  </si>
  <si>
    <t>靖西冲车厢20元</t>
  </si>
  <si>
    <t>冲货厢2次共30元</t>
  </si>
  <si>
    <t>靖西煤场过磅费：15元</t>
  </si>
  <si>
    <t>冲货箱： 15元</t>
  </si>
  <si>
    <t>泡沫胶4x15元=60元，手套3元，共63元</t>
  </si>
  <si>
    <t>靖西冲货20元</t>
  </si>
  <si>
    <t>冲货箱：15+20=35元</t>
  </si>
  <si>
    <t>过磅费：15元</t>
  </si>
  <si>
    <t>加水：5×4=20元</t>
  </si>
  <si>
    <t>冲车厢15元</t>
  </si>
  <si>
    <t>过磅费15元，冲货箱15元，共30元</t>
  </si>
  <si>
    <t>冲货箱20元</t>
  </si>
  <si>
    <t>加水15元，打印2元共17元</t>
  </si>
  <si>
    <t>洗货箱2次共30元</t>
  </si>
  <si>
    <t>洗车15元</t>
  </si>
  <si>
    <t>冲货厢:30元</t>
  </si>
  <si>
    <t>因华银装货后门崩坏铝。粉洒落 经协商请工人协助清理 申请工人清理工费时费用2800元，月底走货物险报回</t>
  </si>
  <si>
    <t>6.9号加油费</t>
  </si>
  <si>
    <t>陈正忠</t>
  </si>
  <si>
    <t>与林总张总一起招待石牛吴总等人</t>
  </si>
  <si>
    <t>6.8号百靖-德保高速费43，云南曙光高速费86,  6.9号-云南文山东站高速费69，-云南江川西站高速费170,百色到玉溪高速费</t>
  </si>
  <si>
    <t>冲货箱20+15=35元</t>
  </si>
  <si>
    <t>冲货厢：两次10+15=25元</t>
  </si>
  <si>
    <t>冲货箱两次共30元。</t>
  </si>
  <si>
    <t>加水两次10元信发叫号费2.5元共12.5元</t>
  </si>
  <si>
    <t>买扣子：10元</t>
  </si>
  <si>
    <t>泡沫胶4瓶:60元</t>
  </si>
  <si>
    <t>泡沫胶 15元</t>
  </si>
  <si>
    <t>冲货箱一次10元</t>
  </si>
  <si>
    <t>吸尘器使用费：50元</t>
  </si>
  <si>
    <t>买绑带+门扣+扫把共50元</t>
  </si>
  <si>
    <t>冲车箱：10元</t>
  </si>
  <si>
    <t>砚山宏泰买地磅感应卡：10元</t>
  </si>
  <si>
    <t>富盛达公司发过来的配件物流运费60</t>
  </si>
  <si>
    <t>靖西冲货箱: 10元</t>
  </si>
  <si>
    <t>泡沫胶：30元</t>
  </si>
  <si>
    <t>加水：5元×4=20元</t>
  </si>
  <si>
    <t>充电停车费3元</t>
  </si>
  <si>
    <t>过磅：10元</t>
  </si>
  <si>
    <t>加水：6*5元=30元</t>
  </si>
  <si>
    <t>砚山洗车厢15元</t>
  </si>
  <si>
    <t>冲货箱：10+15=25元</t>
  </si>
  <si>
    <t>过磅：砚山过磅10元</t>
  </si>
  <si>
    <t>加水：3次共15元</t>
  </si>
  <si>
    <t>冲货厢一次：15元</t>
  </si>
  <si>
    <t>剪刀10元、喷水壶15元、泡沫胶4*15元=60元、帮带10元 共95元</t>
  </si>
  <si>
    <t>卸煤洗货箱15元</t>
  </si>
  <si>
    <t>6.9号交警罚款200元</t>
  </si>
  <si>
    <t>6.9号扣一分补分200元</t>
  </si>
  <si>
    <t>砚山宏泰过磅卡10元</t>
  </si>
  <si>
    <t>洗车10+15=25元</t>
  </si>
  <si>
    <t>6.9号靖西交警罚200元</t>
  </si>
  <si>
    <t>6.9号扣1分补分200元</t>
  </si>
  <si>
    <t>加水4次20元打印1元共21元</t>
  </si>
  <si>
    <t>泡沫胶1瓶15元</t>
  </si>
  <si>
    <t>冲货箱3次：15+15+15=45元</t>
  </si>
  <si>
    <t>5.27号交罚款20元</t>
  </si>
  <si>
    <t>洗货箱15元</t>
  </si>
  <si>
    <t>洗货箱15元，加水5元共20元</t>
  </si>
  <si>
    <t>洗车15元加水5元，共20元</t>
  </si>
  <si>
    <t>宏泰买过磅卡10元</t>
  </si>
  <si>
    <t>德保停车费10元</t>
  </si>
  <si>
    <t>6.10号油费：340元</t>
  </si>
  <si>
    <t>6.10号-路费：336元</t>
  </si>
  <si>
    <t>6.9号交罚款20元</t>
  </si>
  <si>
    <t>洗车15元，加水5元，共20元</t>
  </si>
  <si>
    <t>6.12申请</t>
  </si>
  <si>
    <t>加水：5元×3=15元</t>
  </si>
  <si>
    <t>6.9号交通罚款：20元</t>
  </si>
  <si>
    <t>冲货厢：20+15=35元</t>
  </si>
  <si>
    <t>加水：1次5元</t>
  </si>
  <si>
    <t>冲货箱19元</t>
  </si>
  <si>
    <t>冲货箱两次：15+20=35元</t>
  </si>
  <si>
    <t>加水两次：10元</t>
  </si>
  <si>
    <t>6.11号交警罚款：200元</t>
  </si>
  <si>
    <t>6.11号扣一分公司补助：200元</t>
  </si>
  <si>
    <t>洗货箱：20元</t>
  </si>
  <si>
    <t>加淋 水：10元</t>
  </si>
  <si>
    <t>6.11号扣一分补助：200元</t>
  </si>
  <si>
    <t>冲货厢3次：10+10+15=35元</t>
  </si>
  <si>
    <t>加水4次：20元</t>
  </si>
  <si>
    <t>冲货箱2次15+20=35 元</t>
  </si>
  <si>
    <t>洗货箱：15元</t>
  </si>
  <si>
    <t>冲车厢20元</t>
  </si>
  <si>
    <t>加水一次5元</t>
  </si>
  <si>
    <t>冲车相15元</t>
  </si>
  <si>
    <t>磅费：15元</t>
  </si>
  <si>
    <t>冲货箱2次15+20=35元</t>
  </si>
  <si>
    <t>靖西过磅费15元</t>
  </si>
  <si>
    <t>停车费10元</t>
  </si>
  <si>
    <t>煤场洗车机15元</t>
  </si>
  <si>
    <t>鄂A68B4M</t>
  </si>
  <si>
    <t>南宁市国微五金发过来的配件运费35元</t>
  </si>
  <si>
    <t>张彪</t>
  </si>
  <si>
    <t xml:space="preserve">截止到6.12已送车31个车，总送车费是100800，已付35000，未付65800
</t>
  </si>
  <si>
    <t>6.11号的晚餐55，午餐72，预付租房的水电费200，付邮寄车辆行驶证和登记证书的快递费24，</t>
  </si>
  <si>
    <t>6.12三人的早饭28+午饭36+晚饭56.5，邮寄电线的运费10（广州-百色）</t>
  </si>
  <si>
    <t>邮寄七芯螺旋电缆总成，ABS电源线，主连接线运费56</t>
  </si>
  <si>
    <t>林超</t>
  </si>
  <si>
    <t>5.24号请梁总吃饭276元，5.28号与开心总陈正忠张柳等一起参加玉溪公司开业餐费414元，5.30号在云南广南八宝请充电站老板吃饭共159元，6.6号请轮胎胡总及彪哥吃饭460元</t>
  </si>
  <si>
    <t>云D127LN</t>
  </si>
  <si>
    <t>6.5号云D127LN保养换机油575.32元</t>
  </si>
  <si>
    <t>5.25住宿费152元，5.28住宿费146元，5.29号住宿费：161元，6.6号住宿费：252元，6.7号住宿费：148元，6.8号住宿费：123.88元，6.9号住宿费：135元，6.5号住宿费：241元</t>
  </si>
  <si>
    <t>6.7号坛百段-百色东通行费46元</t>
  </si>
  <si>
    <t>6.11号中国石油昆仑e加油费669.5元</t>
  </si>
  <si>
    <t>6.9号高速费43.69元</t>
  </si>
  <si>
    <t>6.7高速费57元</t>
  </si>
  <si>
    <t>6.6高速费2.39+2.39=4.78元</t>
  </si>
  <si>
    <t>6.2号高速费65.2元</t>
  </si>
  <si>
    <t>5.31号高速费330.17元</t>
  </si>
  <si>
    <t>5.28高速费329.55元</t>
  </si>
  <si>
    <t>5.27号高速费43.69元</t>
  </si>
  <si>
    <t>5.26号高速费65.20元+14.13</t>
  </si>
  <si>
    <t>5.25号高速费14.13元</t>
  </si>
  <si>
    <t>5.24号高速费78.9元+70.3+163.4</t>
  </si>
  <si>
    <t>5.19号高速费4.69元+16.77</t>
  </si>
  <si>
    <t>5.18号高速费15.2元+16.77+4.53</t>
  </si>
  <si>
    <t>5.14号高速费77.9元+21.52</t>
  </si>
  <si>
    <t>5.13号高速费21.52元+77.9</t>
  </si>
  <si>
    <t>5.12号高速费9.5元+153.76</t>
  </si>
  <si>
    <t>从曲靖拉办公用品到广西运费500</t>
  </si>
  <si>
    <t>加水5+5=10元，冲货箱15元，共25元</t>
  </si>
  <si>
    <t>加水5+5=10元，冲货箱10元，共20元</t>
  </si>
  <si>
    <t>买帮带和胶一桐：20元</t>
  </si>
  <si>
    <t>砚山洗货箱：15元</t>
  </si>
  <si>
    <t>买防尘盖1个35元</t>
  </si>
  <si>
    <t>6.12号罚款200元</t>
  </si>
  <si>
    <t>6.12号扣一分补助200元</t>
  </si>
  <si>
    <t>广西靖西冲车厢15元</t>
  </si>
  <si>
    <t>砚山媒场冲货厢15元</t>
  </si>
  <si>
    <t>6.12号交警罚款：200元扣1分</t>
  </si>
  <si>
    <t>6.12号补分补助200元</t>
  </si>
  <si>
    <t>买链条扣，梅花扳手共13元</t>
  </si>
  <si>
    <t>田东洗车15元</t>
  </si>
  <si>
    <t>冲货箱：20元+15元共35元</t>
  </si>
  <si>
    <t>加水：5+5=10元</t>
  </si>
  <si>
    <t>6.11号扣1分补助：200元</t>
  </si>
  <si>
    <t>冲洗货厢：15元</t>
  </si>
  <si>
    <t>加水2次：共10元</t>
  </si>
  <si>
    <t>冲货箱15+20=35元</t>
  </si>
  <si>
    <t>洋铲扫把23元</t>
  </si>
  <si>
    <t>电话叫号10元</t>
  </si>
  <si>
    <t>靖西卸煤地磅费：15元</t>
  </si>
  <si>
    <t>手套一双：5元</t>
  </si>
  <si>
    <t>停车费3元</t>
  </si>
  <si>
    <t>6.12号交通罚款：100元</t>
  </si>
  <si>
    <t>冲货厢：15+15=30元</t>
  </si>
  <si>
    <t>加水：4✕5元=20元</t>
  </si>
  <si>
    <t>6.12号交警罚款：200元</t>
  </si>
  <si>
    <t>赣J09207D</t>
  </si>
  <si>
    <t>6.12号交警扣1分补助：200元</t>
  </si>
  <si>
    <t>买手套：7元</t>
  </si>
  <si>
    <t>青龙停车费：3+3=6元</t>
  </si>
  <si>
    <t>冲洗货箱：20元</t>
  </si>
  <si>
    <t>6.12号交罚款100元</t>
  </si>
  <si>
    <t>加水：5+5+5=元</t>
  </si>
  <si>
    <t>冲货箱洗车头20元</t>
  </si>
  <si>
    <t>卸货时挂板侧翻，救援费用吊车1900元，三个工人清理货箱货物650元工费</t>
  </si>
  <si>
    <t>买泡沫胶、头灯、手套：93元</t>
  </si>
  <si>
    <t>6.12号交警处罚20元</t>
  </si>
  <si>
    <t>6.11号交警罚款20元</t>
  </si>
  <si>
    <t>充货箱15+15=30元</t>
  </si>
  <si>
    <t>砚山煤场洗车厢15元</t>
  </si>
  <si>
    <t>德保洗车厢15元</t>
  </si>
  <si>
    <t>手套1双：5元</t>
  </si>
  <si>
    <t>加水：6*5元=25元</t>
  </si>
  <si>
    <t>6.12号交警罚款200元</t>
  </si>
  <si>
    <t>6.12号扣了1分补助200元</t>
  </si>
  <si>
    <t>启子两把共14元 板手两把18元老虎钳：35元，共67元</t>
  </si>
  <si>
    <t>电工胶布一个防水胶布一个一把美工刀共13元</t>
  </si>
  <si>
    <t>6.13号交通罚款:100元</t>
  </si>
  <si>
    <t>加水共10元</t>
  </si>
  <si>
    <t>冲货箱15+20=35 元</t>
  </si>
  <si>
    <t>洗车箱20元</t>
  </si>
  <si>
    <t>川ZVM003</t>
  </si>
  <si>
    <t>油费：400元</t>
  </si>
  <si>
    <t>车牌费用2张：2*35元=70元</t>
  </si>
  <si>
    <t>川ZVM005</t>
  </si>
  <si>
    <t>过路费：4*46元=184元</t>
  </si>
  <si>
    <t>牵宽带费用：180元</t>
  </si>
  <si>
    <t>买喷壶13.6元</t>
  </si>
  <si>
    <t>因车子坏了在砚山修，为了等材料修车一共4天，公司规定修车两天，超出了两天给予补助。6月11日在砚上等修车的，6月14日中午离开服务站的。超出两天给予补助：2*200元=400元</t>
  </si>
  <si>
    <t>6月11日砚山接车时的洗车费15元</t>
  </si>
  <si>
    <t>6.13号靖西交警罚200元</t>
  </si>
  <si>
    <t>加水3次15元，打印费2元共17元</t>
  </si>
  <si>
    <t>进厂过磅办理磁片10元</t>
  </si>
  <si>
    <t>加水俩次：10元</t>
  </si>
  <si>
    <t>冲车厢两次共30元</t>
  </si>
  <si>
    <t>加水4次共20元。</t>
  </si>
  <si>
    <t>冲洗货箱：15元</t>
  </si>
  <si>
    <t>6.10号违章，前转交警罚款补报：20元</t>
  </si>
  <si>
    <t>冲货箱：20+15=35元</t>
  </si>
  <si>
    <t>加水：2+5+5=12元</t>
  </si>
  <si>
    <t>天桂装货， 泡沫胶一支：14元</t>
  </si>
  <si>
    <t>洗车头15元</t>
  </si>
  <si>
    <t>冲货箱：15+10=25元。</t>
  </si>
  <si>
    <t>加水15元</t>
  </si>
  <si>
    <t>6.13号买一把电风扇158，</t>
  </si>
  <si>
    <t>,6.13号百色服务站邮寄车辆控制器到德保服务站，再由驾驶员送到砚山服务站快递费14，6.12号张彪邮寄到德保的配件运费35</t>
  </si>
  <si>
    <t>6.13号购买重型货架模具仓储置物架，超强承重货物架子270.58</t>
  </si>
  <si>
    <t>6.13号桶装水2桶14元，加收空桶押金60</t>
  </si>
  <si>
    <t>6.15号曙光交警罚款20元</t>
  </si>
  <si>
    <t>宏泰铝厂买过磅感应磁条10元</t>
  </si>
  <si>
    <t>闽AA11053</t>
  </si>
  <si>
    <t>物流费57元</t>
  </si>
  <si>
    <t>梯子：205元</t>
  </si>
  <si>
    <t>两管密封胶：30元</t>
  </si>
  <si>
    <t>靖西过磅费15元靖西洗车厢15元，共30元</t>
  </si>
  <si>
    <t>里吉加水 5元，坡合加水 5元 共10元</t>
  </si>
  <si>
    <t>德保自费卖四个合扣共6元</t>
  </si>
  <si>
    <t>冲货箱2次：15+20=35元</t>
  </si>
  <si>
    <t>靖西两趟过磅费15+15=30元。</t>
  </si>
  <si>
    <t>冲货箱15+15=30元</t>
  </si>
  <si>
    <t>玻璃胶，螺丝刀，安全扣共35元</t>
  </si>
  <si>
    <t>加水冲车头：10+5=15元</t>
  </si>
  <si>
    <t>冲货厢2次：15+15=30元</t>
  </si>
  <si>
    <t>买剪刀和电胶带：11元</t>
  </si>
  <si>
    <t>洗车：15元</t>
  </si>
  <si>
    <t>6.15号交罚款20元</t>
  </si>
  <si>
    <t>加水：20元</t>
  </si>
  <si>
    <t>6.12号交罚款200元</t>
  </si>
  <si>
    <t>云NEY881</t>
  </si>
  <si>
    <t>油费：332元</t>
  </si>
  <si>
    <t>路费：320元</t>
  </si>
  <si>
    <t>加水:5次共25元。</t>
  </si>
  <si>
    <t>砚山煤场洗车15元</t>
  </si>
  <si>
    <t>靖西洗车15元</t>
  </si>
  <si>
    <t>加水：5元*4=20元</t>
  </si>
  <si>
    <t>冲货箱 2次 15+20=35元</t>
  </si>
  <si>
    <t>加水3次 共15元打单子2元共17元</t>
  </si>
  <si>
    <t>外面打黄油：70元</t>
  </si>
  <si>
    <t>6.15号罚款20元</t>
  </si>
  <si>
    <t>6.15号交通罚款200元</t>
  </si>
  <si>
    <t>6.15号那坡县：扣1分补助200元</t>
  </si>
  <si>
    <t>住宿费：80元</t>
  </si>
  <si>
    <t>过路费：191元</t>
  </si>
  <si>
    <t>乘车费：180+15+15+4+12.9+15+20.5+29=276.4元</t>
  </si>
  <si>
    <t>由广西驾驶车头前往玉溪公司，把车交给公司办完手续后，再从玉溪往返广西任职，在广西线路正常驾驶营运。往返补贴按260元/天核算。从玉溪乘车返回广西的车费，可全额报销。14日一16日3天x260元=780元</t>
  </si>
  <si>
    <t>加水3次15元打印费1元，共16元</t>
  </si>
  <si>
    <t xml:space="preserve">过磅费：15元     </t>
  </si>
  <si>
    <t>冲货箱：30元</t>
  </si>
  <si>
    <t>加水：30元</t>
  </si>
  <si>
    <t>田东冲车箱15元</t>
  </si>
  <si>
    <t>冲货厢装铝粉装煤炭两次：30元</t>
  </si>
  <si>
    <t>加水三次：15元</t>
  </si>
  <si>
    <t>宏泰铝厂买过磅磁卡：10元</t>
  </si>
  <si>
    <t>南宁市淦丰汽配件经营部发油缸的运费122，南宁市国威五金发海绵块快递门店上门送货运费60，广西富盛达汽配销售有限公司发磨盘运费70，南宁市国威五金邮寄海绵块运费143</t>
  </si>
  <si>
    <t>办公室的门锁</t>
  </si>
  <si>
    <t>6.14号餐费在德保请魏总罗总鲁总吃饭</t>
  </si>
  <si>
    <t>德保办公室用茶叶</t>
  </si>
  <si>
    <t>靖西过磅费15元，打单子1元共16元</t>
  </si>
  <si>
    <t>冲洗货厢2次：15+20=35元</t>
  </si>
  <si>
    <t>车辆识别贴：10元</t>
  </si>
  <si>
    <t>冲贸箱15元</t>
  </si>
  <si>
    <t>加水6次共30元</t>
  </si>
  <si>
    <t>宏泰铝厂过磅买磁条10元</t>
  </si>
  <si>
    <t>加水1次5元，在青龙坪充电停车费3元，共8元</t>
  </si>
  <si>
    <t>6.17号交警罚款：200元</t>
  </si>
  <si>
    <t>6.17号扣一分补助：200元</t>
  </si>
  <si>
    <t>6.5号扣一分补助：200元</t>
  </si>
  <si>
    <t>洗车，加水15+20=35元</t>
  </si>
  <si>
    <t>-油费：300元</t>
  </si>
  <si>
    <t>加水2次10元</t>
  </si>
  <si>
    <t>加水：5元X3=15元</t>
  </si>
  <si>
    <t>洗车1次：15元</t>
  </si>
  <si>
    <t>加水：10元打印单子：2元共12元</t>
  </si>
  <si>
    <t>洗货箱15元，洗货箱洗车头20元共35元</t>
  </si>
  <si>
    <t>加淋水10元</t>
  </si>
  <si>
    <t>冲货厢:15元加水：5元，共20元</t>
  </si>
  <si>
    <t>冲货箱2次15+10=25元</t>
  </si>
  <si>
    <t>冲货箱2次20+15=35元</t>
  </si>
  <si>
    <t>6.19号交警罚款20+20=40元</t>
  </si>
  <si>
    <t>加水4次20元</t>
  </si>
  <si>
    <t>靖西过磅15元，冲货箱15元，共30元</t>
  </si>
  <si>
    <t>加水3次共15元。</t>
  </si>
  <si>
    <t>冲货箱2次35元</t>
  </si>
  <si>
    <t>冲车厢一次15元</t>
  </si>
  <si>
    <t>加水两次10元，打单2元共12元</t>
  </si>
  <si>
    <t>冲货厢：15+30=45元</t>
  </si>
  <si>
    <t>毛巾：5元</t>
  </si>
  <si>
    <t>青龙坪充电时亭车费：7元</t>
  </si>
  <si>
    <t>卸铝粉过磅码：10元</t>
  </si>
  <si>
    <t>加水3次：15元</t>
  </si>
  <si>
    <t>充货箱2次:15+15=30元</t>
  </si>
  <si>
    <t>手套:20元</t>
  </si>
  <si>
    <t>电夹子:10元</t>
  </si>
  <si>
    <t>冲厢三次10+15+15=40元</t>
  </si>
  <si>
    <t>过磅15元</t>
  </si>
  <si>
    <t>买绳子17.5元</t>
  </si>
  <si>
    <t>买磁条10元</t>
  </si>
  <si>
    <t>田东→砚山加水两次共10元</t>
  </si>
  <si>
    <t>砚山冲箱15元</t>
  </si>
  <si>
    <t>田东洗全车60元</t>
  </si>
  <si>
    <t>买结构胶和手套共12元</t>
  </si>
  <si>
    <t>加水3次：15元青龙坪充电停车费3元共18元</t>
  </si>
  <si>
    <t>砚山煤场冲货箱15元</t>
  </si>
  <si>
    <t>云南宏泰铝厂办卡过磅10元</t>
  </si>
  <si>
    <t>加水洗车头  ：11元</t>
  </si>
  <si>
    <t>过磅费：15+15=30元</t>
  </si>
  <si>
    <t>6.18号交警罚款：200元</t>
  </si>
  <si>
    <t>6.18号扣一分公司补助：200元</t>
  </si>
  <si>
    <t>冲货厢4次：4*15=60元</t>
  </si>
  <si>
    <t>加水6次：30元，复印：2元共32元</t>
  </si>
  <si>
    <t>加水：5×4=20元，复印费：2元共22元</t>
  </si>
  <si>
    <t>加水4次*5元=20元</t>
  </si>
  <si>
    <t>冲车厢2次共30元</t>
  </si>
  <si>
    <t>加水5次共25元天桂打单2元，共27元</t>
  </si>
  <si>
    <t>加淋水：20元</t>
  </si>
  <si>
    <t>卸铝粉货箱：15元天桂磅单打印费：2元共17元</t>
  </si>
  <si>
    <t>加水:4次共20元。</t>
  </si>
  <si>
    <t>加水共15元</t>
  </si>
  <si>
    <t>买拖把1把共15元</t>
  </si>
  <si>
    <t>加水：15元</t>
  </si>
  <si>
    <t>加水：5×4=20元，小铁铲：3元共23元</t>
  </si>
  <si>
    <t>砚山冲货箱15元打印费2元共17元</t>
  </si>
  <si>
    <t>冲货厢：15+20=35元</t>
  </si>
  <si>
    <t>加水：2*5=10元手套6元，共16元</t>
  </si>
  <si>
    <t>洗货厢2次：30元</t>
  </si>
  <si>
    <t>加水：10元两次</t>
  </si>
  <si>
    <t>冲货箱两次共30元</t>
  </si>
  <si>
    <t>加水四次20元天桂复印过磅单1元共21元</t>
  </si>
  <si>
    <t>卸煤洗货箱：20元</t>
  </si>
  <si>
    <t>买两瓶泡沫胶：30元</t>
  </si>
  <si>
    <t>报销加水5次：25元</t>
  </si>
  <si>
    <t>过磅卡10元</t>
  </si>
  <si>
    <t>铝厂办理过磅卡10元</t>
  </si>
  <si>
    <t>装煤冲洗货箱15元</t>
  </si>
  <si>
    <t>洗冲货箱15元</t>
  </si>
  <si>
    <t>加水买手套15元</t>
  </si>
  <si>
    <t>冲货箱加水共20元</t>
  </si>
  <si>
    <t>冲货箱两次15+20=35元</t>
  </si>
  <si>
    <t>靖西下煤过磅15元</t>
  </si>
  <si>
    <t>6.21号在那坡路段，高速路入口处交警罚款200元记1分</t>
  </si>
  <si>
    <t>6.21号补分补助200元</t>
  </si>
  <si>
    <t>加水  ：5+5=10元，打印单子：2元，共12元</t>
  </si>
  <si>
    <t>6.21号交警处罚1分200元</t>
  </si>
  <si>
    <t xml:space="preserve">  加水两次共10元，打单2元共12元</t>
  </si>
  <si>
    <t>加水3次共15元，复印单子2元共17元</t>
  </si>
  <si>
    <t>加水10元打榜单2元共12元</t>
  </si>
  <si>
    <t>冲洗车箱15元，加水一次5元，共2O元</t>
  </si>
  <si>
    <t>冲货箱2次：30元</t>
  </si>
  <si>
    <t>靖西过磅15元</t>
  </si>
  <si>
    <t>砚山下货办卡：10元</t>
  </si>
  <si>
    <t>买绳子17.5</t>
  </si>
  <si>
    <t>魏桥办卡10元青龙坪充电桩停车费3元共13元</t>
  </si>
  <si>
    <t>冲货箱3次共45元</t>
  </si>
  <si>
    <t>冲车两次共30元</t>
  </si>
  <si>
    <t>车上用具17元</t>
  </si>
  <si>
    <t>大手套10元，小手套6元，共16元</t>
  </si>
  <si>
    <t>玻璃胶，扳手 共23元</t>
  </si>
  <si>
    <t>洗大箱：3次共45元</t>
  </si>
  <si>
    <t>复印费2元</t>
  </si>
  <si>
    <t>靖西卸煤磅费：15元</t>
  </si>
  <si>
    <t>复印费：2元</t>
  </si>
  <si>
    <t>买防冻液一小桶27.6元</t>
  </si>
  <si>
    <t>过磅费:15+15=30元</t>
  </si>
  <si>
    <t>冲车厢：15元</t>
  </si>
  <si>
    <t>买安全带：30元</t>
  </si>
  <si>
    <t>两次冲货箱：20+15=35元</t>
  </si>
  <si>
    <t>加水：4x5元=20元</t>
  </si>
  <si>
    <t>补轮胎：60元</t>
  </si>
  <si>
    <t>罚款200元</t>
  </si>
  <si>
    <t>补分补助200元</t>
  </si>
  <si>
    <t>交警罚款20元</t>
  </si>
  <si>
    <t>补轮胎80元</t>
  </si>
  <si>
    <t>靖西冲货箱20元</t>
  </si>
  <si>
    <t>过磅费共15元</t>
  </si>
  <si>
    <t>淋水架掉了、电焊了一下、和调刹车：25 元</t>
  </si>
  <si>
    <t>打印单子：2元</t>
  </si>
  <si>
    <t>赣J01379D和赣J03373D两个洗车费共120*2=240元全车洗加冲货箱内部。</t>
  </si>
  <si>
    <t>补轮胎：70元</t>
  </si>
  <si>
    <t>冲货箱共15+15=30元</t>
  </si>
  <si>
    <t>靖西过磅费：15元</t>
  </si>
  <si>
    <t>打印磅单2趟共4元</t>
  </si>
  <si>
    <t>洗车箱：15+15=30元</t>
  </si>
  <si>
    <t>卸煤过磅：15元</t>
  </si>
  <si>
    <t>U型扣2个：10元</t>
  </si>
  <si>
    <t>青龙坪充电时停车费2次：3+5=8元</t>
  </si>
  <si>
    <t>冲货厢10元</t>
  </si>
  <si>
    <t>加水两次共10元，</t>
  </si>
  <si>
    <t>靖西下煤过磅费15元</t>
  </si>
  <si>
    <t>交通罚款 200元</t>
  </si>
  <si>
    <t>冲货厢15元</t>
  </si>
  <si>
    <t>6月4号在瑞亿新能源重卡站（田东锦江工业园站）充电</t>
  </si>
  <si>
    <t>6月23号银盛超充青龙坪超充站充电</t>
  </si>
  <si>
    <t>龙临充电50元</t>
  </si>
  <si>
    <t>砚山煤场出门洗路面费用19元</t>
  </si>
  <si>
    <t>靖西洗车厢15元</t>
  </si>
  <si>
    <t>加水:4次共20元</t>
  </si>
  <si>
    <t>补轮胎50元</t>
  </si>
  <si>
    <t>打榜单2元</t>
  </si>
  <si>
    <t>冲洗货厢2次：20+15=35元</t>
  </si>
  <si>
    <t>打印费2元</t>
  </si>
  <si>
    <t>换钢圈150元</t>
  </si>
  <si>
    <t>买手套5元</t>
  </si>
  <si>
    <t>天桂路口补胎60元</t>
  </si>
  <si>
    <t>高邦交警罚款20元</t>
  </si>
  <si>
    <t xml:space="preserve">八宝自费充电100.26元 </t>
  </si>
  <si>
    <t>南屏自费两个锁扣共10元</t>
  </si>
  <si>
    <t xml:space="preserve">靖西煤场过磅费15元靖西洗车厢15元共30元         </t>
  </si>
  <si>
    <t>天桂大门洗车厢15元</t>
  </si>
  <si>
    <t>紧轮胎螺丝5元</t>
  </si>
  <si>
    <t>换新轮胎950元，换轮胎工时费50元共1000元</t>
  </si>
  <si>
    <t>信发自费充电第一次跳枪金额为156.67元</t>
  </si>
  <si>
    <t>信发第二次跳枪金额为112.42元</t>
  </si>
  <si>
    <t>交警处罚200元</t>
  </si>
  <si>
    <t>救急补胎钱110元</t>
  </si>
  <si>
    <t>交警罚款：200元</t>
  </si>
  <si>
    <t>交警扣1分补助：200元</t>
  </si>
  <si>
    <t>换临水电磁阀接头:80元</t>
  </si>
  <si>
    <t>绳子10米共40元</t>
  </si>
  <si>
    <t>冲车厢：10元</t>
  </si>
  <si>
    <t>买十字螺丝刀：10元</t>
  </si>
  <si>
    <t>洗车3次共45元</t>
  </si>
  <si>
    <t>加水5元煤厂冲货箱15元共20元</t>
  </si>
  <si>
    <t>高帮超限站罚款：20元</t>
  </si>
  <si>
    <t>6月19日：高帮超限站罚款20元</t>
  </si>
  <si>
    <t>青龙坪充电时停车费：3元</t>
  </si>
  <si>
    <t>砚山冲车厢15元田东冲车厢15元共30元</t>
  </si>
  <si>
    <t>加水五次共25元</t>
  </si>
  <si>
    <t>加水费 15元（三次）</t>
  </si>
  <si>
    <t>洗车费 30元（两次）</t>
  </si>
  <si>
    <t>绝缘胶布 15元（三圈）</t>
  </si>
  <si>
    <t>充电费 257.44元（一次）</t>
  </si>
  <si>
    <t>煤场过磅费 15元</t>
  </si>
  <si>
    <t>靖西煤厂过磅费15元</t>
  </si>
  <si>
    <t>卸完煤冲洗货箱15元</t>
  </si>
  <si>
    <t>砚山煤厂冲洗货箱15元</t>
  </si>
  <si>
    <t xml:space="preserve">车辆加油 200元 </t>
  </si>
  <si>
    <t>德保——百色 交接车辆 百色住宿费用：112元</t>
  </si>
  <si>
    <t>交接车辆 百色住宿：90元百色没有宿舍。</t>
  </si>
  <si>
    <t>八宝南网VIN余额不足 自费扫码给粤B96063D充电金额为99.92元</t>
  </si>
  <si>
    <t>八宝南网VIN余额不足 自费扫码给粤B96063D充电金额为99.79元</t>
  </si>
  <si>
    <t>车辆加油：200元</t>
  </si>
  <si>
    <t>德保🔁百色 往返过路费52元</t>
  </si>
  <si>
    <t>德保🔁百色 往返过路费46元</t>
  </si>
  <si>
    <t>车头贷款</t>
  </si>
  <si>
    <t>6月份车头贷款424000元</t>
  </si>
  <si>
    <t>6月份车辆保险157294元</t>
  </si>
  <si>
    <t>冲货箱1次20元</t>
  </si>
  <si>
    <t>打印费：2元</t>
  </si>
  <si>
    <t>买工具：水壶20元，手套4*5元=20元，头灯28元，共68元</t>
  </si>
  <si>
    <t>复印：2元</t>
  </si>
  <si>
    <t>洗车2次：20元</t>
  </si>
  <si>
    <t>打单子：2元</t>
  </si>
  <si>
    <t>罚款20元</t>
  </si>
  <si>
    <t>加水四次：20元</t>
  </si>
  <si>
    <t>打印单子2元</t>
  </si>
  <si>
    <t>打单2元</t>
  </si>
  <si>
    <t>停车费：3元</t>
  </si>
  <si>
    <t>砚山装煤处冲洗地面费19元</t>
  </si>
  <si>
    <t>预支2500元作为生活费</t>
  </si>
  <si>
    <t>预支2000元作为生活费</t>
  </si>
  <si>
    <t>预支3000元作为生活费</t>
  </si>
  <si>
    <t>加水2次10元打单子1元共11元</t>
  </si>
  <si>
    <t>加水2次10元，打榜单2元，共12元</t>
  </si>
  <si>
    <t>天贵路口师傅带旧胎过来换，拉原车胎过来火补200元</t>
  </si>
  <si>
    <t>-油费：320元</t>
  </si>
  <si>
    <t>-路费：336元</t>
  </si>
  <si>
    <t>修车电焊:20元</t>
  </si>
  <si>
    <t>买手套3*3元=9元，撬棍15元，共24元</t>
  </si>
  <si>
    <t>油费：200元</t>
  </si>
  <si>
    <t>洗车箱：15+16=31元</t>
  </si>
  <si>
    <t>华银装铝粉冲洗货箱20元</t>
  </si>
  <si>
    <t>砚山装煤冲洗货箱15元</t>
  </si>
  <si>
    <t>青龙坪充电停车费2*3元=6元</t>
  </si>
  <si>
    <t>靖西卸煤过磅费15元</t>
  </si>
  <si>
    <t>砚山装煤冲货箱15元</t>
  </si>
  <si>
    <t>青龙坪充电停车费2次共6元</t>
  </si>
  <si>
    <t>打磅单2元</t>
  </si>
  <si>
    <t>过磅15元，加水5元共20元</t>
  </si>
  <si>
    <t>冲货箱15元，加水5元共20元</t>
  </si>
  <si>
    <t>田东到砚山冲车两次共30元</t>
  </si>
  <si>
    <t>打黄油70元</t>
  </si>
  <si>
    <t>信发自费充电37.96元</t>
  </si>
  <si>
    <t>27日在南网充电站充电</t>
  </si>
  <si>
    <t>罚款200元扣1分</t>
  </si>
  <si>
    <t>个人已缴罚款</t>
  </si>
  <si>
    <t>补胎50元</t>
  </si>
  <si>
    <t>加水2次共10元，打印费2元，共12元</t>
  </si>
  <si>
    <t>焊扣子：10元</t>
  </si>
  <si>
    <t>接气管：10元</t>
  </si>
  <si>
    <t>买脚垫：30元</t>
  </si>
  <si>
    <t>换轮胎工时50元</t>
  </si>
  <si>
    <t>加水2次共10元打印单子2元共12元</t>
  </si>
  <si>
    <t>换一条新胎950元，急救费100元，共1050元</t>
  </si>
  <si>
    <t>财务已付款</t>
  </si>
  <si>
    <t>加水2次共10元打单子1元共11元</t>
  </si>
  <si>
    <t>换一条新轮胎900元，旧胎编号：2412HEF80422，新胎编号：5K3240546</t>
  </si>
  <si>
    <t>换轮芯：90元</t>
  </si>
  <si>
    <t>补胎：70元</t>
  </si>
  <si>
    <t>冲货箱+车头共25元</t>
  </si>
  <si>
    <t>购买车线路保险5元</t>
  </si>
  <si>
    <t>天桂复印过磅单2元</t>
  </si>
  <si>
    <t>加水3次：共15元</t>
  </si>
  <si>
    <t>加水洗车头一次：10元</t>
  </si>
  <si>
    <t>交警罚款：20元</t>
  </si>
  <si>
    <t>加水5元，打印费：2元共7元</t>
  </si>
  <si>
    <t>维修项目：调刹车20元</t>
  </si>
  <si>
    <t>其他费用：打印2元</t>
  </si>
  <si>
    <t>龙临补胎50元</t>
  </si>
  <si>
    <t>高速费：74+18+91+13+12+15+15=238元</t>
  </si>
  <si>
    <t>住宿费：103+95.05+80+90=368.05元</t>
  </si>
  <si>
    <t>充电费：44.26元</t>
  </si>
  <si>
    <t>配件物流费12元</t>
  </si>
  <si>
    <t>轮胎900元</t>
  </si>
  <si>
    <t>气嘴20元油钱30元，共50元</t>
  </si>
  <si>
    <t>八宝自费充电73.38元</t>
  </si>
  <si>
    <t>充电：154.35元,充电度数：200.45</t>
  </si>
  <si>
    <t>充电：66.93元,充电度数：72.96</t>
  </si>
  <si>
    <t>复印：4元</t>
  </si>
  <si>
    <t>加淋水：15元</t>
  </si>
  <si>
    <t>打印单：2元</t>
  </si>
  <si>
    <t>办卡过磅10元</t>
  </si>
  <si>
    <t>复印榜单：2元</t>
  </si>
  <si>
    <t>轮胎费950元</t>
  </si>
  <si>
    <t>校正后门锁杆90元</t>
  </si>
  <si>
    <t>充电81.97元，充电度数：101.87</t>
  </si>
  <si>
    <t>充电16.79元，充电度数：20.719</t>
  </si>
  <si>
    <t>洗车1次加水两次20+5=25元</t>
  </si>
  <si>
    <t>打黄油和调刹车：70元</t>
  </si>
  <si>
    <t>天桂打磅单2元</t>
  </si>
  <si>
    <t>洗车冲货箱30元</t>
  </si>
  <si>
    <t>补轮胎90元</t>
  </si>
  <si>
    <t>加水5+5+10=20元</t>
  </si>
  <si>
    <t>粤B89145D</t>
  </si>
  <si>
    <t>干河自费充电275.53元</t>
  </si>
  <si>
    <t>干河自费充电5.18元</t>
  </si>
  <si>
    <t>干河自费充电147.01元，充电度数：193.438</t>
  </si>
  <si>
    <t>开始SOC</t>
  </si>
  <si>
    <t>结束后SOC</t>
  </si>
  <si>
    <t>充电度数</t>
  </si>
  <si>
    <t>正常电数</t>
  </si>
  <si>
    <t>电量差异</t>
  </si>
  <si>
    <t>开始时间</t>
  </si>
  <si>
    <t>结束时间</t>
  </si>
  <si>
    <t>单价</t>
  </si>
  <si>
    <t>充电金额</t>
  </si>
  <si>
    <t>加油地址</t>
  </si>
  <si>
    <t>电量差异对比</t>
  </si>
  <si>
    <t>龙临</t>
  </si>
  <si>
    <t>八宝</t>
  </si>
  <si>
    <t>特来电</t>
  </si>
  <si>
    <t>信发</t>
  </si>
  <si>
    <t>老水井</t>
  </si>
  <si>
    <t>百色</t>
  </si>
  <si>
    <t>青龙坪</t>
  </si>
  <si>
    <t>靖西</t>
  </si>
  <si>
    <t>南屏</t>
  </si>
  <si>
    <t>天桂</t>
  </si>
  <si>
    <t>马亍</t>
  </si>
  <si>
    <t>时间段</t>
  </si>
  <si>
    <t>服务费</t>
  </si>
  <si>
    <t>充值</t>
  </si>
  <si>
    <t>余额</t>
  </si>
  <si>
    <t>公里数</t>
  </si>
  <si>
    <t>电量差异占比</t>
  </si>
  <si>
    <t>广南曙光乡大功率重卡充电站</t>
  </si>
  <si>
    <t>充值金额</t>
  </si>
  <si>
    <t>银盛超充青龙坪超充站</t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</si>
  <si>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J02906D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</si>
  <si>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J06519D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</si>
  <si>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J08536D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</si>
  <si>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J01379D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</si>
  <si>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J09113D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</si>
  <si>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J01095D</t>
    </r>
  </si>
  <si>
    <r>
      <rPr>
        <sz val="10"/>
        <rFont val="宋体"/>
        <charset val="134"/>
      </rPr>
      <t>粤</t>
    </r>
    <r>
      <rPr>
        <sz val="10"/>
        <rFont val="Arial"/>
        <charset val="134"/>
      </rPr>
      <t>B41547D</t>
    </r>
  </si>
  <si>
    <r>
      <rPr>
        <sz val="10"/>
        <rFont val="宋体"/>
        <charset val="134"/>
      </rPr>
      <t>粤</t>
    </r>
    <r>
      <rPr>
        <sz val="10"/>
        <rFont val="Arial"/>
        <charset val="134"/>
      </rPr>
      <t>B98485D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</si>
  <si>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J03528D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</si>
  <si>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J05550D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</si>
  <si>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J07957D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</si>
  <si>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J03688D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</si>
  <si>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J03136D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</si>
  <si>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J06039D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</si>
  <si>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J00677D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</si>
  <si>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J05379D</t>
    </r>
  </si>
  <si>
    <r>
      <rPr>
        <sz val="10"/>
        <rFont val="宋体"/>
        <charset val="134"/>
      </rPr>
      <t>粤</t>
    </r>
    <r>
      <rPr>
        <sz val="10"/>
        <rFont val="Arial"/>
        <charset val="134"/>
      </rPr>
      <t>B43551D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</si>
  <si>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J05617D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</si>
  <si>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J00607D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</si>
  <si>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J00236D</t>
    </r>
  </si>
  <si>
    <r>
      <rPr>
        <sz val="10"/>
        <rFont val="宋体"/>
        <charset val="134"/>
      </rPr>
      <t>粤</t>
    </r>
    <r>
      <rPr>
        <sz val="10"/>
        <rFont val="Arial"/>
        <charset val="134"/>
      </rPr>
      <t>B93085D</t>
    </r>
  </si>
  <si>
    <r>
      <rPr>
        <sz val="10"/>
        <rFont val="宋体"/>
        <charset val="134"/>
      </rPr>
      <t>云</t>
    </r>
    <r>
      <rPr>
        <sz val="10"/>
        <rFont val="Arial"/>
        <charset val="134"/>
      </rPr>
      <t>F03990D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</si>
  <si>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J05067D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</si>
  <si>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J07535D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</si>
  <si>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J05805D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</si>
  <si>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J05857D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</si>
  <si>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J08767D</t>
    </r>
  </si>
  <si>
    <r>
      <rPr>
        <sz val="10"/>
        <rFont val="宋体"/>
        <charset val="134"/>
      </rPr>
      <t>粤</t>
    </r>
    <r>
      <rPr>
        <sz val="10"/>
        <rFont val="Arial"/>
        <charset val="134"/>
      </rPr>
      <t>B49365D</t>
    </r>
  </si>
  <si>
    <r>
      <rPr>
        <sz val="10"/>
        <rFont val="宋体"/>
        <charset val="134"/>
      </rPr>
      <t>沪</t>
    </r>
    <r>
      <rPr>
        <sz val="10"/>
        <rFont val="Arial"/>
        <charset val="134"/>
      </rPr>
      <t>A04114D</t>
    </r>
  </si>
  <si>
    <r>
      <rPr>
        <sz val="10"/>
        <rFont val="宋体"/>
        <charset val="134"/>
      </rPr>
      <t>粤</t>
    </r>
    <r>
      <rPr>
        <sz val="10"/>
        <rFont val="Arial"/>
        <charset val="134"/>
      </rPr>
      <t>B95976D</t>
    </r>
  </si>
  <si>
    <r>
      <rPr>
        <sz val="10"/>
        <rFont val="宋体"/>
        <charset val="134"/>
      </rPr>
      <t>粤</t>
    </r>
    <r>
      <rPr>
        <sz val="10"/>
        <rFont val="Arial"/>
        <charset val="134"/>
      </rPr>
      <t>B32450D</t>
    </r>
  </si>
  <si>
    <r>
      <rPr>
        <sz val="10"/>
        <rFont val="宋体"/>
        <charset val="134"/>
      </rPr>
      <t>粤</t>
    </r>
    <r>
      <rPr>
        <sz val="10"/>
        <rFont val="Arial"/>
        <charset val="134"/>
      </rPr>
      <t>B79120D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</si>
  <si>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J09206D</t>
    </r>
  </si>
  <si>
    <r>
      <rPr>
        <sz val="10"/>
        <rFont val="宋体"/>
        <charset val="134"/>
      </rPr>
      <t>粤</t>
    </r>
    <r>
      <rPr>
        <sz val="10"/>
        <rFont val="Arial"/>
        <charset val="134"/>
      </rPr>
      <t>B85970D</t>
    </r>
  </si>
  <si>
    <r>
      <rPr>
        <sz val="10"/>
        <rFont val="宋体"/>
        <charset val="134"/>
      </rPr>
      <t>粤</t>
    </r>
    <r>
      <rPr>
        <sz val="10"/>
        <rFont val="Arial"/>
        <charset val="134"/>
      </rPr>
      <t>B93372D</t>
    </r>
  </si>
  <si>
    <r>
      <rPr>
        <sz val="10"/>
        <rFont val="宋体"/>
        <charset val="134"/>
      </rPr>
      <t>粤</t>
    </r>
    <r>
      <rPr>
        <sz val="10"/>
        <rFont val="Arial"/>
        <charset val="134"/>
      </rPr>
      <t>B87855D</t>
    </r>
  </si>
  <si>
    <r>
      <rPr>
        <sz val="10"/>
        <rFont val="宋体"/>
        <charset val="134"/>
      </rPr>
      <t>赣</t>
    </r>
    <r>
      <rPr>
        <sz val="10"/>
        <rFont val="Arial"/>
        <charset val="134"/>
      </rPr>
      <t>J05389D</t>
    </r>
  </si>
  <si>
    <r>
      <rPr>
        <sz val="10"/>
        <rFont val="宋体"/>
        <charset val="134"/>
      </rPr>
      <t>粤</t>
    </r>
    <r>
      <rPr>
        <sz val="10"/>
        <rFont val="Arial"/>
        <charset val="134"/>
      </rPr>
      <t>B96373D</t>
    </r>
  </si>
  <si>
    <r>
      <rPr>
        <sz val="10"/>
        <rFont val="宋体"/>
        <charset val="134"/>
      </rPr>
      <t>粤</t>
    </r>
    <r>
      <rPr>
        <sz val="10"/>
        <rFont val="Arial"/>
        <charset val="134"/>
      </rPr>
      <t>B98145D</t>
    </r>
  </si>
  <si>
    <r>
      <rPr>
        <sz val="10"/>
        <rFont val="宋体"/>
        <charset val="134"/>
      </rPr>
      <t>粤</t>
    </r>
    <r>
      <rPr>
        <sz val="10"/>
        <rFont val="Arial"/>
        <charset val="134"/>
      </rPr>
      <t>B96406D</t>
    </r>
  </si>
  <si>
    <r>
      <rPr>
        <sz val="10"/>
        <rFont val="宋体"/>
        <charset val="134"/>
      </rPr>
      <t>粤</t>
    </r>
    <r>
      <rPr>
        <sz val="10"/>
        <rFont val="Arial"/>
        <charset val="134"/>
      </rPr>
      <t>B96063D</t>
    </r>
  </si>
  <si>
    <t>砚山县锦佳重卡充电站</t>
  </si>
  <si>
    <t>中石油广西百色靖西市龙临加油充电站</t>
  </si>
  <si>
    <t>期初</t>
  </si>
  <si>
    <t>众擎马隘充电站</t>
  </si>
  <si>
    <t>优惠金额</t>
  </si>
  <si>
    <t>南网电动砚山阿猛迷法村重卡充电站</t>
  </si>
  <si>
    <t>赫荣超充南屏重卡站</t>
  </si>
  <si>
    <t>鑫鸿新能源重卡充电站</t>
  </si>
  <si>
    <t>13.56</t>
  </si>
  <si>
    <t>109.26</t>
  </si>
  <si>
    <t>106.47</t>
  </si>
  <si>
    <t>316.664</t>
  </si>
  <si>
    <t>360.680</t>
  </si>
  <si>
    <t>367.516</t>
  </si>
  <si>
    <t>159.068</t>
  </si>
  <si>
    <t>327.500</t>
  </si>
  <si>
    <t>155.332</t>
  </si>
  <si>
    <t>瑞亿新能源重卡站（田东锦江工业园站）</t>
  </si>
  <si>
    <t>维修厂家</t>
  </si>
  <si>
    <t>车头牌照</t>
  </si>
  <si>
    <t>车牌号</t>
  </si>
  <si>
    <t>轮胎位置</t>
  </si>
  <si>
    <t>数量</t>
  </si>
  <si>
    <t>费用</t>
  </si>
  <si>
    <t>轮胎号</t>
  </si>
  <si>
    <t>收据编号</t>
  </si>
  <si>
    <t>凭证</t>
  </si>
  <si>
    <t>换左一桥外胎，1条新胎900元，新轮胎编号：E309056535,旧胎编号：J321525259</t>
  </si>
  <si>
    <t>E309056535</t>
  </si>
  <si>
    <t>换右中桥外胎1条，新轮胎1条1100元（旧轮胎抵100元），共1000元，旧轮胎编号：118333084，新轮胎编号：5G1211180</t>
  </si>
  <si>
    <t>5G1211180</t>
  </si>
  <si>
    <t>轮胎和钢圈都是换的右三桥外胎，轮胎850元。急救费100元，钢圈16的350元，新轮胎编号：旧轮胎编号：GJ2041174</t>
  </si>
  <si>
    <t>GJ2041174</t>
  </si>
  <si>
    <t>方向轮，兴源08，轮胎编码：2603G290343,2603F040294</t>
  </si>
  <si>
    <t>2603G290343,2603F040294</t>
  </si>
  <si>
    <t>挂账</t>
  </si>
  <si>
    <t>江西赣晨供应链有限公司</t>
  </si>
  <si>
    <t>右驱2内，兴源05，轮胎编码：2604G250956</t>
  </si>
  <si>
    <t>2604G250956</t>
  </si>
  <si>
    <t>右驱2外，兴源05，轮胎编码：2604F150545</t>
  </si>
  <si>
    <t>2604F150545</t>
  </si>
  <si>
    <t>左驱2内，兴源05，轮胎编码：2604F150562</t>
  </si>
  <si>
    <t>2604F150562</t>
  </si>
  <si>
    <t>左驱2外，兴源05，轮胎编码：2604F071233</t>
  </si>
  <si>
    <t>2604F071233</t>
  </si>
  <si>
    <t>右驱2内，兴源05，轮胎编码：2604F071160</t>
  </si>
  <si>
    <t>2604F071160</t>
  </si>
  <si>
    <t>右驱2外，兴源05，轮胎编码：2604F150796</t>
  </si>
  <si>
    <t>2604F150796</t>
  </si>
  <si>
    <t>左驱2内，兴源05，轮胎编码：2604F150905</t>
  </si>
  <si>
    <t>2604F150905</t>
  </si>
  <si>
    <t>左驱2外，兴源05，轮胎编码：2604F150470</t>
  </si>
  <si>
    <t>2604F150470</t>
  </si>
  <si>
    <t>左二桥，左挂2换赣J03535D备胎，轮胎编号：01901414890，2413011044806需火补</t>
  </si>
  <si>
    <t>01901414890</t>
  </si>
  <si>
    <t>右驱2内，兴源05，轮胎编码：2604F150812</t>
  </si>
  <si>
    <t>2604F150812</t>
  </si>
  <si>
    <t>右驱2外，兴源05，轮胎编码：2604F150508</t>
  </si>
  <si>
    <t>2604F150508</t>
  </si>
  <si>
    <t>左驱2内，兴源05，轮胎编码：2604F070841</t>
  </si>
  <si>
    <t>2604F070841</t>
  </si>
  <si>
    <t>左驱2外，兴源05，轮胎编码：2604F150537</t>
  </si>
  <si>
    <t>2604F150537</t>
  </si>
  <si>
    <t>左一桥，左挂1装赣J05805D备胎，轮胎编号：C021916833</t>
  </si>
  <si>
    <t>C021916833</t>
  </si>
  <si>
    <t>左驱2内，兴源05，轮胎编码：2604F150427</t>
  </si>
  <si>
    <t>2604F150427</t>
  </si>
  <si>
    <t>左驱2外，兴源05，轮胎编码：2604G250266</t>
  </si>
  <si>
    <t>2604G250266</t>
  </si>
  <si>
    <t>右驱2内，兴源05，轮胎编码：2604F071136</t>
  </si>
  <si>
    <t>2604F071136</t>
  </si>
  <si>
    <t>右驱2外，兴源05，轮胎编码：2604F070252</t>
  </si>
  <si>
    <t>2604F070252</t>
  </si>
  <si>
    <t>换左三桥内胎，左一条轮胎1050元，新轮胎编号：25093018420，新胎调到右二桥内胎，右二桥内胎和左三桥内胎调换</t>
  </si>
  <si>
    <t>换左三桥外胎新轮胎一条900元，新轮胎编号：61BCB18180，旧轮胎编号：2412NF150133</t>
  </si>
  <si>
    <t>61BCB18180</t>
  </si>
  <si>
    <t>换右后桥外胎，一条轮胎950元，新轮胎编号：C03260304072A</t>
  </si>
  <si>
    <t>C03260304072A</t>
  </si>
  <si>
    <t>驾驶员付款报销</t>
  </si>
  <si>
    <t>兴源05，左驱2内2604F070792，左驱2外2604F150528，右驱2内2604F150573，右驱2外2604F070612，共4条*1520元=6080元，左挂二桥外胎装赣J03535D备胎一条，01901417313（2条备胎F551118296,F551127550,3条废胎)</t>
  </si>
  <si>
    <t>2604F070792，2604F150528，2604F150573，2604F070612</t>
  </si>
  <si>
    <t>挂账，未付款</t>
  </si>
  <si>
    <t>左中轮外胎换一条轮胎950元，新轮胎编号：C03260612153B</t>
  </si>
  <si>
    <t>C03260612153B</t>
  </si>
  <si>
    <t>驾驶员已付款</t>
  </si>
  <si>
    <t>轮胎一条 950元急救费用：100元共1050元</t>
  </si>
  <si>
    <t>5K3240546</t>
  </si>
  <si>
    <t>支出金额</t>
  </si>
  <si>
    <t>打黄油60元</t>
  </si>
  <si>
    <t>补轮胎60元</t>
  </si>
  <si>
    <t>牌照螺丝2元</t>
  </si>
  <si>
    <t>打黄油：70元</t>
  </si>
  <si>
    <t>打黄油调刹车共80元</t>
  </si>
  <si>
    <t>电厂付挖机卸煤费用：300元</t>
  </si>
  <si>
    <t>补胎80元</t>
  </si>
  <si>
    <t>打黄油：60元</t>
  </si>
  <si>
    <t>德保检查空调工时费：60元</t>
  </si>
  <si>
    <t>发生交通事故，垫付施救费:800+100=900元</t>
  </si>
  <si>
    <t>更换前挡风玻璃760</t>
  </si>
  <si>
    <t>左三桥内胎换新钢圈一个共350元</t>
  </si>
  <si>
    <t>雨刮器总成1个150元，工费80</t>
  </si>
  <si>
    <t>文胜汽修汽配</t>
  </si>
  <si>
    <t>安全帽12元，反光衣15元，扣子4*3元=12元，液压油1桶150元，泡沫胶2*15=30元，水箱绑带25元，工钱50元，共294元</t>
  </si>
  <si>
    <t>小朱电瓶电器空调销售部</t>
  </si>
  <si>
    <t>边灯10*20元=200元，夹子10元，篷布线3米*30元=90元，共300元</t>
  </si>
  <si>
    <t>调刹车20元</t>
  </si>
  <si>
    <t>左三桥外胎，副厂轮心380元，轴承2*120=240元，弹子油30元，油封20元，外盖30元，外出工时费300元，共1000元</t>
  </si>
  <si>
    <t>封尾门300元，地胶2*30元=60元</t>
  </si>
  <si>
    <t>换单向阀40元</t>
  </si>
  <si>
    <t>车棚补缝电焊160元</t>
  </si>
  <si>
    <t>包后尾门300元</t>
  </si>
  <si>
    <t>检查刹车淋水线路：50元</t>
  </si>
  <si>
    <t>拔六个挂车轮子480元，更换前钢板销两边300元，空压机滤芯（357020000031）220元，钢板衬套30*87 5*15元=75元，前钢板销153 30*14.8 3*30元=90元，调整臂富华挂车6*80元=480元，徐锈剂20元，前钢板衬套15元，前钢板销30*163 3*30元=90元，打黄油70元，黄油4桶*55元=220元，总共2060元</t>
  </si>
  <si>
    <t>防尘罩：40元</t>
  </si>
  <si>
    <t>弹子油30副厂轮心380元，轴承2*120元=240元，弹子油30元，工时费80元，共730元</t>
  </si>
  <si>
    <t>补胎200元</t>
  </si>
  <si>
    <t>百大补胎50元</t>
  </si>
  <si>
    <t>换整挂轮胎，整挂调换360元，桂L2649挂换桂L5759挂</t>
  </si>
  <si>
    <t>黄油2*80元=160元，手工5*50=250元，柴油60元，共470元</t>
  </si>
  <si>
    <t>黄油2*80元=160元，手工6*50=300元，柴油60元，防尘盖30元，共550元</t>
  </si>
  <si>
    <t>封尾门300元</t>
  </si>
  <si>
    <t>电磁阀2个共140元，电工胶布3元，扣子7*3元=21元，生料带3元，紧水箱，校正，挡泥板工钱共120元，总共287元</t>
  </si>
  <si>
    <t>打尾布300元</t>
  </si>
  <si>
    <t>接气管，倒胎3条*50=150元，挂板左二桥的内外胎和车头两个方向轮更换了位置</t>
  </si>
  <si>
    <t>靖西市立隆汽车销售服务有限公司</t>
  </si>
  <si>
    <t>换挂车法兰头及保养工费100，保养挂车一个轮工费50</t>
  </si>
  <si>
    <t>刹车掌总成2块*170=340元，法兰头1个300元，轴承3个*120=360，油封1个40，大弹簧1条15，小弹簧2条*10=20，大瓶黄油80，小瓶黄油40，防尘盖带胶圈1套35，滚轮2个*10=20</t>
  </si>
  <si>
    <t>换淋水开关30元</t>
  </si>
  <si>
    <t>挂车后门严重漏粉封尾门300，粘贴防护措施和驾驶室脚垫一个30，共330元</t>
  </si>
  <si>
    <t>换刹车防水罩，加固100元</t>
  </si>
  <si>
    <t>补胎60元</t>
  </si>
  <si>
    <t>补胎：60元</t>
  </si>
  <si>
    <t>修车：防尘罩一个：35元</t>
  </si>
  <si>
    <t>补胎：80元</t>
  </si>
  <si>
    <t>电焊30元，紧货箱升斗大座上下的螺丝50元，紧传动轴螺丝60元，共140元</t>
  </si>
  <si>
    <t>拆胎30元</t>
  </si>
  <si>
    <t>大灯灯泡2个*150=300元，，工时费30</t>
  </si>
  <si>
    <t>程大昌，挂账</t>
  </si>
  <si>
    <t>补胎一条50</t>
  </si>
  <si>
    <t>挂账轮胎店的</t>
  </si>
  <si>
    <t>打黄油1次60</t>
  </si>
  <si>
    <t>封尾门，打尾布，打胶共300元</t>
  </si>
  <si>
    <t>液压油60元</t>
  </si>
  <si>
    <t>信广汽修厂</t>
  </si>
  <si>
    <t>黄油60元*2=120元，柴油60元，手工费150元+300元=450元，共630元</t>
  </si>
  <si>
    <t>胡俊（挂账）</t>
  </si>
  <si>
    <t>黄油60元*2=120元，轴承110元，柴油60元，手工费300元共590元</t>
  </si>
  <si>
    <t>赵云江（挂账）</t>
  </si>
  <si>
    <t>黄油60元*2=120元，柴油60元，手工费300元共480元</t>
  </si>
  <si>
    <t>徐天鹏（挂账）</t>
  </si>
  <si>
    <t>文山市众赢汽车修理厂</t>
  </si>
  <si>
    <t>7000工时+195+30运费+674+40运费+855+150运费（挂板修复加车头不计免赔1000元，总计付款7000元）</t>
  </si>
  <si>
    <t>补胎：50元</t>
  </si>
  <si>
    <t>黄油40元，工费60元，共100元</t>
  </si>
  <si>
    <t>换1条油管80元，液压油3桶*50元=150元，工时费100元，共330元</t>
  </si>
  <si>
    <t>施救费：150元换装轮胎：50元共200元</t>
  </si>
  <si>
    <t>撤轮胎手工费：30元</t>
  </si>
  <si>
    <t>挂往前移动一点：工时费150元</t>
  </si>
  <si>
    <t>换钢圈350元</t>
  </si>
  <si>
    <t>6.14出保险不计免赔2000元，另外支付1089维修费</t>
  </si>
  <si>
    <t>换后门锁扣+焊后保险杠：180元</t>
  </si>
  <si>
    <t>轮胎加气，调刹车共60元</t>
  </si>
  <si>
    <t>广西富盛达汽配销售有限公司</t>
  </si>
  <si>
    <t>磨盘一个。10mm*185高*90销*70轴加重270斤/</t>
  </si>
  <si>
    <t>付公账，后续会开票</t>
  </si>
  <si>
    <t>隆桑补胎60元</t>
  </si>
  <si>
    <t>割车厢盖60元</t>
  </si>
  <si>
    <t>德保修液压顶杆和装料4个口 240元</t>
  </si>
  <si>
    <t>改装挂车阀及加固滴水头</t>
  </si>
  <si>
    <t>罗吴华，挂账</t>
  </si>
  <si>
    <t>黄油2*60=120，柴油60，手工费300，防尘盖1个30元</t>
  </si>
  <si>
    <t>南宁市淦丰汽配件经营部</t>
  </si>
  <si>
    <t>前置顶油缸1支6000，油缸上支架左右各1支160*2=320，油缸下支架2支160*2=320，油缸下支架1支400</t>
  </si>
  <si>
    <t>开发票，对公付款</t>
  </si>
  <si>
    <t>液压油1桶150元，拆装挂车工钱150元，共300元</t>
  </si>
  <si>
    <t>换轮胎螺丝及工时费共270元</t>
  </si>
  <si>
    <t>换淋水阀：80元</t>
  </si>
  <si>
    <t>接电线一根，升盖板共63元</t>
  </si>
  <si>
    <t>砚山半夜补胎80元</t>
  </si>
  <si>
    <t>德保打黄油70元</t>
  </si>
  <si>
    <t>校正大梁车箱</t>
  </si>
  <si>
    <t>开票，对公付款</t>
  </si>
  <si>
    <t>桂L5197挂矫正大梁车厢，卸货时翻挂了，换成了629挂</t>
  </si>
  <si>
    <t>后尾门漏粉封堵300元</t>
  </si>
  <si>
    <t>电磁阀一个60元</t>
  </si>
  <si>
    <t>伟豪汽修汽配</t>
  </si>
  <si>
    <t>粤B99322D换继动阀调刹车70元</t>
  </si>
  <si>
    <t>粤B78432D换继动阀调刹车打黄油共130元</t>
  </si>
  <si>
    <t>粤B47340D换继动阀调刹车打黄油共130元</t>
  </si>
  <si>
    <t>粤B94650D换继动阀调刹车打黄油共130元</t>
  </si>
  <si>
    <t>粤B94650D拆装挂换牵引销手工费100元，牵引销120元</t>
  </si>
  <si>
    <t>挡泥板1付50元，滴水1套5元，滴水管2米10元，工费80</t>
  </si>
  <si>
    <t>刘小福挂账</t>
  </si>
  <si>
    <t>钢板钳6*20=120，灯套5*15=75，螺丝胶一支10，移磨盘手工费150，换钢板手工费300</t>
  </si>
  <si>
    <t>刘炳宏挂账</t>
  </si>
  <si>
    <t>打黄油2次*60=120，柴油60，手工费（保轮芯）300，换挡泥板手工费30</t>
  </si>
  <si>
    <t>邱红志挂账</t>
  </si>
  <si>
    <t>挡泥板1付50，滴水头喷头及螺丝10，更换继动阀及更换挡泥板工费80</t>
  </si>
  <si>
    <t>付建东挂账</t>
  </si>
  <si>
    <t>焊楼梯：80元</t>
  </si>
  <si>
    <t>青龙平补胎80元</t>
  </si>
  <si>
    <t>紧轮胎螺丝10元</t>
  </si>
  <si>
    <t>封尾门，打胶，尾布共300元</t>
  </si>
  <si>
    <t>阿猛补轮胎60元</t>
  </si>
  <si>
    <t>旧胎一条，新钢圈一个加上材料是公司的救急费和工时费，共290元</t>
  </si>
  <si>
    <t>广西赫荣物流修理厂</t>
  </si>
  <si>
    <t>赫荣-液压油7桶*125元=875元</t>
  </si>
  <si>
    <t>调刹车10元</t>
  </si>
  <si>
    <t>调刹车10元，加轮胎气5元共15元</t>
  </si>
  <si>
    <t>装喷水电磁阀150元</t>
  </si>
  <si>
    <t>换电磁阀：120元</t>
  </si>
  <si>
    <t>靖西福晟维修店</t>
  </si>
  <si>
    <t>校正大梁车箱，桂LD735挂</t>
  </si>
  <si>
    <t>砚山装倒车灯两颗，电瓶夹一个110元</t>
  </si>
  <si>
    <t>接搭铁线：120元</t>
  </si>
  <si>
    <t>换钢喷380元，电焊20元共400元</t>
  </si>
  <si>
    <t>刹车水开关坏了换电磁阀50元</t>
  </si>
  <si>
    <t>轮胎检查＋加胎气费用共50元</t>
  </si>
  <si>
    <t>驾驶员</t>
  </si>
  <si>
    <t>配件名称</t>
  </si>
  <si>
    <t>费用合计</t>
  </si>
  <si>
    <t>德保仓库库存配件，目前30个车需要保养，放点常用件那里，配件：黄油2件、FW16T刹车片一件、518445轴承一件、FW13T轮心2个、灰盖10个配皮圈、挡灰板2块、FW调整臂一件等</t>
  </si>
  <si>
    <t>南宁市国微五金</t>
  </si>
  <si>
    <t>发泡胶150*7.8元=1170元</t>
  </si>
  <si>
    <t>波来特头灯（8830安全帽专用）20个*17元=340元，安全扣带螺母(8*80)200个*0.78元=156元，共496元</t>
  </si>
  <si>
    <t>南宁市国威五金</t>
  </si>
  <si>
    <t>海绵块90个*2.1元=189元，结构胶99520支*7.5元=150元，金舰结构胶枪2*13元=26元，共365元</t>
  </si>
  <si>
    <t>海绵块360个，5CM厚5CM宽2米长，360*3.1=1116</t>
  </si>
  <si>
    <t>铁柄黄色八角锤10把*9=90，塑料喷壶10个*6.2=62，塑料扫把10个*3.68=36.8，精品尖剪刀10把*6=60，铁柄焊接灰锄1.2米10把*15=150，国标V型安全帽10顶*6.5=65</t>
  </si>
  <si>
    <t>安全扣，带螺母6*60，300个*0.65=195，波来特头灯，8830(安全帽专用20个*17=340</t>
  </si>
  <si>
    <t>天数</t>
  </si>
  <si>
    <r>
      <rPr>
        <b/>
        <sz val="11"/>
        <rFont val="宋体"/>
        <charset val="134"/>
      </rPr>
      <t>提成</t>
    </r>
    <r>
      <rPr>
        <b/>
        <sz val="11"/>
        <rFont val="Microsoft YaHei UI"/>
        <charset val="134"/>
      </rPr>
      <t>+</t>
    </r>
    <r>
      <rPr>
        <b/>
        <sz val="11"/>
        <rFont val="宋体"/>
        <charset val="134"/>
      </rPr>
      <t>补助</t>
    </r>
  </si>
  <si>
    <t>提成</t>
  </si>
  <si>
    <t>秦坤华</t>
  </si>
  <si>
    <t>龚华明</t>
  </si>
  <si>
    <t>恭元伟</t>
  </si>
  <si>
    <t>郭艾迪</t>
  </si>
  <si>
    <t>缪庆乐</t>
  </si>
  <si>
    <t>吴永红</t>
  </si>
  <si>
    <t>管理人员工资表</t>
  </si>
  <si>
    <t>姓名</t>
  </si>
  <si>
    <t>出勤天数</t>
  </si>
  <si>
    <t>底薪</t>
  </si>
  <si>
    <t>扣款</t>
  </si>
  <si>
    <t>安全奖</t>
  </si>
  <si>
    <t>预支</t>
  </si>
  <si>
    <t>个税</t>
  </si>
  <si>
    <t>个人缴纳社保</t>
  </si>
  <si>
    <t>公司缴纳社保</t>
  </si>
  <si>
    <t>奖金</t>
  </si>
  <si>
    <t>合计金额</t>
  </si>
  <si>
    <t>财务人员</t>
  </si>
  <si>
    <t>张素英</t>
  </si>
  <si>
    <t>司机工资表</t>
  </si>
  <si>
    <t>单边数</t>
  </si>
  <si>
    <t>起始日期</t>
  </si>
  <si>
    <t>截至日期</t>
  </si>
  <si>
    <t>月租费用(30天）</t>
  </si>
  <si>
    <t>沪A15201A/赣J00677D</t>
  </si>
  <si>
    <t>桂LA517挂</t>
  </si>
  <si>
    <t>（一组组长李建祥）</t>
  </si>
  <si>
    <t>（二组组长朱勋玉）</t>
  </si>
  <si>
    <t>（三组组长刘小福）</t>
  </si>
  <si>
    <t>车牌：沪A04114D</t>
  </si>
  <si>
    <t>车牌：云F03990D</t>
  </si>
  <si>
    <t>车牌—赣J01095D</t>
  </si>
  <si>
    <t>挂号：桂LB957挂</t>
  </si>
  <si>
    <t>挂牌：桂L5197挂</t>
  </si>
  <si>
    <t>挂牌—桂LC705挂</t>
  </si>
  <si>
    <t>姓名：李玉红</t>
  </si>
  <si>
    <t>姓名：赵大云</t>
  </si>
  <si>
    <t>姓名—张和平</t>
  </si>
  <si>
    <t>车号：赣J08536D</t>
  </si>
  <si>
    <t>车牌 ： 赣J05550D</t>
  </si>
  <si>
    <t>车牌一赣J0735D</t>
  </si>
  <si>
    <t>挂号：桂LD179挂</t>
  </si>
  <si>
    <t>挂牌  ：桂  LD517桂</t>
  </si>
  <si>
    <t>挂牌一桂LB307挂</t>
  </si>
  <si>
    <t>姓名：李建祥</t>
  </si>
  <si>
    <t>姓名  ：任正勇</t>
  </si>
  <si>
    <t>姓名一李家宝</t>
  </si>
  <si>
    <t>车牌：赣J05805D</t>
  </si>
  <si>
    <t>车牌：赣J06519D</t>
  </si>
  <si>
    <t>车牌一赣J05389D</t>
  </si>
  <si>
    <t>挂号：桂L5676挂</t>
  </si>
  <si>
    <t>挂号：桂L2649挂</t>
  </si>
  <si>
    <t>挂牌—桂LA778挂</t>
  </si>
  <si>
    <t>姓名：邱红志</t>
  </si>
  <si>
    <t>姓名：冯育柱</t>
  </si>
  <si>
    <t>姓名—蒋永平</t>
  </si>
  <si>
    <t>车牌：赣J00236D</t>
  </si>
  <si>
    <t xml:space="preserve">车牌：赣J09113D </t>
  </si>
  <si>
    <t>车牌—赣J02525D</t>
  </si>
  <si>
    <t>挂号：挂LA725挂</t>
  </si>
  <si>
    <t>挂牌：桂LE938挂</t>
  </si>
  <si>
    <t>挂牌一桂LB297挂</t>
  </si>
  <si>
    <t>姓名：熊廷春</t>
  </si>
  <si>
    <t>姓名：赵云江</t>
  </si>
  <si>
    <t>姓名—魏正陆</t>
  </si>
  <si>
    <t>车牌：沪A70503D</t>
  </si>
  <si>
    <t>车牌：赣J03136D</t>
  </si>
  <si>
    <t>车牌一赣J07957D</t>
  </si>
  <si>
    <t>挂号：桂LB629挂</t>
  </si>
  <si>
    <t>挂号：挂L9856挂</t>
  </si>
  <si>
    <t>挂牌一桂LB367挂</t>
  </si>
  <si>
    <t>姓名：侯开雄</t>
  </si>
  <si>
    <t>姓名：朱家访</t>
  </si>
  <si>
    <t>姓名—徐天鹏</t>
  </si>
  <si>
    <t>车牌 ： 赣J05617D</t>
  </si>
  <si>
    <t>车牌  赣J03688D</t>
  </si>
  <si>
    <t>车牌一赣J03528D</t>
  </si>
  <si>
    <t>挂牌 ： 桂LE999挂</t>
  </si>
  <si>
    <t>挂牌  桂  LA935挂</t>
  </si>
  <si>
    <t>挂牌一桂LE308挂</t>
  </si>
  <si>
    <t>姓名  ：张波</t>
  </si>
  <si>
    <t>姓名  刘小福</t>
  </si>
  <si>
    <t>姓名一马过龙</t>
  </si>
  <si>
    <t>车牌：赣J00607D</t>
  </si>
  <si>
    <t>车牌 ： 赣J06039D</t>
  </si>
  <si>
    <t>车牌一赣J02906D</t>
  </si>
  <si>
    <t>挂牌：桂LD396挂</t>
  </si>
  <si>
    <t>挂牌  ：桂  LE795桂</t>
  </si>
  <si>
    <t>挂牌—LD096D</t>
  </si>
  <si>
    <t>姓名：程大昌</t>
  </si>
  <si>
    <t>姓名  ：朱勋玉</t>
  </si>
  <si>
    <t>姓名—胡俊</t>
  </si>
  <si>
    <t>车牌：赣J01379D</t>
  </si>
  <si>
    <t>车牌：赣J00677D</t>
  </si>
  <si>
    <t>车牌一赣J05857D</t>
  </si>
  <si>
    <t>挂牌：桂LD735挂</t>
  </si>
  <si>
    <t>挂号：桂LB829D挂</t>
  </si>
  <si>
    <t>挂牌—桂LB659挂</t>
  </si>
  <si>
    <t>姓名：沈正元</t>
  </si>
  <si>
    <t>姓名：付建东</t>
  </si>
  <si>
    <t>姓名—高洪伟</t>
  </si>
  <si>
    <t>车牌：赣J05379D</t>
  </si>
  <si>
    <t>车牌一赣J05067D</t>
  </si>
  <si>
    <t xml:space="preserve">挂牌：桂LC316挂 </t>
  </si>
  <si>
    <t>挂牌—桂L0439挂</t>
  </si>
  <si>
    <t>姓名：吴荣均</t>
  </si>
  <si>
    <t>姓名—张朴全</t>
  </si>
  <si>
    <t>车牌一沪A79937D</t>
  </si>
  <si>
    <t>挂牌一桂LB675挂</t>
  </si>
  <si>
    <t>姓名一潘加松</t>
  </si>
  <si>
    <t>注册日期</t>
  </si>
  <si>
    <t>粤B92903D</t>
  </si>
  <si>
    <t>L584C4VC3TD002821</t>
  </si>
  <si>
    <t>粤B89339D</t>
  </si>
  <si>
    <t>L584C4VC5TD002822</t>
  </si>
  <si>
    <t>粤B91077D</t>
  </si>
  <si>
    <t>L584C4VC7TD002823</t>
  </si>
  <si>
    <t>粤B81938D</t>
  </si>
  <si>
    <t>L584C4VC9TD002824</t>
  </si>
  <si>
    <t>粤B98633D</t>
  </si>
  <si>
    <t>L584C4VC0TD002825</t>
  </si>
  <si>
    <t>粤B81560D</t>
  </si>
  <si>
    <t>L584C4VC2TD002826</t>
  </si>
  <si>
    <t>粤B85065D</t>
  </si>
  <si>
    <t>L584C4VC4TD002827</t>
  </si>
  <si>
    <t>粤B83843D</t>
  </si>
  <si>
    <t>L584C4VC6TD002828</t>
  </si>
  <si>
    <t>粤B98746D</t>
  </si>
  <si>
    <t>L584C4VC8TD002829</t>
  </si>
  <si>
    <t>粤B70783D</t>
  </si>
  <si>
    <t>L584C4VC6TD002831</t>
  </si>
  <si>
    <t>粤B94388D</t>
  </si>
  <si>
    <t>L584C4VC8TD002832</t>
  </si>
  <si>
    <t>粤B37383D</t>
  </si>
  <si>
    <t>L584C4VCXTD002833</t>
  </si>
  <si>
    <t>粤B86097D</t>
  </si>
  <si>
    <t>L584C4VC1TD002834</t>
  </si>
  <si>
    <t>粤B79075D</t>
  </si>
  <si>
    <t>L584C4VC3TD002835</t>
  </si>
  <si>
    <t>粤B77602D</t>
  </si>
  <si>
    <t>L584C4VC5TD002836</t>
  </si>
  <si>
    <t>粤B83107D</t>
  </si>
  <si>
    <t>L584C4VC7TD002837</t>
  </si>
  <si>
    <t>粤B42897D</t>
  </si>
  <si>
    <t>L584C4VC8TD003513</t>
  </si>
  <si>
    <t>粤B71015D</t>
  </si>
  <si>
    <t>L584C4VCXTD003514</t>
  </si>
  <si>
    <t>粤B87113D</t>
  </si>
  <si>
    <t>L584C4VC1TD003515</t>
  </si>
  <si>
    <t>L584C4VCXTD002802</t>
  </si>
  <si>
    <t>L584C4VC1TD002803</t>
  </si>
  <si>
    <t>L584C4VC3TD002804</t>
  </si>
  <si>
    <t>L584C4VC5TD002805</t>
  </si>
  <si>
    <t>L584C4VC7TD002806</t>
  </si>
  <si>
    <t>L584C4VC9TD002807</t>
  </si>
  <si>
    <t>L584C4VC0TD002808</t>
  </si>
  <si>
    <t>L584C4VC2TD002809</t>
  </si>
  <si>
    <t>L584C4VC2TD002812</t>
  </si>
  <si>
    <t>L584C4VC4TD002813</t>
  </si>
  <si>
    <t>L584C4VC6TD002814</t>
  </si>
  <si>
    <t>L584C4VC8TD002815</t>
  </si>
  <si>
    <t>L584C4VCXTD002816</t>
  </si>
  <si>
    <t>L584C4VC1TD002817</t>
  </si>
  <si>
    <t>L584C4VC3TD002818</t>
  </si>
  <si>
    <t>L584C4VC5TD002819</t>
  </si>
  <si>
    <t>L584C4VC1TD002820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</si>
</sst>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  <numFmt numFmtId="178" formatCode="m&quot;月&quot;d&quot;日&quot;;@"/>
    <numFmt numFmtId="179" formatCode="yyyy&quot;年&quot;m&quot;月&quot;d&quot;日&quot;;@"/>
    <numFmt numFmtId="180" formatCode="0.0000"/>
    <numFmt numFmtId="181" formatCode="h:mm:ss;@"/>
    <numFmt numFmtId="182" formatCode="0_ "/>
    <numFmt numFmtId="183" formatCode="0.00_);[Red]\(0.00\)"/>
    <numFmt numFmtId="184" formatCode="0.0_ "/>
    <numFmt numFmtId="185" formatCode="0.000_ "/>
  </numFmts>
  <fonts count="8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</font>
    <font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9"/>
      <color theme="1"/>
      <name val="微软雅黑"/>
      <charset val="134"/>
    </font>
    <font>
      <sz val="11"/>
      <color rgb="FF000000"/>
      <name val="宋体"/>
      <charset val="204"/>
      <scheme val="maj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Microsoft YaHei UI"/>
      <charset val="134"/>
    </font>
    <font>
      <sz val="10"/>
      <color theme="1"/>
      <name val="Microsoft YaHei UI"/>
      <charset val="134"/>
    </font>
    <font>
      <b/>
      <sz val="11"/>
      <color theme="1"/>
      <name val="Microsoft YaHei UI"/>
      <charset val="134"/>
    </font>
    <font>
      <b/>
      <sz val="11"/>
      <name val="Microsoft YaHei UI"/>
      <charset val="134"/>
    </font>
    <font>
      <b/>
      <sz val="11"/>
      <name val="宋体"/>
      <charset val="134"/>
    </font>
    <font>
      <sz val="8"/>
      <color theme="1"/>
      <name val="宋体"/>
      <charset val="134"/>
    </font>
    <font>
      <sz val="8"/>
      <color theme="1"/>
      <name val="Microsoft YaHei UI"/>
      <charset val="134"/>
    </font>
    <font>
      <sz val="10"/>
      <name val="Microsoft YaHei UI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.5"/>
      <color rgb="FF333333"/>
      <name val="微软雅黑"/>
      <charset val="134"/>
    </font>
    <font>
      <sz val="10"/>
      <color theme="1"/>
      <name val="宋体"/>
      <charset val="134"/>
      <scheme val="major"/>
    </font>
    <font>
      <sz val="12"/>
      <color theme="1"/>
      <name val="微软雅黑"/>
      <charset val="134"/>
    </font>
    <font>
      <sz val="11"/>
      <color indexed="8"/>
      <name val="宋体"/>
      <charset val="0"/>
    </font>
    <font>
      <sz val="11"/>
      <name val="宋体"/>
      <charset val="134"/>
    </font>
    <font>
      <sz val="11"/>
      <color indexed="8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indexed="8"/>
      <name val="宋体"/>
      <charset val="134"/>
      <scheme val="minor"/>
    </font>
    <font>
      <sz val="12"/>
      <color indexed="8"/>
      <name val="宋体"/>
      <charset val="134"/>
    </font>
    <font>
      <sz val="12"/>
      <color indexed="8"/>
      <name val="宋体"/>
      <charset val="0"/>
    </font>
    <font>
      <sz val="10"/>
      <name val="Arial"/>
      <charset val="0"/>
    </font>
    <font>
      <sz val="12"/>
      <color theme="1"/>
      <name val="宋体"/>
      <charset val="134"/>
      <scheme val="minor"/>
    </font>
    <font>
      <sz val="11"/>
      <name val="微软雅黑"/>
      <charset val="134"/>
    </font>
    <font>
      <sz val="11"/>
      <name val="Calibri"/>
      <charset val="134"/>
    </font>
    <font>
      <b/>
      <sz val="10"/>
      <name val="宋体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16"/>
      <color theme="1"/>
      <name val="微软雅黑"/>
      <charset val="134"/>
    </font>
    <font>
      <b/>
      <sz val="16"/>
      <name val="微软雅黑"/>
      <charset val="134"/>
    </font>
    <font>
      <b/>
      <sz val="9"/>
      <name val="微软雅黑"/>
      <charset val="134"/>
    </font>
    <font>
      <b/>
      <sz val="9"/>
      <color theme="1"/>
      <name val="微软雅黑"/>
      <charset val="134"/>
    </font>
    <font>
      <sz val="9"/>
      <name val="微软雅黑"/>
      <charset val="134"/>
    </font>
    <font>
      <sz val="11"/>
      <color rgb="FF000000"/>
      <name val="宋体"/>
      <charset val="204"/>
    </font>
    <font>
      <b/>
      <sz val="18"/>
      <name val="宋体"/>
      <charset val="134"/>
    </font>
    <font>
      <b/>
      <sz val="12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6"/>
      <color theme="1"/>
      <name val="宋体"/>
      <charset val="134"/>
    </font>
    <font>
      <sz val="16"/>
      <color theme="1"/>
      <name val="Microsoft YaHei UI"/>
      <charset val="134"/>
    </font>
    <font>
      <sz val="11"/>
      <color rgb="FFFF0000"/>
      <name val="Microsoft YaHei UI"/>
      <charset val="134"/>
    </font>
    <font>
      <sz val="11"/>
      <color rgb="FFFF0000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auto="1"/>
      </left>
      <right/>
      <top style="thin">
        <color indexed="23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0" fillId="9" borderId="22">
      <alignment vertical="center"/>
    </xf>
    <xf numFmtId="0" fontId="64" fillId="0" borderId="0">
      <alignment vertical="center"/>
    </xf>
    <xf numFmtId="0" fontId="65" fillId="0" borderId="0">
      <alignment vertical="center"/>
    </xf>
    <xf numFmtId="0" fontId="66" fillId="0" borderId="0">
      <alignment vertical="center"/>
    </xf>
    <xf numFmtId="0" fontId="67" fillId="0" borderId="23">
      <alignment vertical="center"/>
    </xf>
    <xf numFmtId="0" fontId="68" fillId="0" borderId="23">
      <alignment vertical="center"/>
    </xf>
    <xf numFmtId="0" fontId="69" fillId="0" borderId="24">
      <alignment vertical="center"/>
    </xf>
    <xf numFmtId="0" fontId="69" fillId="0" borderId="0">
      <alignment vertical="center"/>
    </xf>
    <xf numFmtId="0" fontId="70" fillId="10" borderId="25">
      <alignment vertical="center"/>
    </xf>
    <xf numFmtId="0" fontId="71" fillId="11" borderId="26">
      <alignment vertical="center"/>
    </xf>
    <xf numFmtId="0" fontId="72" fillId="11" borderId="25">
      <alignment vertical="center"/>
    </xf>
    <xf numFmtId="0" fontId="73" fillId="12" borderId="27">
      <alignment vertical="center"/>
    </xf>
    <xf numFmtId="0" fontId="74" fillId="0" borderId="28">
      <alignment vertical="center"/>
    </xf>
    <xf numFmtId="0" fontId="75" fillId="0" borderId="29">
      <alignment vertical="center"/>
    </xf>
    <xf numFmtId="0" fontId="76" fillId="13" borderId="0">
      <alignment vertical="center"/>
    </xf>
    <xf numFmtId="0" fontId="77" fillId="14" borderId="0">
      <alignment vertical="center"/>
    </xf>
    <xf numFmtId="0" fontId="78" fillId="15" borderId="0">
      <alignment vertical="center"/>
    </xf>
    <xf numFmtId="0" fontId="79" fillId="16" borderId="0">
      <alignment vertical="center"/>
    </xf>
    <xf numFmtId="0" fontId="80" fillId="17" borderId="0">
      <alignment vertical="center"/>
    </xf>
    <xf numFmtId="0" fontId="80" fillId="18" borderId="0">
      <alignment vertical="center"/>
    </xf>
    <xf numFmtId="0" fontId="79" fillId="19" borderId="0">
      <alignment vertical="center"/>
    </xf>
    <xf numFmtId="0" fontId="79" fillId="20" borderId="0">
      <alignment vertical="center"/>
    </xf>
    <xf numFmtId="0" fontId="80" fillId="21" borderId="0">
      <alignment vertical="center"/>
    </xf>
    <xf numFmtId="0" fontId="80" fillId="22" borderId="0">
      <alignment vertical="center"/>
    </xf>
    <xf numFmtId="0" fontId="79" fillId="23" borderId="0">
      <alignment vertical="center"/>
    </xf>
    <xf numFmtId="0" fontId="79" fillId="24" borderId="0">
      <alignment vertical="center"/>
    </xf>
    <xf numFmtId="0" fontId="80" fillId="25" borderId="0">
      <alignment vertical="center"/>
    </xf>
    <xf numFmtId="0" fontId="80" fillId="26" borderId="0">
      <alignment vertical="center"/>
    </xf>
    <xf numFmtId="0" fontId="79" fillId="27" borderId="0">
      <alignment vertical="center"/>
    </xf>
    <xf numFmtId="0" fontId="79" fillId="28" borderId="0">
      <alignment vertical="center"/>
    </xf>
    <xf numFmtId="0" fontId="80" fillId="29" borderId="0">
      <alignment vertical="center"/>
    </xf>
    <xf numFmtId="0" fontId="80" fillId="30" borderId="0">
      <alignment vertical="center"/>
    </xf>
    <xf numFmtId="0" fontId="79" fillId="31" borderId="0">
      <alignment vertical="center"/>
    </xf>
    <xf numFmtId="0" fontId="79" fillId="32" borderId="0">
      <alignment vertical="center"/>
    </xf>
    <xf numFmtId="0" fontId="80" fillId="33" borderId="0">
      <alignment vertical="center"/>
    </xf>
    <xf numFmtId="0" fontId="80" fillId="34" borderId="0">
      <alignment vertical="center"/>
    </xf>
    <xf numFmtId="0" fontId="79" fillId="35" borderId="0">
      <alignment vertical="center"/>
    </xf>
    <xf numFmtId="0" fontId="79" fillId="36" borderId="0">
      <alignment vertical="center"/>
    </xf>
    <xf numFmtId="0" fontId="80" fillId="37" borderId="0">
      <alignment vertical="center"/>
    </xf>
    <xf numFmtId="0" fontId="80" fillId="38" borderId="0">
      <alignment vertical="center"/>
    </xf>
    <xf numFmtId="0" fontId="79" fillId="39" borderId="0">
      <alignment vertical="center"/>
    </xf>
    <xf numFmtId="0" fontId="0" fillId="0" borderId="0"/>
  </cellStyleXfs>
  <cellXfs count="606">
    <xf numFmtId="0" fontId="0" fillId="0" borderId="0" xfId="0" applyAlignment="1">
      <alignment vertical="center"/>
    </xf>
    <xf numFmtId="0" fontId="1" fillId="0" borderId="1" xfId="0" applyFont="1" applyFill="1" applyBorder="1" applyAlignment="1" applyProtection="1">
      <alignment horizontal="center" vertical="center" wrapText="1"/>
    </xf>
    <xf numFmtId="176" fontId="1" fillId="0" borderId="1" xfId="0" applyNumberFormat="1" applyFont="1" applyFill="1" applyBorder="1" applyAlignment="1" applyProtection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58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3" borderId="0" xfId="0" applyFont="1" applyFill="1">
      <alignment vertical="center"/>
    </xf>
    <xf numFmtId="0" fontId="10" fillId="0" borderId="0" xfId="0" applyFont="1">
      <alignment vertical="center"/>
    </xf>
    <xf numFmtId="0" fontId="0" fillId="0" borderId="0" xfId="0" applyFont="1">
      <alignment vertical="center"/>
    </xf>
    <xf numFmtId="177" fontId="0" fillId="0" borderId="0" xfId="0" applyNumberFormat="1" applyFont="1">
      <alignment vertical="center"/>
    </xf>
    <xf numFmtId="0" fontId="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178" fontId="12" fillId="0" borderId="1" xfId="0" applyNumberFormat="1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177" fontId="9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top" wrapText="1"/>
    </xf>
    <xf numFmtId="177" fontId="10" fillId="2" borderId="1" xfId="0" applyNumberFormat="1" applyFont="1" applyFill="1" applyBorder="1" applyAlignment="1">
      <alignment horizontal="center" vertical="center"/>
    </xf>
    <xf numFmtId="177" fontId="10" fillId="4" borderId="1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177" fontId="0" fillId="0" borderId="0" xfId="0" applyNumberFormat="1" applyFont="1" applyBorder="1">
      <alignment vertical="center"/>
    </xf>
    <xf numFmtId="0" fontId="11" fillId="0" borderId="0" xfId="0" applyFont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178" fontId="17" fillId="0" borderId="1" xfId="0" applyNumberFormat="1" applyFont="1" applyFill="1" applyBorder="1" applyAlignment="1">
      <alignment horizontal="center" vertical="center"/>
    </xf>
    <xf numFmtId="177" fontId="17" fillId="0" borderId="1" xfId="0" applyNumberFormat="1" applyFont="1" applyFill="1" applyBorder="1" applyAlignment="1">
      <alignment horizontal="center" vertical="center"/>
    </xf>
    <xf numFmtId="177" fontId="17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177" fontId="17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>
      <alignment vertical="center"/>
    </xf>
    <xf numFmtId="179" fontId="0" fillId="0" borderId="0" xfId="0" applyNumberFormat="1" applyFont="1">
      <alignment vertical="center"/>
    </xf>
    <xf numFmtId="0" fontId="18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19" fillId="0" borderId="0" xfId="0" applyNumberFormat="1" applyFont="1" applyFill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179" fontId="21" fillId="0" borderId="1" xfId="0" applyNumberFormat="1" applyFont="1" applyFill="1" applyBorder="1" applyAlignment="1">
      <alignment horizontal="center" vertical="center"/>
    </xf>
    <xf numFmtId="177" fontId="22" fillId="0" borderId="1" xfId="0" applyNumberFormat="1" applyFont="1" applyFill="1" applyBorder="1" applyAlignment="1">
      <alignment horizontal="center" vertical="center"/>
    </xf>
    <xf numFmtId="58" fontId="18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177" fontId="19" fillId="0" borderId="1" xfId="0" applyNumberFormat="1" applyFont="1" applyFill="1" applyBorder="1" applyAlignment="1">
      <alignment horizontal="center" vertical="center"/>
    </xf>
    <xf numFmtId="0" fontId="2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4" fillId="0" borderId="1" xfId="0" applyNumberFormat="1" applyFont="1" applyFill="1" applyBorder="1" applyAlignment="1">
      <alignment horizontal="center" vertical="center"/>
    </xf>
    <xf numFmtId="0" fontId="23" fillId="0" borderId="2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58" fontId="19" fillId="0" borderId="0" xfId="0" applyNumberFormat="1" applyFont="1" applyFill="1" applyAlignment="1">
      <alignment horizontal="center" vertical="center"/>
    </xf>
    <xf numFmtId="179" fontId="19" fillId="0" borderId="0" xfId="0" applyNumberFormat="1" applyFont="1" applyFill="1" applyAlignment="1">
      <alignment horizontal="center" vertical="center"/>
    </xf>
    <xf numFmtId="179" fontId="19" fillId="0" borderId="1" xfId="0" applyNumberFormat="1" applyFont="1" applyFill="1" applyBorder="1" applyAlignment="1">
      <alignment horizontal="center" vertical="center"/>
    </xf>
    <xf numFmtId="178" fontId="26" fillId="0" borderId="1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2" fontId="26" fillId="0" borderId="1" xfId="0" applyNumberFormat="1" applyFont="1" applyFill="1" applyBorder="1" applyAlignment="1">
      <alignment horizontal="center" vertical="center"/>
    </xf>
    <xf numFmtId="58" fontId="26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58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177" fontId="2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0" fontId="22" fillId="0" borderId="1" xfId="0" applyFont="1" applyFill="1" applyBorder="1" applyAlignment="1">
      <alignment horizontal="center" vertical="center" wrapText="1"/>
    </xf>
    <xf numFmtId="177" fontId="22" fillId="0" borderId="1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7" fontId="26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58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58" fontId="5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178" fontId="26" fillId="0" borderId="4" xfId="0" applyNumberFormat="1" applyFont="1" applyFill="1" applyBorder="1" applyAlignment="1">
      <alignment horizontal="center" vertical="center"/>
    </xf>
    <xf numFmtId="2" fontId="26" fillId="0" borderId="4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18" fillId="0" borderId="0" xfId="0" applyNumberFormat="1" applyFont="1" applyFill="1" applyAlignment="1">
      <alignment horizontal="center" vertical="center"/>
    </xf>
    <xf numFmtId="178" fontId="20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58" fontId="30" fillId="0" borderId="1" xfId="0" applyNumberFormat="1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 wrapText="1"/>
    </xf>
    <xf numFmtId="58" fontId="26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2" fontId="26" fillId="0" borderId="5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  <xf numFmtId="9" fontId="17" fillId="0" borderId="0" xfId="0" applyNumberFormat="1" applyFont="1" applyFill="1" applyBorder="1" applyAlignment="1">
      <alignment horizontal="center" vertical="center" wrapText="1"/>
    </xf>
    <xf numFmtId="177" fontId="17" fillId="0" borderId="0" xfId="0" applyNumberFormat="1" applyFont="1" applyFill="1" applyBorder="1" applyAlignment="1">
      <alignment horizontal="center" vertical="center" wrapText="1"/>
    </xf>
    <xf numFmtId="58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7" fontId="0" fillId="0" borderId="0" xfId="0" applyNumberFormat="1" applyFont="1" applyBorder="1" applyAlignment="1">
      <alignment horizontal="center" vertical="center"/>
    </xf>
    <xf numFmtId="58" fontId="17" fillId="0" borderId="1" xfId="0" applyNumberFormat="1" applyFont="1" applyFill="1" applyBorder="1" applyAlignment="1">
      <alignment horizontal="center" vertical="center" wrapText="1"/>
    </xf>
    <xf numFmtId="9" fontId="17" fillId="0" borderId="1" xfId="0" applyNumberFormat="1" applyFont="1" applyFill="1" applyBorder="1" applyAlignment="1">
      <alignment horizontal="center" vertical="center" wrapText="1"/>
    </xf>
    <xf numFmtId="58" fontId="31" fillId="0" borderId="1" xfId="0" applyNumberFormat="1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/>
    </xf>
    <xf numFmtId="9" fontId="33" fillId="0" borderId="1" xfId="3" applyFont="1" applyBorder="1" applyAlignment="1">
      <alignment horizontal="center" vertical="center"/>
    </xf>
    <xf numFmtId="180" fontId="32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0" fontId="33" fillId="0" borderId="1" xfId="0" applyNumberFormat="1" applyFont="1" applyFill="1" applyBorder="1" applyAlignment="1">
      <alignment horizontal="center" vertical="center" wrapText="1"/>
    </xf>
    <xf numFmtId="2" fontId="32" fillId="0" borderId="1" xfId="0" applyNumberFormat="1" applyFont="1" applyFill="1" applyBorder="1" applyAlignment="1">
      <alignment horizontal="center" vertical="center"/>
    </xf>
    <xf numFmtId="58" fontId="34" fillId="3" borderId="1" xfId="0" applyNumberFormat="1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9" fontId="36" fillId="0" borderId="1" xfId="3" applyFont="1" applyBorder="1" applyAlignment="1">
      <alignment horizontal="center" vertical="center"/>
    </xf>
    <xf numFmtId="180" fontId="34" fillId="3" borderId="1" xfId="0" applyNumberFormat="1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37" fillId="0" borderId="1" xfId="0" applyNumberFormat="1" applyFont="1" applyFill="1" applyBorder="1" applyAlignment="1">
      <alignment horizontal="center" vertical="center" wrapText="1"/>
    </xf>
    <xf numFmtId="2" fontId="34" fillId="3" borderId="1" xfId="0" applyNumberFormat="1" applyFont="1" applyFill="1" applyBorder="1" applyAlignment="1">
      <alignment horizontal="center" vertical="center"/>
    </xf>
    <xf numFmtId="58" fontId="34" fillId="0" borderId="1" xfId="0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180" fontId="34" fillId="0" borderId="1" xfId="0" applyNumberFormat="1" applyFont="1" applyFill="1" applyBorder="1" applyAlignment="1">
      <alignment horizontal="center" vertical="center"/>
    </xf>
    <xf numFmtId="2" fontId="34" fillId="0" borderId="1" xfId="0" applyNumberFormat="1" applyFont="1" applyFill="1" applyBorder="1" applyAlignment="1">
      <alignment horizontal="center" vertical="center"/>
    </xf>
    <xf numFmtId="9" fontId="36" fillId="0" borderId="1" xfId="3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9" fontId="34" fillId="0" borderId="1" xfId="3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8" fillId="0" borderId="1" xfId="0" applyNumberFormat="1" applyFont="1" applyFill="1" applyBorder="1" applyAlignment="1">
      <alignment horizontal="center" vertical="center" wrapText="1"/>
    </xf>
    <xf numFmtId="2" fontId="34" fillId="0" borderId="6" xfId="0" applyNumberFormat="1" applyFont="1" applyFill="1" applyBorder="1" applyAlignment="1">
      <alignment horizontal="center" vertical="center"/>
    </xf>
    <xf numFmtId="58" fontId="34" fillId="3" borderId="6" xfId="0" applyNumberFormat="1" applyFont="1" applyFill="1" applyBorder="1" applyAlignment="1">
      <alignment horizontal="center" vertical="center"/>
    </xf>
    <xf numFmtId="0" fontId="34" fillId="3" borderId="6" xfId="0" applyFont="1" applyFill="1" applyBorder="1" applyAlignment="1">
      <alignment horizontal="center" vertical="center"/>
    </xf>
    <xf numFmtId="9" fontId="34" fillId="0" borderId="6" xfId="3" applyFont="1" applyBorder="1" applyAlignment="1">
      <alignment horizontal="center" vertical="center"/>
    </xf>
    <xf numFmtId="180" fontId="34" fillId="3" borderId="6" xfId="0" applyNumberFormat="1" applyFont="1" applyFill="1" applyBorder="1" applyAlignment="1">
      <alignment horizontal="center" vertical="center"/>
    </xf>
    <xf numFmtId="2" fontId="34" fillId="3" borderId="6" xfId="0" applyNumberFormat="1" applyFont="1" applyFill="1" applyBorder="1" applyAlignment="1">
      <alignment horizontal="center" vertical="center"/>
    </xf>
    <xf numFmtId="58" fontId="34" fillId="0" borderId="6" xfId="0" applyNumberFormat="1" applyFont="1" applyFill="1" applyBorder="1" applyAlignment="1">
      <alignment horizontal="center" vertical="center"/>
    </xf>
    <xf numFmtId="0" fontId="34" fillId="0" borderId="6" xfId="0" applyFont="1" applyFill="1" applyBorder="1" applyAlignment="1">
      <alignment horizontal="center" vertical="center"/>
    </xf>
    <xf numFmtId="180" fontId="34" fillId="0" borderId="6" xfId="0" applyNumberFormat="1" applyFont="1" applyFill="1" applyBorder="1" applyAlignment="1">
      <alignment horizontal="center" vertical="center"/>
    </xf>
    <xf numFmtId="9" fontId="36" fillId="0" borderId="0" xfId="3" applyFont="1" applyAlignment="1">
      <alignment horizontal="center" vertical="center"/>
    </xf>
    <xf numFmtId="0" fontId="34" fillId="0" borderId="7" xfId="0" applyFont="1" applyFill="1" applyBorder="1" applyAlignment="1">
      <alignment horizontal="center" vertical="center"/>
    </xf>
    <xf numFmtId="9" fontId="34" fillId="0" borderId="8" xfId="3" applyFont="1" applyBorder="1" applyAlignment="1">
      <alignment horizontal="center" vertical="center"/>
    </xf>
    <xf numFmtId="180" fontId="34" fillId="0" borderId="9" xfId="0" applyNumberFormat="1" applyFont="1" applyFill="1" applyBorder="1" applyAlignment="1">
      <alignment horizontal="center" vertical="center"/>
    </xf>
    <xf numFmtId="0" fontId="34" fillId="3" borderId="7" xfId="0" applyFont="1" applyFill="1" applyBorder="1" applyAlignment="1">
      <alignment horizontal="center" vertical="center"/>
    </xf>
    <xf numFmtId="180" fontId="34" fillId="3" borderId="9" xfId="0" applyNumberFormat="1" applyFont="1" applyFill="1" applyBorder="1" applyAlignment="1">
      <alignment horizontal="center" vertical="center"/>
    </xf>
    <xf numFmtId="0" fontId="34" fillId="3" borderId="3" xfId="0" applyFont="1" applyFill="1" applyBorder="1" applyAlignment="1">
      <alignment horizontal="center" vertical="center"/>
    </xf>
    <xf numFmtId="180" fontId="34" fillId="3" borderId="2" xfId="0" applyNumberFormat="1" applyFont="1" applyFill="1" applyBorder="1" applyAlignment="1">
      <alignment horizontal="center" vertical="center"/>
    </xf>
    <xf numFmtId="0" fontId="34" fillId="0" borderId="3" xfId="0" applyFont="1" applyFill="1" applyBorder="1" applyAlignment="1">
      <alignment horizontal="center" vertical="center"/>
    </xf>
    <xf numFmtId="180" fontId="34" fillId="0" borderId="2" xfId="0" applyNumberFormat="1" applyFont="1" applyFill="1" applyBorder="1" applyAlignment="1">
      <alignment horizontal="center" vertical="center"/>
    </xf>
    <xf numFmtId="9" fontId="0" fillId="0" borderId="0" xfId="0" applyNumberFormat="1" applyFont="1" applyBorder="1" applyAlignment="1">
      <alignment horizontal="center" vertical="center"/>
    </xf>
    <xf numFmtId="0" fontId="34" fillId="0" borderId="10" xfId="0" applyFont="1" applyFill="1" applyBorder="1" applyAlignment="1">
      <alignment horizontal="center" vertical="center"/>
    </xf>
    <xf numFmtId="58" fontId="34" fillId="0" borderId="7" xfId="0" applyNumberFormat="1" applyFont="1" applyFill="1" applyBorder="1" applyAlignment="1">
      <alignment horizontal="center" vertical="center"/>
    </xf>
    <xf numFmtId="58" fontId="0" fillId="0" borderId="11" xfId="0" applyNumberFormat="1" applyFont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58" fontId="0" fillId="0" borderId="3" xfId="0" applyNumberFormat="1" applyFont="1" applyBorder="1" applyAlignment="1">
      <alignment horizontal="center" vertical="center"/>
    </xf>
    <xf numFmtId="58" fontId="0" fillId="0" borderId="12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9" fontId="0" fillId="0" borderId="5" xfId="0" applyNumberFormat="1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2" fontId="0" fillId="0" borderId="5" xfId="0" applyNumberFormat="1" applyFill="1" applyBorder="1" applyAlignment="1">
      <alignment horizontal="center" vertical="center"/>
    </xf>
    <xf numFmtId="58" fontId="0" fillId="0" borderId="1" xfId="0" applyNumberFormat="1" applyFont="1" applyBorder="1" applyAlignment="1">
      <alignment horizontal="center" vertical="center"/>
    </xf>
    <xf numFmtId="58" fontId="0" fillId="0" borderId="5" xfId="0" applyNumberFormat="1" applyFont="1" applyBorder="1" applyAlignment="1">
      <alignment horizontal="center" vertical="center"/>
    </xf>
    <xf numFmtId="0" fontId="32" fillId="0" borderId="5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58" fontId="38" fillId="3" borderId="1" xfId="0" applyNumberFormat="1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9" fontId="39" fillId="0" borderId="1" xfId="3" applyFont="1" applyBorder="1" applyAlignment="1">
      <alignment horizontal="center" vertical="center"/>
    </xf>
    <xf numFmtId="0" fontId="38" fillId="3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/>
    </xf>
    <xf numFmtId="177" fontId="38" fillId="0" borderId="1" xfId="0" applyNumberFormat="1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10" fontId="5" fillId="0" borderId="1" xfId="0" applyNumberFormat="1" applyFont="1" applyFill="1" applyBorder="1" applyAlignment="1">
      <alignment horizontal="center" vertical="center"/>
    </xf>
    <xf numFmtId="58" fontId="38" fillId="0" borderId="1" xfId="0" applyNumberFormat="1" applyFont="1" applyFill="1" applyBorder="1" applyAlignment="1">
      <alignment horizontal="center" vertical="center" wrapText="1"/>
    </xf>
    <xf numFmtId="58" fontId="38" fillId="3" borderId="13" xfId="0" applyNumberFormat="1" applyFont="1" applyFill="1" applyBorder="1" applyAlignment="1">
      <alignment horizontal="center" vertical="center" wrapText="1"/>
    </xf>
    <xf numFmtId="0" fontId="38" fillId="3" borderId="13" xfId="0" applyFont="1" applyFill="1" applyBorder="1" applyAlignment="1">
      <alignment horizontal="center" vertical="center" wrapText="1"/>
    </xf>
    <xf numFmtId="9" fontId="38" fillId="0" borderId="13" xfId="3" applyFont="1" applyBorder="1" applyAlignment="1">
      <alignment horizontal="center" vertical="center" wrapText="1"/>
    </xf>
    <xf numFmtId="0" fontId="38" fillId="3" borderId="13" xfId="0" applyNumberFormat="1" applyFont="1" applyFill="1" applyBorder="1" applyAlignment="1">
      <alignment horizontal="center" vertical="center" wrapText="1"/>
    </xf>
    <xf numFmtId="58" fontId="38" fillId="0" borderId="13" xfId="0" applyNumberFormat="1" applyFont="1" applyFill="1" applyBorder="1" applyAlignment="1">
      <alignment horizontal="center" vertical="center" wrapText="1"/>
    </xf>
    <xf numFmtId="0" fontId="38" fillId="0" borderId="13" xfId="0" applyFont="1" applyFill="1" applyBorder="1" applyAlignment="1">
      <alignment horizontal="center" vertical="center" wrapText="1"/>
    </xf>
    <xf numFmtId="0" fontId="38" fillId="0" borderId="13" xfId="0" applyNumberFormat="1" applyFont="1" applyFill="1" applyBorder="1" applyAlignment="1">
      <alignment horizontal="center" vertical="center" wrapText="1"/>
    </xf>
    <xf numFmtId="9" fontId="39" fillId="0" borderId="1" xfId="3" applyFont="1" applyBorder="1" applyAlignment="1">
      <alignment horizontal="center"/>
    </xf>
    <xf numFmtId="9" fontId="39" fillId="0" borderId="0" xfId="3" applyFont="1" applyAlignment="1"/>
    <xf numFmtId="9" fontId="39" fillId="0" borderId="0" xfId="3" applyFont="1" applyAlignment="1">
      <alignment horizontal="center" vertical="center"/>
    </xf>
    <xf numFmtId="58" fontId="38" fillId="2" borderId="13" xfId="0" applyNumberFormat="1" applyFont="1" applyFill="1" applyBorder="1" applyAlignment="1">
      <alignment horizontal="center" vertical="center" wrapText="1"/>
    </xf>
    <xf numFmtId="177" fontId="0" fillId="2" borderId="1" xfId="0" applyNumberFormat="1" applyFill="1" applyBorder="1" applyAlignment="1">
      <alignment horizontal="center" vertical="center"/>
    </xf>
    <xf numFmtId="177" fontId="38" fillId="2" borderId="1" xfId="0" applyNumberFormat="1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58" fontId="38" fillId="2" borderId="14" xfId="0" applyNumberFormat="1" applyFont="1" applyFill="1" applyBorder="1" applyAlignment="1">
      <alignment horizontal="center" vertical="center" wrapText="1"/>
    </xf>
    <xf numFmtId="177" fontId="0" fillId="2" borderId="5" xfId="0" applyNumberFormat="1" applyFill="1" applyBorder="1" applyAlignment="1">
      <alignment horizontal="center" vertical="center"/>
    </xf>
    <xf numFmtId="177" fontId="38" fillId="2" borderId="5" xfId="0" applyNumberFormat="1" applyFont="1" applyFill="1" applyBorder="1" applyAlignment="1">
      <alignment horizontal="center" vertical="center" wrapText="1"/>
    </xf>
    <xf numFmtId="0" fontId="38" fillId="2" borderId="5" xfId="0" applyFont="1" applyFill="1" applyBorder="1" applyAlignment="1">
      <alignment horizontal="center" vertical="center" wrapText="1"/>
    </xf>
    <xf numFmtId="9" fontId="38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/>
    </xf>
    <xf numFmtId="9" fontId="0" fillId="0" borderId="15" xfId="0" applyNumberFormat="1" applyFont="1" applyBorder="1" applyAlignment="1">
      <alignment horizontal="center" vertical="center"/>
    </xf>
    <xf numFmtId="58" fontId="0" fillId="0" borderId="16" xfId="0" applyNumberFormat="1" applyFont="1" applyBorder="1" applyAlignment="1">
      <alignment horizontal="center" vertical="center"/>
    </xf>
    <xf numFmtId="0" fontId="38" fillId="0" borderId="14" xfId="0" applyFont="1" applyFill="1" applyBorder="1" applyAlignment="1">
      <alignment horizontal="center" vertical="center" wrapText="1"/>
    </xf>
    <xf numFmtId="9" fontId="0" fillId="0" borderId="17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  <xf numFmtId="177" fontId="0" fillId="0" borderId="5" xfId="0" applyNumberFormat="1" applyFill="1" applyBorder="1" applyAlignment="1">
      <alignment horizontal="center" vertical="center"/>
    </xf>
    <xf numFmtId="177" fontId="38" fillId="0" borderId="5" xfId="0" applyNumberFormat="1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9" fontId="34" fillId="0" borderId="1" xfId="3" applyNumberFormat="1" applyFont="1" applyBorder="1" applyAlignment="1">
      <alignment horizontal="center" vertical="center"/>
    </xf>
    <xf numFmtId="2" fontId="35" fillId="0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58" fontId="34" fillId="0" borderId="5" xfId="0" applyNumberFormat="1" applyFont="1" applyFill="1" applyBorder="1" applyAlignment="1">
      <alignment horizontal="center" vertical="center"/>
    </xf>
    <xf numFmtId="9" fontId="34" fillId="0" borderId="5" xfId="3" applyNumberFormat="1" applyFont="1" applyBorder="1" applyAlignment="1">
      <alignment horizontal="center" vertical="center"/>
    </xf>
    <xf numFmtId="180" fontId="34" fillId="0" borderId="5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177" fontId="5" fillId="0" borderId="5" xfId="0" applyNumberFormat="1" applyFont="1" applyFill="1" applyBorder="1" applyAlignment="1">
      <alignment horizontal="center" vertical="center"/>
    </xf>
    <xf numFmtId="2" fontId="34" fillId="0" borderId="5" xfId="0" applyNumberFormat="1" applyFont="1" applyFill="1" applyBorder="1" applyAlignment="1">
      <alignment horizontal="center" vertical="center"/>
    </xf>
    <xf numFmtId="2" fontId="35" fillId="0" borderId="5" xfId="0" applyNumberFormat="1" applyFont="1" applyFill="1" applyBorder="1" applyAlignment="1">
      <alignment horizontal="center" vertical="center"/>
    </xf>
    <xf numFmtId="9" fontId="34" fillId="0" borderId="6" xfId="0" applyNumberFormat="1" applyFont="1" applyFill="1" applyBorder="1" applyAlignment="1">
      <alignment horizontal="center" vertical="center"/>
    </xf>
    <xf numFmtId="9" fontId="34" fillId="0" borderId="6" xfId="3" applyFont="1" applyFill="1" applyBorder="1" applyAlignment="1">
      <alignment horizontal="center" vertical="center"/>
    </xf>
    <xf numFmtId="58" fontId="0" fillId="0" borderId="8" xfId="0" applyNumberFormat="1" applyFont="1" applyBorder="1" applyAlignment="1">
      <alignment horizontal="center" vertical="center"/>
    </xf>
    <xf numFmtId="9" fontId="0" fillId="0" borderId="8" xfId="0" applyNumberFormat="1" applyFont="1" applyBorder="1" applyAlignment="1">
      <alignment horizontal="center" vertical="center"/>
    </xf>
    <xf numFmtId="2" fontId="34" fillId="0" borderId="8" xfId="0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34" fillId="0" borderId="5" xfId="0" applyFont="1" applyFill="1" applyBorder="1" applyAlignment="1">
      <alignment horizontal="center" vertical="center"/>
    </xf>
    <xf numFmtId="58" fontId="9" fillId="3" borderId="1" xfId="0" applyNumberFormat="1" applyFont="1" applyFill="1" applyBorder="1" applyAlignment="1">
      <alignment horizontal="center"/>
    </xf>
    <xf numFmtId="0" fontId="9" fillId="3" borderId="1" xfId="0" applyNumberFormat="1" applyFont="1" applyFill="1" applyBorder="1" applyAlignment="1">
      <alignment horizontal="center"/>
    </xf>
    <xf numFmtId="0" fontId="9" fillId="0" borderId="1" xfId="0" applyNumberFormat="1" applyFont="1" applyFill="1" applyBorder="1" applyAlignment="1">
      <alignment horizontal="center"/>
    </xf>
    <xf numFmtId="0" fontId="10" fillId="3" borderId="1" xfId="0" applyNumberFormat="1" applyFont="1" applyFill="1" applyBorder="1" applyAlignment="1">
      <alignment horizontal="center"/>
    </xf>
    <xf numFmtId="0" fontId="26" fillId="0" borderId="1" xfId="0" applyNumberFormat="1" applyFont="1" applyFill="1" applyBorder="1" applyAlignment="1">
      <alignment horizontal="center" vertical="center"/>
    </xf>
    <xf numFmtId="58" fontId="9" fillId="0" borderId="1" xfId="0" applyNumberFormat="1" applyFont="1" applyFill="1" applyBorder="1" applyAlignment="1">
      <alignment horizontal="center"/>
    </xf>
    <xf numFmtId="0" fontId="10" fillId="0" borderId="1" xfId="0" applyNumberFormat="1" applyFont="1" applyFill="1" applyBorder="1" applyAlignment="1">
      <alignment horizontal="center"/>
    </xf>
    <xf numFmtId="58" fontId="9" fillId="3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/>
    </xf>
    <xf numFmtId="58" fontId="9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9" fillId="6" borderId="0" xfId="0" applyNumberFormat="1" applyFont="1" applyFill="1" applyAlignment="1">
      <alignment horizontal="center"/>
    </xf>
    <xf numFmtId="0" fontId="9" fillId="6" borderId="1" xfId="0" applyNumberFormat="1" applyFont="1" applyFill="1" applyBorder="1" applyAlignment="1">
      <alignment horizontal="center"/>
    </xf>
    <xf numFmtId="0" fontId="9" fillId="0" borderId="0" xfId="0" applyNumberFormat="1" applyFont="1" applyFill="1" applyAlignment="1">
      <alignment horizontal="center"/>
    </xf>
    <xf numFmtId="0" fontId="9" fillId="6" borderId="1" xfId="0" applyNumberFormat="1" applyFont="1" applyFill="1" applyBorder="1" applyAlignment="1">
      <alignment horizontal="center" vertical="center"/>
    </xf>
    <xf numFmtId="58" fontId="9" fillId="0" borderId="5" xfId="0" applyNumberFormat="1" applyFont="1" applyFill="1" applyBorder="1" applyAlignment="1">
      <alignment horizontal="center"/>
    </xf>
    <xf numFmtId="0" fontId="9" fillId="0" borderId="5" xfId="0" applyNumberFormat="1" applyFont="1" applyFill="1" applyBorder="1" applyAlignment="1">
      <alignment horizontal="center"/>
    </xf>
    <xf numFmtId="0" fontId="9" fillId="7" borderId="5" xfId="0" applyNumberFormat="1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center"/>
    </xf>
    <xf numFmtId="0" fontId="9" fillId="7" borderId="1" xfId="0" applyNumberFormat="1" applyFont="1" applyFill="1" applyBorder="1" applyAlignment="1">
      <alignment horizontal="center"/>
    </xf>
    <xf numFmtId="0" fontId="9" fillId="7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40" fillId="0" borderId="1" xfId="0" applyNumberFormat="1" applyFont="1" applyFill="1" applyBorder="1" applyAlignment="1"/>
    <xf numFmtId="0" fontId="40" fillId="0" borderId="0" xfId="0" applyNumberFormat="1" applyFont="1" applyFill="1" applyAlignment="1"/>
    <xf numFmtId="0" fontId="22" fillId="0" borderId="0" xfId="0" applyFont="1" applyFill="1" applyBorder="1" applyAlignment="1">
      <alignment horizontal="center" vertical="center" wrapText="1"/>
    </xf>
    <xf numFmtId="9" fontId="22" fillId="0" borderId="0" xfId="0" applyNumberFormat="1" applyFont="1" applyFill="1" applyBorder="1" applyAlignment="1">
      <alignment horizontal="center" vertical="center" wrapText="1"/>
    </xf>
    <xf numFmtId="177" fontId="22" fillId="0" borderId="0" xfId="0" applyNumberFormat="1" applyFont="1" applyFill="1" applyBorder="1" applyAlignment="1">
      <alignment horizontal="center" vertical="center" wrapText="1"/>
    </xf>
    <xf numFmtId="58" fontId="0" fillId="0" borderId="0" xfId="0" applyNumberFormat="1" applyFont="1" applyBorder="1" applyAlignment="1">
      <alignment horizontal="center" vertical="center"/>
    </xf>
    <xf numFmtId="58" fontId="36" fillId="0" borderId="1" xfId="0" applyNumberFormat="1" applyFont="1" applyFill="1" applyBorder="1" applyAlignment="1">
      <alignment horizontal="center" vertical="center" wrapText="1"/>
    </xf>
    <xf numFmtId="49" fontId="36" fillId="0" borderId="1" xfId="0" applyNumberFormat="1" applyFont="1" applyFill="1" applyBorder="1" applyAlignment="1">
      <alignment horizontal="center" vertical="center" wrapText="1"/>
    </xf>
    <xf numFmtId="0" fontId="36" fillId="0" borderId="1" xfId="0" applyNumberFormat="1" applyFont="1" applyFill="1" applyBorder="1" applyAlignment="1">
      <alignment horizontal="center" vertical="center" wrapText="1"/>
    </xf>
    <xf numFmtId="49" fontId="39" fillId="0" borderId="1" xfId="0" applyNumberFormat="1" applyFont="1" applyFill="1" applyBorder="1" applyAlignment="1">
      <alignment horizontal="center" vertical="center" wrapText="1"/>
    </xf>
    <xf numFmtId="58" fontId="36" fillId="3" borderId="1" xfId="0" applyNumberFormat="1" applyFont="1" applyFill="1" applyBorder="1" applyAlignment="1">
      <alignment horizontal="center" vertical="center" wrapText="1"/>
    </xf>
    <xf numFmtId="49" fontId="36" fillId="3" borderId="1" xfId="0" applyNumberFormat="1" applyFont="1" applyFill="1" applyBorder="1" applyAlignment="1">
      <alignment horizontal="center" vertical="center" wrapText="1"/>
    </xf>
    <xf numFmtId="9" fontId="36" fillId="0" borderId="1" xfId="3" applyFont="1" applyBorder="1" applyAlignment="1">
      <alignment horizontal="center" vertical="center" wrapText="1"/>
    </xf>
    <xf numFmtId="0" fontId="36" fillId="3" borderId="1" xfId="0" applyNumberFormat="1" applyFont="1" applyFill="1" applyBorder="1" applyAlignment="1">
      <alignment horizontal="center" vertical="center" wrapText="1"/>
    </xf>
    <xf numFmtId="58" fontId="36" fillId="3" borderId="0" xfId="0" applyNumberFormat="1" applyFont="1" applyFill="1" applyAlignment="1">
      <alignment horizontal="center" vertical="center" wrapText="1"/>
    </xf>
    <xf numFmtId="49" fontId="36" fillId="3" borderId="0" xfId="0" applyNumberFormat="1" applyFont="1" applyFill="1" applyAlignment="1">
      <alignment horizontal="center" vertical="center" wrapText="1"/>
    </xf>
    <xf numFmtId="9" fontId="36" fillId="0" borderId="0" xfId="3" applyFont="1" applyAlignment="1">
      <alignment horizontal="center" vertical="center" wrapText="1"/>
    </xf>
    <xf numFmtId="0" fontId="36" fillId="3" borderId="0" xfId="0" applyNumberFormat="1" applyFont="1" applyFill="1" applyAlignment="1">
      <alignment horizontal="center" vertical="center" wrapText="1"/>
    </xf>
    <xf numFmtId="58" fontId="36" fillId="0" borderId="0" xfId="0" applyNumberFormat="1" applyFont="1" applyFill="1" applyAlignment="1">
      <alignment horizontal="center" vertical="center" wrapText="1"/>
    </xf>
    <xf numFmtId="49" fontId="36" fillId="0" borderId="0" xfId="0" applyNumberFormat="1" applyFont="1" applyFill="1" applyAlignment="1">
      <alignment horizontal="center" vertical="center" wrapText="1"/>
    </xf>
    <xf numFmtId="0" fontId="36" fillId="0" borderId="0" xfId="0" applyNumberFormat="1" applyFont="1" applyFill="1" applyAlignment="1">
      <alignment horizontal="center" vertical="center" wrapText="1"/>
    </xf>
    <xf numFmtId="178" fontId="36" fillId="0" borderId="0" xfId="0" applyNumberFormat="1" applyFont="1" applyFill="1" applyAlignment="1">
      <alignment horizontal="center" vertical="center" wrapText="1"/>
    </xf>
    <xf numFmtId="178" fontId="0" fillId="0" borderId="0" xfId="0" applyNumberFormat="1" applyFont="1" applyBorder="1" applyAlignment="1">
      <alignment horizontal="center" vertical="center"/>
    </xf>
    <xf numFmtId="178" fontId="17" fillId="0" borderId="0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horizontal="center" vertical="center" wrapText="1"/>
    </xf>
    <xf numFmtId="0" fontId="41" fillId="0" borderId="0" xfId="0" applyFont="1" applyFill="1" applyBorder="1" applyAlignment="1">
      <alignment horizontal="center" vertical="center"/>
    </xf>
    <xf numFmtId="0" fontId="34" fillId="3" borderId="1" xfId="0" applyNumberFormat="1" applyFont="1" applyFill="1" applyBorder="1" applyAlignment="1">
      <alignment horizontal="center" vertical="center"/>
    </xf>
    <xf numFmtId="0" fontId="34" fillId="0" borderId="1" xfId="0" applyNumberFormat="1" applyFont="1" applyFill="1" applyBorder="1" applyAlignment="1">
      <alignment horizontal="center" vertical="center"/>
    </xf>
    <xf numFmtId="9" fontId="34" fillId="0" borderId="1" xfId="3" applyFont="1" applyFill="1" applyBorder="1" applyAlignment="1">
      <alignment horizontal="center" vertical="center"/>
    </xf>
    <xf numFmtId="0" fontId="34" fillId="3" borderId="6" xfId="0" applyNumberFormat="1" applyFont="1" applyFill="1" applyBorder="1" applyAlignment="1">
      <alignment horizontal="center" vertical="center"/>
    </xf>
    <xf numFmtId="0" fontId="34" fillId="0" borderId="6" xfId="0" applyNumberFormat="1" applyFont="1" applyFill="1" applyBorder="1" applyAlignment="1">
      <alignment horizontal="center" vertical="center"/>
    </xf>
    <xf numFmtId="58" fontId="34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4" fillId="0" borderId="0" xfId="0" applyNumberFormat="1" applyFont="1" applyFill="1" applyBorder="1" applyAlignment="1">
      <alignment horizontal="center" vertical="center"/>
    </xf>
    <xf numFmtId="2" fontId="5" fillId="0" borderId="5" xfId="0" applyNumberFormat="1" applyFont="1" applyFill="1" applyBorder="1" applyAlignment="1">
      <alignment horizontal="center" vertical="center"/>
    </xf>
    <xf numFmtId="58" fontId="42" fillId="3" borderId="1" xfId="0" applyNumberFormat="1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center"/>
    </xf>
    <xf numFmtId="9" fontId="42" fillId="3" borderId="1" xfId="0" applyNumberFormat="1" applyFont="1" applyFill="1" applyBorder="1" applyAlignment="1">
      <alignment horizontal="center" vertical="center"/>
    </xf>
    <xf numFmtId="0" fontId="42" fillId="3" borderId="1" xfId="0" applyNumberFormat="1" applyFont="1" applyFill="1" applyBorder="1" applyAlignment="1">
      <alignment horizontal="center" vertical="center"/>
    </xf>
    <xf numFmtId="0" fontId="32" fillId="0" borderId="1" xfId="0" applyNumberFormat="1" applyFont="1" applyFill="1" applyBorder="1" applyAlignment="1">
      <alignment horizontal="center" vertical="center"/>
    </xf>
    <xf numFmtId="58" fontId="42" fillId="0" borderId="1" xfId="0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9" fontId="42" fillId="0" borderId="1" xfId="0" applyNumberFormat="1" applyFont="1" applyBorder="1" applyAlignment="1">
      <alignment horizontal="center" vertical="center"/>
    </xf>
    <xf numFmtId="0" fontId="42" fillId="0" borderId="1" xfId="0" applyNumberFormat="1" applyFont="1" applyBorder="1" applyAlignment="1">
      <alignment horizontal="center" vertical="center"/>
    </xf>
    <xf numFmtId="58" fontId="42" fillId="3" borderId="0" xfId="0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9" fontId="42" fillId="3" borderId="0" xfId="0" applyNumberFormat="1" applyFont="1" applyFill="1" applyAlignment="1">
      <alignment horizontal="center" vertical="center"/>
    </xf>
    <xf numFmtId="0" fontId="42" fillId="3" borderId="0" xfId="0" applyNumberFormat="1" applyFont="1" applyFill="1" applyAlignment="1">
      <alignment horizontal="center" vertical="center"/>
    </xf>
    <xf numFmtId="58" fontId="42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9" fontId="42" fillId="0" borderId="0" xfId="0" applyNumberFormat="1" applyFont="1" applyAlignment="1">
      <alignment horizontal="center" vertical="center"/>
    </xf>
    <xf numFmtId="0" fontId="42" fillId="0" borderId="0" xfId="0" applyNumberFormat="1" applyFont="1" applyAlignment="1">
      <alignment horizontal="center" vertical="center"/>
    </xf>
    <xf numFmtId="9" fontId="0" fillId="0" borderId="0" xfId="3" applyNumberFormat="1">
      <alignment vertical="center"/>
    </xf>
    <xf numFmtId="181" fontId="0" fillId="0" borderId="0" xfId="0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9" fontId="0" fillId="0" borderId="1" xfId="3" applyNumberFormat="1" applyBorder="1">
      <alignment vertical="center"/>
    </xf>
    <xf numFmtId="9" fontId="0" fillId="0" borderId="1" xfId="3" applyBorder="1">
      <alignment vertical="center"/>
    </xf>
    <xf numFmtId="58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9" fontId="0" fillId="2" borderId="1" xfId="3" applyNumberForma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34" fillId="2" borderId="1" xfId="0" applyNumberFormat="1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9" fontId="0" fillId="0" borderId="5" xfId="3" applyNumberFormat="1" applyBorder="1">
      <alignment vertical="center"/>
    </xf>
    <xf numFmtId="0" fontId="32" fillId="0" borderId="5" xfId="0" applyFont="1" applyBorder="1" applyAlignment="1">
      <alignment horizontal="center" vertical="center"/>
    </xf>
    <xf numFmtId="9" fontId="0" fillId="0" borderId="1" xfId="3" applyNumberFormat="1" applyBorder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5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3" applyBorder="1" applyAlignment="1">
      <alignment horizontal="center" vertical="center"/>
    </xf>
    <xf numFmtId="58" fontId="0" fillId="0" borderId="1" xfId="0" applyNumberFormat="1" applyFill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58" fontId="0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58" fontId="0" fillId="0" borderId="1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58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0" borderId="0" xfId="3" applyAlignment="1">
      <alignment horizontal="center" vertical="center"/>
    </xf>
    <xf numFmtId="58" fontId="0" fillId="0" borderId="0" xfId="0" applyNumberFormat="1" applyFill="1" applyAlignment="1">
      <alignment horizontal="center" vertical="center"/>
    </xf>
    <xf numFmtId="58" fontId="0" fillId="3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9" fontId="0" fillId="0" borderId="0" xfId="3">
      <alignment vertical="center"/>
    </xf>
    <xf numFmtId="58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9" fontId="0" fillId="0" borderId="1" xfId="3" applyFont="1" applyFill="1" applyBorder="1" applyAlignment="1" applyProtection="1">
      <alignment vertical="center"/>
    </xf>
    <xf numFmtId="58" fontId="0" fillId="0" borderId="3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9" fontId="0" fillId="0" borderId="2" xfId="3" applyNumberFormat="1" applyFill="1" applyBorder="1" applyAlignment="1">
      <alignment horizontal="center" vertical="center"/>
    </xf>
    <xf numFmtId="9" fontId="0" fillId="0" borderId="1" xfId="3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77" fontId="0" fillId="0" borderId="0" xfId="0" applyNumberFormat="1" applyFill="1" applyBorder="1" applyAlignment="1">
      <alignment horizontal="center" vertical="center"/>
    </xf>
    <xf numFmtId="178" fontId="43" fillId="0" borderId="0" xfId="0" applyNumberFormat="1" applyFont="1" applyFill="1" applyBorder="1" applyAlignment="1">
      <alignment horizontal="center" vertical="center" wrapText="1"/>
    </xf>
    <xf numFmtId="0" fontId="43" fillId="0" borderId="0" xfId="0" applyFont="1" applyFill="1" applyBorder="1" applyAlignment="1">
      <alignment horizontal="center" vertical="center" wrapText="1"/>
    </xf>
    <xf numFmtId="9" fontId="43" fillId="0" borderId="0" xfId="0" applyNumberFormat="1" applyFont="1" applyFill="1" applyBorder="1" applyAlignment="1">
      <alignment horizontal="center" vertical="center" wrapText="1"/>
    </xf>
    <xf numFmtId="177" fontId="43" fillId="0" borderId="0" xfId="0" applyNumberFormat="1" applyFont="1" applyFill="1" applyBorder="1" applyAlignment="1">
      <alignment horizontal="center" vertical="center" wrapText="1"/>
    </xf>
    <xf numFmtId="178" fontId="26" fillId="0" borderId="0" xfId="0" applyNumberFormat="1" applyFont="1" applyFill="1" applyBorder="1" applyAlignment="1">
      <alignment horizontal="center" vertical="center"/>
    </xf>
    <xf numFmtId="178" fontId="26" fillId="3" borderId="1" xfId="0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 wrapText="1"/>
    </xf>
    <xf numFmtId="58" fontId="26" fillId="3" borderId="1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58" fontId="22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>
      <alignment vertical="center"/>
    </xf>
    <xf numFmtId="0" fontId="26" fillId="0" borderId="4" xfId="0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178" fontId="44" fillId="0" borderId="1" xfId="0" applyNumberFormat="1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 wrapText="1"/>
    </xf>
    <xf numFmtId="0" fontId="45" fillId="0" borderId="1" xfId="0" applyFont="1" applyFill="1" applyBorder="1" applyAlignment="1">
      <alignment horizontal="center" vertical="center" wrapText="1"/>
    </xf>
    <xf numFmtId="2" fontId="44" fillId="0" borderId="1" xfId="0" applyNumberFormat="1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178" fontId="7" fillId="8" borderId="1" xfId="0" applyNumberFormat="1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58" fontId="22" fillId="8" borderId="1" xfId="0" applyNumberFormat="1" applyFont="1" applyFill="1" applyBorder="1" applyAlignment="1">
      <alignment horizontal="center" vertical="center" wrapText="1"/>
    </xf>
    <xf numFmtId="177" fontId="22" fillId="8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Border="1">
      <alignment vertical="center"/>
    </xf>
    <xf numFmtId="0" fontId="0" fillId="5" borderId="0" xfId="0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>
      <alignment vertical="center"/>
    </xf>
    <xf numFmtId="177" fontId="4" fillId="0" borderId="0" xfId="0" applyNumberFormat="1" applyFont="1" applyFill="1" applyAlignment="1">
      <alignment horizontal="center" vertical="center"/>
    </xf>
    <xf numFmtId="178" fontId="4" fillId="2" borderId="12" xfId="0" applyNumberFormat="1" applyFont="1" applyFill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178" fontId="4" fillId="2" borderId="18" xfId="0" applyNumberFormat="1" applyFont="1" applyFill="1" applyBorder="1" applyAlignment="1">
      <alignment horizontal="center" vertical="center" wrapText="1"/>
    </xf>
    <xf numFmtId="178" fontId="4" fillId="2" borderId="5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77" fontId="4" fillId="2" borderId="5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77" fontId="4" fillId="0" borderId="0" xfId="0" applyNumberFormat="1" applyFont="1" applyFill="1" applyBorder="1" applyAlignment="1">
      <alignment horizontal="center" vertical="center" wrapText="1"/>
    </xf>
    <xf numFmtId="177" fontId="4" fillId="2" borderId="0" xfId="0" applyNumberFormat="1" applyFont="1" applyFill="1" applyBorder="1" applyAlignment="1">
      <alignment horizontal="center" vertical="center" wrapText="1"/>
    </xf>
    <xf numFmtId="177" fontId="35" fillId="2" borderId="0" xfId="0" applyNumberFormat="1" applyFont="1" applyFill="1" applyBorder="1" applyAlignment="1">
      <alignment horizontal="center" vertical="center" wrapText="1"/>
    </xf>
    <xf numFmtId="177" fontId="4" fillId="2" borderId="0" xfId="0" applyNumberFormat="1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35" fillId="0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58" fontId="46" fillId="0" borderId="1" xfId="0" applyNumberFormat="1" applyFont="1" applyFill="1" applyBorder="1" applyAlignment="1">
      <alignment horizontal="center" vertical="center"/>
    </xf>
    <xf numFmtId="0" fontId="46" fillId="0" borderId="1" xfId="0" applyFont="1" applyFill="1" applyBorder="1" applyAlignment="1">
      <alignment horizontal="center" vertical="center"/>
    </xf>
    <xf numFmtId="58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177" fontId="4" fillId="5" borderId="1" xfId="0" applyNumberFormat="1" applyFont="1" applyFill="1" applyBorder="1" applyAlignment="1">
      <alignment horizontal="center" vertical="center"/>
    </xf>
    <xf numFmtId="177" fontId="35" fillId="5" borderId="1" xfId="0" applyNumberFormat="1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/>
    </xf>
    <xf numFmtId="58" fontId="4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58" fontId="4" fillId="0" borderId="5" xfId="0" applyNumberFormat="1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6" fillId="0" borderId="5" xfId="0" applyFont="1" applyFill="1" applyBorder="1" applyAlignment="1">
      <alignment horizontal="center" vertical="center"/>
    </xf>
    <xf numFmtId="58" fontId="4" fillId="3" borderId="1" xfId="0" applyNumberFormat="1" applyFont="1" applyFill="1" applyBorder="1" applyAlignment="1">
      <alignment horizontal="center" vertical="center"/>
    </xf>
    <xf numFmtId="0" fontId="46" fillId="3" borderId="5" xfId="0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77" fontId="35" fillId="3" borderId="1" xfId="0" applyNumberFormat="1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77" fontId="46" fillId="0" borderId="1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58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58" fontId="4" fillId="0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58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7" fontId="46" fillId="2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77" fontId="35" fillId="2" borderId="1" xfId="0" applyNumberFormat="1" applyFont="1" applyFill="1" applyBorder="1" applyAlignment="1">
      <alignment horizontal="center" vertical="center"/>
    </xf>
    <xf numFmtId="0" fontId="46" fillId="2" borderId="1" xfId="0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7" fontId="46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7" fontId="13" fillId="0" borderId="0" xfId="0" applyNumberFormat="1" applyFont="1" applyAlignment="1">
      <alignment horizontal="center" vertical="center"/>
    </xf>
    <xf numFmtId="0" fontId="48" fillId="0" borderId="19" xfId="0" applyFont="1" applyFill="1" applyBorder="1" applyAlignment="1">
      <alignment horizontal="center" vertical="center"/>
    </xf>
    <xf numFmtId="0" fontId="48" fillId="0" borderId="0" xfId="0" applyFont="1" applyFill="1" applyAlignment="1">
      <alignment horizontal="center" vertical="center"/>
    </xf>
    <xf numFmtId="182" fontId="49" fillId="2" borderId="4" xfId="0" applyNumberFormat="1" applyFont="1" applyFill="1" applyBorder="1" applyAlignment="1">
      <alignment horizontal="center" vertical="center"/>
    </xf>
    <xf numFmtId="177" fontId="49" fillId="2" borderId="4" xfId="0" applyNumberFormat="1" applyFont="1" applyFill="1" applyBorder="1" applyAlignment="1">
      <alignment horizontal="center" vertical="center"/>
    </xf>
    <xf numFmtId="178" fontId="49" fillId="2" borderId="4" xfId="0" applyNumberFormat="1" applyFont="1" applyFill="1" applyBorder="1" applyAlignment="1">
      <alignment horizontal="center" vertical="center"/>
    </xf>
    <xf numFmtId="177" fontId="50" fillId="2" borderId="4" xfId="0" applyNumberFormat="1" applyFont="1" applyFill="1" applyBorder="1" applyAlignment="1">
      <alignment horizontal="center" vertical="center"/>
    </xf>
    <xf numFmtId="58" fontId="13" fillId="0" borderId="0" xfId="0" applyNumberFormat="1" applyFont="1" applyAlignment="1">
      <alignment horizontal="center" vertical="center"/>
    </xf>
    <xf numFmtId="0" fontId="51" fillId="0" borderId="1" xfId="0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182" fontId="51" fillId="0" borderId="1" xfId="0" applyNumberFormat="1" applyFont="1" applyFill="1" applyBorder="1" applyAlignment="1">
      <alignment horizontal="center" vertical="center" wrapText="1"/>
    </xf>
    <xf numFmtId="177" fontId="51" fillId="0" borderId="1" xfId="0" applyNumberFormat="1" applyFont="1" applyFill="1" applyBorder="1" applyAlignment="1">
      <alignment horizontal="center" vertical="center"/>
    </xf>
    <xf numFmtId="177" fontId="51" fillId="0" borderId="1" xfId="0" applyNumberFormat="1" applyFont="1" applyFill="1" applyBorder="1" applyAlignment="1">
      <alignment horizontal="center" vertical="center" wrapText="1"/>
    </xf>
    <xf numFmtId="177" fontId="13" fillId="0" borderId="1" xfId="0" applyNumberFormat="1" applyFont="1" applyBorder="1" applyAlignment="1">
      <alignment horizontal="center" vertical="center"/>
    </xf>
    <xf numFmtId="177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top" wrapText="1"/>
    </xf>
    <xf numFmtId="0" fontId="35" fillId="0" borderId="3" xfId="0" applyFont="1" applyFill="1" applyBorder="1" applyAlignment="1">
      <alignment horizontal="center" vertical="center"/>
    </xf>
    <xf numFmtId="0" fontId="52" fillId="0" borderId="1" xfId="0" applyNumberFormat="1" applyFont="1" applyFill="1" applyBorder="1" applyAlignment="1">
      <alignment horizontal="center" vertical="center" wrapText="1"/>
    </xf>
    <xf numFmtId="0" fontId="49" fillId="2" borderId="1" xfId="0" applyFont="1" applyFill="1" applyBorder="1" applyAlignment="1">
      <alignment horizontal="center" vertical="center"/>
    </xf>
    <xf numFmtId="178" fontId="49" fillId="2" borderId="1" xfId="0" applyNumberFormat="1" applyFont="1" applyFill="1" applyBorder="1" applyAlignment="1">
      <alignment horizontal="center" vertical="center"/>
    </xf>
    <xf numFmtId="177" fontId="49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53" fillId="0" borderId="19" xfId="0" applyFont="1" applyFill="1" applyBorder="1" applyAlignment="1">
      <alignment horizontal="center" vertical="center"/>
    </xf>
    <xf numFmtId="0" fontId="53" fillId="0" borderId="0" xfId="0" applyFont="1" applyFill="1" applyAlignment="1">
      <alignment horizontal="center" vertical="center"/>
    </xf>
    <xf numFmtId="182" fontId="43" fillId="2" borderId="4" xfId="0" applyNumberFormat="1" applyFont="1" applyFill="1" applyBorder="1" applyAlignment="1">
      <alignment horizontal="center" vertical="center"/>
    </xf>
    <xf numFmtId="177" fontId="43" fillId="2" borderId="4" xfId="0" applyNumberFormat="1" applyFont="1" applyFill="1" applyBorder="1" applyAlignment="1">
      <alignment horizontal="center" vertical="center"/>
    </xf>
    <xf numFmtId="10" fontId="43" fillId="2" borderId="4" xfId="0" applyNumberFormat="1" applyFont="1" applyFill="1" applyBorder="1" applyAlignment="1">
      <alignment horizontal="center" vertical="center"/>
    </xf>
    <xf numFmtId="182" fontId="35" fillId="0" borderId="1" xfId="0" applyNumberFormat="1" applyFont="1" applyFill="1" applyBorder="1" applyAlignment="1">
      <alignment horizontal="center" vertical="center" wrapText="1"/>
    </xf>
    <xf numFmtId="10" fontId="35" fillId="0" borderId="1" xfId="0" applyNumberFormat="1" applyFont="1" applyFill="1" applyBorder="1" applyAlignment="1">
      <alignment horizontal="center" vertical="center"/>
    </xf>
    <xf numFmtId="177" fontId="35" fillId="0" borderId="1" xfId="0" applyNumberFormat="1" applyFont="1" applyFill="1" applyBorder="1" applyAlignment="1">
      <alignment horizontal="center" vertical="center" wrapText="1"/>
    </xf>
    <xf numFmtId="177" fontId="35" fillId="0" borderId="5" xfId="0" applyNumberFormat="1" applyFont="1" applyFill="1" applyBorder="1" applyAlignment="1">
      <alignment horizontal="center" vertical="center" wrapText="1"/>
    </xf>
    <xf numFmtId="183" fontId="35" fillId="0" borderId="1" xfId="0" applyNumberFormat="1" applyFont="1" applyFill="1" applyBorder="1" applyAlignment="1">
      <alignment horizontal="center" vertical="center"/>
    </xf>
    <xf numFmtId="0" fontId="54" fillId="0" borderId="0" xfId="0" applyFont="1" applyFill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182" fontId="35" fillId="0" borderId="2" xfId="0" applyNumberFormat="1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182" fontId="35" fillId="5" borderId="1" xfId="0" applyNumberFormat="1" applyFont="1" applyFill="1" applyBorder="1" applyAlignment="1">
      <alignment horizontal="center" vertical="center" wrapText="1"/>
    </xf>
    <xf numFmtId="177" fontId="35" fillId="0" borderId="0" xfId="0" applyNumberFormat="1" applyFont="1" applyFill="1" applyBorder="1" applyAlignment="1">
      <alignment horizontal="center" vertical="center" wrapText="1"/>
    </xf>
    <xf numFmtId="178" fontId="0" fillId="0" borderId="0" xfId="0" applyNumberFormat="1" applyFill="1" applyAlignment="1">
      <alignment horizontal="center" vertical="center"/>
    </xf>
    <xf numFmtId="177" fontId="35" fillId="0" borderId="0" xfId="0" applyNumberFormat="1" applyFont="1" applyFill="1" applyAlignment="1">
      <alignment horizontal="center" vertical="center" wrapText="1"/>
    </xf>
    <xf numFmtId="0" fontId="43" fillId="2" borderId="1" xfId="0" applyFont="1" applyFill="1" applyBorder="1" applyAlignment="1">
      <alignment horizontal="center" vertical="center"/>
    </xf>
    <xf numFmtId="177" fontId="43" fillId="2" borderId="1" xfId="0" applyNumberFormat="1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 wrapText="1"/>
    </xf>
    <xf numFmtId="177" fontId="0" fillId="0" borderId="0" xfId="0" applyNumberFormat="1" applyBorder="1" applyAlignment="1">
      <alignment horizontal="center" vertical="center"/>
    </xf>
    <xf numFmtId="177" fontId="43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10" fontId="55" fillId="0" borderId="0" xfId="0" applyNumberFormat="1" applyFont="1" applyAlignment="1">
      <alignment horizontal="center" vertical="center"/>
    </xf>
    <xf numFmtId="182" fontId="43" fillId="2" borderId="1" xfId="0" applyNumberFormat="1" applyFont="1" applyFill="1" applyBorder="1" applyAlignment="1">
      <alignment horizontal="center" vertical="center"/>
    </xf>
    <xf numFmtId="177" fontId="43" fillId="2" borderId="1" xfId="0" applyNumberFormat="1" applyFont="1" applyFill="1" applyBorder="1" applyAlignment="1">
      <alignment horizontal="center" vertical="center"/>
    </xf>
    <xf numFmtId="10" fontId="43" fillId="2" borderId="1" xfId="0" applyNumberFormat="1" applyFont="1" applyFill="1" applyBorder="1" applyAlignment="1">
      <alignment horizontal="center" vertical="center"/>
    </xf>
    <xf numFmtId="177" fontId="34" fillId="0" borderId="0" xfId="0" applyNumberFormat="1" applyFont="1" applyFill="1" applyBorder="1" applyAlignment="1">
      <alignment horizontal="center" vertical="center"/>
    </xf>
    <xf numFmtId="0" fontId="43" fillId="2" borderId="3" xfId="0" applyFont="1" applyFill="1" applyBorder="1" applyAlignment="1">
      <alignment horizontal="center" vertical="center"/>
    </xf>
    <xf numFmtId="0" fontId="43" fillId="2" borderId="20" xfId="0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/>
    </xf>
    <xf numFmtId="0" fontId="56" fillId="8" borderId="19" xfId="0" applyFont="1" applyFill="1" applyBorder="1" applyAlignment="1">
      <alignment horizontal="center" vertical="center"/>
    </xf>
    <xf numFmtId="0" fontId="57" fillId="8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0" xfId="0" applyFill="1">
      <alignment vertical="center"/>
    </xf>
    <xf numFmtId="0" fontId="18" fillId="0" borderId="1" xfId="0" applyFont="1" applyBorder="1" applyAlignment="1">
      <alignment horizontal="center" vertical="center"/>
    </xf>
    <xf numFmtId="177" fontId="58" fillId="0" borderId="1" xfId="0" applyNumberFormat="1" applyFont="1" applyFill="1" applyBorder="1" applyAlignment="1">
      <alignment horizontal="center" vertical="center"/>
    </xf>
    <xf numFmtId="177" fontId="18" fillId="0" borderId="1" xfId="0" applyNumberFormat="1" applyFont="1" applyFill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0" fontId="59" fillId="0" borderId="0" xfId="0" applyFont="1" applyFill="1">
      <alignment vertical="center"/>
    </xf>
    <xf numFmtId="0" fontId="1" fillId="0" borderId="0" xfId="0" applyFont="1" applyFill="1">
      <alignment vertical="center"/>
    </xf>
    <xf numFmtId="177" fontId="5" fillId="0" borderId="2" xfId="0" applyNumberFormat="1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77" fontId="18" fillId="0" borderId="2" xfId="0" applyNumberFormat="1" applyFont="1" applyBorder="1" applyAlignment="1">
      <alignment horizontal="center" vertical="center"/>
    </xf>
    <xf numFmtId="177" fontId="0" fillId="0" borderId="0" xfId="0" applyNumberFormat="1" applyFill="1">
      <alignment vertical="center"/>
    </xf>
    <xf numFmtId="177" fontId="0" fillId="0" borderId="0" xfId="0" applyNumberFormat="1">
      <alignment vertical="center"/>
    </xf>
    <xf numFmtId="0" fontId="0" fillId="8" borderId="1" xfId="0" applyFill="1" applyBorder="1">
      <alignment vertical="center"/>
    </xf>
    <xf numFmtId="0" fontId="0" fillId="8" borderId="1" xfId="0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8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177" fontId="0" fillId="0" borderId="1" xfId="0" applyNumberFormat="1" applyBorder="1">
      <alignment vertical="center"/>
    </xf>
    <xf numFmtId="184" fontId="0" fillId="8" borderId="1" xfId="0" applyNumberFormat="1" applyFill="1" applyBorder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177" fontId="9" fillId="0" borderId="1" xfId="49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center" vertical="center"/>
    </xf>
    <xf numFmtId="0" fontId="60" fillId="0" borderId="1" xfId="0" applyFont="1" applyFill="1" applyBorder="1" applyAlignment="1">
      <alignment horizontal="center" vertical="center"/>
    </xf>
    <xf numFmtId="0" fontId="60" fillId="0" borderId="1" xfId="0" applyFont="1" applyFill="1" applyBorder="1" applyAlignment="1">
      <alignment horizontal="center" vertical="center" wrapText="1"/>
    </xf>
    <xf numFmtId="177" fontId="60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60" fillId="8" borderId="1" xfId="0" applyFont="1" applyFill="1" applyBorder="1" applyAlignment="1">
      <alignment horizontal="center" vertical="center"/>
    </xf>
    <xf numFmtId="177" fontId="60" fillId="8" borderId="1" xfId="0" applyNumberFormat="1" applyFont="1" applyFill="1" applyBorder="1" applyAlignment="1">
      <alignment horizontal="center" vertical="center"/>
    </xf>
    <xf numFmtId="177" fontId="61" fillId="0" borderId="0" xfId="0" applyNumberFormat="1" applyFont="1">
      <alignment vertical="center"/>
    </xf>
    <xf numFmtId="185" fontId="0" fillId="0" borderId="0" xfId="0" applyNumberFormat="1">
      <alignment vertical="center"/>
    </xf>
    <xf numFmtId="0" fontId="1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62" fillId="0" borderId="0" xfId="6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177" fontId="0" fillId="0" borderId="1" xfId="0" applyNumberFormat="1" applyFont="1" applyFill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177" fontId="0" fillId="0" borderId="1" xfId="3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4" fillId="0" borderId="1" xfId="0" applyNumberFormat="1" applyFont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30" fillId="0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B0F0"/>
      <color rgb="00FFC000"/>
      <color rgb="00ED7D31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externalLink" Target="externalLinks/externalLink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Documents\WeChat%20Files\wxid_rkhclzju2aa312\FileStorage\File\2024-06\&#36827;&#38144;&#23384;&#31649;&#29702;&#23562;&#20139;&#29256;K-&#31354;&#30333;&#29256;(&#21333;&#20215;&#25163;&#21160;&#24405;&#20837;)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产品信息"/>
      <sheetName val="基础信息"/>
      <sheetName val="供应商信息表"/>
      <sheetName val="客户信息表"/>
      <sheetName val="进货入库明细表"/>
      <sheetName val="资金收支登记"/>
      <sheetName val="销售出库明细表"/>
      <sheetName val="进项票登记"/>
      <sheetName val="销项票登记"/>
      <sheetName val="库存统计表"/>
      <sheetName val="销售利润"/>
      <sheetName val="公司利润表"/>
      <sheetName val="采购入库单"/>
      <sheetName val="销售出库单"/>
      <sheetName val="盘点报表"/>
      <sheetName val="供应商对账单"/>
      <sheetName val="客户对账单"/>
      <sheetName val="销售员对账单"/>
      <sheetName val="单品入库查询"/>
      <sheetName val="单品出库查询"/>
      <sheetName val="应收统计"/>
      <sheetName val="应付统计"/>
      <sheetName val="账户余额表"/>
      <sheetName val="账户明细查询"/>
      <sheetName val="收支统计表"/>
      <sheetName val="年度统计"/>
      <sheetName val="使用说明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67"/>
  <sheetViews>
    <sheetView topLeftCell="Y1" workbookViewId="0">
      <selection activeCell="AQ5" sqref="AQ5"/>
    </sheetView>
  </sheetViews>
  <sheetFormatPr defaultColWidth="9" defaultRowHeight="13.5"/>
  <cols>
    <col min="1" max="1" width="6.25" style="376" customWidth="1"/>
    <col min="2" max="4" width="9" style="376"/>
    <col min="5" max="5" width="11" style="376" customWidth="1"/>
    <col min="6" max="6" width="11.75" style="376" customWidth="1"/>
    <col min="7" max="7" width="15.625" style="376" customWidth="1"/>
    <col min="8" max="8" width="9" style="376"/>
    <col min="9" max="9" width="10.75" style="376" customWidth="1"/>
    <col min="10" max="10" width="14.875" style="376" customWidth="1"/>
    <col min="11" max="12" width="10.75" style="376" customWidth="1"/>
    <col min="13" max="13" width="13.75" style="376" customWidth="1"/>
    <col min="14" max="14" width="9.25" style="376"/>
    <col min="15" max="15" width="9.375" style="376"/>
    <col min="16" max="16" width="12.875" style="376" customWidth="1"/>
    <col min="17" max="17" width="9.25" style="376"/>
    <col min="18" max="18" width="12.25" style="376" customWidth="1"/>
    <col min="19" max="19" width="9.25" style="376"/>
    <col min="20" max="20" width="14.125" style="376"/>
    <col min="21" max="21" width="11.5" style="376"/>
    <col min="22" max="22" width="12.375" style="376" customWidth="1"/>
    <col min="23" max="23" width="9.25" style="376"/>
    <col min="24" max="24" width="13.25" style="376" customWidth="1"/>
    <col min="25" max="25" width="9.25" style="376"/>
    <col min="26" max="26" width="12.375" style="376" customWidth="1"/>
    <col min="27" max="27" width="9.25" style="376"/>
    <col min="28" max="28" width="12.125" style="376" customWidth="1"/>
    <col min="29" max="29" width="9.25" style="376"/>
    <col min="30" max="30" width="12.375" style="376" customWidth="1"/>
    <col min="31" max="31" width="9.25" style="376"/>
    <col min="32" max="32" width="13.75" style="376" customWidth="1"/>
    <col min="33" max="33" width="9.25" style="376"/>
    <col min="34" max="34" width="11.125" style="376" customWidth="1"/>
    <col min="35" max="35" width="9.25" style="376"/>
    <col min="36" max="36" width="15.25" style="376" customWidth="1"/>
    <col min="37" max="37" width="13" style="376" customWidth="1"/>
    <col min="38" max="38" width="14.25" style="376" customWidth="1"/>
    <col min="39" max="39" width="11.125" style="376" customWidth="1"/>
    <col min="40" max="40" width="13.625" style="376" customWidth="1"/>
    <col min="41" max="41" width="15.125" style="376" customWidth="1"/>
    <col min="42" max="42" width="14.625" style="376" customWidth="1"/>
    <col min="43" max="43" width="14.5" style="376" customWidth="1"/>
    <col min="44" max="16384" width="9" style="376"/>
  </cols>
  <sheetData>
    <row r="1" ht="20.25" spans="1:42">
      <c r="A1" s="589" t="s">
        <v>0</v>
      </c>
      <c r="B1" s="589"/>
      <c r="C1" s="589"/>
      <c r="D1" s="589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</row>
    <row r="2" spans="1:42">
      <c r="A2" s="137" t="s">
        <v>1</v>
      </c>
      <c r="B2" s="137"/>
      <c r="C2" s="137"/>
      <c r="D2" s="137"/>
      <c r="E2" s="590"/>
      <c r="F2" s="590"/>
      <c r="G2" s="591"/>
      <c r="H2" s="591"/>
      <c r="I2" s="591"/>
      <c r="J2" s="591"/>
      <c r="K2" s="591"/>
      <c r="L2" s="591"/>
      <c r="M2" s="591"/>
      <c r="N2" s="591"/>
      <c r="O2" s="591"/>
      <c r="P2" s="591"/>
      <c r="Q2" s="591"/>
      <c r="R2" s="591"/>
      <c r="S2" s="591"/>
      <c r="T2" s="591"/>
      <c r="U2" s="591"/>
      <c r="V2" s="591"/>
      <c r="W2" s="591"/>
      <c r="X2" s="591"/>
      <c r="Y2" s="591"/>
      <c r="Z2" s="137"/>
      <c r="AA2" s="592"/>
      <c r="AB2" s="592"/>
      <c r="AC2" s="592"/>
      <c r="AD2" s="592"/>
      <c r="AE2" s="592"/>
      <c r="AF2" s="592"/>
      <c r="AG2" s="592"/>
      <c r="AH2" s="592"/>
      <c r="AI2" s="592"/>
      <c r="AJ2" s="137"/>
      <c r="AK2" s="137"/>
      <c r="AL2" s="137"/>
      <c r="AM2" s="137"/>
      <c r="AN2" s="137"/>
      <c r="AO2" s="137"/>
      <c r="AP2" s="137"/>
    </row>
    <row r="3" spans="1:42">
      <c r="A3" s="593" t="s">
        <v>2</v>
      </c>
      <c r="B3" s="593" t="s">
        <v>3</v>
      </c>
      <c r="C3" s="593"/>
      <c r="D3" s="593" t="s">
        <v>4</v>
      </c>
      <c r="E3" s="593" t="s">
        <v>5</v>
      </c>
      <c r="F3" s="593" t="s">
        <v>6</v>
      </c>
      <c r="G3" s="593" t="s">
        <v>7</v>
      </c>
      <c r="H3" s="594" t="s">
        <v>8</v>
      </c>
      <c r="I3" s="594" t="s">
        <v>9</v>
      </c>
      <c r="J3" s="594" t="s">
        <v>10</v>
      </c>
      <c r="K3" s="595"/>
      <c r="L3" s="595"/>
      <c r="M3" s="594" t="s">
        <v>11</v>
      </c>
      <c r="N3" s="594" t="s">
        <v>12</v>
      </c>
      <c r="O3" s="594"/>
      <c r="P3" s="594" t="s">
        <v>13</v>
      </c>
      <c r="Q3" s="594" t="s">
        <v>14</v>
      </c>
      <c r="R3" s="596" t="s">
        <v>15</v>
      </c>
      <c r="S3" s="597"/>
      <c r="T3" s="597"/>
      <c r="U3" s="597"/>
      <c r="V3" s="597"/>
      <c r="W3" s="597"/>
      <c r="X3" s="597"/>
      <c r="Y3" s="597"/>
      <c r="Z3" s="597"/>
      <c r="AA3" s="598"/>
      <c r="AB3" s="593"/>
      <c r="AC3" s="593"/>
      <c r="AD3" s="599"/>
      <c r="AE3" s="599"/>
      <c r="AF3" s="599" t="s">
        <v>16</v>
      </c>
      <c r="AG3" s="593"/>
      <c r="AH3" s="599" t="s">
        <v>17</v>
      </c>
      <c r="AI3" s="593"/>
      <c r="AJ3" s="595" t="s">
        <v>18</v>
      </c>
      <c r="AK3" s="595" t="s">
        <v>19</v>
      </c>
      <c r="AL3" s="595" t="s">
        <v>20</v>
      </c>
      <c r="AM3" s="595" t="s">
        <v>21</v>
      </c>
      <c r="AN3" s="595" t="s">
        <v>22</v>
      </c>
      <c r="AO3" s="595" t="s">
        <v>23</v>
      </c>
      <c r="AP3" s="595" t="s">
        <v>24</v>
      </c>
    </row>
    <row r="4" ht="40.5" spans="1:42">
      <c r="A4" s="593"/>
      <c r="B4" s="593"/>
      <c r="C4" s="593" t="s">
        <v>25</v>
      </c>
      <c r="D4" s="593"/>
      <c r="E4" s="593"/>
      <c r="F4" s="593"/>
      <c r="G4" s="593"/>
      <c r="H4" s="594"/>
      <c r="I4" s="594"/>
      <c r="J4" s="594"/>
      <c r="K4" s="594" t="s">
        <v>26</v>
      </c>
      <c r="L4" s="594" t="s">
        <v>27</v>
      </c>
      <c r="M4" s="594"/>
      <c r="N4" s="594"/>
      <c r="O4" s="594" t="s">
        <v>28</v>
      </c>
      <c r="P4" s="594"/>
      <c r="Q4" s="594"/>
      <c r="R4" s="594" t="s">
        <v>29</v>
      </c>
      <c r="S4" s="594" t="s">
        <v>30</v>
      </c>
      <c r="T4" s="594" t="s">
        <v>31</v>
      </c>
      <c r="U4" s="594" t="s">
        <v>32</v>
      </c>
      <c r="V4" s="593" t="s">
        <v>33</v>
      </c>
      <c r="W4" s="594" t="s">
        <v>34</v>
      </c>
      <c r="X4" s="593" t="s">
        <v>35</v>
      </c>
      <c r="Y4" s="594" t="s">
        <v>36</v>
      </c>
      <c r="Z4" s="593" t="s">
        <v>37</v>
      </c>
      <c r="AA4" s="594" t="s">
        <v>38</v>
      </c>
      <c r="AB4" s="594" t="s">
        <v>39</v>
      </c>
      <c r="AC4" s="594" t="s">
        <v>40</v>
      </c>
      <c r="AD4" s="594" t="s">
        <v>41</v>
      </c>
      <c r="AE4" s="594" t="s">
        <v>42</v>
      </c>
      <c r="AF4" s="600"/>
      <c r="AG4" s="594" t="s">
        <v>43</v>
      </c>
      <c r="AH4" s="600"/>
      <c r="AI4" s="594" t="s">
        <v>44</v>
      </c>
      <c r="AJ4" s="601"/>
      <c r="AK4" s="601"/>
      <c r="AL4" s="601"/>
      <c r="AM4" s="601"/>
      <c r="AN4" s="601"/>
      <c r="AO4" s="601"/>
      <c r="AP4" s="601"/>
    </row>
    <row r="5" ht="19" customHeight="1" spans="1:42">
      <c r="A5" s="4">
        <v>1</v>
      </c>
      <c r="B5" s="494" t="s">
        <v>45</v>
      </c>
      <c r="C5" s="122" t="s">
        <v>46</v>
      </c>
      <c r="D5" s="4" t="s">
        <v>47</v>
      </c>
      <c r="E5" s="4" t="s">
        <v>48</v>
      </c>
      <c r="F5" s="122" t="s">
        <v>49</v>
      </c>
      <c r="G5" s="4" t="s">
        <v>50</v>
      </c>
      <c r="H5" s="515">
        <f>COUNTIFS(磅单!E:E,B5)</f>
        <v>1</v>
      </c>
      <c r="I5" s="4">
        <f>SUMIFS(磅单!L:L,磅单!E:E,B5)</f>
        <v>41.74</v>
      </c>
      <c r="J5" s="4">
        <f>SUMIFS(磅单!O:O,磅单!E:E,B5)</f>
        <v>2546.14</v>
      </c>
      <c r="K5" s="602">
        <f>SUMIFS(月汇总!Y:Y,月汇总!B:B,B5)</f>
        <v>15</v>
      </c>
      <c r="L5" s="602">
        <f>SUMIFS(月汇总!I:I,月汇总!B:B,B5,月汇总!C:C,F5)</f>
        <v>0</v>
      </c>
      <c r="M5" s="602">
        <f>SUMIFS(月汇总!J:J,月汇总!B:B,B5,月汇总!C:C,F5)</f>
        <v>1091.9085106383</v>
      </c>
      <c r="N5" s="603">
        <f t="shared" ref="N5:N65" si="0">M5/J5</f>
        <v>0.428848574955932</v>
      </c>
      <c r="O5" s="604">
        <f t="shared" ref="O5:O65" si="1">M5/H5</f>
        <v>1091.9085106383</v>
      </c>
      <c r="P5" s="602">
        <f>SUMIFS(月汇总!R:R,月汇总!B:B,B5)+SUMIFS(月汇总!S:S,月汇总!B:B,B5)</f>
        <v>600</v>
      </c>
      <c r="Q5" s="603">
        <f t="shared" ref="Q5:Q65" si="2">P5/J5</f>
        <v>0.235650828312662</v>
      </c>
      <c r="R5" s="4">
        <f>SUMIFS(月汇总!Q:Q,月汇总!B:B,B5)</f>
        <v>12500</v>
      </c>
      <c r="S5" s="603">
        <f t="shared" ref="S5:S65" si="3">R5/J5</f>
        <v>4.90939225651378</v>
      </c>
      <c r="T5" s="4">
        <f>SUMIFS(月汇总!N:N,月汇总!B:B,B5)</f>
        <v>220.881967213115</v>
      </c>
      <c r="U5" s="603"/>
      <c r="V5" s="602">
        <f>SUMIFS(月汇总!X:X,月汇总!B:B,B5)</f>
        <v>0</v>
      </c>
      <c r="W5" s="603">
        <f t="shared" ref="W5:W25" si="4">V5/J5</f>
        <v>0</v>
      </c>
      <c r="X5" s="4">
        <f>SUMIFS(月汇总!U:U,月汇总!B:B,B5)</f>
        <v>0</v>
      </c>
      <c r="Y5" s="603">
        <f t="shared" ref="Y5:Y65" si="5">X5/J5</f>
        <v>0</v>
      </c>
      <c r="Z5" s="4">
        <f>SUMIFS(月汇总!O:O,月汇总!B:B,B5)</f>
        <v>0</v>
      </c>
      <c r="AA5" s="603">
        <f t="shared" ref="AA5:AA65" si="6">Z5/J5</f>
        <v>0</v>
      </c>
      <c r="AB5" s="4">
        <f>SUMIFS(月汇总!T:T,月汇总!B:B,B5)</f>
        <v>0</v>
      </c>
      <c r="AC5" s="603">
        <f t="shared" ref="AC5:AC65" si="7">AB5/J5</f>
        <v>0</v>
      </c>
      <c r="AD5" s="604">
        <f>SUMIFS(月汇总!Z:Z,月汇总!B:B,B5)</f>
        <v>178.2298</v>
      </c>
      <c r="AE5" s="603">
        <f t="shared" ref="AE5:AE65" si="8">AD5/J5</f>
        <v>0.07</v>
      </c>
      <c r="AF5" s="602">
        <f>SUMIFS(月汇总!AC:AC,月汇总!B:B,B5)</f>
        <v>790.16393442623</v>
      </c>
      <c r="AG5" s="603">
        <f t="shared" ref="AG5:AG65" si="9">AF5/J5</f>
        <v>0.310337976083888</v>
      </c>
      <c r="AH5" s="602">
        <f>SUMIFS(月汇总!V:V,月汇总!B:B,B5)</f>
        <v>397.392459016393</v>
      </c>
      <c r="AI5" s="603">
        <f t="shared" ref="AI5:AI65" si="10">AH5/J5</f>
        <v>0.156076436887364</v>
      </c>
      <c r="AJ5" s="602">
        <f t="shared" ref="AJ5:AJ65" si="11">M5+P5+R5+T5+V5+X5+Z5+AB5+AD5+AF5+AH5</f>
        <v>15778.576671294</v>
      </c>
      <c r="AK5" s="4">
        <f>SUMIFS(月汇总!AA:AA,月汇总!B:B,B5)</f>
        <v>10600</v>
      </c>
      <c r="AL5" s="602">
        <f t="shared" ref="AL5:AL65" si="12">J5-K5-L5-AJ5-AK5</f>
        <v>-23847.436671294</v>
      </c>
      <c r="AM5" s="603">
        <f t="shared" ref="AM5:AM65" si="13">AL5/J5</f>
        <v>-9.3661136745403</v>
      </c>
      <c r="AN5" s="602">
        <f>SUMIFS(月汇总!AB:AB,月汇总!B:B,B5)</f>
        <v>3800</v>
      </c>
      <c r="AO5" s="602">
        <f>SUMIFS(月汇总!W:W,月汇总!B:B,B5)</f>
        <v>2666</v>
      </c>
      <c r="AP5" s="602">
        <f t="shared" ref="AP5:AP65" si="14">AL5-AN5-AO5</f>
        <v>-30313.436671294</v>
      </c>
    </row>
    <row r="6" ht="19" customHeight="1" spans="1:42">
      <c r="A6" s="4">
        <v>2</v>
      </c>
      <c r="B6" s="494" t="s">
        <v>51</v>
      </c>
      <c r="C6" s="122" t="s">
        <v>52</v>
      </c>
      <c r="D6" s="4" t="s">
        <v>47</v>
      </c>
      <c r="E6" s="4" t="s">
        <v>48</v>
      </c>
      <c r="F6" s="122" t="s">
        <v>53</v>
      </c>
      <c r="G6" s="4" t="s">
        <v>50</v>
      </c>
      <c r="H6" s="515">
        <f>COUNTIFS(磅单!E:E,B6)</f>
        <v>19</v>
      </c>
      <c r="I6" s="4">
        <f>SUMIFS(磅单!L:L,磅单!E:E,B6)</f>
        <v>805.2</v>
      </c>
      <c r="J6" s="4">
        <f>SUMIFS(磅单!O:O,磅单!E:E,B6)</f>
        <v>50229.42</v>
      </c>
      <c r="K6" s="602">
        <f>SUMIFS(月汇总!Y:Y,月汇总!B:B,B6)</f>
        <v>285</v>
      </c>
      <c r="L6" s="602">
        <f>SUMIFS(月汇总!I:I,月汇总!B:B,B6,月汇总!C:C,F6)</f>
        <v>0</v>
      </c>
      <c r="M6" s="602">
        <f>SUMIFS(月汇总!J:J,月汇总!B:B,B6,月汇总!C:C,F6)</f>
        <v>16063.7730606383</v>
      </c>
      <c r="N6" s="603">
        <f t="shared" si="0"/>
        <v>0.319808053938076</v>
      </c>
      <c r="O6" s="604">
        <f t="shared" si="1"/>
        <v>845.461740033595</v>
      </c>
      <c r="P6" s="602">
        <f>SUMIFS(月汇总!R:R,月汇总!B:B,B6)+SUMIFS(月汇总!S:S,月汇总!B:B,B6)</f>
        <v>11800</v>
      </c>
      <c r="Q6" s="603">
        <f t="shared" si="2"/>
        <v>0.234922083512013</v>
      </c>
      <c r="R6" s="4">
        <f>SUMIFS(月汇总!Q:Q,月汇总!B:B,B6)</f>
        <v>510</v>
      </c>
      <c r="S6" s="603">
        <f t="shared" si="3"/>
        <v>0.0101534120839938</v>
      </c>
      <c r="T6" s="4">
        <f>SUMIFS(月汇总!N:N,月汇总!B:B,B6)</f>
        <v>220.881967213115</v>
      </c>
      <c r="U6" s="603"/>
      <c r="V6" s="602">
        <f>SUMIFS(月汇总!X:X,月汇总!B:B,B6)</f>
        <v>0</v>
      </c>
      <c r="W6" s="603">
        <f t="shared" si="4"/>
        <v>0</v>
      </c>
      <c r="X6" s="4">
        <f>SUMIFS(月汇总!U:U,月汇总!B:B,B6)</f>
        <v>467</v>
      </c>
      <c r="Y6" s="603">
        <f t="shared" si="5"/>
        <v>0.00929734008475511</v>
      </c>
      <c r="Z6" s="4">
        <f>SUMIFS(月汇总!O:O,月汇总!B:B,B6)</f>
        <v>0</v>
      </c>
      <c r="AA6" s="603">
        <f t="shared" si="6"/>
        <v>0</v>
      </c>
      <c r="AB6" s="4">
        <f>SUMIFS(月汇总!T:T,月汇总!B:B,B6)</f>
        <v>120</v>
      </c>
      <c r="AC6" s="603">
        <f t="shared" si="7"/>
        <v>0.00238903813741031</v>
      </c>
      <c r="AD6" s="604">
        <f>SUMIFS(月汇总!Z:Z,月汇总!B:B,B6)</f>
        <v>3516.0594</v>
      </c>
      <c r="AE6" s="603">
        <f t="shared" si="8"/>
        <v>0.07</v>
      </c>
      <c r="AF6" s="602">
        <f>SUMIFS(月汇总!AC:AC,月汇总!B:B,B6)</f>
        <v>790.16393442623</v>
      </c>
      <c r="AG6" s="603">
        <f t="shared" si="9"/>
        <v>0.0157310981179203</v>
      </c>
      <c r="AH6" s="602">
        <f>SUMIFS(月汇总!V:V,月汇总!B:B,B6)</f>
        <v>397.392459016393</v>
      </c>
      <c r="AI6" s="603">
        <f t="shared" si="10"/>
        <v>0.00791154783424522</v>
      </c>
      <c r="AJ6" s="602">
        <f t="shared" si="11"/>
        <v>33885.270821294</v>
      </c>
      <c r="AK6" s="4">
        <f>SUMIFS(月汇总!AA:AA,月汇总!B:B,B6)</f>
        <v>10600</v>
      </c>
      <c r="AL6" s="602">
        <f t="shared" si="12"/>
        <v>5459.14917870596</v>
      </c>
      <c r="AM6" s="603">
        <f t="shared" si="13"/>
        <v>0.108684296547839</v>
      </c>
      <c r="AN6" s="602">
        <f>SUMIFS(月汇总!AB:AB,月汇总!B:B,B6)</f>
        <v>3800</v>
      </c>
      <c r="AO6" s="602">
        <f>SUMIFS(月汇总!W:W,月汇总!B:B,B6)</f>
        <v>2666</v>
      </c>
      <c r="AP6" s="602">
        <f t="shared" si="14"/>
        <v>-1006.85082129404</v>
      </c>
    </row>
    <row r="7" ht="19" customHeight="1" spans="1:42">
      <c r="A7" s="4">
        <v>3</v>
      </c>
      <c r="B7" s="494" t="s">
        <v>54</v>
      </c>
      <c r="C7" s="122" t="s">
        <v>55</v>
      </c>
      <c r="D7" s="4" t="s">
        <v>47</v>
      </c>
      <c r="E7" s="4" t="s">
        <v>48</v>
      </c>
      <c r="F7" s="122" t="s">
        <v>56</v>
      </c>
      <c r="G7" s="4" t="s">
        <v>50</v>
      </c>
      <c r="H7" s="515">
        <f>COUNTIFS(磅单!E:E,B7)</f>
        <v>21</v>
      </c>
      <c r="I7" s="4">
        <f>SUMIFS(磅单!L:L,磅单!E:E,B7)</f>
        <v>893.18</v>
      </c>
      <c r="J7" s="4">
        <f>SUMIFS(磅单!O:O,磅单!E:E,B7)</f>
        <v>55301.38</v>
      </c>
      <c r="K7" s="602">
        <f>SUMIFS(月汇总!Y:Y,月汇总!B:B,B7)</f>
        <v>315</v>
      </c>
      <c r="L7" s="602">
        <f>SUMIFS(月汇总!I:I,月汇总!B:B,B7,月汇总!C:C,F7)</f>
        <v>0</v>
      </c>
      <c r="M7" s="602">
        <f>SUMIFS(月汇总!J:J,月汇总!B:B,B7,月汇总!C:C,F7)</f>
        <v>17389.0206106383</v>
      </c>
      <c r="N7" s="603">
        <f t="shared" si="0"/>
        <v>0.314440988825926</v>
      </c>
      <c r="O7" s="604">
        <f t="shared" si="1"/>
        <v>828.048600506586</v>
      </c>
      <c r="P7" s="602">
        <f>SUMIFS(月汇总!R:R,月汇总!B:B,B7)+SUMIFS(月汇总!S:S,月汇总!B:B,B7)</f>
        <v>13200</v>
      </c>
      <c r="Q7" s="603">
        <f t="shared" si="2"/>
        <v>0.238692054339331</v>
      </c>
      <c r="R7" s="4">
        <f>SUMIFS(月汇总!Q:Q,月汇总!B:B,B7)</f>
        <v>800</v>
      </c>
      <c r="S7" s="603">
        <f t="shared" si="3"/>
        <v>0.0144661851114746</v>
      </c>
      <c r="T7" s="4">
        <f>SUMIFS(月汇总!N:N,月汇总!B:B,B7)</f>
        <v>220.881967213115</v>
      </c>
      <c r="U7" s="603"/>
      <c r="V7" s="602">
        <f>SUMIFS(月汇总!X:X,月汇总!B:B,B7)</f>
        <v>0</v>
      </c>
      <c r="W7" s="603">
        <f t="shared" si="4"/>
        <v>0</v>
      </c>
      <c r="X7" s="4">
        <f>SUMIFS(月汇总!U:U,月汇总!B:B,B7)</f>
        <v>544</v>
      </c>
      <c r="Y7" s="603">
        <f t="shared" si="5"/>
        <v>0.00983700587580274</v>
      </c>
      <c r="Z7" s="4">
        <f>SUMIFS(月汇总!O:O,月汇总!B:B,B7)</f>
        <v>7130</v>
      </c>
      <c r="AA7" s="603">
        <f t="shared" si="6"/>
        <v>0.128929874806018</v>
      </c>
      <c r="AB7" s="4">
        <f>SUMIFS(月汇总!T:T,月汇总!B:B,B7)</f>
        <v>400</v>
      </c>
      <c r="AC7" s="603">
        <f t="shared" si="7"/>
        <v>0.00723309255573731</v>
      </c>
      <c r="AD7" s="604">
        <f>SUMIFS(月汇总!Z:Z,月汇总!B:B,B7)</f>
        <v>3871.0966</v>
      </c>
      <c r="AE7" s="603">
        <f t="shared" si="8"/>
        <v>0.07</v>
      </c>
      <c r="AF7" s="602">
        <f>SUMIFS(月汇总!AC:AC,月汇总!B:B,B7)</f>
        <v>790.16393442623</v>
      </c>
      <c r="AG7" s="603">
        <f t="shared" si="9"/>
        <v>0.0142883221797762</v>
      </c>
      <c r="AH7" s="602">
        <f>SUMIFS(月汇总!V:V,月汇总!B:B,B7)</f>
        <v>397.392459016393</v>
      </c>
      <c r="AI7" s="603">
        <f t="shared" si="10"/>
        <v>0.00718594109254404</v>
      </c>
      <c r="AJ7" s="602">
        <f t="shared" si="11"/>
        <v>44742.555571294</v>
      </c>
      <c r="AK7" s="4">
        <f>SUMIFS(月汇总!AA:AA,月汇总!B:B,B7)</f>
        <v>10600</v>
      </c>
      <c r="AL7" s="602">
        <f t="shared" si="12"/>
        <v>-356.175571294036</v>
      </c>
      <c r="AM7" s="603">
        <f t="shared" si="13"/>
        <v>-0.00644062718315593</v>
      </c>
      <c r="AN7" s="602">
        <f>SUMIFS(月汇总!AB:AB,月汇总!B:B,B7)</f>
        <v>3800</v>
      </c>
      <c r="AO7" s="602">
        <f>SUMIFS(月汇总!W:W,月汇总!B:B,B7)</f>
        <v>2666</v>
      </c>
      <c r="AP7" s="602">
        <f t="shared" si="14"/>
        <v>-6822.17557129404</v>
      </c>
    </row>
    <row r="8" ht="19" customHeight="1" spans="1:42">
      <c r="A8" s="4">
        <v>4</v>
      </c>
      <c r="B8" s="37" t="s">
        <v>57</v>
      </c>
      <c r="C8" s="122" t="s">
        <v>58</v>
      </c>
      <c r="D8" s="4" t="s">
        <v>47</v>
      </c>
      <c r="E8" s="4" t="s">
        <v>48</v>
      </c>
      <c r="F8" s="122" t="s">
        <v>59</v>
      </c>
      <c r="G8" s="4" t="s">
        <v>50</v>
      </c>
      <c r="H8" s="515">
        <f>COUNTIFS(磅单!E:E,B8)</f>
        <v>19</v>
      </c>
      <c r="I8" s="4">
        <f>SUMIFS(磅单!L:L,磅单!E:E,B8)</f>
        <v>782.99</v>
      </c>
      <c r="J8" s="4">
        <f>SUMIFS(磅单!O:O,磅单!E:E,B8)</f>
        <v>46796.27</v>
      </c>
      <c r="K8" s="602">
        <f>SUMIFS(月汇总!Y:Y,月汇总!B:B,B8)</f>
        <v>285</v>
      </c>
      <c r="L8" s="602">
        <f>SUMIFS(月汇总!I:I,月汇总!B:B,B8,月汇总!C:C,F8)</f>
        <v>0</v>
      </c>
      <c r="M8" s="602">
        <f>SUMIFS(月汇总!J:J,月汇总!B:B,B8,月汇总!C:C,F8)</f>
        <v>15004.9035606383</v>
      </c>
      <c r="N8" s="603">
        <f t="shared" si="0"/>
        <v>0.320643152982883</v>
      </c>
      <c r="O8" s="604">
        <f t="shared" si="1"/>
        <v>789.731766349384</v>
      </c>
      <c r="P8" s="602">
        <f>SUMIFS(月汇总!R:R,月汇总!B:B,B8)+SUMIFS(月汇总!S:S,月汇总!B:B,B8)</f>
        <v>11600</v>
      </c>
      <c r="Q8" s="603">
        <f t="shared" si="2"/>
        <v>0.24788300435056</v>
      </c>
      <c r="R8" s="4">
        <f>SUMIFS(月汇总!Q:Q,月汇总!B:B,B8)</f>
        <v>1120</v>
      </c>
      <c r="S8" s="603">
        <f t="shared" si="3"/>
        <v>0.0239335314545369</v>
      </c>
      <c r="T8" s="4">
        <f>SUMIFS(月汇总!N:N,月汇总!B:B,B8)</f>
        <v>220.881967213115</v>
      </c>
      <c r="U8" s="603"/>
      <c r="V8" s="602">
        <f>SUMIFS(月汇总!X:X,月汇总!B:B,B8)</f>
        <v>0</v>
      </c>
      <c r="W8" s="603">
        <f t="shared" si="4"/>
        <v>0</v>
      </c>
      <c r="X8" s="4">
        <f>SUMIFS(月汇总!U:U,月汇总!B:B,B8)</f>
        <v>636</v>
      </c>
      <c r="Y8" s="603">
        <f t="shared" si="5"/>
        <v>0.0135908267902549</v>
      </c>
      <c r="Z8" s="4">
        <f>SUMIFS(月汇总!O:O,月汇总!B:B,B8)</f>
        <v>0</v>
      </c>
      <c r="AA8" s="603">
        <f t="shared" si="6"/>
        <v>0</v>
      </c>
      <c r="AB8" s="4">
        <f>SUMIFS(月汇总!T:T,月汇总!B:B,B8)</f>
        <v>440</v>
      </c>
      <c r="AC8" s="603">
        <f t="shared" si="7"/>
        <v>0.00940245878571091</v>
      </c>
      <c r="AD8" s="604">
        <f>SUMIFS(月汇总!Z:Z,月汇总!B:B,B8)</f>
        <v>3275.7389</v>
      </c>
      <c r="AE8" s="603">
        <f t="shared" si="8"/>
        <v>0.07</v>
      </c>
      <c r="AF8" s="602">
        <f>SUMIFS(月汇总!AC:AC,月汇总!B:B,B8)</f>
        <v>790.16393442623</v>
      </c>
      <c r="AG8" s="603">
        <f t="shared" si="9"/>
        <v>0.0168851905168132</v>
      </c>
      <c r="AH8" s="602">
        <f>SUMIFS(月汇总!V:V,月汇总!B:B,B8)</f>
        <v>397.392459016393</v>
      </c>
      <c r="AI8" s="603">
        <f t="shared" si="10"/>
        <v>0.00849196867648625</v>
      </c>
      <c r="AJ8" s="602">
        <f t="shared" si="11"/>
        <v>33485.080821294</v>
      </c>
      <c r="AK8" s="4">
        <f>SUMIFS(月汇总!AA:AA,月汇总!B:B,B8)</f>
        <v>10600</v>
      </c>
      <c r="AL8" s="602">
        <f t="shared" si="12"/>
        <v>2426.18917870596</v>
      </c>
      <c r="AM8" s="603">
        <f t="shared" si="13"/>
        <v>0.0518457812707286</v>
      </c>
      <c r="AN8" s="602">
        <f>SUMIFS(月汇总!AB:AB,月汇总!B:B,B8)</f>
        <v>3800</v>
      </c>
      <c r="AO8" s="602">
        <f>SUMIFS(月汇总!W:W,月汇总!B:B,B8)</f>
        <v>2666</v>
      </c>
      <c r="AP8" s="602">
        <f t="shared" si="14"/>
        <v>-4039.81082129404</v>
      </c>
    </row>
    <row r="9" ht="19" customHeight="1" spans="1:42">
      <c r="A9" s="4">
        <v>5</v>
      </c>
      <c r="B9" s="37" t="s">
        <v>60</v>
      </c>
      <c r="C9" s="74" t="s">
        <v>61</v>
      </c>
      <c r="D9" s="4" t="s">
        <v>47</v>
      </c>
      <c r="E9" s="4" t="s">
        <v>48</v>
      </c>
      <c r="F9" s="74" t="s">
        <v>62</v>
      </c>
      <c r="G9" s="4" t="s">
        <v>50</v>
      </c>
      <c r="H9" s="515">
        <f>COUNTIFS(磅单!E:E,B9)</f>
        <v>20</v>
      </c>
      <c r="I9" s="4">
        <f>SUMIFS(磅单!L:L,磅单!E:E,B9)</f>
        <v>820.18</v>
      </c>
      <c r="J9" s="4">
        <f>SUMIFS(磅单!O:O,磅单!E:E,B9)</f>
        <v>50875.58</v>
      </c>
      <c r="K9" s="602">
        <f>SUMIFS(月汇总!Y:Y,月汇总!B:B,B9)</f>
        <v>300</v>
      </c>
      <c r="L9" s="602">
        <f>SUMIFS(月汇总!I:I,月汇总!B:B,B9,月汇总!C:C,F9)</f>
        <v>50</v>
      </c>
      <c r="M9" s="602">
        <f>SUMIFS(月汇总!J:J,月汇总!B:B,B9,月汇总!C:C,F9)</f>
        <v>16613.9325106383</v>
      </c>
      <c r="N9" s="603">
        <f t="shared" si="0"/>
        <v>0.326560061047723</v>
      </c>
      <c r="O9" s="604">
        <f t="shared" si="1"/>
        <v>830.696625531915</v>
      </c>
      <c r="P9" s="602">
        <f>SUMIFS(月汇总!R:R,月汇总!B:B,B9)+SUMIFS(月汇总!S:S,月汇总!B:B,B9)</f>
        <v>12200</v>
      </c>
      <c r="Q9" s="603">
        <f t="shared" si="2"/>
        <v>0.239800705957554</v>
      </c>
      <c r="R9" s="4">
        <f>SUMIFS(月汇总!Q:Q,月汇总!B:B,B9)</f>
        <v>670</v>
      </c>
      <c r="S9" s="603">
        <f t="shared" si="3"/>
        <v>0.0131693830320952</v>
      </c>
      <c r="T9" s="4">
        <f>SUMIFS(月汇总!N:N,月汇总!B:B,B9)</f>
        <v>220.881967213115</v>
      </c>
      <c r="U9" s="603"/>
      <c r="V9" s="602">
        <f>SUMIFS(月汇总!X:X,月汇总!B:B,B9)</f>
        <v>0</v>
      </c>
      <c r="W9" s="603">
        <f t="shared" si="4"/>
        <v>0</v>
      </c>
      <c r="X9" s="4">
        <f>SUMIFS(月汇总!U:U,月汇总!B:B,B9)</f>
        <v>422</v>
      </c>
      <c r="Y9" s="603">
        <f t="shared" si="5"/>
        <v>0.00829474573066292</v>
      </c>
      <c r="Z9" s="4">
        <f>SUMIFS(月汇总!O:O,月汇总!B:B,B9)</f>
        <v>7130</v>
      </c>
      <c r="AA9" s="603">
        <f t="shared" si="6"/>
        <v>0.140145822416177</v>
      </c>
      <c r="AB9" s="4">
        <f>SUMIFS(月汇总!T:T,月汇总!B:B,B9)</f>
        <v>200</v>
      </c>
      <c r="AC9" s="603">
        <f t="shared" si="7"/>
        <v>0.00393115911405826</v>
      </c>
      <c r="AD9" s="604">
        <f>SUMIFS(月汇总!Z:Z,月汇总!B:B,B9)</f>
        <v>3561.2906</v>
      </c>
      <c r="AE9" s="603">
        <f t="shared" si="8"/>
        <v>0.07</v>
      </c>
      <c r="AF9" s="602">
        <f>SUMIFS(月汇总!AC:AC,月汇总!B:B,B9)</f>
        <v>790.16393442623</v>
      </c>
      <c r="AG9" s="603">
        <f t="shared" si="9"/>
        <v>0.015531300762099</v>
      </c>
      <c r="AH9" s="602">
        <f>SUMIFS(月汇总!V:V,月汇总!B:B,B9)</f>
        <v>397.392459016393</v>
      </c>
      <c r="AI9" s="603">
        <f t="shared" si="10"/>
        <v>0.00781106493560159</v>
      </c>
      <c r="AJ9" s="602">
        <f t="shared" si="11"/>
        <v>42205.661471294</v>
      </c>
      <c r="AK9" s="4">
        <f>SUMIFS(月汇总!AA:AA,月汇总!B:B,B9)</f>
        <v>10600</v>
      </c>
      <c r="AL9" s="602">
        <f t="shared" si="12"/>
        <v>-2280.08147129403</v>
      </c>
      <c r="AM9" s="603">
        <f t="shared" si="13"/>
        <v>-0.0448168152833645</v>
      </c>
      <c r="AN9" s="602">
        <f>SUMIFS(月汇总!AB:AB,月汇总!B:B,B9)</f>
        <v>3800</v>
      </c>
      <c r="AO9" s="602">
        <f>SUMIFS(月汇总!W:W,月汇总!B:B,B9)</f>
        <v>2666</v>
      </c>
      <c r="AP9" s="602">
        <f t="shared" si="14"/>
        <v>-8746.08147129403</v>
      </c>
    </row>
    <row r="10" ht="19" customHeight="1" spans="1:42">
      <c r="A10" s="4">
        <v>6</v>
      </c>
      <c r="B10" s="37" t="s">
        <v>63</v>
      </c>
      <c r="C10" s="37" t="s">
        <v>64</v>
      </c>
      <c r="D10" s="4" t="s">
        <v>47</v>
      </c>
      <c r="E10" s="4" t="s">
        <v>48</v>
      </c>
      <c r="F10" s="122" t="s">
        <v>65</v>
      </c>
      <c r="G10" s="4" t="s">
        <v>50</v>
      </c>
      <c r="H10" s="515">
        <f>COUNTIFS(磅单!E:E,B10)</f>
        <v>19</v>
      </c>
      <c r="I10" s="4">
        <f>SUMIFS(磅单!L:L,磅单!E:E,B10)</f>
        <v>769.79</v>
      </c>
      <c r="J10" s="4">
        <f>SUMIFS(磅单!O:O,磅单!E:E,B10)</f>
        <v>48095.53</v>
      </c>
      <c r="K10" s="602">
        <f>SUMIFS(月汇总!Y:Y,月汇总!B:B,B10)</f>
        <v>285</v>
      </c>
      <c r="L10" s="602">
        <f>SUMIFS(月汇总!I:I,月汇总!B:B,B10,月汇总!C:C,F10)</f>
        <v>0</v>
      </c>
      <c r="M10" s="602">
        <f>SUMIFS(月汇总!J:J,月汇总!B:B,B10,月汇总!C:C,F10)</f>
        <v>14132.4886106383</v>
      </c>
      <c r="N10" s="603">
        <f t="shared" si="0"/>
        <v>0.293842039179905</v>
      </c>
      <c r="O10" s="604">
        <f t="shared" si="1"/>
        <v>743.815190033595</v>
      </c>
      <c r="P10" s="602">
        <f>SUMIFS(月汇总!R:R,月汇总!B:B,B10)+SUMIFS(月汇总!S:S,月汇总!B:B,B10)</f>
        <v>11800</v>
      </c>
      <c r="Q10" s="603">
        <f t="shared" si="2"/>
        <v>0.24534504557908</v>
      </c>
      <c r="R10" s="4">
        <f>SUMIFS(月汇总!Q:Q,月汇总!B:B,B10)</f>
        <v>415</v>
      </c>
      <c r="S10" s="603">
        <f t="shared" si="3"/>
        <v>0.00862866050129815</v>
      </c>
      <c r="T10" s="4">
        <f>SUMIFS(月汇总!N:N,月汇总!B:B,B10)</f>
        <v>220.881967213115</v>
      </c>
      <c r="U10" s="603"/>
      <c r="V10" s="602">
        <f>SUMIFS(月汇总!X:X,月汇总!B:B,B10)</f>
        <v>0</v>
      </c>
      <c r="W10" s="603">
        <f t="shared" si="4"/>
        <v>0</v>
      </c>
      <c r="X10" s="4">
        <f>SUMIFS(月汇总!U:U,月汇总!B:B,B10)</f>
        <v>581</v>
      </c>
      <c r="Y10" s="603">
        <f t="shared" si="5"/>
        <v>0.0120801247018174</v>
      </c>
      <c r="Z10" s="4">
        <f>SUMIFS(月汇总!O:O,月汇总!B:B,B10)</f>
        <v>900</v>
      </c>
      <c r="AA10" s="603">
        <f t="shared" si="6"/>
        <v>0.0187127577136586</v>
      </c>
      <c r="AB10" s="4">
        <f>SUMIFS(月汇总!T:T,月汇总!B:B,B10)</f>
        <v>0</v>
      </c>
      <c r="AC10" s="603">
        <f t="shared" si="7"/>
        <v>0</v>
      </c>
      <c r="AD10" s="604">
        <f>SUMIFS(月汇总!Z:Z,月汇总!B:B,B10)</f>
        <v>3366.6871</v>
      </c>
      <c r="AE10" s="603">
        <f t="shared" si="8"/>
        <v>0.07</v>
      </c>
      <c r="AF10" s="602">
        <f>SUMIFS(月汇总!AC:AC,月汇总!B:B,B10)</f>
        <v>790.16393442623</v>
      </c>
      <c r="AG10" s="603">
        <f t="shared" si="9"/>
        <v>0.016429051398877</v>
      </c>
      <c r="AH10" s="602">
        <f>SUMIFS(月汇总!V:V,月汇总!B:B,B10)</f>
        <v>397.392459016393</v>
      </c>
      <c r="AI10" s="603">
        <f t="shared" si="10"/>
        <v>0.00826256533645421</v>
      </c>
      <c r="AJ10" s="602">
        <f t="shared" si="11"/>
        <v>32603.614071294</v>
      </c>
      <c r="AK10" s="4">
        <f>SUMIFS(月汇总!AA:AA,月汇总!B:B,B10)</f>
        <v>10600</v>
      </c>
      <c r="AL10" s="602">
        <f t="shared" si="12"/>
        <v>4606.91592870596</v>
      </c>
      <c r="AM10" s="603">
        <f t="shared" si="13"/>
        <v>0.0957867795345213</v>
      </c>
      <c r="AN10" s="602">
        <f>SUMIFS(月汇总!AB:AB,月汇总!B:B,B10)</f>
        <v>3800</v>
      </c>
      <c r="AO10" s="602">
        <f>SUMIFS(月汇总!W:W,月汇总!B:B,B10)</f>
        <v>2666</v>
      </c>
      <c r="AP10" s="602">
        <f t="shared" si="14"/>
        <v>-1859.08407129404</v>
      </c>
    </row>
    <row r="11" ht="19" customHeight="1" spans="1:42">
      <c r="A11" s="4">
        <v>7</v>
      </c>
      <c r="B11" s="37" t="s">
        <v>66</v>
      </c>
      <c r="C11" s="37" t="s">
        <v>67</v>
      </c>
      <c r="D11" s="4" t="s">
        <v>47</v>
      </c>
      <c r="E11" s="4" t="s">
        <v>48</v>
      </c>
      <c r="F11" s="122" t="s">
        <v>68</v>
      </c>
      <c r="G11" s="4" t="s">
        <v>50</v>
      </c>
      <c r="H11" s="515">
        <f>COUNTIFS(磅单!E:E,B11)</f>
        <v>18</v>
      </c>
      <c r="I11" s="4">
        <f>SUMIFS(磅单!L:L,磅单!E:E,B11)</f>
        <v>750.31</v>
      </c>
      <c r="J11" s="4">
        <f>SUMIFS(磅单!O:O,磅单!E:E,B11)</f>
        <v>46013.89</v>
      </c>
      <c r="K11" s="602">
        <f>SUMIFS(月汇总!Y:Y,月汇总!B:B,B11)</f>
        <v>270</v>
      </c>
      <c r="L11" s="602">
        <f>SUMIFS(月汇总!I:I,月汇总!B:B,B11,月汇总!C:C,F11)</f>
        <v>0</v>
      </c>
      <c r="M11" s="602">
        <f>SUMIFS(月汇总!J:J,月汇总!B:B,B11,月汇总!C:C,F11)</f>
        <v>15027.9501106383</v>
      </c>
      <c r="N11" s="603">
        <f t="shared" si="0"/>
        <v>0.326595949845542</v>
      </c>
      <c r="O11" s="604">
        <f t="shared" si="1"/>
        <v>834.886117257683</v>
      </c>
      <c r="P11" s="602">
        <f>SUMIFS(月汇总!R:R,月汇总!B:B,B11)+SUMIFS(月汇总!S:S,月汇总!B:B,B11)</f>
        <v>11800</v>
      </c>
      <c r="Q11" s="603">
        <f t="shared" si="2"/>
        <v>0.256444304100349</v>
      </c>
      <c r="R11" s="4">
        <f>SUMIFS(月汇总!Q:Q,月汇总!B:B,B11)</f>
        <v>50</v>
      </c>
      <c r="S11" s="603">
        <f t="shared" si="3"/>
        <v>0.00108662840720487</v>
      </c>
      <c r="T11" s="4">
        <f>SUMIFS(月汇总!N:N,月汇总!B:B,B11)</f>
        <v>220.881967213115</v>
      </c>
      <c r="U11" s="603"/>
      <c r="V11" s="602">
        <f>SUMIFS(月汇总!X:X,月汇总!B:B,B11)</f>
        <v>0</v>
      </c>
      <c r="W11" s="603">
        <f t="shared" si="4"/>
        <v>0</v>
      </c>
      <c r="X11" s="4">
        <f>SUMIFS(月汇总!U:U,月汇总!B:B,B11)</f>
        <v>480</v>
      </c>
      <c r="Y11" s="603">
        <f t="shared" si="5"/>
        <v>0.0104316327091667</v>
      </c>
      <c r="Z11" s="4">
        <f>SUMIFS(月汇总!O:O,月汇总!B:B,B11)</f>
        <v>900</v>
      </c>
      <c r="AA11" s="603">
        <f t="shared" si="6"/>
        <v>0.0195593113296876</v>
      </c>
      <c r="AB11" s="4">
        <f>SUMIFS(月汇总!T:T,月汇总!B:B,B11)</f>
        <v>210</v>
      </c>
      <c r="AC11" s="603">
        <f t="shared" si="7"/>
        <v>0.00456383931026045</v>
      </c>
      <c r="AD11" s="604">
        <f>SUMIFS(月汇总!Z:Z,月汇总!B:B,B11)</f>
        <v>3406.1335</v>
      </c>
      <c r="AE11" s="603">
        <f t="shared" si="8"/>
        <v>0.0740240283966428</v>
      </c>
      <c r="AF11" s="602">
        <f>SUMIFS(月汇总!AC:AC,月汇总!B:B,B11)</f>
        <v>790.16393442623</v>
      </c>
      <c r="AG11" s="603">
        <f t="shared" si="9"/>
        <v>0.0171722915499261</v>
      </c>
      <c r="AH11" s="602">
        <f>SUMIFS(月汇总!V:V,月汇总!B:B,B11)</f>
        <v>397.392459016393</v>
      </c>
      <c r="AI11" s="603">
        <f t="shared" si="10"/>
        <v>0.00863635869552419</v>
      </c>
      <c r="AJ11" s="602">
        <f t="shared" si="11"/>
        <v>33282.521971294</v>
      </c>
      <c r="AK11" s="4">
        <f>SUMIFS(月汇总!AA:AA,月汇总!B:B,B11)</f>
        <v>10600</v>
      </c>
      <c r="AL11" s="602">
        <f t="shared" si="12"/>
        <v>1861.36802870595</v>
      </c>
      <c r="AM11" s="603">
        <f t="shared" si="13"/>
        <v>0.0404523075250962</v>
      </c>
      <c r="AN11" s="602">
        <f>SUMIFS(月汇总!AB:AB,月汇总!B:B,B11)</f>
        <v>3800</v>
      </c>
      <c r="AO11" s="602">
        <f>SUMIFS(月汇总!W:W,月汇总!B:B,B11)</f>
        <v>2666</v>
      </c>
      <c r="AP11" s="602">
        <f t="shared" si="14"/>
        <v>-4604.63197129405</v>
      </c>
    </row>
    <row r="12" ht="19" customHeight="1" spans="1:42">
      <c r="A12" s="4">
        <v>8</v>
      </c>
      <c r="B12" s="37" t="s">
        <v>69</v>
      </c>
      <c r="C12" s="37" t="s">
        <v>70</v>
      </c>
      <c r="D12" s="4" t="s">
        <v>47</v>
      </c>
      <c r="E12" s="4" t="s">
        <v>48</v>
      </c>
      <c r="F12" s="122" t="s">
        <v>71</v>
      </c>
      <c r="G12" s="4" t="s">
        <v>50</v>
      </c>
      <c r="H12" s="515">
        <f>COUNTIFS(磅单!E:E,B12)</f>
        <v>22</v>
      </c>
      <c r="I12" s="4">
        <f>SUMIFS(磅单!L:L,磅单!E:E,B12)</f>
        <v>928.88</v>
      </c>
      <c r="J12" s="4">
        <f>SUMIFS(磅单!O:O,磅单!E:E,B12)</f>
        <v>58792.78</v>
      </c>
      <c r="K12" s="602">
        <f>SUMIFS(月汇总!Y:Y,月汇总!B:B,B12)</f>
        <v>330</v>
      </c>
      <c r="L12" s="602">
        <f>SUMIFS(月汇总!I:I,月汇总!B:B,B12,月汇总!C:C,F12)</f>
        <v>0</v>
      </c>
      <c r="M12" s="602">
        <f>SUMIFS(月汇总!J:J,月汇总!B:B,B12,月汇总!C:C,F12)</f>
        <v>16765.7484606383</v>
      </c>
      <c r="N12" s="603">
        <f t="shared" si="0"/>
        <v>0.285166791919659</v>
      </c>
      <c r="O12" s="604">
        <f t="shared" si="1"/>
        <v>762.079475483559</v>
      </c>
      <c r="P12" s="602">
        <f>SUMIFS(月汇总!R:R,月汇总!B:B,B12)+SUMIFS(月汇总!S:S,月汇总!B:B,B12)</f>
        <v>15000</v>
      </c>
      <c r="Q12" s="603">
        <f t="shared" si="2"/>
        <v>0.255133368417006</v>
      </c>
      <c r="R12" s="4">
        <f>SUMIFS(月汇总!Q:Q,月汇总!B:B,B12)</f>
        <v>1203</v>
      </c>
      <c r="S12" s="603">
        <f t="shared" si="3"/>
        <v>0.0204616961470439</v>
      </c>
      <c r="T12" s="4">
        <f>SUMIFS(月汇总!N:N,月汇总!B:B,B12)</f>
        <v>220.881967213115</v>
      </c>
      <c r="U12" s="603"/>
      <c r="V12" s="602">
        <f>SUMIFS(月汇总!X:X,月汇总!B:B,B12)</f>
        <v>0</v>
      </c>
      <c r="W12" s="603">
        <f t="shared" si="4"/>
        <v>0</v>
      </c>
      <c r="X12" s="4">
        <f>SUMIFS(月汇总!U:U,月汇总!B:B,B12)</f>
        <v>711</v>
      </c>
      <c r="Y12" s="603">
        <f t="shared" si="5"/>
        <v>0.0120933216629661</v>
      </c>
      <c r="Z12" s="4">
        <f>SUMIFS(月汇总!O:O,月汇总!B:B,B12)</f>
        <v>0</v>
      </c>
      <c r="AA12" s="603">
        <f t="shared" si="6"/>
        <v>0</v>
      </c>
      <c r="AB12" s="4">
        <f>SUMIFS(月汇总!T:T,月汇总!B:B,B12)</f>
        <v>420</v>
      </c>
      <c r="AC12" s="603">
        <f t="shared" si="7"/>
        <v>0.00714373431567618</v>
      </c>
      <c r="AD12" s="604">
        <f>SUMIFS(月汇总!Z:Z,月汇总!B:B,B12)</f>
        <v>4115.4946</v>
      </c>
      <c r="AE12" s="603">
        <f t="shared" si="8"/>
        <v>0.07</v>
      </c>
      <c r="AF12" s="602">
        <f>SUMIFS(月汇总!AC:AC,月汇总!B:B,B12)</f>
        <v>790.16393442623</v>
      </c>
      <c r="AG12" s="603">
        <f t="shared" si="9"/>
        <v>0.0134398124127866</v>
      </c>
      <c r="AH12" s="602">
        <f>SUMIFS(月汇总!V:V,月汇总!B:B,B12)</f>
        <v>397.392459016393</v>
      </c>
      <c r="AI12" s="603">
        <f t="shared" si="10"/>
        <v>0.00675920511015797</v>
      </c>
      <c r="AJ12" s="602">
        <f t="shared" si="11"/>
        <v>39623.681421294</v>
      </c>
      <c r="AK12" s="4">
        <f>SUMIFS(月汇总!AA:AA,月汇总!B:B,B12)</f>
        <v>10600</v>
      </c>
      <c r="AL12" s="602">
        <f t="shared" si="12"/>
        <v>8239.09857870595</v>
      </c>
      <c r="AM12" s="603">
        <f t="shared" si="13"/>
        <v>0.140137931540335</v>
      </c>
      <c r="AN12" s="602">
        <f>SUMIFS(月汇总!AB:AB,月汇总!B:B,B12)</f>
        <v>3800</v>
      </c>
      <c r="AO12" s="602">
        <f>SUMIFS(月汇总!W:W,月汇总!B:B,B12)</f>
        <v>2666</v>
      </c>
      <c r="AP12" s="602">
        <f t="shared" si="14"/>
        <v>1773.09857870595</v>
      </c>
    </row>
    <row r="13" ht="19" customHeight="1" spans="1:42">
      <c r="A13" s="4">
        <v>9</v>
      </c>
      <c r="B13" s="37" t="s">
        <v>72</v>
      </c>
      <c r="C13" s="37" t="s">
        <v>73</v>
      </c>
      <c r="D13" s="4" t="s">
        <v>47</v>
      </c>
      <c r="E13" s="4" t="s">
        <v>48</v>
      </c>
      <c r="F13" s="122" t="s">
        <v>74</v>
      </c>
      <c r="G13" s="4" t="s">
        <v>50</v>
      </c>
      <c r="H13" s="515">
        <f>COUNTIFS(磅单!E:E,B13)</f>
        <v>21</v>
      </c>
      <c r="I13" s="4">
        <f>SUMIFS(磅单!L:L,磅单!E:E,B13)</f>
        <v>874.61</v>
      </c>
      <c r="J13" s="4">
        <f>SUMIFS(磅单!O:O,磅单!E:E,B13)</f>
        <v>55429.23</v>
      </c>
      <c r="K13" s="602">
        <f>SUMIFS(月汇总!Y:Y,月汇总!B:B,B13)</f>
        <v>315</v>
      </c>
      <c r="L13" s="602">
        <f>SUMIFS(月汇总!I:I,月汇总!B:B,B13,月汇总!C:C,F13)</f>
        <v>0</v>
      </c>
      <c r="M13" s="602">
        <f>SUMIFS(月汇总!J:J,月汇总!B:B,B13,月汇总!C:C,F13)</f>
        <v>14114.0895606383</v>
      </c>
      <c r="N13" s="603">
        <f t="shared" si="0"/>
        <v>0.254632611000339</v>
      </c>
      <c r="O13" s="604">
        <f t="shared" si="1"/>
        <v>672.099502887538</v>
      </c>
      <c r="P13" s="602">
        <f>SUMIFS(月汇总!R:R,月汇总!B:B,B13)+SUMIFS(月汇总!S:S,月汇总!B:B,B13)</f>
        <v>13000</v>
      </c>
      <c r="Q13" s="603">
        <f t="shared" si="2"/>
        <v>0.23453329588017</v>
      </c>
      <c r="R13" s="4">
        <f>SUMIFS(月汇总!Q:Q,月汇总!B:B,B13)</f>
        <v>620</v>
      </c>
      <c r="S13" s="603">
        <f t="shared" si="3"/>
        <v>0.0111854341112081</v>
      </c>
      <c r="T13" s="4">
        <f>SUMIFS(月汇总!N:N,月汇总!B:B,B13)</f>
        <v>220.881967213115</v>
      </c>
      <c r="U13" s="603"/>
      <c r="V13" s="602">
        <f>SUMIFS(月汇总!X:X,月汇总!B:B,B13)</f>
        <v>0</v>
      </c>
      <c r="W13" s="603">
        <f t="shared" si="4"/>
        <v>0</v>
      </c>
      <c r="X13" s="4">
        <f>SUMIFS(月汇总!U:U,月汇总!B:B,B13)</f>
        <v>613</v>
      </c>
      <c r="Y13" s="603">
        <f t="shared" si="5"/>
        <v>0.011059146951888</v>
      </c>
      <c r="Z13" s="4">
        <f>SUMIFS(月汇总!O:O,月汇总!B:B,B13)</f>
        <v>0</v>
      </c>
      <c r="AA13" s="603">
        <f t="shared" si="6"/>
        <v>0</v>
      </c>
      <c r="AB13" s="4">
        <f>SUMIFS(月汇总!T:T,月汇总!B:B,B13)</f>
        <v>0</v>
      </c>
      <c r="AC13" s="603">
        <f t="shared" si="7"/>
        <v>0</v>
      </c>
      <c r="AD13" s="604">
        <f>SUMIFS(月汇总!Z:Z,月汇总!B:B,B13)</f>
        <v>3880.0461</v>
      </c>
      <c r="AE13" s="603">
        <f t="shared" si="8"/>
        <v>0.07</v>
      </c>
      <c r="AF13" s="602">
        <f>SUMIFS(月汇总!AC:AC,月汇总!B:B,B13)</f>
        <v>790.16393442623</v>
      </c>
      <c r="AG13" s="603">
        <f t="shared" si="9"/>
        <v>0.0142553655251251</v>
      </c>
      <c r="AH13" s="602">
        <f>SUMIFS(月汇总!V:V,月汇总!B:B,B13)</f>
        <v>397.392459016393</v>
      </c>
      <c r="AI13" s="603">
        <f t="shared" si="10"/>
        <v>0.00716936639777232</v>
      </c>
      <c r="AJ13" s="602">
        <f t="shared" si="11"/>
        <v>33635.574021294</v>
      </c>
      <c r="AK13" s="4">
        <f>SUMIFS(月汇总!AA:AA,月汇总!B:B,B13)</f>
        <v>10600</v>
      </c>
      <c r="AL13" s="602">
        <f t="shared" si="12"/>
        <v>10878.655978706</v>
      </c>
      <c r="AM13" s="603">
        <f t="shared" si="13"/>
        <v>0.196262080110187</v>
      </c>
      <c r="AN13" s="602">
        <f>SUMIFS(月汇总!AB:AB,月汇总!B:B,B13)</f>
        <v>3800</v>
      </c>
      <c r="AO13" s="602">
        <f>SUMIFS(月汇总!W:W,月汇总!B:B,B13)</f>
        <v>2666</v>
      </c>
      <c r="AP13" s="602">
        <f t="shared" si="14"/>
        <v>4412.65597870597</v>
      </c>
    </row>
    <row r="14" ht="19" customHeight="1" spans="1:42">
      <c r="A14" s="4">
        <v>10</v>
      </c>
      <c r="B14" s="37" t="s">
        <v>75</v>
      </c>
      <c r="C14" s="37" t="s">
        <v>76</v>
      </c>
      <c r="D14" s="4" t="s">
        <v>47</v>
      </c>
      <c r="E14" s="4" t="s">
        <v>48</v>
      </c>
      <c r="F14" s="122" t="s">
        <v>77</v>
      </c>
      <c r="G14" s="4" t="s">
        <v>50</v>
      </c>
      <c r="H14" s="515">
        <f>COUNTIFS(磅单!E:E,B14)</f>
        <v>16</v>
      </c>
      <c r="I14" s="4">
        <f>SUMIFS(磅单!L:L,磅单!E:E,B14)</f>
        <v>673.98</v>
      </c>
      <c r="J14" s="4">
        <f>SUMIFS(磅单!O:O,磅单!E:E,B14)</f>
        <v>44638.62</v>
      </c>
      <c r="K14" s="602">
        <f>SUMIFS(月汇总!Y:Y,月汇总!B:B,B14)</f>
        <v>240</v>
      </c>
      <c r="L14" s="602">
        <f>SUMIFS(月汇总!I:I,月汇总!B:B,B14,月汇总!C:C,F14)</f>
        <v>0</v>
      </c>
      <c r="M14" s="602">
        <f>SUMIFS(月汇总!J:J,月汇总!B:B,B14,月汇总!C:C,F14)</f>
        <v>15202.3654106383</v>
      </c>
      <c r="N14" s="603">
        <f t="shared" si="0"/>
        <v>0.340565308932899</v>
      </c>
      <c r="O14" s="604">
        <f t="shared" si="1"/>
        <v>950.147838164894</v>
      </c>
      <c r="P14" s="602">
        <f>SUMIFS(月汇总!R:R,月汇总!B:B,B14)+SUMIFS(月汇总!S:S,月汇总!B:B,B14)</f>
        <v>11400</v>
      </c>
      <c r="Q14" s="603">
        <f t="shared" si="2"/>
        <v>0.255384239028895</v>
      </c>
      <c r="R14" s="4">
        <f>SUMIFS(月汇总!Q:Q,月汇总!B:B,B14)</f>
        <v>370</v>
      </c>
      <c r="S14" s="603">
        <f t="shared" si="3"/>
        <v>0.00828878670532377</v>
      </c>
      <c r="T14" s="4">
        <f>SUMIFS(月汇总!N:N,月汇总!B:B,B14)</f>
        <v>220.881967213115</v>
      </c>
      <c r="U14" s="603"/>
      <c r="V14" s="602">
        <f>SUMIFS(月汇总!X:X,月汇总!B:B,B14)</f>
        <v>0</v>
      </c>
      <c r="W14" s="603">
        <f t="shared" si="4"/>
        <v>0</v>
      </c>
      <c r="X14" s="4">
        <f>SUMIFS(月汇总!U:U,月汇总!B:B,B14)</f>
        <v>3194</v>
      </c>
      <c r="Y14" s="603">
        <f t="shared" si="5"/>
        <v>0.0715523911805517</v>
      </c>
      <c r="Z14" s="4">
        <f>SUMIFS(月汇总!O:O,月汇总!B:B,B14)</f>
        <v>0</v>
      </c>
      <c r="AA14" s="603">
        <f t="shared" si="6"/>
        <v>0</v>
      </c>
      <c r="AB14" s="4">
        <f>SUMIFS(月汇总!T:T,月汇总!B:B,B14)</f>
        <v>0</v>
      </c>
      <c r="AC14" s="603">
        <f t="shared" si="7"/>
        <v>0</v>
      </c>
      <c r="AD14" s="604">
        <f>SUMIFS(月汇总!Z:Z,月汇总!B:B,B14)</f>
        <v>3124.7034</v>
      </c>
      <c r="AE14" s="603">
        <f t="shared" si="8"/>
        <v>0.07</v>
      </c>
      <c r="AF14" s="602">
        <f>SUMIFS(月汇总!AC:AC,月汇总!B:B,B14)</f>
        <v>790.16393442623</v>
      </c>
      <c r="AG14" s="603">
        <f t="shared" si="9"/>
        <v>0.0177013522018877</v>
      </c>
      <c r="AH14" s="602">
        <f>SUMIFS(月汇总!V:V,月汇总!B:B,B14)</f>
        <v>397.392459016393</v>
      </c>
      <c r="AI14" s="603">
        <f t="shared" si="10"/>
        <v>0.00890243602997569</v>
      </c>
      <c r="AJ14" s="602">
        <f t="shared" si="11"/>
        <v>34699.507171294</v>
      </c>
      <c r="AK14" s="4">
        <f>SUMIFS(月汇总!AA:AA,月汇总!B:B,B14)</f>
        <v>10600</v>
      </c>
      <c r="AL14" s="602">
        <f t="shared" si="12"/>
        <v>-900.887171294038</v>
      </c>
      <c r="AM14" s="603">
        <f t="shared" si="13"/>
        <v>-0.0201817881308615</v>
      </c>
      <c r="AN14" s="602">
        <f>SUMIFS(月汇总!AB:AB,月汇总!B:B,B14)</f>
        <v>3800</v>
      </c>
      <c r="AO14" s="602">
        <f>SUMIFS(月汇总!W:W,月汇总!B:B,B14)</f>
        <v>2666</v>
      </c>
      <c r="AP14" s="602">
        <f t="shared" si="14"/>
        <v>-7366.88717129404</v>
      </c>
    </row>
    <row r="15" ht="19" customHeight="1" spans="1:42">
      <c r="A15" s="4">
        <v>11</v>
      </c>
      <c r="B15" s="37" t="s">
        <v>78</v>
      </c>
      <c r="C15" s="37" t="s">
        <v>79</v>
      </c>
      <c r="D15" s="4" t="s">
        <v>47</v>
      </c>
      <c r="E15" s="4" t="s">
        <v>48</v>
      </c>
      <c r="F15" s="122" t="s">
        <v>80</v>
      </c>
      <c r="G15" s="4" t="s">
        <v>50</v>
      </c>
      <c r="H15" s="515">
        <f>COUNTIFS(磅单!E:E,B15)</f>
        <v>19</v>
      </c>
      <c r="I15" s="4">
        <f>SUMIFS(磅单!L:L,磅单!E:E,B15)</f>
        <v>798.41</v>
      </c>
      <c r="J15" s="4">
        <f>SUMIFS(磅单!O:O,磅单!E:E,B15)</f>
        <v>48640.05</v>
      </c>
      <c r="K15" s="602">
        <f>SUMIFS(月汇总!Y:Y,月汇总!B:B,B15)</f>
        <v>285</v>
      </c>
      <c r="L15" s="602">
        <f>SUMIFS(月汇总!I:I,月汇总!B:B,B15,月汇总!C:C,F15)</f>
        <v>0</v>
      </c>
      <c r="M15" s="602">
        <f>SUMIFS(月汇总!J:J,月汇总!B:B,B15,月汇总!C:C,F15)</f>
        <v>14817.4250106383</v>
      </c>
      <c r="N15" s="603">
        <f t="shared" si="0"/>
        <v>0.304634247099629</v>
      </c>
      <c r="O15" s="604">
        <f t="shared" si="1"/>
        <v>779.864474244121</v>
      </c>
      <c r="P15" s="602">
        <f>SUMIFS(月汇总!R:R,月汇总!B:B,B15)+SUMIFS(月汇总!S:S,月汇总!B:B,B15)</f>
        <v>11800</v>
      </c>
      <c r="Q15" s="603">
        <f t="shared" si="2"/>
        <v>0.242598434828912</v>
      </c>
      <c r="R15" s="4">
        <f>SUMIFS(月汇总!Q:Q,月汇总!B:B,B15)</f>
        <v>2190</v>
      </c>
      <c r="S15" s="603">
        <f t="shared" si="3"/>
        <v>0.0450246247690946</v>
      </c>
      <c r="T15" s="4">
        <f>SUMIFS(月汇总!N:N,月汇总!B:B,B15)</f>
        <v>220.881967213115</v>
      </c>
      <c r="U15" s="603"/>
      <c r="V15" s="602">
        <f>SUMIFS(月汇总!X:X,月汇总!B:B,B15)</f>
        <v>0</v>
      </c>
      <c r="W15" s="603">
        <f t="shared" si="4"/>
        <v>0</v>
      </c>
      <c r="X15" s="4">
        <f>SUMIFS(月汇总!U:U,月汇总!B:B,B15)</f>
        <v>395</v>
      </c>
      <c r="Y15" s="603">
        <f t="shared" si="5"/>
        <v>0.00812087980995086</v>
      </c>
      <c r="Z15" s="4">
        <f>SUMIFS(月汇总!O:O,月汇总!B:B,B15)</f>
        <v>50</v>
      </c>
      <c r="AA15" s="603">
        <f t="shared" si="6"/>
        <v>0.00102795946961403</v>
      </c>
      <c r="AB15" s="4">
        <f>SUMIFS(月汇总!T:T,月汇总!B:B,B15)</f>
        <v>200</v>
      </c>
      <c r="AC15" s="603">
        <f t="shared" si="7"/>
        <v>0.00411183787845613</v>
      </c>
      <c r="AD15" s="604">
        <f>SUMIFS(月汇总!Z:Z,月汇总!B:B,B15)</f>
        <v>3404.8035</v>
      </c>
      <c r="AE15" s="603">
        <f t="shared" si="8"/>
        <v>0.07</v>
      </c>
      <c r="AF15" s="602">
        <f>SUMIFS(月汇总!AC:AC,月汇总!B:B,B15)</f>
        <v>790.16393442623</v>
      </c>
      <c r="AG15" s="603">
        <f t="shared" si="9"/>
        <v>0.0162451299788185</v>
      </c>
      <c r="AH15" s="602">
        <f>SUMIFS(月汇总!V:V,月汇总!B:B,B15)</f>
        <v>397.392459016393</v>
      </c>
      <c r="AI15" s="603">
        <f t="shared" si="10"/>
        <v>0.00817006682798216</v>
      </c>
      <c r="AJ15" s="602">
        <f t="shared" si="11"/>
        <v>34265.666871294</v>
      </c>
      <c r="AK15" s="4">
        <f>SUMIFS(月汇总!AA:AA,月汇总!B:B,B15)</f>
        <v>10600</v>
      </c>
      <c r="AL15" s="602">
        <f t="shared" si="12"/>
        <v>3489.38312870595</v>
      </c>
      <c r="AM15" s="603">
        <f t="shared" si="13"/>
        <v>0.0717388886052944</v>
      </c>
      <c r="AN15" s="602">
        <f>SUMIFS(月汇总!AB:AB,月汇总!B:B,B15)</f>
        <v>3800</v>
      </c>
      <c r="AO15" s="602">
        <f>SUMIFS(月汇总!W:W,月汇总!B:B,B15)</f>
        <v>2666</v>
      </c>
      <c r="AP15" s="602">
        <f t="shared" si="14"/>
        <v>-2976.61687129405</v>
      </c>
    </row>
    <row r="16" ht="19" customHeight="1" spans="1:42">
      <c r="A16" s="4">
        <v>12</v>
      </c>
      <c r="B16" s="37" t="s">
        <v>81</v>
      </c>
      <c r="C16" s="37" t="s">
        <v>82</v>
      </c>
      <c r="D16" s="4" t="s">
        <v>47</v>
      </c>
      <c r="E16" s="4" t="s">
        <v>48</v>
      </c>
      <c r="F16" s="122" t="s">
        <v>83</v>
      </c>
      <c r="G16" s="4" t="s">
        <v>50</v>
      </c>
      <c r="H16" s="515">
        <f>COUNTIFS(磅单!E:E,B16)</f>
        <v>25</v>
      </c>
      <c r="I16" s="4">
        <f>SUMIFS(磅单!L:L,磅单!E:E,B16)</f>
        <v>1015.87</v>
      </c>
      <c r="J16" s="4">
        <f>SUMIFS(磅单!O:O,磅单!E:E,B16)</f>
        <v>64387.11</v>
      </c>
      <c r="K16" s="602">
        <f>SUMIFS(月汇总!Y:Y,月汇总!B:B,B16)</f>
        <v>375</v>
      </c>
      <c r="L16" s="602">
        <f>SUMIFS(月汇总!I:I,月汇总!B:B,B16,月汇总!C:C,F16)</f>
        <v>0</v>
      </c>
      <c r="M16" s="602">
        <f>SUMIFS(月汇总!J:J,月汇总!B:B,B16,月汇总!C:C,F16)</f>
        <v>20084.7349106383</v>
      </c>
      <c r="N16" s="603">
        <f t="shared" si="0"/>
        <v>0.311937201570909</v>
      </c>
      <c r="O16" s="604">
        <f t="shared" si="1"/>
        <v>803.389396425532</v>
      </c>
      <c r="P16" s="602">
        <f>SUMIFS(月汇总!R:R,月汇总!B:B,B16)+SUMIFS(月汇总!S:S,月汇总!B:B,B16)</f>
        <v>15600</v>
      </c>
      <c r="Q16" s="603">
        <f t="shared" si="2"/>
        <v>0.242284519370414</v>
      </c>
      <c r="R16" s="4">
        <f>SUMIFS(月汇总!Q:Q,月汇总!B:B,B16)</f>
        <v>2396</v>
      </c>
      <c r="S16" s="603">
        <f t="shared" si="3"/>
        <v>0.0372124172058662</v>
      </c>
      <c r="T16" s="4">
        <f>SUMIFS(月汇总!N:N,月汇总!B:B,B16)</f>
        <v>220.881967213115</v>
      </c>
      <c r="U16" s="603"/>
      <c r="V16" s="602">
        <f>SUMIFS(月汇总!X:X,月汇总!B:B,B16)</f>
        <v>0</v>
      </c>
      <c r="W16" s="603">
        <f t="shared" si="4"/>
        <v>0</v>
      </c>
      <c r="X16" s="4">
        <f>SUMIFS(月汇总!U:U,月汇总!B:B,B16)</f>
        <v>606</v>
      </c>
      <c r="Y16" s="603">
        <f t="shared" si="5"/>
        <v>0.00941182171400456</v>
      </c>
      <c r="Z16" s="4">
        <f>SUMIFS(月汇总!O:O,月汇总!B:B,B16)</f>
        <v>950</v>
      </c>
      <c r="AA16" s="603">
        <f t="shared" si="6"/>
        <v>0.0147545059873009</v>
      </c>
      <c r="AB16" s="4">
        <f>SUMIFS(月汇总!T:T,月汇总!B:B,B16)</f>
        <v>220</v>
      </c>
      <c r="AC16" s="603">
        <f t="shared" si="7"/>
        <v>0.0034168329654802</v>
      </c>
      <c r="AD16" s="604">
        <f>SUMIFS(月汇总!Z:Z,月汇总!B:B,B16)</f>
        <v>4507.0977</v>
      </c>
      <c r="AE16" s="603">
        <f t="shared" si="8"/>
        <v>0.07</v>
      </c>
      <c r="AF16" s="602">
        <f>SUMIFS(月汇总!AC:AC,月汇总!B:B,B16)</f>
        <v>790.16393442623</v>
      </c>
      <c r="AG16" s="603">
        <f t="shared" si="9"/>
        <v>0.0122720826330958</v>
      </c>
      <c r="AH16" s="602">
        <f>SUMIFS(月汇总!V:V,月汇总!B:B,B16)</f>
        <v>397.392459016393</v>
      </c>
      <c r="AI16" s="603">
        <f t="shared" si="10"/>
        <v>0.00617192570091115</v>
      </c>
      <c r="AJ16" s="602">
        <f t="shared" si="11"/>
        <v>45772.270971294</v>
      </c>
      <c r="AK16" s="4">
        <f>SUMIFS(月汇总!AA:AA,月汇总!B:B,B16)</f>
        <v>10600</v>
      </c>
      <c r="AL16" s="602">
        <f t="shared" si="12"/>
        <v>7639.83902870597</v>
      </c>
      <c r="AM16" s="603">
        <f t="shared" si="13"/>
        <v>0.118654790201113</v>
      </c>
      <c r="AN16" s="602">
        <f>SUMIFS(月汇总!AB:AB,月汇总!B:B,B16)</f>
        <v>3800</v>
      </c>
      <c r="AO16" s="602">
        <f>SUMIFS(月汇总!W:W,月汇总!B:B,B16)</f>
        <v>2666</v>
      </c>
      <c r="AP16" s="602">
        <f t="shared" si="14"/>
        <v>1173.83902870597</v>
      </c>
    </row>
    <row r="17" ht="19" customHeight="1" spans="1:43">
      <c r="A17" s="4">
        <v>13</v>
      </c>
      <c r="B17" s="37" t="s">
        <v>84</v>
      </c>
      <c r="C17" s="37" t="s">
        <v>85</v>
      </c>
      <c r="D17" s="4" t="s">
        <v>47</v>
      </c>
      <c r="E17" s="4" t="s">
        <v>48</v>
      </c>
      <c r="F17" s="122" t="s">
        <v>86</v>
      </c>
      <c r="G17" s="4" t="s">
        <v>50</v>
      </c>
      <c r="H17" s="515">
        <f>COUNTIFS(磅单!E:E,B17)</f>
        <v>18</v>
      </c>
      <c r="I17" s="4">
        <f>SUMIFS(磅单!L:L,磅单!E:E,B17)</f>
        <v>736.31</v>
      </c>
      <c r="J17" s="4">
        <f>SUMIFS(磅单!O:O,磅单!E:E,B17)</f>
        <v>45586.49</v>
      </c>
      <c r="K17" s="602">
        <f>SUMIFS(月汇总!Y:Y,月汇总!B:B,B17)</f>
        <v>270</v>
      </c>
      <c r="L17" s="602">
        <f>SUMIFS(月汇总!I:I,月汇总!B:B,B17,月汇总!C:C,F17)</f>
        <v>0</v>
      </c>
      <c r="M17" s="602">
        <f>SUMIFS(月汇总!J:J,月汇总!B:B,B17,月汇总!C:C,F17)</f>
        <v>14244.5237606383</v>
      </c>
      <c r="N17" s="603">
        <f t="shared" si="0"/>
        <v>0.312472483857351</v>
      </c>
      <c r="O17" s="604">
        <f t="shared" si="1"/>
        <v>791.362431146572</v>
      </c>
      <c r="P17" s="602">
        <f>SUMIFS(月汇总!R:R,月汇总!B:B,B17)+SUMIFS(月汇总!S:S,月汇总!B:B,B17)</f>
        <v>11200</v>
      </c>
      <c r="Q17" s="603">
        <f t="shared" si="2"/>
        <v>0.245686825197553</v>
      </c>
      <c r="R17" s="4">
        <f>SUMIFS(月汇总!Q:Q,月汇总!B:B,B17)</f>
        <v>720</v>
      </c>
      <c r="S17" s="603">
        <f t="shared" si="3"/>
        <v>0.0157941530484141</v>
      </c>
      <c r="T17" s="4">
        <f>SUMIFS(月汇总!N:N,月汇总!B:B,B17)</f>
        <v>220.881967213115</v>
      </c>
      <c r="U17" s="603"/>
      <c r="V17" s="602">
        <f>SUMIFS(月汇总!X:X,月汇总!B:B,B17)</f>
        <v>0</v>
      </c>
      <c r="W17" s="603">
        <f t="shared" si="4"/>
        <v>0</v>
      </c>
      <c r="X17" s="4">
        <f>SUMIFS(月汇总!U:U,月汇总!B:B,B17)</f>
        <v>370.5</v>
      </c>
      <c r="Y17" s="603">
        <f t="shared" si="5"/>
        <v>0.00812740792282977</v>
      </c>
      <c r="Z17" s="4">
        <f>SUMIFS(月汇总!O:O,月汇总!B:B,B17)</f>
        <v>0</v>
      </c>
      <c r="AA17" s="603">
        <f t="shared" si="6"/>
        <v>0</v>
      </c>
      <c r="AB17" s="4">
        <f>SUMIFS(月汇总!T:T,月汇总!B:B,B17)</f>
        <v>20</v>
      </c>
      <c r="AC17" s="603">
        <f t="shared" si="7"/>
        <v>0.000438726473567059</v>
      </c>
      <c r="AD17" s="604">
        <f>SUMIFS(月汇总!Z:Z,月汇总!B:B,B17)</f>
        <v>3191.0543</v>
      </c>
      <c r="AE17" s="603">
        <f t="shared" si="8"/>
        <v>0.07</v>
      </c>
      <c r="AF17" s="602">
        <f>SUMIFS(月汇总!AC:AC,月汇总!B:B,B17)</f>
        <v>790.16393442623</v>
      </c>
      <c r="AG17" s="603">
        <f t="shared" si="9"/>
        <v>0.0173332918245346</v>
      </c>
      <c r="AH17" s="602">
        <f>SUMIFS(月汇总!V:V,月汇总!B:B,B17)</f>
        <v>397.392459016393</v>
      </c>
      <c r="AI17" s="603">
        <f t="shared" si="10"/>
        <v>0.00871732960832021</v>
      </c>
      <c r="AJ17" s="602">
        <f t="shared" si="11"/>
        <v>31154.516421294</v>
      </c>
      <c r="AK17" s="4">
        <f>SUMIFS(月汇总!AA:AA,月汇总!B:B,B17)</f>
        <v>10600</v>
      </c>
      <c r="AL17" s="602">
        <f t="shared" si="12"/>
        <v>3561.97357870596</v>
      </c>
      <c r="AM17" s="603">
        <f t="shared" si="13"/>
        <v>0.0781366053562352</v>
      </c>
      <c r="AN17" s="602">
        <f>SUMIFS(月汇总!AB:AB,月汇总!B:B,B17)</f>
        <v>3800</v>
      </c>
      <c r="AO17" s="602">
        <f>SUMIFS(月汇总!W:W,月汇总!B:B,B17)</f>
        <v>2666</v>
      </c>
      <c r="AP17" s="602">
        <f t="shared" si="14"/>
        <v>-2904.02642129404</v>
      </c>
    </row>
    <row r="18" ht="19" customHeight="1" spans="1:43">
      <c r="A18" s="4">
        <v>14</v>
      </c>
      <c r="B18" s="37" t="s">
        <v>87</v>
      </c>
      <c r="C18" s="37" t="s">
        <v>88</v>
      </c>
      <c r="D18" s="4" t="s">
        <v>47</v>
      </c>
      <c r="E18" s="4" t="s">
        <v>48</v>
      </c>
      <c r="F18" s="122" t="s">
        <v>89</v>
      </c>
      <c r="G18" s="4" t="s">
        <v>50</v>
      </c>
      <c r="H18" s="515">
        <f>COUNTIFS(磅单!E:E,B18)</f>
        <v>19</v>
      </c>
      <c r="I18" s="4">
        <f>SUMIFS(磅单!L:L,磅单!E:E,B18)</f>
        <v>799.74</v>
      </c>
      <c r="J18" s="4">
        <f>SUMIFS(磅单!O:O,磅单!E:E,B18)</f>
        <v>52459.52</v>
      </c>
      <c r="K18" s="602">
        <f>SUMIFS(月汇总!Y:Y,月汇总!B:B,B18)</f>
        <v>285</v>
      </c>
      <c r="L18" s="602">
        <f>SUMIFS(月汇总!I:I,月汇总!B:B,B18,月汇总!C:C,F18)</f>
        <v>0</v>
      </c>
      <c r="M18" s="602">
        <f>SUMIFS(月汇总!J:J,月汇总!B:B,B18,月汇总!C:C,F18)</f>
        <v>14653.4061106383</v>
      </c>
      <c r="N18" s="603">
        <f t="shared" si="0"/>
        <v>0.279327872436467</v>
      </c>
      <c r="O18" s="604">
        <f t="shared" si="1"/>
        <v>771.23190055991</v>
      </c>
      <c r="P18" s="602">
        <f>SUMIFS(月汇总!R:R,月汇总!B:B,B18)+SUMIFS(月汇总!S:S,月汇总!B:B,B18)</f>
        <v>12200</v>
      </c>
      <c r="Q18" s="603">
        <f t="shared" si="2"/>
        <v>0.232560267421433</v>
      </c>
      <c r="R18" s="4">
        <f>SUMIFS(月汇总!Q:Q,月汇总!B:B,B18)</f>
        <v>1350</v>
      </c>
      <c r="S18" s="603">
        <f t="shared" si="3"/>
        <v>0.0257341279523717</v>
      </c>
      <c r="T18" s="4">
        <f>SUMIFS(月汇总!N:N,月汇总!B:B,B18)</f>
        <v>220.881967213115</v>
      </c>
      <c r="U18" s="603"/>
      <c r="V18" s="602">
        <f>SUMIFS(月汇总!X:X,月汇总!B:B,B18)</f>
        <v>0</v>
      </c>
      <c r="W18" s="603">
        <f t="shared" si="4"/>
        <v>0</v>
      </c>
      <c r="X18" s="4">
        <f>SUMIFS(月汇总!U:U,月汇总!B:B,B18)</f>
        <v>355</v>
      </c>
      <c r="Y18" s="603">
        <f t="shared" si="5"/>
        <v>0.00676712253562366</v>
      </c>
      <c r="Z18" s="4">
        <f>SUMIFS(月汇总!O:O,月汇总!B:B,B18)</f>
        <v>6080</v>
      </c>
      <c r="AA18" s="603">
        <f t="shared" si="6"/>
        <v>0.115898887370681</v>
      </c>
      <c r="AB18" s="4">
        <f>SUMIFS(月汇总!T:T,月汇总!B:B,B18)</f>
        <v>20</v>
      </c>
      <c r="AC18" s="603">
        <f t="shared" si="7"/>
        <v>0.000381246340035136</v>
      </c>
      <c r="AD18" s="604">
        <f>SUMIFS(月汇总!Z:Z,月汇总!B:B,B18)</f>
        <v>3672.1664</v>
      </c>
      <c r="AE18" s="603">
        <f t="shared" si="8"/>
        <v>0.07</v>
      </c>
      <c r="AF18" s="602">
        <f>SUMIFS(月汇总!AC:AC,月汇总!B:B,B18)</f>
        <v>790.16393442623</v>
      </c>
      <c r="AG18" s="603">
        <f t="shared" si="9"/>
        <v>0.0150623554013882</v>
      </c>
      <c r="AH18" s="602">
        <f>SUMIFS(月汇总!V:V,月汇总!B:B,B18)</f>
        <v>397.392459016393</v>
      </c>
      <c r="AI18" s="603">
        <f t="shared" si="10"/>
        <v>0.00757522102787813</v>
      </c>
      <c r="AJ18" s="602">
        <f t="shared" si="11"/>
        <v>39739.010871294</v>
      </c>
      <c r="AK18" s="4">
        <f>SUMIFS(月汇总!AA:AA,月汇总!B:B,B18)</f>
        <v>10600</v>
      </c>
      <c r="AL18" s="602">
        <f t="shared" si="12"/>
        <v>1835.50912870597</v>
      </c>
      <c r="AM18" s="603">
        <f t="shared" si="13"/>
        <v>0.0349890568710116</v>
      </c>
      <c r="AN18" s="602">
        <f>SUMIFS(月汇总!AB:AB,月汇总!B:B,B18)</f>
        <v>3800</v>
      </c>
      <c r="AO18" s="602">
        <f>SUMIFS(月汇总!W:W,月汇总!B:B,B18)</f>
        <v>2666</v>
      </c>
      <c r="AP18" s="602">
        <f t="shared" si="14"/>
        <v>-4630.49087129403</v>
      </c>
    </row>
    <row r="19" ht="19" customHeight="1" spans="1:43">
      <c r="A19" s="4">
        <v>15</v>
      </c>
      <c r="B19" s="521" t="s">
        <v>90</v>
      </c>
      <c r="C19" s="37" t="s">
        <v>91</v>
      </c>
      <c r="D19" s="4" t="s">
        <v>47</v>
      </c>
      <c r="E19" s="4" t="s">
        <v>48</v>
      </c>
      <c r="F19" s="122" t="s">
        <v>92</v>
      </c>
      <c r="G19" s="4" t="s">
        <v>50</v>
      </c>
      <c r="H19" s="515">
        <f>COUNTIFS(磅单!E:E,B19)</f>
        <v>19</v>
      </c>
      <c r="I19" s="4">
        <f>SUMIFS(磅单!L:L,磅单!E:E,B19)</f>
        <v>776.1</v>
      </c>
      <c r="J19" s="4">
        <f>SUMIFS(磅单!O:O,磅单!E:E,B19)</f>
        <v>48410.34</v>
      </c>
      <c r="K19" s="602">
        <f>SUMIFS(月汇总!Y:Y,月汇总!B:B,B19)</f>
        <v>285</v>
      </c>
      <c r="L19" s="602">
        <f>SUMIFS(月汇总!I:I,月汇总!B:B,B19,月汇总!C:C,F19)</f>
        <v>0</v>
      </c>
      <c r="M19" s="602">
        <f>SUMIFS(月汇总!J:J,月汇总!B:B,B19,月汇总!C:C,F19)</f>
        <v>14095.5481106383</v>
      </c>
      <c r="N19" s="603">
        <f t="shared" si="0"/>
        <v>0.291168128764192</v>
      </c>
      <c r="O19" s="604">
        <f t="shared" si="1"/>
        <v>741.870953191489</v>
      </c>
      <c r="P19" s="602">
        <f>SUMIFS(月汇总!R:R,月汇总!B:B,B19)+SUMIFS(月汇总!S:S,月汇总!B:B,B19)</f>
        <v>12200</v>
      </c>
      <c r="Q19" s="603">
        <f t="shared" si="2"/>
        <v>0.25201227671609</v>
      </c>
      <c r="R19" s="4">
        <f>SUMIFS(月汇总!Q:Q,月汇总!B:B,B19)</f>
        <v>1530</v>
      </c>
      <c r="S19" s="603">
        <f t="shared" si="3"/>
        <v>0.0316048183094769</v>
      </c>
      <c r="T19" s="4">
        <f>SUMIFS(月汇总!N:N,月汇总!B:B,B19)</f>
        <v>220.881967213115</v>
      </c>
      <c r="U19" s="603"/>
      <c r="V19" s="602">
        <f>SUMIFS(月汇总!X:X,月汇总!B:B,B19)</f>
        <v>0</v>
      </c>
      <c r="W19" s="603">
        <f t="shared" si="4"/>
        <v>0</v>
      </c>
      <c r="X19" s="4">
        <f>SUMIFS(月汇总!U:U,月汇总!B:B,B19)</f>
        <v>487</v>
      </c>
      <c r="Y19" s="603">
        <f t="shared" si="5"/>
        <v>0.0100598343246505</v>
      </c>
      <c r="Z19" s="4">
        <f>SUMIFS(月汇总!O:O,月汇总!B:B,B19)</f>
        <v>0</v>
      </c>
      <c r="AA19" s="603">
        <f t="shared" si="6"/>
        <v>0</v>
      </c>
      <c r="AB19" s="4">
        <f>SUMIFS(月汇总!T:T,月汇总!B:B,B19)</f>
        <v>720</v>
      </c>
      <c r="AC19" s="603">
        <f t="shared" si="7"/>
        <v>0.0148728556750479</v>
      </c>
      <c r="AD19" s="604">
        <f>SUMIFS(月汇总!Z:Z,月汇总!B:B,B19)</f>
        <v>3388.7238</v>
      </c>
      <c r="AE19" s="603">
        <f t="shared" si="8"/>
        <v>0.07</v>
      </c>
      <c r="AF19" s="602">
        <f>SUMIFS(月汇总!AC:AC,月汇总!B:B,B19)</f>
        <v>790.16393442623</v>
      </c>
      <c r="AG19" s="603">
        <f t="shared" si="9"/>
        <v>0.0163222141060408</v>
      </c>
      <c r="AH19" s="602">
        <f>SUMIFS(月汇总!V:V,月汇总!B:B,B19)</f>
        <v>397.392459016393</v>
      </c>
      <c r="AI19" s="603">
        <f t="shared" si="10"/>
        <v>0.00820883429069892</v>
      </c>
      <c r="AJ19" s="602">
        <f t="shared" si="11"/>
        <v>33829.710271294</v>
      </c>
      <c r="AK19" s="4">
        <f>SUMIFS(月汇总!AA:AA,月汇总!B:B,B19)</f>
        <v>10600</v>
      </c>
      <c r="AL19" s="602">
        <f t="shared" si="12"/>
        <v>3695.62972870597</v>
      </c>
      <c r="AM19" s="603">
        <f t="shared" si="13"/>
        <v>0.0763396771992506</v>
      </c>
      <c r="AN19" s="602">
        <f>SUMIFS(月汇总!AB:AB,月汇总!B:B,B19)</f>
        <v>3800</v>
      </c>
      <c r="AO19" s="602">
        <f>SUMIFS(月汇总!W:W,月汇总!B:B,B19)</f>
        <v>2666</v>
      </c>
      <c r="AP19" s="602">
        <f t="shared" si="14"/>
        <v>-2770.37027129403</v>
      </c>
    </row>
    <row r="20" ht="19" customHeight="1" spans="1:43">
      <c r="A20" s="4">
        <v>16</v>
      </c>
      <c r="B20" s="501" t="s">
        <v>93</v>
      </c>
      <c r="C20" s="37" t="s">
        <v>94</v>
      </c>
      <c r="D20" s="4" t="s">
        <v>47</v>
      </c>
      <c r="E20" s="4" t="s">
        <v>48</v>
      </c>
      <c r="F20" s="122" t="s">
        <v>95</v>
      </c>
      <c r="G20" s="4" t="s">
        <v>50</v>
      </c>
      <c r="H20" s="515">
        <f>COUNTIFS(磅单!E:E,B20)</f>
        <v>20</v>
      </c>
      <c r="I20" s="4">
        <f>SUMIFS(磅单!L:L,磅单!E:E,B20)</f>
        <v>821.3</v>
      </c>
      <c r="J20" s="4">
        <f>SUMIFS(磅单!O:O,磅单!E:E,B20)</f>
        <v>50943.24</v>
      </c>
      <c r="K20" s="602">
        <f>SUMIFS(月汇总!Y:Y,月汇总!B:B,B20)</f>
        <v>300</v>
      </c>
      <c r="L20" s="602">
        <f>SUMIFS(月汇总!I:I,月汇总!B:B,B20,月汇总!C:C,F20)</f>
        <v>200</v>
      </c>
      <c r="M20" s="602">
        <f>SUMIFS(月汇总!J:J,月汇总!B:B,B20,月汇总!C:C,F20)</f>
        <v>16407.3497106383</v>
      </c>
      <c r="N20" s="603">
        <f t="shared" si="0"/>
        <v>0.32207118570861</v>
      </c>
      <c r="O20" s="604">
        <f t="shared" si="1"/>
        <v>820.367485531915</v>
      </c>
      <c r="P20" s="602">
        <f>SUMIFS(月汇总!R:R,月汇总!B:B,B20)+SUMIFS(月汇总!S:S,月汇总!B:B,B20)</f>
        <v>12200</v>
      </c>
      <c r="Q20" s="603">
        <f t="shared" si="2"/>
        <v>0.23948221589361</v>
      </c>
      <c r="R20" s="4">
        <f>SUMIFS(月汇总!Q:Q,月汇总!B:B,B20)</f>
        <v>680</v>
      </c>
      <c r="S20" s="603">
        <f t="shared" si="3"/>
        <v>0.0133481890825947</v>
      </c>
      <c r="T20" s="4">
        <f>SUMIFS(月汇总!N:N,月汇总!B:B,B20)</f>
        <v>220.881967213115</v>
      </c>
      <c r="U20" s="603"/>
      <c r="V20" s="602">
        <f>SUMIFS(月汇总!X:X,月汇总!B:B,B20)</f>
        <v>0</v>
      </c>
      <c r="W20" s="603">
        <f t="shared" si="4"/>
        <v>0</v>
      </c>
      <c r="X20" s="4">
        <f>SUMIFS(月汇总!U:U,月汇总!B:B,B20)</f>
        <v>574</v>
      </c>
      <c r="Y20" s="603">
        <f t="shared" si="5"/>
        <v>0.0112674419608961</v>
      </c>
      <c r="Z20" s="4">
        <f>SUMIFS(月汇总!O:O,月汇总!B:B,B20)</f>
        <v>0</v>
      </c>
      <c r="AA20" s="603">
        <f t="shared" si="6"/>
        <v>0</v>
      </c>
      <c r="AB20" s="4">
        <f>SUMIFS(月汇总!T:T,月汇总!B:B,B20)</f>
        <v>20</v>
      </c>
      <c r="AC20" s="603">
        <f t="shared" si="7"/>
        <v>0.000392593796546902</v>
      </c>
      <c r="AD20" s="604">
        <f>SUMIFS(月汇总!Z:Z,月汇总!B:B,B20)</f>
        <v>3566.0268</v>
      </c>
      <c r="AE20" s="603">
        <f t="shared" si="8"/>
        <v>0.07</v>
      </c>
      <c r="AF20" s="602">
        <f>SUMIFS(月汇总!AC:AC,月汇总!B:B,B20)</f>
        <v>790.16393442623</v>
      </c>
      <c r="AG20" s="603">
        <f t="shared" si="9"/>
        <v>0.0155106729455415</v>
      </c>
      <c r="AH20" s="602">
        <f>SUMIFS(月汇总!V:V,月汇总!B:B,B20)</f>
        <v>397.392459016393</v>
      </c>
      <c r="AI20" s="603">
        <f t="shared" si="10"/>
        <v>0.00780069071021775</v>
      </c>
      <c r="AJ20" s="602">
        <f t="shared" si="11"/>
        <v>34855.814871294</v>
      </c>
      <c r="AK20" s="4">
        <f>SUMIFS(月汇总!AA:AA,月汇总!B:B,B20)</f>
        <v>10600</v>
      </c>
      <c r="AL20" s="602">
        <f t="shared" si="12"/>
        <v>4987.42512870597</v>
      </c>
      <c r="AM20" s="603">
        <f t="shared" si="13"/>
        <v>0.0979016083136048</v>
      </c>
      <c r="AN20" s="602">
        <f>SUMIFS(月汇总!AB:AB,月汇总!B:B,B20)</f>
        <v>3800</v>
      </c>
      <c r="AO20" s="602">
        <f>SUMIFS(月汇总!W:W,月汇总!B:B,B20)</f>
        <v>2666</v>
      </c>
      <c r="AP20" s="602">
        <f t="shared" si="14"/>
        <v>-1478.57487129403</v>
      </c>
    </row>
    <row r="21" ht="19" customHeight="1" spans="1:43">
      <c r="A21" s="4">
        <v>17</v>
      </c>
      <c r="B21" s="501" t="s">
        <v>96</v>
      </c>
      <c r="C21" s="37" t="s">
        <v>97</v>
      </c>
      <c r="D21" s="4" t="s">
        <v>47</v>
      </c>
      <c r="E21" s="4" t="s">
        <v>48</v>
      </c>
      <c r="F21" s="122" t="s">
        <v>98</v>
      </c>
      <c r="G21" s="4" t="s">
        <v>50</v>
      </c>
      <c r="H21" s="515">
        <f>COUNTIFS(磅单!E:E,B21)</f>
        <v>20</v>
      </c>
      <c r="I21" s="4">
        <f>SUMIFS(磅单!L:L,磅单!E:E,B21)</f>
        <v>814.94</v>
      </c>
      <c r="J21" s="4">
        <f>SUMIFS(磅单!O:O,磅单!E:E,B21)</f>
        <v>50288.08</v>
      </c>
      <c r="K21" s="602">
        <f>SUMIFS(月汇总!Y:Y,月汇总!B:B,B21)</f>
        <v>300</v>
      </c>
      <c r="L21" s="602">
        <f>SUMIFS(月汇总!I:I,月汇总!B:B,B21,月汇总!C:C,F21)</f>
        <v>0</v>
      </c>
      <c r="M21" s="602">
        <f>SUMIFS(月汇总!J:J,月汇总!B:B,B21,月汇总!C:C,F21)</f>
        <v>16655.4308606383</v>
      </c>
      <c r="N21" s="603">
        <f t="shared" si="0"/>
        <v>0.331200373142866</v>
      </c>
      <c r="O21" s="604">
        <f t="shared" si="1"/>
        <v>832.771543031915</v>
      </c>
      <c r="P21" s="602">
        <f>SUMIFS(月汇总!R:R,月汇总!B:B,B21)+SUMIFS(月汇总!S:S,月汇总!B:B,B21)</f>
        <v>12400</v>
      </c>
      <c r="Q21" s="603">
        <f t="shared" si="2"/>
        <v>0.246579308655252</v>
      </c>
      <c r="R21" s="4">
        <f>SUMIFS(月汇总!Q:Q,月汇总!B:B,B21)</f>
        <v>550</v>
      </c>
      <c r="S21" s="603">
        <f t="shared" si="3"/>
        <v>0.0109369854645475</v>
      </c>
      <c r="T21" s="4">
        <f>SUMIFS(月汇总!N:N,月汇总!B:B,B21)</f>
        <v>220.881967213115</v>
      </c>
      <c r="U21" s="603"/>
      <c r="V21" s="602">
        <f>SUMIFS(月汇总!X:X,月汇总!B:B,B21)</f>
        <v>0</v>
      </c>
      <c r="W21" s="603">
        <f t="shared" si="4"/>
        <v>0</v>
      </c>
      <c r="X21" s="4">
        <f>SUMIFS(月汇总!U:U,月汇总!B:B,B21)</f>
        <v>636</v>
      </c>
      <c r="Y21" s="603">
        <f t="shared" si="5"/>
        <v>0.0126471322826403</v>
      </c>
      <c r="Z21" s="4">
        <f>SUMIFS(月汇总!O:O,月汇总!B:B,B21)</f>
        <v>1300</v>
      </c>
      <c r="AA21" s="603">
        <f t="shared" si="6"/>
        <v>0.0258510565525667</v>
      </c>
      <c r="AB21" s="4">
        <f>SUMIFS(月汇总!T:T,月汇总!B:B,B21)</f>
        <v>260</v>
      </c>
      <c r="AC21" s="603">
        <f t="shared" si="7"/>
        <v>0.00517021131051335</v>
      </c>
      <c r="AD21" s="604">
        <f>SUMIFS(月汇总!Z:Z,月汇总!B:B,B21)</f>
        <v>3520.1656</v>
      </c>
      <c r="AE21" s="603">
        <f t="shared" si="8"/>
        <v>0.07</v>
      </c>
      <c r="AF21" s="602">
        <f>SUMIFS(月汇总!AC:AC,月汇总!B:B,B21)</f>
        <v>790.16393442623</v>
      </c>
      <c r="AG21" s="603">
        <f t="shared" si="9"/>
        <v>0.0157127481189624</v>
      </c>
      <c r="AH21" s="602">
        <f>SUMIFS(月汇总!V:V,月汇总!B:B,B21)</f>
        <v>397.392459016393</v>
      </c>
      <c r="AI21" s="603">
        <f t="shared" si="10"/>
        <v>0.00790231917815103</v>
      </c>
      <c r="AJ21" s="602">
        <f t="shared" si="11"/>
        <v>36730.034821294</v>
      </c>
      <c r="AK21" s="4">
        <f>SUMIFS(月汇总!AA:AA,月汇总!B:B,B21)</f>
        <v>10600</v>
      </c>
      <c r="AL21" s="602">
        <f t="shared" si="12"/>
        <v>2658.04517870596</v>
      </c>
      <c r="AM21" s="603">
        <f t="shared" si="13"/>
        <v>0.0528563663338502</v>
      </c>
      <c r="AN21" s="602">
        <f>SUMIFS(月汇总!AB:AB,月汇总!B:B,B21)</f>
        <v>3800</v>
      </c>
      <c r="AO21" s="602">
        <f>SUMIFS(月汇总!W:W,月汇总!B:B,B21)</f>
        <v>2666</v>
      </c>
      <c r="AP21" s="602">
        <f t="shared" si="14"/>
        <v>-3807.95482129404</v>
      </c>
    </row>
    <row r="22" ht="19" customHeight="1" spans="1:43">
      <c r="A22" s="4">
        <v>18</v>
      </c>
      <c r="B22" s="37" t="s">
        <v>99</v>
      </c>
      <c r="C22" s="37" t="s">
        <v>100</v>
      </c>
      <c r="D22" s="4" t="s">
        <v>47</v>
      </c>
      <c r="E22" s="4" t="s">
        <v>48</v>
      </c>
      <c r="F22" s="122" t="s">
        <v>101</v>
      </c>
      <c r="G22" s="4" t="s">
        <v>50</v>
      </c>
      <c r="H22" s="515">
        <f>COUNTIFS(磅单!E:E,B22)</f>
        <v>19</v>
      </c>
      <c r="I22" s="4">
        <f>SUMIFS(磅单!L:L,磅单!E:E,B22)</f>
        <v>779.92</v>
      </c>
      <c r="J22" s="4">
        <f>SUMIFS(磅单!O:O,磅单!E:E,B22)</f>
        <v>47588.88</v>
      </c>
      <c r="K22" s="602">
        <f>SUMIFS(月汇总!Y:Y,月汇总!B:B,B22)</f>
        <v>285</v>
      </c>
      <c r="L22" s="602">
        <f>SUMIFS(月汇总!I:I,月汇总!B:B,B22,月汇总!C:C,F22)</f>
        <v>0</v>
      </c>
      <c r="M22" s="602">
        <f>SUMIFS(月汇总!J:J,月汇总!B:B,B22,月汇总!C:C,F22)</f>
        <v>16710.5883106383</v>
      </c>
      <c r="N22" s="603">
        <f t="shared" si="0"/>
        <v>0.351144811784566</v>
      </c>
      <c r="O22" s="604">
        <f t="shared" si="1"/>
        <v>879.504647928331</v>
      </c>
      <c r="P22" s="602">
        <f>SUMIFS(月汇总!R:R,月汇总!B:B,B22)+SUMIFS(月汇总!S:S,月汇总!B:B,B22)</f>
        <v>12800</v>
      </c>
      <c r="Q22" s="603">
        <f t="shared" si="2"/>
        <v>0.268970398126621</v>
      </c>
      <c r="R22" s="4">
        <f>SUMIFS(月汇总!Q:Q,月汇总!B:B,B22)</f>
        <v>120</v>
      </c>
      <c r="S22" s="603">
        <f t="shared" si="3"/>
        <v>0.00252159748243707</v>
      </c>
      <c r="T22" s="4">
        <f>SUMIFS(月汇总!N:N,月汇总!B:B,B22)</f>
        <v>220.881967213115</v>
      </c>
      <c r="U22" s="603"/>
      <c r="V22" s="602">
        <f>SUMIFS(月汇总!X:X,月汇总!B:B,B22)</f>
        <v>0</v>
      </c>
      <c r="W22" s="603">
        <f t="shared" si="4"/>
        <v>0</v>
      </c>
      <c r="X22" s="4">
        <f>SUMIFS(月汇总!U:U,月汇总!B:B,B22)</f>
        <v>555</v>
      </c>
      <c r="Y22" s="603">
        <f t="shared" si="5"/>
        <v>0.0116623883562715</v>
      </c>
      <c r="Z22" s="4">
        <f>SUMIFS(月汇总!O:O,月汇总!B:B,B22)</f>
        <v>0</v>
      </c>
      <c r="AA22" s="603">
        <f t="shared" si="6"/>
        <v>0</v>
      </c>
      <c r="AB22" s="4">
        <f>SUMIFS(月汇总!T:T,月汇总!B:B,B22)</f>
        <v>220</v>
      </c>
      <c r="AC22" s="603">
        <f t="shared" si="7"/>
        <v>0.0046229287178013</v>
      </c>
      <c r="AD22" s="604">
        <f>SUMIFS(月汇总!Z:Z,月汇总!B:B,B22)</f>
        <v>3331.2216</v>
      </c>
      <c r="AE22" s="603">
        <f t="shared" si="8"/>
        <v>0.07</v>
      </c>
      <c r="AF22" s="602">
        <f>SUMIFS(月汇总!AC:AC,月汇总!B:B,B22)</f>
        <v>790.16393442623</v>
      </c>
      <c r="AG22" s="603">
        <f t="shared" si="9"/>
        <v>0.0166039615646813</v>
      </c>
      <c r="AH22" s="602">
        <f>SUMIFS(月汇总!V:V,月汇总!B:B,B22)</f>
        <v>397.392459016393</v>
      </c>
      <c r="AI22" s="603">
        <f t="shared" si="10"/>
        <v>0.00835053186829346</v>
      </c>
      <c r="AJ22" s="602">
        <f t="shared" si="11"/>
        <v>35145.248271294</v>
      </c>
      <c r="AK22" s="4">
        <f>SUMIFS(月汇总!AA:AA,月汇总!B:B,B22)</f>
        <v>10600</v>
      </c>
      <c r="AL22" s="602">
        <f t="shared" si="12"/>
        <v>1558.63172870597</v>
      </c>
      <c r="AM22" s="603">
        <f t="shared" si="13"/>
        <v>0.032752015359596</v>
      </c>
      <c r="AN22" s="602">
        <f>SUMIFS(月汇总!AB:AB,月汇总!B:B,B22)</f>
        <v>3800</v>
      </c>
      <c r="AO22" s="602">
        <f>SUMIFS(月汇总!W:W,月汇总!B:B,B22)</f>
        <v>2666</v>
      </c>
      <c r="AP22" s="602">
        <f t="shared" si="14"/>
        <v>-4907.36827129403</v>
      </c>
    </row>
    <row r="23" ht="19" customHeight="1" spans="1:43">
      <c r="A23" s="4">
        <v>19</v>
      </c>
      <c r="B23" s="37" t="s">
        <v>102</v>
      </c>
      <c r="C23" s="37" t="s">
        <v>103</v>
      </c>
      <c r="D23" s="4" t="s">
        <v>47</v>
      </c>
      <c r="E23" s="4" t="s">
        <v>48</v>
      </c>
      <c r="F23" s="122" t="s">
        <v>104</v>
      </c>
      <c r="G23" s="4" t="s">
        <v>50</v>
      </c>
      <c r="H23" s="515">
        <f>COUNTIFS(磅单!E:E,B23)</f>
        <v>18</v>
      </c>
      <c r="I23" s="4">
        <f>SUMIFS(磅单!L:L,磅单!E:E,B23)</f>
        <v>745.35</v>
      </c>
      <c r="J23" s="4">
        <f>SUMIFS(磅单!O:O,磅单!E:E,B23)</f>
        <v>45725.11</v>
      </c>
      <c r="K23" s="602">
        <f>SUMIFS(月汇总!Y:Y,月汇总!B:B,B23)</f>
        <v>270</v>
      </c>
      <c r="L23" s="602">
        <f>SUMIFS(月汇总!I:I,月汇总!B:B,B23,月汇总!C:C,F23)</f>
        <v>0</v>
      </c>
      <c r="M23" s="602">
        <f>SUMIFS(月汇总!J:J,月汇总!B:B,B23,月汇总!C:C,F23)</f>
        <v>15247.8422606383</v>
      </c>
      <c r="N23" s="603">
        <f t="shared" si="0"/>
        <v>0.333467590578531</v>
      </c>
      <c r="O23" s="604">
        <f t="shared" si="1"/>
        <v>847.102347813239</v>
      </c>
      <c r="P23" s="602">
        <f>SUMIFS(月汇总!R:R,月汇总!B:B,B23)+SUMIFS(月汇总!S:S,月汇总!B:B,B23)</f>
        <v>11400</v>
      </c>
      <c r="Q23" s="603">
        <f t="shared" si="2"/>
        <v>0.249315966653771</v>
      </c>
      <c r="R23" s="4">
        <f>SUMIFS(月汇总!Q:Q,月汇总!B:B,B23)</f>
        <v>954</v>
      </c>
      <c r="S23" s="603">
        <f t="shared" si="3"/>
        <v>0.0208638098410261</v>
      </c>
      <c r="T23" s="4">
        <f>SUMIFS(月汇总!N:N,月汇总!B:B,B23)</f>
        <v>220.881967213115</v>
      </c>
      <c r="U23" s="603"/>
      <c r="V23" s="602">
        <f>SUMIFS(月汇总!X:X,月汇总!B:B,B23)</f>
        <v>0</v>
      </c>
      <c r="W23" s="603">
        <f t="shared" si="4"/>
        <v>0</v>
      </c>
      <c r="X23" s="4">
        <f>SUMIFS(月汇总!U:U,月汇总!B:B,B23)</f>
        <v>390</v>
      </c>
      <c r="Y23" s="603">
        <f t="shared" si="5"/>
        <v>0.00852923043815531</v>
      </c>
      <c r="Z23" s="4">
        <f>SUMIFS(月汇总!O:O,月汇总!B:B,B23)</f>
        <v>1000</v>
      </c>
      <c r="AA23" s="603">
        <f t="shared" si="6"/>
        <v>0.0218698216362957</v>
      </c>
      <c r="AB23" s="4">
        <f>SUMIFS(月汇总!T:T,月汇总!B:B,B23)</f>
        <v>300</v>
      </c>
      <c r="AC23" s="603">
        <f t="shared" si="7"/>
        <v>0.0065609464908887</v>
      </c>
      <c r="AD23" s="604">
        <f>SUMIFS(月汇总!Z:Z,月汇总!B:B,B23)</f>
        <v>3200.7577</v>
      </c>
      <c r="AE23" s="603">
        <f t="shared" si="8"/>
        <v>0.07</v>
      </c>
      <c r="AF23" s="602">
        <f>SUMIFS(月汇总!AC:AC,月汇总!B:B,B23)</f>
        <v>790.16393442623</v>
      </c>
      <c r="AG23" s="603">
        <f t="shared" si="9"/>
        <v>0.0172807443093353</v>
      </c>
      <c r="AH23" s="602">
        <f>SUMIFS(月汇总!V:V,月汇总!B:B,B23)</f>
        <v>397.392459016393</v>
      </c>
      <c r="AI23" s="603">
        <f t="shared" si="10"/>
        <v>0.00869090219829746</v>
      </c>
      <c r="AJ23" s="602">
        <f t="shared" si="11"/>
        <v>33901.038321294</v>
      </c>
      <c r="AK23" s="4">
        <f>SUMIFS(月汇总!AA:AA,月汇总!B:B,B23)</f>
        <v>10600</v>
      </c>
      <c r="AL23" s="602">
        <f t="shared" si="12"/>
        <v>954.071678705965</v>
      </c>
      <c r="AM23" s="603">
        <f t="shared" si="13"/>
        <v>0.0208653774415406</v>
      </c>
      <c r="AN23" s="602">
        <f>SUMIFS(月汇总!AB:AB,月汇总!B:B,B23)</f>
        <v>3800</v>
      </c>
      <c r="AO23" s="602">
        <f>SUMIFS(月汇总!W:W,月汇总!B:B,B23)</f>
        <v>2666</v>
      </c>
      <c r="AP23" s="602">
        <f t="shared" si="14"/>
        <v>-5511.92832129404</v>
      </c>
    </row>
    <row r="24" ht="19" customHeight="1" spans="1:43">
      <c r="A24" s="4">
        <v>20</v>
      </c>
      <c r="B24" s="37" t="s">
        <v>105</v>
      </c>
      <c r="C24" s="37" t="s">
        <v>106</v>
      </c>
      <c r="D24" s="4" t="s">
        <v>47</v>
      </c>
      <c r="E24" s="4" t="s">
        <v>48</v>
      </c>
      <c r="F24" s="122" t="s">
        <v>107</v>
      </c>
      <c r="G24" s="4" t="s">
        <v>50</v>
      </c>
      <c r="H24" s="515">
        <f>COUNTIFS(磅单!E:E,B24)</f>
        <v>19</v>
      </c>
      <c r="I24" s="4">
        <f>SUMIFS(磅单!L:L,磅单!E:E,B24)</f>
        <v>786.97</v>
      </c>
      <c r="J24" s="4">
        <f>SUMIFS(磅单!O:O,磅单!E:E,B24)</f>
        <v>50797.99</v>
      </c>
      <c r="K24" s="602">
        <f>SUMIFS(月汇总!Y:Y,月汇总!B:B,B24)</f>
        <v>285</v>
      </c>
      <c r="L24" s="602">
        <f>SUMIFS(月汇总!I:I,月汇总!B:B,B24,月汇总!C:C,F24)</f>
        <v>0</v>
      </c>
      <c r="M24" s="602">
        <f>SUMIFS(月汇总!J:J,月汇总!B:B,B24,月汇总!C:C,F24)</f>
        <v>13928.0655106383</v>
      </c>
      <c r="N24" s="603">
        <f t="shared" si="0"/>
        <v>0.274185366598921</v>
      </c>
      <c r="O24" s="604">
        <f t="shared" si="1"/>
        <v>733.056079507279</v>
      </c>
      <c r="P24" s="602">
        <f>SUMIFS(月汇总!R:R,月汇总!B:B,B24)+SUMIFS(月汇总!S:S,月汇总!B:B,B24)</f>
        <v>11800</v>
      </c>
      <c r="Q24" s="603">
        <f t="shared" si="2"/>
        <v>0.232292655673975</v>
      </c>
      <c r="R24" s="4">
        <f>SUMIFS(月汇总!Q:Q,月汇总!B:B,B24)</f>
        <v>0</v>
      </c>
      <c r="S24" s="603">
        <f t="shared" si="3"/>
        <v>0</v>
      </c>
      <c r="T24" s="4">
        <f>SUMIFS(月汇总!N:N,月汇总!B:B,B24)</f>
        <v>220.881967213115</v>
      </c>
      <c r="U24" s="603"/>
      <c r="V24" s="602">
        <f>SUMIFS(月汇总!X:X,月汇总!B:B,B24)</f>
        <v>0</v>
      </c>
      <c r="W24" s="603">
        <f t="shared" si="4"/>
        <v>0</v>
      </c>
      <c r="X24" s="4">
        <f>SUMIFS(月汇总!U:U,月汇总!B:B,B24)</f>
        <v>426.6</v>
      </c>
      <c r="Y24" s="603">
        <f t="shared" si="5"/>
        <v>0.0083979700771625</v>
      </c>
      <c r="Z24" s="4">
        <f>SUMIFS(月汇总!O:O,月汇总!B:B,B24)</f>
        <v>0</v>
      </c>
      <c r="AA24" s="603">
        <f t="shared" si="6"/>
        <v>0</v>
      </c>
      <c r="AB24" s="4">
        <f>SUMIFS(月汇总!T:T,月汇总!B:B,B24)</f>
        <v>100</v>
      </c>
      <c r="AC24" s="603">
        <f t="shared" si="7"/>
        <v>0.00196858182774555</v>
      </c>
      <c r="AD24" s="604">
        <f>SUMIFS(月汇总!Z:Z,月汇总!B:B,B24)</f>
        <v>3555.8593</v>
      </c>
      <c r="AE24" s="603">
        <f t="shared" si="8"/>
        <v>0.07</v>
      </c>
      <c r="AF24" s="602">
        <f>SUMIFS(月汇总!AC:AC,月汇总!B:B,B24)</f>
        <v>790.16393442623</v>
      </c>
      <c r="AG24" s="603">
        <f t="shared" si="9"/>
        <v>0.015555023622514</v>
      </c>
      <c r="AH24" s="602">
        <f>SUMIFS(月汇总!V:V,月汇总!B:B,B24)</f>
        <v>397.392459016393</v>
      </c>
      <c r="AI24" s="603">
        <f t="shared" si="10"/>
        <v>0.00782299573302789</v>
      </c>
      <c r="AJ24" s="602">
        <f t="shared" si="11"/>
        <v>31218.963171294</v>
      </c>
      <c r="AK24" s="4">
        <f>SUMIFS(月汇总!AA:AA,月汇总!B:B,B24)</f>
        <v>10600</v>
      </c>
      <c r="AL24" s="602">
        <f t="shared" si="12"/>
        <v>8694.02682870595</v>
      </c>
      <c r="AM24" s="603">
        <f t="shared" si="13"/>
        <v>0.171149032249228</v>
      </c>
      <c r="AN24" s="602">
        <f>SUMIFS(月汇总!AB:AB,月汇总!B:B,B24)</f>
        <v>3800</v>
      </c>
      <c r="AO24" s="602">
        <f>SUMIFS(月汇总!W:W,月汇总!B:B,B24)</f>
        <v>2666</v>
      </c>
      <c r="AP24" s="602">
        <f t="shared" si="14"/>
        <v>2228.02682870595</v>
      </c>
    </row>
    <row r="25" ht="19" customHeight="1" spans="1:43">
      <c r="A25" s="4">
        <v>21</v>
      </c>
      <c r="B25" s="37" t="s">
        <v>108</v>
      </c>
      <c r="C25" s="37" t="s">
        <v>109</v>
      </c>
      <c r="D25" s="4" t="s">
        <v>47</v>
      </c>
      <c r="E25" s="4" t="s">
        <v>48</v>
      </c>
      <c r="F25" s="122" t="s">
        <v>110</v>
      </c>
      <c r="G25" s="4" t="s">
        <v>50</v>
      </c>
      <c r="H25" s="515">
        <f>COUNTIFS(磅单!E:E,B25)</f>
        <v>17</v>
      </c>
      <c r="I25" s="4">
        <f>SUMIFS(磅单!L:L,磅单!E:E,B25)</f>
        <v>722.21</v>
      </c>
      <c r="J25" s="4">
        <f>SUMIFS(磅单!O:O,磅单!E:E,B25)</f>
        <v>47707.93</v>
      </c>
      <c r="K25" s="602">
        <f>SUMIFS(月汇总!Y:Y,月汇总!B:B,B25)</f>
        <v>255</v>
      </c>
      <c r="L25" s="602">
        <f>SUMIFS(月汇总!I:I,月汇总!B:B,B25,月汇总!C:C,F25)</f>
        <v>0</v>
      </c>
      <c r="M25" s="602">
        <f>SUMIFS(月汇总!J:J,月汇总!B:B,B25,月汇总!C:C,F25)</f>
        <v>13353.9940106383</v>
      </c>
      <c r="N25" s="603">
        <f t="shared" si="0"/>
        <v>0.2799114111771</v>
      </c>
      <c r="O25" s="604">
        <f t="shared" si="1"/>
        <v>785.529059449312</v>
      </c>
      <c r="P25" s="602">
        <f>SUMIFS(月汇总!R:R,月汇总!B:B,B25)+SUMIFS(月汇总!S:S,月汇总!B:B,B25)</f>
        <v>11200</v>
      </c>
      <c r="Q25" s="603">
        <f t="shared" si="2"/>
        <v>0.234761810038708</v>
      </c>
      <c r="R25" s="4">
        <f>SUMIFS(月汇总!Q:Q,月汇总!B:B,B25)</f>
        <v>400</v>
      </c>
      <c r="S25" s="603">
        <f t="shared" si="3"/>
        <v>0.0083843503585253</v>
      </c>
      <c r="T25" s="4">
        <f>SUMIFS(月汇总!N:N,月汇总!B:B,B25)</f>
        <v>220.881967213115</v>
      </c>
      <c r="U25" s="603"/>
      <c r="V25" s="602">
        <f>SUMIFS(月汇总!X:X,月汇总!B:B,B25)</f>
        <v>0</v>
      </c>
      <c r="W25" s="603">
        <f t="shared" si="4"/>
        <v>0</v>
      </c>
      <c r="X25" s="4">
        <f>SUMIFS(月汇总!U:U,月汇总!B:B,B25)</f>
        <v>554</v>
      </c>
      <c r="Y25" s="603">
        <f t="shared" si="5"/>
        <v>0.0116123252465575</v>
      </c>
      <c r="Z25" s="4">
        <f>SUMIFS(月汇总!O:O,月汇总!B:B,B25)</f>
        <v>1000</v>
      </c>
      <c r="AA25" s="603">
        <f t="shared" si="6"/>
        <v>0.0209608758963133</v>
      </c>
      <c r="AB25" s="4">
        <f>SUMIFS(月汇总!T:T,月汇总!B:B,B25)</f>
        <v>440</v>
      </c>
      <c r="AC25" s="603">
        <f t="shared" si="7"/>
        <v>0.00922278539437783</v>
      </c>
      <c r="AD25" s="604">
        <f>SUMIFS(月汇总!Z:Z,月汇总!B:B,B25)</f>
        <v>3339.5551</v>
      </c>
      <c r="AE25" s="603">
        <f t="shared" si="8"/>
        <v>0.07</v>
      </c>
      <c r="AF25" s="602">
        <f>SUMIFS(月汇总!AC:AC,月汇总!B:B,B25)</f>
        <v>790.16393442623</v>
      </c>
      <c r="AG25" s="603">
        <f t="shared" si="9"/>
        <v>0.0165625281672508</v>
      </c>
      <c r="AH25" s="602">
        <f>SUMIFS(月汇总!V:V,月汇总!B:B,B25)</f>
        <v>397.392459016393</v>
      </c>
      <c r="AI25" s="603">
        <f t="shared" si="10"/>
        <v>0.00832969401557337</v>
      </c>
      <c r="AJ25" s="602">
        <f t="shared" si="11"/>
        <v>31695.987471294</v>
      </c>
      <c r="AK25" s="4">
        <f>SUMIFS(月汇总!AA:AA,月汇总!B:B,B25)</f>
        <v>10600</v>
      </c>
      <c r="AL25" s="602">
        <f t="shared" si="12"/>
        <v>5156.94252870596</v>
      </c>
      <c r="AM25" s="603">
        <f t="shared" si="13"/>
        <v>0.108094032348625</v>
      </c>
      <c r="AN25" s="602">
        <f>SUMIFS(月汇总!AB:AB,月汇总!B:B,B25)</f>
        <v>3800</v>
      </c>
      <c r="AO25" s="602">
        <f>SUMIFS(月汇总!W:W,月汇总!B:B,B25)</f>
        <v>2666</v>
      </c>
      <c r="AP25" s="602">
        <f t="shared" si="14"/>
        <v>-1309.05747129404</v>
      </c>
    </row>
    <row r="26" ht="19" customHeight="1" spans="1:43">
      <c r="A26" s="4">
        <v>22</v>
      </c>
      <c r="B26" s="37" t="s">
        <v>111</v>
      </c>
      <c r="C26" s="37" t="s">
        <v>112</v>
      </c>
      <c r="D26" s="4" t="s">
        <v>47</v>
      </c>
      <c r="E26" s="4" t="s">
        <v>48</v>
      </c>
      <c r="F26" s="122" t="s">
        <v>113</v>
      </c>
      <c r="G26" s="4" t="s">
        <v>50</v>
      </c>
      <c r="H26" s="515">
        <f>COUNTIFS(磅单!E:E,B26)</f>
        <v>23</v>
      </c>
      <c r="I26" s="4">
        <f>SUMIFS(磅单!L:L,磅单!E:E,B26)</f>
        <v>949.84</v>
      </c>
      <c r="J26" s="4">
        <f>SUMIFS(磅单!O:O,磅单!E:E,B26)</f>
        <v>59389.6</v>
      </c>
      <c r="K26" s="602">
        <f>SUMIFS(月汇总!Y:Y,月汇总!B:B,B26)</f>
        <v>345</v>
      </c>
      <c r="L26" s="602">
        <f>SUMIFS(月汇总!I:I,月汇总!B:B,B26,月汇总!C:C,F26)</f>
        <v>0</v>
      </c>
      <c r="M26" s="602">
        <f>SUMIFS(月汇总!J:J,月汇总!B:B,B26,月汇总!C:C,F26)</f>
        <v>19713.9582606383</v>
      </c>
      <c r="N26" s="603">
        <f t="shared" si="0"/>
        <v>0.331942937157992</v>
      </c>
      <c r="O26" s="604">
        <f t="shared" si="1"/>
        <v>857.128620027752</v>
      </c>
      <c r="P26" s="602">
        <f>SUMIFS(月汇总!R:R,月汇总!B:B,B26)+SUMIFS(月汇总!S:S,月汇总!B:B,B26)</f>
        <v>14400</v>
      </c>
      <c r="Q26" s="603">
        <f t="shared" si="2"/>
        <v>0.242466694505435</v>
      </c>
      <c r="R26" s="4">
        <f>SUMIFS(月汇总!Q:Q,月汇总!B:B,B26)</f>
        <v>455</v>
      </c>
      <c r="S26" s="603">
        <f t="shared" si="3"/>
        <v>0.00766127402777591</v>
      </c>
      <c r="T26" s="4">
        <f>SUMIFS(月汇总!N:N,月汇总!B:B,B26)</f>
        <v>220.881967213115</v>
      </c>
      <c r="U26" s="603"/>
      <c r="V26" s="602">
        <f>SUMIFS(月汇总!X:X,月汇总!B:B,B26)</f>
        <v>0</v>
      </c>
      <c r="W26" s="603"/>
      <c r="X26" s="4">
        <f>SUMIFS(月汇总!U:U,月汇总!B:B,B26)</f>
        <v>568.6</v>
      </c>
      <c r="Y26" s="603">
        <f t="shared" si="5"/>
        <v>0.00957406683998545</v>
      </c>
      <c r="Z26" s="4">
        <f>SUMIFS(月汇总!O:O,月汇总!B:B,B26)</f>
        <v>0</v>
      </c>
      <c r="AA26" s="603">
        <f t="shared" si="6"/>
        <v>0</v>
      </c>
      <c r="AB26" s="4">
        <f>SUMIFS(月汇总!T:T,月汇总!B:B,B26)</f>
        <v>260</v>
      </c>
      <c r="AC26" s="603">
        <f t="shared" si="7"/>
        <v>0.0043778708730148</v>
      </c>
      <c r="AD26" s="604">
        <f>SUMIFS(月汇总!Z:Z,月汇总!B:B,B26)</f>
        <v>4157.272</v>
      </c>
      <c r="AE26" s="603">
        <f t="shared" si="8"/>
        <v>0.07</v>
      </c>
      <c r="AF26" s="602">
        <f>SUMIFS(月汇总!AC:AC,月汇总!B:B,B26)</f>
        <v>790.16393442623</v>
      </c>
      <c r="AG26" s="603">
        <f t="shared" si="9"/>
        <v>0.0133047525901207</v>
      </c>
      <c r="AH26" s="602">
        <f>SUMIFS(月汇总!V:V,月汇总!B:B,B26)</f>
        <v>397.392459016393</v>
      </c>
      <c r="AI26" s="603">
        <f t="shared" si="10"/>
        <v>0.00669128027493692</v>
      </c>
      <c r="AJ26" s="602">
        <f t="shared" si="11"/>
        <v>40963.268621294</v>
      </c>
      <c r="AK26" s="4">
        <f>SUMIFS(月汇总!AA:AA,月汇总!B:B,B26)</f>
        <v>10600</v>
      </c>
      <c r="AL26" s="602">
        <f t="shared" si="12"/>
        <v>7481.33137870597</v>
      </c>
      <c r="AM26" s="603">
        <f t="shared" si="13"/>
        <v>0.125970395131571</v>
      </c>
      <c r="AN26" s="602">
        <f>SUMIFS(月汇总!AB:AB,月汇总!B:B,B26)</f>
        <v>3800</v>
      </c>
      <c r="AO26" s="602">
        <f>SUMIFS(月汇总!W:W,月汇总!B:B,B26)</f>
        <v>2666</v>
      </c>
      <c r="AP26" s="602">
        <f t="shared" si="14"/>
        <v>1015.33137870597</v>
      </c>
    </row>
    <row r="27" ht="19" customHeight="1" spans="1:43">
      <c r="A27" s="4">
        <v>23</v>
      </c>
      <c r="B27" s="37" t="s">
        <v>114</v>
      </c>
      <c r="C27" s="37" t="s">
        <v>115</v>
      </c>
      <c r="D27" s="4" t="s">
        <v>47</v>
      </c>
      <c r="E27" s="4" t="s">
        <v>48</v>
      </c>
      <c r="F27" s="122" t="s">
        <v>116</v>
      </c>
      <c r="G27" s="4" t="s">
        <v>50</v>
      </c>
      <c r="H27" s="515">
        <f>COUNTIFS(磅单!E:E,B27)</f>
        <v>21</v>
      </c>
      <c r="I27" s="4">
        <f>SUMIFS(磅单!L:L,磅单!E:E,B27)</f>
        <v>888.56</v>
      </c>
      <c r="J27" s="4">
        <f>SUMIFS(磅单!O:O,磅单!E:E,B27)</f>
        <v>57045.58</v>
      </c>
      <c r="K27" s="602">
        <f>SUMIFS(月汇总!Y:Y,月汇总!B:B,B27)</f>
        <v>315</v>
      </c>
      <c r="L27" s="602">
        <f>SUMIFS(月汇总!I:I,月汇总!B:B,B27,月汇总!C:C,F27)</f>
        <v>0</v>
      </c>
      <c r="M27" s="602">
        <f>SUMIFS(月汇总!J:J,月汇总!B:B,B27,月汇总!C:C,F27)</f>
        <v>15543.1342106383</v>
      </c>
      <c r="N27" s="603">
        <f t="shared" si="0"/>
        <v>0.272468685753362</v>
      </c>
      <c r="O27" s="604">
        <f t="shared" si="1"/>
        <v>740.149248125633</v>
      </c>
      <c r="P27" s="602">
        <f>SUMIFS(月汇总!R:R,月汇总!B:B,B27)+SUMIFS(月汇总!S:S,月汇总!B:B,B27)</f>
        <v>13200</v>
      </c>
      <c r="Q27" s="603">
        <f t="shared" si="2"/>
        <v>0.231393913428525</v>
      </c>
      <c r="R27" s="4">
        <f>SUMIFS(月汇总!Q:Q,月汇总!B:B,B27)</f>
        <v>570</v>
      </c>
      <c r="S27" s="603">
        <f t="shared" si="3"/>
        <v>0.00999200989804994</v>
      </c>
      <c r="T27" s="4">
        <f>SUMIFS(月汇总!N:N,月汇总!B:B,B27)</f>
        <v>220.881967213115</v>
      </c>
      <c r="U27" s="603"/>
      <c r="V27" s="602">
        <f>SUMIFS(月汇总!X:X,月汇总!B:B,B27)</f>
        <v>0</v>
      </c>
      <c r="W27" s="603"/>
      <c r="X27" s="4">
        <f>SUMIFS(月汇总!U:U,月汇总!B:B,B27)</f>
        <v>608</v>
      </c>
      <c r="Y27" s="603">
        <f t="shared" si="5"/>
        <v>0.0106581438912533</v>
      </c>
      <c r="Z27" s="4">
        <f>SUMIFS(月汇总!O:O,月汇总!B:B,B27)</f>
        <v>0</v>
      </c>
      <c r="AA27" s="603">
        <f t="shared" si="6"/>
        <v>0</v>
      </c>
      <c r="AB27" s="4">
        <f>SUMIFS(月汇总!T:T,月汇总!B:B,B27)</f>
        <v>200</v>
      </c>
      <c r="AC27" s="603">
        <f t="shared" si="7"/>
        <v>0.00350596838528068</v>
      </c>
      <c r="AD27" s="604">
        <f>SUMIFS(月汇总!Z:Z,月汇总!B:B,B27)</f>
        <v>3993.1906</v>
      </c>
      <c r="AE27" s="603">
        <f t="shared" si="8"/>
        <v>0.07</v>
      </c>
      <c r="AF27" s="602">
        <f>SUMIFS(月汇总!AC:AC,月汇总!B:B,B27)</f>
        <v>790.16393442623</v>
      </c>
      <c r="AG27" s="603">
        <f t="shared" si="9"/>
        <v>0.0138514488664368</v>
      </c>
      <c r="AH27" s="602">
        <f>SUMIFS(月汇总!V:V,月汇总!B:B,B27)</f>
        <v>397.392459016393</v>
      </c>
      <c r="AI27" s="603">
        <f t="shared" si="10"/>
        <v>0.00696622698930212</v>
      </c>
      <c r="AJ27" s="602">
        <f t="shared" si="11"/>
        <v>35522.763171294</v>
      </c>
      <c r="AK27" s="4">
        <f>SUMIFS(月汇总!AA:AA,月汇总!B:B,B27)</f>
        <v>10600</v>
      </c>
      <c r="AL27" s="602">
        <f t="shared" si="12"/>
        <v>10607.816828706</v>
      </c>
      <c r="AM27" s="603">
        <f t="shared" si="13"/>
        <v>0.185953352191458</v>
      </c>
      <c r="AN27" s="602">
        <f>SUMIFS(月汇总!AB:AB,月汇总!B:B,B27)</f>
        <v>3800</v>
      </c>
      <c r="AO27" s="602">
        <f>SUMIFS(月汇总!W:W,月汇总!B:B,B27)</f>
        <v>2666</v>
      </c>
      <c r="AP27" s="602">
        <f t="shared" si="14"/>
        <v>4141.81682870597</v>
      </c>
    </row>
    <row r="28" ht="19" customHeight="1" spans="1:43">
      <c r="A28" s="4">
        <v>24</v>
      </c>
      <c r="B28" s="37" t="s">
        <v>117</v>
      </c>
      <c r="C28" s="37" t="s">
        <v>118</v>
      </c>
      <c r="D28" s="4" t="s">
        <v>119</v>
      </c>
      <c r="E28" s="4" t="s">
        <v>48</v>
      </c>
      <c r="F28" s="122" t="s">
        <v>120</v>
      </c>
      <c r="G28" s="4" t="s">
        <v>50</v>
      </c>
      <c r="H28" s="515">
        <f>COUNTIFS(磅单!E:E,B28)</f>
        <v>4</v>
      </c>
      <c r="I28" s="4">
        <f>SUMIFS(磅单!L:L,磅单!E:E,B28)</f>
        <v>167.72</v>
      </c>
      <c r="J28" s="4">
        <f>SUMIFS(磅单!O:O,磅单!E:E,B28)</f>
        <v>11193.96</v>
      </c>
      <c r="K28" s="602">
        <f>SUMIFS(月汇总!Y:Y,月汇总!B:B,B28)</f>
        <v>60</v>
      </c>
      <c r="L28" s="602">
        <f>SUMIFS(月汇总!I:I,月汇总!B:B,B28,月汇总!C:C,F28)</f>
        <v>50</v>
      </c>
      <c r="M28" s="602">
        <f>SUMIFS(月汇总!J:J,月汇总!B:B,B28,月汇总!C:C,F28)</f>
        <v>5252.5870606383</v>
      </c>
      <c r="N28" s="603">
        <f t="shared" si="0"/>
        <v>0.469234038770756</v>
      </c>
      <c r="O28" s="604">
        <f t="shared" si="1"/>
        <v>1313.14676515957</v>
      </c>
      <c r="P28" s="602">
        <f>SUMIFS(月汇总!R:R,月汇总!B:B,B28)+SUMIFS(月汇总!S:S,月汇总!B:B,B28)</f>
        <v>3000</v>
      </c>
      <c r="Q28" s="603">
        <f t="shared" si="2"/>
        <v>0.268001672330435</v>
      </c>
      <c r="R28" s="4">
        <f>SUMIFS(月汇总!Q:Q,月汇总!B:B,B28)</f>
        <v>295</v>
      </c>
      <c r="S28" s="603">
        <f t="shared" si="3"/>
        <v>0.0263534977791595</v>
      </c>
      <c r="T28" s="4">
        <f>SUMIFS(月汇总!N:N,月汇总!B:B,B28)</f>
        <v>220.881967213115</v>
      </c>
      <c r="U28" s="603"/>
      <c r="V28" s="602">
        <f>SUMIFS(月汇总!X:X,月汇总!B:B,B28)</f>
        <v>0</v>
      </c>
      <c r="W28" s="603"/>
      <c r="X28" s="4">
        <f>SUMIFS(月汇总!U:U,月汇总!B:B,B28)</f>
        <v>160</v>
      </c>
      <c r="Y28" s="603">
        <f t="shared" si="5"/>
        <v>0.0142934225242899</v>
      </c>
      <c r="Z28" s="4">
        <f>SUMIFS(月汇总!O:O,月汇总!B:B,B28)</f>
        <v>0</v>
      </c>
      <c r="AA28" s="603">
        <f t="shared" si="6"/>
        <v>0</v>
      </c>
      <c r="AB28" s="4">
        <f>SUMIFS(月汇总!T:T,月汇总!B:B,B28)</f>
        <v>200</v>
      </c>
      <c r="AC28" s="603">
        <f t="shared" si="7"/>
        <v>0.0178667781553624</v>
      </c>
      <c r="AD28" s="604">
        <f>SUMIFS(月汇总!Z:Z,月汇总!B:B,B28)</f>
        <v>783.5772</v>
      </c>
      <c r="AE28" s="603">
        <f t="shared" si="8"/>
        <v>0.07</v>
      </c>
      <c r="AF28" s="602">
        <f>SUMIFS(月汇总!AC:AC,月汇总!B:B,B28)</f>
        <v>790.16393442623</v>
      </c>
      <c r="AG28" s="603">
        <f t="shared" si="9"/>
        <v>0.0705884186138087</v>
      </c>
      <c r="AH28" s="602">
        <f>SUMIFS(月汇总!V:V,月汇总!B:B,B28)</f>
        <v>397.392459016393</v>
      </c>
      <c r="AI28" s="603">
        <f t="shared" si="10"/>
        <v>0.0355006145292991</v>
      </c>
      <c r="AJ28" s="602">
        <f t="shared" si="11"/>
        <v>11099.602621294</v>
      </c>
      <c r="AK28" s="4">
        <f>SUMIFS(月汇总!AA:AA,月汇总!B:B,B28)</f>
        <v>10600</v>
      </c>
      <c r="AL28" s="602">
        <f t="shared" si="12"/>
        <v>-10615.642621294</v>
      </c>
      <c r="AM28" s="603">
        <f t="shared" si="13"/>
        <v>-0.948336658456349</v>
      </c>
      <c r="AN28" s="602">
        <f>SUMIFS(月汇总!AB:AB,月汇总!B:B,B28)</f>
        <v>3800</v>
      </c>
      <c r="AO28" s="602">
        <f>SUMIFS(月汇总!W:W,月汇总!B:B,B28)</f>
        <v>2666</v>
      </c>
      <c r="AP28" s="602">
        <f t="shared" si="14"/>
        <v>-17081.642621294</v>
      </c>
      <c r="AQ28" s="375"/>
    </row>
    <row r="29" ht="19" customHeight="1" spans="1:43">
      <c r="A29" s="4">
        <v>25</v>
      </c>
      <c r="B29" s="37" t="s">
        <v>121</v>
      </c>
      <c r="C29" s="37" t="s">
        <v>122</v>
      </c>
      <c r="D29" s="4" t="s">
        <v>47</v>
      </c>
      <c r="E29" s="4" t="s">
        <v>48</v>
      </c>
      <c r="F29" s="122" t="s">
        <v>123</v>
      </c>
      <c r="G29" s="4" t="s">
        <v>50</v>
      </c>
      <c r="H29" s="515">
        <f>COUNTIFS(磅单!E:E,B29)</f>
        <v>2</v>
      </c>
      <c r="I29" s="4">
        <f>SUMIFS(磅单!L:L,磅单!E:E,B29)</f>
        <v>85.91</v>
      </c>
      <c r="J29" s="4">
        <f>SUMIFS(磅单!O:O,磅单!E:E,B29)</f>
        <v>5499.59</v>
      </c>
      <c r="K29" s="602">
        <f>SUMIFS(月汇总!Y:Y,月汇总!B:B,B29)</f>
        <v>30</v>
      </c>
      <c r="L29" s="602">
        <f>SUMIFS(月汇总!I:I,月汇总!B:B,B29,月汇总!C:C,F29)</f>
        <v>0</v>
      </c>
      <c r="M29" s="602">
        <f>SUMIFS(月汇总!J:J,月汇总!B:B,B29,月汇总!C:C,F29)</f>
        <v>2495.5028106383</v>
      </c>
      <c r="N29" s="603">
        <f t="shared" si="0"/>
        <v>0.453761609617862</v>
      </c>
      <c r="O29" s="604">
        <f t="shared" si="1"/>
        <v>1247.75140531915</v>
      </c>
      <c r="P29" s="602">
        <f>SUMIFS(月汇总!R:R,月汇总!B:B,B29)+SUMIFS(月汇总!S:S,月汇总!B:B,B29)</f>
        <v>1200</v>
      </c>
      <c r="Q29" s="603">
        <f t="shared" si="2"/>
        <v>0.21819808385716</v>
      </c>
      <c r="R29" s="4">
        <f>SUMIFS(月汇总!Q:Q,月汇总!B:B,B29)</f>
        <v>300</v>
      </c>
      <c r="S29" s="603">
        <f t="shared" si="3"/>
        <v>0.0545495209642901</v>
      </c>
      <c r="T29" s="4">
        <f>SUMIFS(月汇总!N:N,月汇总!B:B,B29)</f>
        <v>220.881967213115</v>
      </c>
      <c r="U29" s="603"/>
      <c r="V29" s="602">
        <f>SUMIFS(月汇总!X:X,月汇总!B:B,B29)</f>
        <v>0</v>
      </c>
      <c r="W29" s="603"/>
      <c r="X29" s="4">
        <f>SUMIFS(月汇总!U:U,月汇总!B:B,B29)</f>
        <v>417</v>
      </c>
      <c r="Y29" s="603">
        <f t="shared" si="5"/>
        <v>0.0758238341403632</v>
      </c>
      <c r="Z29" s="4">
        <f>SUMIFS(月汇总!O:O,月汇总!B:B,B29)</f>
        <v>0</v>
      </c>
      <c r="AA29" s="603">
        <f t="shared" si="6"/>
        <v>0</v>
      </c>
      <c r="AB29" s="4">
        <f>SUMIFS(月汇总!T:T,月汇总!B:B,B29)</f>
        <v>200</v>
      </c>
      <c r="AC29" s="603">
        <f t="shared" si="7"/>
        <v>0.0363663473095267</v>
      </c>
      <c r="AD29" s="604">
        <f>SUMIFS(月汇总!Z:Z,月汇总!B:B,B29)</f>
        <v>384.9713</v>
      </c>
      <c r="AE29" s="603">
        <f t="shared" si="8"/>
        <v>0.07</v>
      </c>
      <c r="AF29" s="602">
        <f>SUMIFS(月汇总!AC:AC,月汇总!B:B,B29)</f>
        <v>790.16393442623</v>
      </c>
      <c r="AG29" s="603">
        <f t="shared" si="9"/>
        <v>0.143676880354032</v>
      </c>
      <c r="AH29" s="602">
        <f>SUMIFS(月汇总!V:V,月汇总!B:B,B29)</f>
        <v>397.392459016393</v>
      </c>
      <c r="AI29" s="603">
        <f t="shared" si="10"/>
        <v>0.0722585609138851</v>
      </c>
      <c r="AJ29" s="602">
        <f t="shared" si="11"/>
        <v>6405.91247129404</v>
      </c>
      <c r="AK29" s="4">
        <f>SUMIFS(月汇总!AA:AA,月汇总!B:B,B29)</f>
        <v>10600</v>
      </c>
      <c r="AL29" s="602">
        <f t="shared" si="12"/>
        <v>-11536.322471294</v>
      </c>
      <c r="AM29" s="603">
        <f t="shared" si="13"/>
        <v>-2.09766954832888</v>
      </c>
      <c r="AN29" s="602">
        <f>SUMIFS(月汇总!AB:AB,月汇总!B:B,B29)</f>
        <v>3800</v>
      </c>
      <c r="AO29" s="602">
        <f>SUMIFS(月汇总!W:W,月汇总!B:B,B29)</f>
        <v>2666</v>
      </c>
      <c r="AP29" s="602">
        <f t="shared" si="14"/>
        <v>-18002.322471294</v>
      </c>
    </row>
    <row r="30" ht="19" customHeight="1" spans="1:43">
      <c r="A30" s="4">
        <v>26</v>
      </c>
      <c r="B30" s="37" t="s">
        <v>124</v>
      </c>
      <c r="C30" s="37" t="s">
        <v>125</v>
      </c>
      <c r="D30" s="4" t="s">
        <v>47</v>
      </c>
      <c r="E30" s="4" t="s">
        <v>48</v>
      </c>
      <c r="F30" s="122" t="s">
        <v>126</v>
      </c>
      <c r="G30" s="4" t="s">
        <v>50</v>
      </c>
      <c r="H30" s="515">
        <f>COUNTIFS(磅单!E:E,B30)</f>
        <v>17</v>
      </c>
      <c r="I30" s="4">
        <f>SUMIFS(磅单!L:L,磅单!E:E,B30)</f>
        <v>685.49</v>
      </c>
      <c r="J30" s="4">
        <f>SUMIFS(磅单!O:O,磅单!E:E,B30)</f>
        <v>44813.27</v>
      </c>
      <c r="K30" s="602">
        <f>SUMIFS(月汇总!Y:Y,月汇总!B:B,B30)</f>
        <v>255</v>
      </c>
      <c r="L30" s="602">
        <f>SUMIFS(月汇总!I:I,月汇总!B:B,B30,月汇总!C:C,F30)</f>
        <v>50</v>
      </c>
      <c r="M30" s="602">
        <f>SUMIFS(月汇总!J:J,月汇总!B:B,B30,月汇总!C:C,F30)</f>
        <v>14525.3580106383</v>
      </c>
      <c r="N30" s="603">
        <f t="shared" si="0"/>
        <v>0.324130732049643</v>
      </c>
      <c r="O30" s="604">
        <f t="shared" si="1"/>
        <v>854.432824155194</v>
      </c>
      <c r="P30" s="602">
        <f>SUMIFS(月汇总!R:R,月汇总!B:B,B30)+SUMIFS(月汇总!S:S,月汇总!B:B,B30)</f>
        <v>11000</v>
      </c>
      <c r="Q30" s="603">
        <f t="shared" si="2"/>
        <v>0.245463006828111</v>
      </c>
      <c r="R30" s="4">
        <f>SUMIFS(月汇总!Q:Q,月汇总!B:B,B30)</f>
        <v>270</v>
      </c>
      <c r="S30" s="603">
        <f t="shared" si="3"/>
        <v>0.00602500107669001</v>
      </c>
      <c r="T30" s="4">
        <f>SUMIFS(月汇总!N:N,月汇总!B:B,B30)</f>
        <v>220.881967213115</v>
      </c>
      <c r="U30" s="603"/>
      <c r="V30" s="602">
        <f>SUMIFS(月汇总!X:X,月汇总!B:B,B30)</f>
        <v>0</v>
      </c>
      <c r="W30" s="603"/>
      <c r="X30" s="4">
        <f>SUMIFS(月汇总!U:U,月汇总!B:B,B30)</f>
        <v>456</v>
      </c>
      <c r="Y30" s="603">
        <f t="shared" si="5"/>
        <v>0.0101755573739653</v>
      </c>
      <c r="Z30" s="4">
        <f>SUMIFS(月汇总!O:O,月汇总!B:B,B30)</f>
        <v>6080</v>
      </c>
      <c r="AA30" s="603">
        <f t="shared" si="6"/>
        <v>0.135674098319538</v>
      </c>
      <c r="AB30" s="4">
        <f>SUMIFS(月汇总!T:T,月汇总!B:B,B30)</f>
        <v>200</v>
      </c>
      <c r="AC30" s="603">
        <f t="shared" si="7"/>
        <v>0.00446296376051112</v>
      </c>
      <c r="AD30" s="604">
        <f>SUMIFS(月汇总!Z:Z,月汇总!B:B,B30)</f>
        <v>3136.9289</v>
      </c>
      <c r="AE30" s="603">
        <f t="shared" si="8"/>
        <v>0.07</v>
      </c>
      <c r="AF30" s="602">
        <f>SUMIFS(月汇总!AC:AC,月汇总!B:B,B30)</f>
        <v>790.16393442623</v>
      </c>
      <c r="AG30" s="603">
        <f t="shared" si="9"/>
        <v>0.0176323650210357</v>
      </c>
      <c r="AH30" s="602">
        <f>SUMIFS(月汇总!V:V,月汇总!B:B,B30)</f>
        <v>397.392459016393</v>
      </c>
      <c r="AI30" s="603">
        <f t="shared" si="10"/>
        <v>0.00886774071645281</v>
      </c>
      <c r="AJ30" s="602">
        <f t="shared" si="11"/>
        <v>37076.725271294</v>
      </c>
      <c r="AK30" s="4">
        <f>SUMIFS(月汇总!AA:AA,月汇总!B:B,B30)</f>
        <v>10600</v>
      </c>
      <c r="AL30" s="602">
        <f t="shared" si="12"/>
        <v>-3168.45527129403</v>
      </c>
      <c r="AM30" s="603">
        <f t="shared" si="13"/>
        <v>-0.0707035052629285</v>
      </c>
      <c r="AN30" s="602">
        <f>SUMIFS(月汇总!AB:AB,月汇总!B:B,B30)</f>
        <v>3800</v>
      </c>
      <c r="AO30" s="602">
        <f>SUMIFS(月汇总!W:W,月汇总!B:B,B30)</f>
        <v>2666</v>
      </c>
      <c r="AP30" s="602">
        <f t="shared" si="14"/>
        <v>-9634.45527129403</v>
      </c>
    </row>
    <row r="31" ht="19" customHeight="1" spans="1:43">
      <c r="A31" s="4">
        <v>27</v>
      </c>
      <c r="B31" s="37" t="s">
        <v>127</v>
      </c>
      <c r="C31" s="37" t="s">
        <v>128</v>
      </c>
      <c r="D31" s="4" t="s">
        <v>47</v>
      </c>
      <c r="E31" s="4" t="s">
        <v>48</v>
      </c>
      <c r="F31" s="122" t="s">
        <v>129</v>
      </c>
      <c r="G31" s="4" t="s">
        <v>50</v>
      </c>
      <c r="H31" s="515">
        <f>COUNTIFS(磅单!E:E,B31)</f>
        <v>16</v>
      </c>
      <c r="I31" s="4">
        <f>SUMIFS(磅单!L:L,磅单!E:E,B31)</f>
        <v>649.14</v>
      </c>
      <c r="J31" s="4">
        <f>SUMIFS(磅单!O:O,磅单!E:E,B31)</f>
        <v>41386.44</v>
      </c>
      <c r="K31" s="602">
        <f>SUMIFS(月汇总!Y:Y,月汇总!B:B,B31)</f>
        <v>240</v>
      </c>
      <c r="L31" s="602">
        <f>SUMIFS(月汇总!I:I,月汇总!B:B,B31,月汇总!C:C,F31)</f>
        <v>0</v>
      </c>
      <c r="M31" s="602">
        <f>SUMIFS(月汇总!J:J,月汇总!B:B,B31,月汇总!C:C,F31)</f>
        <v>12909.9520106383</v>
      </c>
      <c r="N31" s="603">
        <f t="shared" si="0"/>
        <v>0.311936760219973</v>
      </c>
      <c r="O31" s="604">
        <f t="shared" si="1"/>
        <v>806.872000664894</v>
      </c>
      <c r="P31" s="602">
        <f>SUMIFS(月汇总!R:R,月汇总!B:B,B31)+SUMIFS(月汇总!S:S,月汇总!B:B,B31)</f>
        <v>10000</v>
      </c>
      <c r="Q31" s="603">
        <f t="shared" si="2"/>
        <v>0.241625034673193</v>
      </c>
      <c r="R31" s="4">
        <f>SUMIFS(月汇总!Q:Q,月汇总!B:B,B31)</f>
        <v>1405</v>
      </c>
      <c r="S31" s="603">
        <f t="shared" si="3"/>
        <v>0.0339483173715835</v>
      </c>
      <c r="T31" s="4">
        <f>SUMIFS(月汇总!N:N,月汇总!B:B,B31)</f>
        <v>220.881967213115</v>
      </c>
      <c r="U31" s="603"/>
      <c r="V31" s="602">
        <f>SUMIFS(月汇总!X:X,月汇总!B:B,B31)</f>
        <v>0</v>
      </c>
      <c r="W31" s="603"/>
      <c r="X31" s="4">
        <f>SUMIFS(月汇总!U:U,月汇总!B:B,B31)</f>
        <v>386</v>
      </c>
      <c r="Y31" s="603">
        <f t="shared" si="5"/>
        <v>0.00932672633838523</v>
      </c>
      <c r="Z31" s="4">
        <f>SUMIFS(月汇总!O:O,月汇总!B:B,B31)</f>
        <v>8830</v>
      </c>
      <c r="AA31" s="603">
        <f t="shared" si="6"/>
        <v>0.213354905616429</v>
      </c>
      <c r="AB31" s="4">
        <f>SUMIFS(月汇总!T:T,月汇总!B:B,B31)</f>
        <v>220</v>
      </c>
      <c r="AC31" s="603">
        <f t="shared" si="7"/>
        <v>0.00531575076281024</v>
      </c>
      <c r="AD31" s="604">
        <f>SUMIFS(月汇总!Z:Z,月汇总!B:B,B31)</f>
        <v>2897.0508</v>
      </c>
      <c r="AE31" s="603">
        <f t="shared" si="8"/>
        <v>0.07</v>
      </c>
      <c r="AF31" s="602">
        <f>SUMIFS(月汇总!AC:AC,月汇总!B:B,B31)</f>
        <v>790.16393442623</v>
      </c>
      <c r="AG31" s="603">
        <f t="shared" si="9"/>
        <v>0.0190923388053244</v>
      </c>
      <c r="AH31" s="602">
        <f>SUMIFS(月汇总!V:V,月汇总!B:B,B31)</f>
        <v>397.392459016393</v>
      </c>
      <c r="AI31" s="603">
        <f t="shared" si="10"/>
        <v>0.00960199666887013</v>
      </c>
      <c r="AJ31" s="602">
        <f t="shared" si="11"/>
        <v>38056.441171294</v>
      </c>
      <c r="AK31" s="4">
        <f>SUMIFS(月汇总!AA:AA,月汇总!B:B,B31)</f>
        <v>10600</v>
      </c>
      <c r="AL31" s="602">
        <f t="shared" si="12"/>
        <v>-7510.00117129404</v>
      </c>
      <c r="AM31" s="603">
        <f t="shared" si="13"/>
        <v>-0.181460429340964</v>
      </c>
      <c r="AN31" s="602">
        <f>SUMIFS(月汇总!AB:AB,月汇总!B:B,B31)</f>
        <v>3800</v>
      </c>
      <c r="AO31" s="602">
        <f>SUMIFS(月汇总!W:W,月汇总!B:B,B31)</f>
        <v>2666</v>
      </c>
      <c r="AP31" s="602">
        <f t="shared" si="14"/>
        <v>-13976.001171294</v>
      </c>
    </row>
    <row r="32" ht="19" customHeight="1" spans="1:43">
      <c r="A32" s="4">
        <v>28</v>
      </c>
      <c r="B32" s="37" t="s">
        <v>130</v>
      </c>
      <c r="C32" s="37" t="s">
        <v>122</v>
      </c>
      <c r="D32" s="4" t="s">
        <v>47</v>
      </c>
      <c r="E32" s="4" t="s">
        <v>48</v>
      </c>
      <c r="F32" s="122" t="s">
        <v>131</v>
      </c>
      <c r="G32" s="4" t="s">
        <v>50</v>
      </c>
      <c r="H32" s="515">
        <f>COUNTIFS(磅单!E:E,B32)</f>
        <v>15</v>
      </c>
      <c r="I32" s="4">
        <f>SUMIFS(磅单!L:L,磅单!E:E,B32)</f>
        <v>621.41</v>
      </c>
      <c r="J32" s="4">
        <f>SUMIFS(磅单!O:O,磅单!E:E,B32)</f>
        <v>37840.85</v>
      </c>
      <c r="K32" s="602">
        <f>SUMIFS(月汇总!Y:Y,月汇总!B:B,B32)</f>
        <v>225</v>
      </c>
      <c r="L32" s="602">
        <f>SUMIFS(月汇总!I:I,月汇总!B:B,B32,月汇总!C:C,F32)</f>
        <v>0</v>
      </c>
      <c r="M32" s="602">
        <f>SUMIFS(月汇总!J:J,月汇总!B:B,B32,月汇总!C:C,F32)</f>
        <v>13910.7910106383</v>
      </c>
      <c r="N32" s="603">
        <f t="shared" si="0"/>
        <v>0.367613069226466</v>
      </c>
      <c r="O32" s="604">
        <f t="shared" si="1"/>
        <v>927.386067375887</v>
      </c>
      <c r="P32" s="602">
        <f>SUMIFS(月汇总!R:R,月汇总!B:B,B32)+SUMIFS(月汇总!S:S,月汇总!B:B,B32)</f>
        <v>9980</v>
      </c>
      <c r="Q32" s="603">
        <f t="shared" si="2"/>
        <v>0.263736147575966</v>
      </c>
      <c r="R32" s="4">
        <f>SUMIFS(月汇总!Q:Q,月汇总!B:B,B32)</f>
        <v>2260</v>
      </c>
      <c r="S32" s="603">
        <f t="shared" si="3"/>
        <v>0.0597238169861406</v>
      </c>
      <c r="T32" s="4">
        <f>SUMIFS(月汇总!N:N,月汇总!B:B,B32)</f>
        <v>220.881967213115</v>
      </c>
      <c r="U32" s="603"/>
      <c r="V32" s="602">
        <f>SUMIFS(月汇总!X:X,月汇总!B:B,B32)</f>
        <v>0</v>
      </c>
      <c r="W32" s="603">
        <f t="shared" ref="W32:W65" si="15">V32/J32</f>
        <v>0</v>
      </c>
      <c r="X32" s="4">
        <f>SUMIFS(月汇总!U:U,月汇总!B:B,B32)</f>
        <v>412</v>
      </c>
      <c r="Y32" s="603">
        <f t="shared" si="5"/>
        <v>0.0108877046895088</v>
      </c>
      <c r="Z32" s="4">
        <f>SUMIFS(月汇总!O:O,月汇总!B:B,B32)</f>
        <v>900</v>
      </c>
      <c r="AA32" s="603">
        <f t="shared" si="6"/>
        <v>0.0237838209236843</v>
      </c>
      <c r="AB32" s="4">
        <f>SUMIFS(月汇总!T:T,月汇总!B:B,B32)</f>
        <v>400</v>
      </c>
      <c r="AC32" s="603">
        <f t="shared" si="7"/>
        <v>0.010570587077193</v>
      </c>
      <c r="AD32" s="604">
        <f>SUMIFS(月汇总!Z:Z,月汇总!B:B,B32)</f>
        <v>2648.8595</v>
      </c>
      <c r="AE32" s="603">
        <f t="shared" si="8"/>
        <v>0.07</v>
      </c>
      <c r="AF32" s="602">
        <f>SUMIFS(月汇总!AC:AC,月汇总!B:B,B32)</f>
        <v>790.16393442623</v>
      </c>
      <c r="AG32" s="603">
        <f t="shared" si="9"/>
        <v>0.0208812416852748</v>
      </c>
      <c r="AH32" s="602">
        <f>SUMIFS(月汇总!V:V,月汇总!B:B,B32)</f>
        <v>397.392459016393</v>
      </c>
      <c r="AI32" s="603">
        <f t="shared" si="10"/>
        <v>0.0105016789796316</v>
      </c>
      <c r="AJ32" s="602">
        <f t="shared" si="11"/>
        <v>31920.088871294</v>
      </c>
      <c r="AK32" s="4">
        <f>SUMIFS(月汇总!AA:AA,月汇总!B:B,B32)</f>
        <v>10600</v>
      </c>
      <c r="AL32" s="602">
        <f t="shared" si="12"/>
        <v>-4904.23887129403</v>
      </c>
      <c r="AM32" s="603">
        <f t="shared" si="13"/>
        <v>-0.129601710090921</v>
      </c>
      <c r="AN32" s="602">
        <f>SUMIFS(月汇总!AB:AB,月汇总!B:B,B32)</f>
        <v>3800</v>
      </c>
      <c r="AO32" s="602">
        <f>SUMIFS(月汇总!W:W,月汇总!B:B,B32)</f>
        <v>2666</v>
      </c>
      <c r="AP32" s="602">
        <f t="shared" si="14"/>
        <v>-11370.238871294</v>
      </c>
    </row>
    <row r="33" ht="19" customHeight="1" spans="1:42">
      <c r="A33" s="4">
        <v>29</v>
      </c>
      <c r="B33" s="37" t="s">
        <v>132</v>
      </c>
      <c r="C33" s="37" t="s">
        <v>133</v>
      </c>
      <c r="D33" s="4" t="s">
        <v>47</v>
      </c>
      <c r="E33" s="4" t="s">
        <v>48</v>
      </c>
      <c r="F33" s="122" t="s">
        <v>134</v>
      </c>
      <c r="G33" s="4" t="s">
        <v>50</v>
      </c>
      <c r="H33" s="515">
        <f>COUNTIFS(磅单!E:E,B33)</f>
        <v>18</v>
      </c>
      <c r="I33" s="4">
        <f>SUMIFS(磅单!L:L,磅单!E:E,B33)</f>
        <v>746.48</v>
      </c>
      <c r="J33" s="4">
        <f>SUMIFS(磅单!O:O,磅单!E:E,B33)</f>
        <v>47601.34</v>
      </c>
      <c r="K33" s="602">
        <f>SUMIFS(月汇总!Y:Y,月汇总!B:B,B33)</f>
        <v>270</v>
      </c>
      <c r="L33" s="602">
        <f>SUMIFS(月汇总!I:I,月汇总!B:B,B33,月汇总!C:C,F35)</f>
        <v>0</v>
      </c>
      <c r="M33" s="602">
        <f>SUMIFS(月汇总!J:J,月汇总!B:B,B33,月汇总!C:C,F33)</f>
        <v>14021.3641106383</v>
      </c>
      <c r="N33" s="603">
        <f t="shared" si="0"/>
        <v>0.29455818072849</v>
      </c>
      <c r="O33" s="604">
        <f t="shared" si="1"/>
        <v>778.964672813239</v>
      </c>
      <c r="P33" s="602">
        <f>SUMIFS(月汇总!R:R,月汇总!B:B,B33)+SUMIFS(月汇总!S:S,月汇总!B:B,B33)</f>
        <v>11200</v>
      </c>
      <c r="Q33" s="603">
        <f t="shared" si="2"/>
        <v>0.235287494007522</v>
      </c>
      <c r="R33" s="4">
        <f>SUMIFS(月汇总!Q:Q,月汇总!B:B,B33)</f>
        <v>352</v>
      </c>
      <c r="S33" s="603">
        <f t="shared" si="3"/>
        <v>0.00739474981166497</v>
      </c>
      <c r="T33" s="4">
        <f>SUMIFS(月汇总!N:N,月汇总!B:B,B33)</f>
        <v>220.881967213115</v>
      </c>
      <c r="U33" s="603"/>
      <c r="V33" s="602">
        <f>SUMIFS(月汇总!X:X,月汇总!B:B,B33)</f>
        <v>3000</v>
      </c>
      <c r="W33" s="603">
        <f t="shared" si="15"/>
        <v>0.0630234358948719</v>
      </c>
      <c r="X33" s="4">
        <f>SUMIFS(月汇总!U:U,月汇总!B:B,B33)</f>
        <v>535</v>
      </c>
      <c r="Y33" s="603">
        <f t="shared" si="5"/>
        <v>0.0112391794012521</v>
      </c>
      <c r="Z33" s="4">
        <f>SUMIFS(月汇总!O:O,月汇总!B:B,B33)</f>
        <v>0</v>
      </c>
      <c r="AA33" s="603">
        <f t="shared" si="6"/>
        <v>0</v>
      </c>
      <c r="AB33" s="4">
        <f>SUMIFS(月汇总!T:T,月汇总!B:B,B33)</f>
        <v>200</v>
      </c>
      <c r="AC33" s="603">
        <f t="shared" si="7"/>
        <v>0.00420156239299146</v>
      </c>
      <c r="AD33" s="604">
        <f>SUMIFS(月汇总!Z:Z,月汇总!B:B,B33)</f>
        <v>3332.0938</v>
      </c>
      <c r="AE33" s="603">
        <f t="shared" si="8"/>
        <v>0.07</v>
      </c>
      <c r="AF33" s="602">
        <f>SUMIFS(月汇总!AC:AC,月汇总!B:B,B33)</f>
        <v>790.16393442623</v>
      </c>
      <c r="AG33" s="603">
        <f t="shared" si="9"/>
        <v>0.0165996153559171</v>
      </c>
      <c r="AH33" s="602">
        <f>SUMIFS(月汇总!V:V,月汇总!B:B,B33)</f>
        <v>397.392459016393</v>
      </c>
      <c r="AI33" s="603">
        <f t="shared" si="10"/>
        <v>0.00834834605530839</v>
      </c>
      <c r="AJ33" s="602">
        <f t="shared" si="11"/>
        <v>34048.896271294</v>
      </c>
      <c r="AK33" s="4">
        <f>SUMIFS(月汇总!AA:AA,月汇总!B:B,B33)</f>
        <v>10600</v>
      </c>
      <c r="AL33" s="602">
        <f t="shared" si="12"/>
        <v>2682.44372870596</v>
      </c>
      <c r="AM33" s="603">
        <f t="shared" si="13"/>
        <v>0.0563522734592336</v>
      </c>
      <c r="AN33" s="602">
        <f>SUMIFS(月汇总!AB:AB,月汇总!B:B,B33)</f>
        <v>3800</v>
      </c>
      <c r="AO33" s="602">
        <f>SUMIFS(月汇总!W:W,月汇总!B:B,B33)</f>
        <v>2666</v>
      </c>
      <c r="AP33" s="602">
        <f t="shared" si="14"/>
        <v>-3783.55627129404</v>
      </c>
    </row>
    <row r="34" ht="19" customHeight="1" spans="1:42">
      <c r="A34" s="4">
        <v>30</v>
      </c>
      <c r="B34" s="37" t="s">
        <v>135</v>
      </c>
      <c r="C34" s="37" t="s">
        <v>136</v>
      </c>
      <c r="D34" s="4" t="s">
        <v>47</v>
      </c>
      <c r="E34" s="4" t="s">
        <v>48</v>
      </c>
      <c r="F34" s="122" t="s">
        <v>137</v>
      </c>
      <c r="G34" s="4" t="s">
        <v>50</v>
      </c>
      <c r="H34" s="515">
        <f>COUNTIFS(磅单!E:E,B34)</f>
        <v>17</v>
      </c>
      <c r="I34" s="4">
        <f>SUMIFS(磅单!L:L,磅单!E:E,B34)</f>
        <v>707.89</v>
      </c>
      <c r="J34" s="4">
        <f>SUMIFS(磅单!O:O,磅单!E:E,B34)</f>
        <v>45141.65</v>
      </c>
      <c r="K34" s="602">
        <f>SUMIFS(月汇总!Y:Y,月汇总!B:B,B34)</f>
        <v>255</v>
      </c>
      <c r="L34" s="602">
        <f>SUMIFS(月汇总!I:I,月汇总!B:B,B34,月汇总!C:C,F36)</f>
        <v>0</v>
      </c>
      <c r="M34" s="602">
        <f>SUMIFS(月汇总!J:J,月汇总!B:B,B34,月汇总!C:C,F34)</f>
        <v>14959.3720606383</v>
      </c>
      <c r="N34" s="603">
        <f t="shared" si="0"/>
        <v>0.331387356479843</v>
      </c>
      <c r="O34" s="604">
        <f t="shared" si="1"/>
        <v>879.963062390488</v>
      </c>
      <c r="P34" s="602">
        <f>SUMIFS(月汇总!R:R,月汇总!B:B,B34)+SUMIFS(月汇总!S:S,月汇总!B:B,B34)</f>
        <v>10600</v>
      </c>
      <c r="Q34" s="603">
        <f t="shared" si="2"/>
        <v>0.234816405691861</v>
      </c>
      <c r="R34" s="4">
        <f>SUMIFS(月汇总!Q:Q,月汇总!B:B,B34)</f>
        <v>17300</v>
      </c>
      <c r="S34" s="603">
        <f t="shared" si="3"/>
        <v>0.383238096082</v>
      </c>
      <c r="T34" s="4">
        <f>SUMIFS(月汇总!N:N,月汇总!B:B,B34)</f>
        <v>220.881967213115</v>
      </c>
      <c r="U34" s="603"/>
      <c r="V34" s="602">
        <f>SUMIFS(月汇总!X:X,月汇总!B:B,B34)</f>
        <v>3000</v>
      </c>
      <c r="W34" s="603">
        <f t="shared" si="15"/>
        <v>0.0664574733090173</v>
      </c>
      <c r="X34" s="4">
        <f>SUMIFS(月汇总!U:U,月汇总!B:B,B34)</f>
        <v>2989</v>
      </c>
      <c r="Y34" s="603">
        <f t="shared" si="5"/>
        <v>0.0662137959068842</v>
      </c>
      <c r="Z34" s="4">
        <f>SUMIFS(月汇总!O:O,月汇总!B:B,B34)</f>
        <v>0</v>
      </c>
      <c r="AA34" s="603">
        <f t="shared" si="6"/>
        <v>0</v>
      </c>
      <c r="AB34" s="4">
        <f>SUMIFS(月汇总!T:T,月汇总!B:B,B34)</f>
        <v>0</v>
      </c>
      <c r="AC34" s="603">
        <f t="shared" si="7"/>
        <v>0</v>
      </c>
      <c r="AD34" s="604">
        <f>SUMIFS(月汇总!Z:Z,月汇总!B:B,B34)</f>
        <v>3159.9155</v>
      </c>
      <c r="AE34" s="603">
        <f t="shared" si="8"/>
        <v>0.07</v>
      </c>
      <c r="AF34" s="602">
        <f>SUMIFS(月汇总!AC:AC,月汇总!B:B,B34)</f>
        <v>790.16393442623</v>
      </c>
      <c r="AG34" s="603">
        <f t="shared" si="9"/>
        <v>0.0175040995272931</v>
      </c>
      <c r="AH34" s="602">
        <f>SUMIFS(月汇总!V:V,月汇总!B:B,B34)</f>
        <v>397.392459016393</v>
      </c>
      <c r="AI34" s="603">
        <f t="shared" si="10"/>
        <v>0.00880323291276223</v>
      </c>
      <c r="AJ34" s="602">
        <f t="shared" si="11"/>
        <v>53416.725921294</v>
      </c>
      <c r="AK34" s="4">
        <f>SUMIFS(月汇总!AA:AA,月汇总!B:B,B34)</f>
        <v>10600</v>
      </c>
      <c r="AL34" s="602">
        <f t="shared" si="12"/>
        <v>-19130.075921294</v>
      </c>
      <c r="AM34" s="603">
        <f t="shared" si="13"/>
        <v>-0.423778836646291</v>
      </c>
      <c r="AN34" s="602">
        <f>SUMIFS(月汇总!AB:AB,月汇总!B:B,B34)</f>
        <v>3800</v>
      </c>
      <c r="AO34" s="602">
        <f>SUMIFS(月汇总!W:W,月汇总!B:B,B34)</f>
        <v>2666</v>
      </c>
      <c r="AP34" s="602">
        <f t="shared" si="14"/>
        <v>-25596.075921294</v>
      </c>
    </row>
    <row r="35" ht="19" customHeight="1" spans="1:42">
      <c r="A35" s="4">
        <v>31</v>
      </c>
      <c r="B35" s="37" t="s">
        <v>138</v>
      </c>
      <c r="C35" s="37" t="s">
        <v>139</v>
      </c>
      <c r="D35" s="4" t="s">
        <v>47</v>
      </c>
      <c r="E35" s="4" t="s">
        <v>48</v>
      </c>
      <c r="F35" s="122" t="s">
        <v>140</v>
      </c>
      <c r="G35" s="4" t="s">
        <v>50</v>
      </c>
      <c r="H35" s="515">
        <f>COUNTIFS(磅单!E:E,B35)</f>
        <v>14</v>
      </c>
      <c r="I35" s="4">
        <f>SUMIFS(磅单!L:L,磅单!E:E,B35)</f>
        <v>608.25</v>
      </c>
      <c r="J35" s="4">
        <f>SUMIFS(磅单!O:O,磅单!E:E,B35)</f>
        <v>37988.71</v>
      </c>
      <c r="K35" s="602">
        <f>SUMIFS(月汇总!Y:Y,月汇总!B:B,B35)</f>
        <v>210</v>
      </c>
      <c r="L35" s="602">
        <f>SUMIFS(月汇总!I:I,月汇总!B:B,B35,月汇总!C:C,F37)</f>
        <v>0</v>
      </c>
      <c r="M35" s="602">
        <f>SUMIFS(月汇总!J:J,月汇总!B:B,B35,月汇总!C:C,F35)</f>
        <v>13854.1876606383</v>
      </c>
      <c r="N35" s="603">
        <f t="shared" si="0"/>
        <v>0.364692237789551</v>
      </c>
      <c r="O35" s="604">
        <f t="shared" si="1"/>
        <v>989.584832902736</v>
      </c>
      <c r="P35" s="602">
        <f>SUMIFS(月汇总!R:R,月汇总!B:B,B35)+SUMIFS(月汇总!S:S,月汇总!B:B,B35)</f>
        <v>10000</v>
      </c>
      <c r="Q35" s="603">
        <f t="shared" si="2"/>
        <v>0.263236103568666</v>
      </c>
      <c r="R35" s="4">
        <f>SUMIFS(月汇总!Q:Q,月汇总!B:B,B35)</f>
        <v>230</v>
      </c>
      <c r="S35" s="603">
        <f t="shared" si="3"/>
        <v>0.00605443038207931</v>
      </c>
      <c r="T35" s="4">
        <f>SUMIFS(月汇总!N:N,月汇总!B:B,B35)</f>
        <v>220.881967213115</v>
      </c>
      <c r="U35" s="603"/>
      <c r="V35" s="602">
        <f>SUMIFS(月汇总!X:X,月汇总!B:B,B35)</f>
        <v>3000</v>
      </c>
      <c r="W35" s="603">
        <f t="shared" si="15"/>
        <v>0.0789708310705997</v>
      </c>
      <c r="X35" s="4">
        <f>SUMIFS(月汇总!U:U,月汇总!B:B,B35)</f>
        <v>466</v>
      </c>
      <c r="Y35" s="603">
        <f t="shared" si="5"/>
        <v>0.0122668024262998</v>
      </c>
      <c r="Z35" s="4">
        <f>SUMIFS(月汇总!O:O,月汇总!B:B,B35)</f>
        <v>0</v>
      </c>
      <c r="AA35" s="603">
        <f t="shared" si="6"/>
        <v>0</v>
      </c>
      <c r="AB35" s="4">
        <f>SUMIFS(月汇总!T:T,月汇总!B:B,B35)</f>
        <v>200</v>
      </c>
      <c r="AC35" s="603">
        <f t="shared" si="7"/>
        <v>0.00526472207137331</v>
      </c>
      <c r="AD35" s="604">
        <f>SUMIFS(月汇总!Z:Z,月汇总!B:B,B35)</f>
        <v>2659.2097</v>
      </c>
      <c r="AE35" s="603">
        <f t="shared" si="8"/>
        <v>0.07</v>
      </c>
      <c r="AF35" s="602">
        <f>SUMIFS(月汇总!AC:AC,月汇总!B:B,B35)</f>
        <v>790.16393442623</v>
      </c>
      <c r="AG35" s="603">
        <f t="shared" si="9"/>
        <v>0.0207999675278847</v>
      </c>
      <c r="AH35" s="602">
        <f>SUMIFS(月汇总!V:V,月汇总!B:B,B35)</f>
        <v>397.392459016393</v>
      </c>
      <c r="AI35" s="603">
        <f t="shared" si="10"/>
        <v>0.0104608042499046</v>
      </c>
      <c r="AJ35" s="602">
        <f t="shared" si="11"/>
        <v>31817.835721294</v>
      </c>
      <c r="AK35" s="4">
        <f>SUMIFS(月汇总!AA:AA,月汇总!B:B,B35)</f>
        <v>10600</v>
      </c>
      <c r="AL35" s="602">
        <f t="shared" si="12"/>
        <v>-4639.12572129404</v>
      </c>
      <c r="AM35" s="603">
        <f t="shared" si="13"/>
        <v>-0.122118537883862</v>
      </c>
      <c r="AN35" s="602">
        <f>SUMIFS(月汇总!AB:AB,月汇总!B:B,B35)</f>
        <v>0</v>
      </c>
      <c r="AO35" s="602">
        <f>SUMIFS(月汇总!W:W,月汇总!B:B,B35)</f>
        <v>2666</v>
      </c>
      <c r="AP35" s="602">
        <f t="shared" si="14"/>
        <v>-7305.12572129404</v>
      </c>
    </row>
    <row r="36" ht="19" customHeight="1" spans="1:42">
      <c r="A36" s="4">
        <v>32</v>
      </c>
      <c r="B36" s="37" t="s">
        <v>141</v>
      </c>
      <c r="C36" s="37" t="s">
        <v>142</v>
      </c>
      <c r="D36" s="4" t="s">
        <v>47</v>
      </c>
      <c r="E36" s="4" t="s">
        <v>48</v>
      </c>
      <c r="F36" s="122" t="s">
        <v>143</v>
      </c>
      <c r="G36" s="4" t="s">
        <v>50</v>
      </c>
      <c r="H36" s="515">
        <f>COUNTIFS(磅单!E:E,B36)</f>
        <v>18</v>
      </c>
      <c r="I36" s="4">
        <f>SUMIFS(磅单!L:L,磅单!E:E,B36)</f>
        <v>769.44</v>
      </c>
      <c r="J36" s="4">
        <f>SUMIFS(磅单!O:O,磅单!E:E,B36)</f>
        <v>49469.5</v>
      </c>
      <c r="K36" s="602">
        <f>SUMIFS(月汇总!Y:Y,月汇总!B:B,B36)</f>
        <v>270</v>
      </c>
      <c r="L36" s="602">
        <f>SUMIFS(月汇总!I:I,月汇总!B:B,B36,月汇总!C:C,F38)</f>
        <v>0</v>
      </c>
      <c r="M36" s="602">
        <f>SUMIFS(月汇总!J:J,月汇总!B:B,B36,月汇总!C:C,F36)</f>
        <v>19178.5682606383</v>
      </c>
      <c r="N36" s="603">
        <f t="shared" si="0"/>
        <v>0.387684699878477</v>
      </c>
      <c r="O36" s="604">
        <f t="shared" si="1"/>
        <v>1065.47601447991</v>
      </c>
      <c r="P36" s="602">
        <f>SUMIFS(月汇总!R:R,月汇总!B:B,B36)+SUMIFS(月汇总!S:S,月汇总!B:B,B36)</f>
        <v>11200</v>
      </c>
      <c r="Q36" s="603">
        <f t="shared" si="2"/>
        <v>0.226402126562832</v>
      </c>
      <c r="R36" s="4">
        <f>SUMIFS(月汇总!Q:Q,月汇总!B:B,B36)</f>
        <v>100</v>
      </c>
      <c r="S36" s="603">
        <f t="shared" si="3"/>
        <v>0.00202144755859671</v>
      </c>
      <c r="T36" s="4">
        <f>SUMIFS(月汇总!N:N,月汇总!B:B,B36)</f>
        <v>220.881967213115</v>
      </c>
      <c r="U36" s="603"/>
      <c r="V36" s="602">
        <f>SUMIFS(月汇总!X:X,月汇总!B:B,B36)</f>
        <v>3000</v>
      </c>
      <c r="W36" s="603">
        <f t="shared" si="15"/>
        <v>0.0606434267579013</v>
      </c>
      <c r="X36" s="4">
        <f>SUMIFS(月汇总!U:U,月汇总!B:B,B36)</f>
        <v>424</v>
      </c>
      <c r="Y36" s="603">
        <f t="shared" si="5"/>
        <v>0.00857093764845005</v>
      </c>
      <c r="Z36" s="4">
        <f>SUMIFS(月汇总!O:O,月汇总!B:B,B36)</f>
        <v>0</v>
      </c>
      <c r="AA36" s="603">
        <f t="shared" si="6"/>
        <v>0</v>
      </c>
      <c r="AB36" s="4">
        <f>SUMIFS(月汇总!T:T,月汇总!B:B,B36)</f>
        <v>220</v>
      </c>
      <c r="AC36" s="603">
        <f t="shared" si="7"/>
        <v>0.00444718462891276</v>
      </c>
      <c r="AD36" s="604">
        <f>SUMIFS(月汇总!Z:Z,月汇总!B:B,B36)</f>
        <v>3462.865</v>
      </c>
      <c r="AE36" s="603">
        <f t="shared" si="8"/>
        <v>0.07</v>
      </c>
      <c r="AF36" s="602">
        <f>SUMIFS(月汇总!AC:AC,月汇总!B:B,B36)</f>
        <v>790.16393442623</v>
      </c>
      <c r="AG36" s="603">
        <f t="shared" si="9"/>
        <v>0.0159727495613707</v>
      </c>
      <c r="AH36" s="602">
        <f>SUMIFS(月汇总!V:V,月汇总!B:B,B36)</f>
        <v>397.392459016393</v>
      </c>
      <c r="AI36" s="603">
        <f t="shared" si="10"/>
        <v>0.00803308016083432</v>
      </c>
      <c r="AJ36" s="602">
        <f t="shared" si="11"/>
        <v>38993.871621294</v>
      </c>
      <c r="AK36" s="4">
        <f>SUMIFS(月汇总!AA:AA,月汇总!B:B,B36)</f>
        <v>10600</v>
      </c>
      <c r="AL36" s="602">
        <f t="shared" si="12"/>
        <v>-394.371621294034</v>
      </c>
      <c r="AM36" s="603">
        <f t="shared" si="13"/>
        <v>-0.00797201551044653</v>
      </c>
      <c r="AN36" s="602">
        <f>SUMIFS(月汇总!AB:AB,月汇总!B:B,B36)</f>
        <v>0</v>
      </c>
      <c r="AO36" s="602">
        <f>SUMIFS(月汇总!W:W,月汇总!B:B,B36)</f>
        <v>2666</v>
      </c>
      <c r="AP36" s="602">
        <f t="shared" si="14"/>
        <v>-3060.37162129403</v>
      </c>
    </row>
    <row r="37" ht="19" customHeight="1" spans="1:42">
      <c r="A37" s="4">
        <v>33</v>
      </c>
      <c r="B37" s="37" t="s">
        <v>144</v>
      </c>
      <c r="C37" s="37" t="s">
        <v>145</v>
      </c>
      <c r="D37" s="4" t="s">
        <v>146</v>
      </c>
      <c r="E37" s="4" t="s">
        <v>48</v>
      </c>
      <c r="F37" s="122" t="s">
        <v>147</v>
      </c>
      <c r="G37" s="4" t="s">
        <v>50</v>
      </c>
      <c r="H37" s="515">
        <f>COUNTIFS(磅单!E:E,B37)</f>
        <v>17</v>
      </c>
      <c r="I37" s="4">
        <f>SUMIFS(磅单!L:L,磅单!E:E,B37)</f>
        <v>740.58</v>
      </c>
      <c r="J37" s="4">
        <f>SUMIFS(磅单!O:O,磅单!E:E,B37)</f>
        <v>48038.96</v>
      </c>
      <c r="K37" s="602">
        <f>SUMIFS(月汇总!Y:Y,月汇总!B:B,B37)</f>
        <v>255</v>
      </c>
      <c r="L37" s="602">
        <f>SUMIFS(月汇总!I:I,月汇总!B:B,B37,月汇总!C:C,F39)</f>
        <v>0</v>
      </c>
      <c r="M37" s="602">
        <f>SUMIFS(月汇总!J:J,月汇总!B:B,B37,月汇总!C:C,F37)</f>
        <v>17792.4213106383</v>
      </c>
      <c r="N37" s="603">
        <f t="shared" si="0"/>
        <v>0.37037482307357</v>
      </c>
      <c r="O37" s="604">
        <f t="shared" si="1"/>
        <v>1046.61301827284</v>
      </c>
      <c r="P37" s="602">
        <f>SUMIFS(月汇总!R:R,月汇总!B:B,B37)+SUMIFS(月汇总!S:S,月汇总!B:B,B37)</f>
        <v>10600</v>
      </c>
      <c r="Q37" s="603">
        <f t="shared" si="2"/>
        <v>0.220654235645401</v>
      </c>
      <c r="R37" s="4">
        <f>SUMIFS(月汇总!Q:Q,月汇总!B:B,B37)</f>
        <v>50</v>
      </c>
      <c r="S37" s="603">
        <f t="shared" si="3"/>
        <v>0.00104082186625189</v>
      </c>
      <c r="T37" s="4">
        <f>SUMIFS(月汇总!N:N,月汇总!B:B,B37)</f>
        <v>220.881967213115</v>
      </c>
      <c r="U37" s="603"/>
      <c r="V37" s="602">
        <f>SUMIFS(月汇总!X:X,月汇总!B:B,B37)</f>
        <v>3000</v>
      </c>
      <c r="W37" s="603">
        <f t="shared" si="15"/>
        <v>0.0624493119751135</v>
      </c>
      <c r="X37" s="4">
        <f>SUMIFS(月汇总!U:U,月汇总!B:B,B37)</f>
        <v>410</v>
      </c>
      <c r="Y37" s="603">
        <f t="shared" si="5"/>
        <v>0.00853473930326552</v>
      </c>
      <c r="Z37" s="4">
        <f>SUMIFS(月汇总!O:O,月汇总!B:B,B37)</f>
        <v>0</v>
      </c>
      <c r="AA37" s="603">
        <f t="shared" si="6"/>
        <v>0</v>
      </c>
      <c r="AB37" s="4">
        <f>SUMIFS(月汇总!T:T,月汇总!B:B,B37)</f>
        <v>200</v>
      </c>
      <c r="AC37" s="603">
        <f t="shared" si="7"/>
        <v>0.00416328746500757</v>
      </c>
      <c r="AD37" s="604">
        <f>SUMIFS(月汇总!Z:Z,月汇总!B:B,B37)</f>
        <v>3362.7272</v>
      </c>
      <c r="AE37" s="603">
        <f t="shared" si="8"/>
        <v>0.07</v>
      </c>
      <c r="AF37" s="602">
        <f>SUMIFS(月汇总!AC:AC,月汇总!B:B,B37)</f>
        <v>790.16393442623</v>
      </c>
      <c r="AG37" s="603">
        <f t="shared" si="9"/>
        <v>0.0164483980174889</v>
      </c>
      <c r="AH37" s="602">
        <f>SUMIFS(月汇总!V:V,月汇总!B:B,B37)</f>
        <v>397.392459016393</v>
      </c>
      <c r="AI37" s="603">
        <f t="shared" si="10"/>
        <v>0.00827229521655742</v>
      </c>
      <c r="AJ37" s="602">
        <f t="shared" si="11"/>
        <v>36823.586871294</v>
      </c>
      <c r="AK37" s="4">
        <f>SUMIFS(月汇总!AA:AA,月汇总!B:B,B37)</f>
        <v>10600</v>
      </c>
      <c r="AL37" s="602">
        <f t="shared" si="12"/>
        <v>360.373128705964</v>
      </c>
      <c r="AM37" s="603">
        <f t="shared" si="13"/>
        <v>0.00750168464733549</v>
      </c>
      <c r="AN37" s="602">
        <f>SUMIFS(月汇总!AB:AB,月汇总!B:B,B37)</f>
        <v>0</v>
      </c>
      <c r="AO37" s="602">
        <f>SUMIFS(月汇总!W:W,月汇总!B:B,B37)</f>
        <v>2666</v>
      </c>
      <c r="AP37" s="602">
        <f t="shared" si="14"/>
        <v>-2305.62687129404</v>
      </c>
    </row>
    <row r="38" ht="19" customHeight="1" spans="1:42">
      <c r="A38" s="4">
        <v>34</v>
      </c>
      <c r="B38" s="37" t="s">
        <v>148</v>
      </c>
      <c r="C38" s="37" t="s">
        <v>149</v>
      </c>
      <c r="D38" s="42" t="s">
        <v>119</v>
      </c>
      <c r="E38" s="4" t="s">
        <v>48</v>
      </c>
      <c r="F38" s="122" t="s">
        <v>150</v>
      </c>
      <c r="G38" s="4" t="s">
        <v>50</v>
      </c>
      <c r="H38" s="515">
        <f>COUNTIFS(磅单!E:E,B38)</f>
        <v>9</v>
      </c>
      <c r="I38" s="4">
        <f>SUMIFS(磅单!L:L,磅单!E:E,B38)</f>
        <v>393.24</v>
      </c>
      <c r="J38" s="4">
        <f>SUMIFS(磅单!O:O,磅单!E:E,B38)</f>
        <v>27869.18</v>
      </c>
      <c r="K38" s="602">
        <f>SUMIFS(月汇总!Y:Y,月汇总!B:B,B38)</f>
        <v>135</v>
      </c>
      <c r="L38" s="602">
        <f>SUMIFS(月汇总!I:I,月汇总!B:B,B38,月汇总!C:C,F40)</f>
        <v>0</v>
      </c>
      <c r="M38" s="602">
        <f>SUMIFS(月汇总!J:J,月汇总!B:B,B38,月汇总!C:C,F38)</f>
        <v>10008.9199106383</v>
      </c>
      <c r="N38" s="603">
        <f t="shared" si="0"/>
        <v>0.359139375849533</v>
      </c>
      <c r="O38" s="604">
        <f t="shared" si="1"/>
        <v>1112.10221229314</v>
      </c>
      <c r="P38" s="602">
        <f>SUMIFS(月汇总!R:R,月汇总!B:B,B38)+SUMIFS(月汇总!S:S,月汇总!B:B,B38)</f>
        <v>6400</v>
      </c>
      <c r="Q38" s="603">
        <f t="shared" si="2"/>
        <v>0.229644359826877</v>
      </c>
      <c r="R38" s="4">
        <f>SUMIFS(月汇总!Q:Q,月汇总!B:B,B38)</f>
        <v>130</v>
      </c>
      <c r="S38" s="603">
        <f t="shared" si="3"/>
        <v>0.00466465105898344</v>
      </c>
      <c r="T38" s="4">
        <f>SUMIFS(月汇总!N:N,月汇总!B:B,B38)</f>
        <v>220.881967213115</v>
      </c>
      <c r="U38" s="603"/>
      <c r="V38" s="602">
        <f>SUMIFS(月汇总!X:X,月汇总!B:B,B38)</f>
        <v>3100</v>
      </c>
      <c r="W38" s="603">
        <f t="shared" si="15"/>
        <v>0.111233986791143</v>
      </c>
      <c r="X38" s="4">
        <f>SUMIFS(月汇总!U:U,月汇总!B:B,B38)</f>
        <v>337</v>
      </c>
      <c r="Y38" s="603">
        <f t="shared" si="5"/>
        <v>0.012092210822134</v>
      </c>
      <c r="Z38" s="4">
        <f>SUMIFS(月汇总!O:O,月汇总!B:B,B38)</f>
        <v>0</v>
      </c>
      <c r="AA38" s="603">
        <f t="shared" si="6"/>
        <v>0</v>
      </c>
      <c r="AB38" s="4">
        <f>SUMIFS(月汇总!T:T,月汇总!B:B,B38)</f>
        <v>0</v>
      </c>
      <c r="AC38" s="603">
        <f t="shared" si="7"/>
        <v>0</v>
      </c>
      <c r="AD38" s="604">
        <f>SUMIFS(月汇总!Z:Z,月汇总!B:B,B38)</f>
        <v>1950.8426</v>
      </c>
      <c r="AE38" s="603">
        <f t="shared" si="8"/>
        <v>0.07</v>
      </c>
      <c r="AF38" s="602">
        <f>SUMIFS(月汇总!AC:AC,月汇总!B:B,B38)</f>
        <v>790.16393442623</v>
      </c>
      <c r="AG38" s="603">
        <f t="shared" si="9"/>
        <v>0.0283526079499372</v>
      </c>
      <c r="AH38" s="602">
        <f>SUMIFS(月汇总!V:V,月汇总!B:B,B38)</f>
        <v>397.392459016393</v>
      </c>
      <c r="AI38" s="603">
        <f t="shared" si="10"/>
        <v>0.014259208882945</v>
      </c>
      <c r="AJ38" s="602">
        <f t="shared" si="11"/>
        <v>23335.200871294</v>
      </c>
      <c r="AK38" s="4">
        <f>SUMIFS(月汇总!AA:AA,月汇总!B:B,B38)</f>
        <v>10600</v>
      </c>
      <c r="AL38" s="602">
        <f t="shared" si="12"/>
        <v>-6201.02087129404</v>
      </c>
      <c r="AM38" s="603">
        <f t="shared" si="13"/>
        <v>-0.222504604415847</v>
      </c>
      <c r="AN38" s="602">
        <f>SUMIFS(月汇总!AB:AB,月汇总!B:B,B38)</f>
        <v>0</v>
      </c>
      <c r="AO38" s="602">
        <f>SUMIFS(月汇总!W:W,月汇总!B:B,B38)</f>
        <v>2666</v>
      </c>
      <c r="AP38" s="602">
        <f t="shared" si="14"/>
        <v>-8867.02087129404</v>
      </c>
    </row>
    <row r="39" ht="19" customHeight="1" spans="1:42">
      <c r="A39" s="4">
        <v>35</v>
      </c>
      <c r="B39" s="37" t="s">
        <v>151</v>
      </c>
      <c r="C39" s="37" t="s">
        <v>152</v>
      </c>
      <c r="D39" s="4" t="s">
        <v>146</v>
      </c>
      <c r="E39" s="4" t="s">
        <v>48</v>
      </c>
      <c r="F39" s="122" t="s">
        <v>153</v>
      </c>
      <c r="G39" s="4" t="s">
        <v>50</v>
      </c>
      <c r="H39" s="515">
        <f>COUNTIFS(磅单!E:E,B39)</f>
        <v>11</v>
      </c>
      <c r="I39" s="4">
        <f>SUMIFS(磅单!L:L,磅单!E:E,B39)</f>
        <v>476.11</v>
      </c>
      <c r="J39" s="4">
        <f>SUMIFS(磅单!O:O,磅单!E:E,B39)</f>
        <v>31418.83</v>
      </c>
      <c r="K39" s="602">
        <f>SUMIFS(月汇总!Y:Y,月汇总!B:B,B39)</f>
        <v>165</v>
      </c>
      <c r="L39" s="602">
        <f>SUMIFS(月汇总!I:I,月汇总!B:B,B39,月汇总!C:C,F41)</f>
        <v>0</v>
      </c>
      <c r="M39" s="602">
        <f>SUMIFS(月汇总!J:J,月汇总!B:B,B39,月汇总!C:C,F39)</f>
        <v>12396.2866106383</v>
      </c>
      <c r="N39" s="603">
        <f t="shared" si="0"/>
        <v>0.394549593687553</v>
      </c>
      <c r="O39" s="604">
        <f t="shared" si="1"/>
        <v>1126.93514642166</v>
      </c>
      <c r="P39" s="602">
        <f>SUMIFS(月汇总!R:R,月汇总!B:B,B39)+SUMIFS(月汇总!S:S,月汇总!B:B,B39)</f>
        <v>7400</v>
      </c>
      <c r="Q39" s="603">
        <f t="shared" si="2"/>
        <v>0.235527548288717</v>
      </c>
      <c r="R39" s="4">
        <f>SUMIFS(月汇总!Q:Q,月汇总!B:B,B39)</f>
        <v>90</v>
      </c>
      <c r="S39" s="603">
        <f t="shared" si="3"/>
        <v>0.00286452423594386</v>
      </c>
      <c r="T39" s="4">
        <f>SUMIFS(月汇总!N:N,月汇总!B:B,B39)</f>
        <v>220.881967213115</v>
      </c>
      <c r="U39" s="603"/>
      <c r="V39" s="602">
        <f>SUMIFS(月汇总!X:X,月汇总!B:B,B39)</f>
        <v>3100</v>
      </c>
      <c r="W39" s="603">
        <f t="shared" si="15"/>
        <v>0.0986669459047329</v>
      </c>
      <c r="X39" s="4">
        <f>SUMIFS(月汇总!U:U,月汇总!B:B,B39)</f>
        <v>328</v>
      </c>
      <c r="Y39" s="603">
        <f t="shared" si="5"/>
        <v>0.0104395994376621</v>
      </c>
      <c r="Z39" s="4">
        <f>SUMIFS(月汇总!O:O,月汇总!B:B,B39)</f>
        <v>0</v>
      </c>
      <c r="AA39" s="603">
        <f t="shared" si="6"/>
        <v>0</v>
      </c>
      <c r="AB39" s="4">
        <f>SUMIFS(月汇总!T:T,月汇总!B:B,B39)</f>
        <v>200</v>
      </c>
      <c r="AC39" s="603">
        <f t="shared" si="7"/>
        <v>0.00636560941320858</v>
      </c>
      <c r="AD39" s="604">
        <f>SUMIFS(月汇总!Z:Z,月汇总!B:B,B39)</f>
        <v>2199.3181</v>
      </c>
      <c r="AE39" s="603">
        <f t="shared" si="8"/>
        <v>0.07</v>
      </c>
      <c r="AF39" s="602">
        <f>SUMIFS(月汇总!AC:AC,月汇总!B:B,B39)</f>
        <v>790.16393442623</v>
      </c>
      <c r="AG39" s="603">
        <f t="shared" si="9"/>
        <v>0.0251493748948077</v>
      </c>
      <c r="AH39" s="602">
        <f>SUMIFS(月汇总!V:V,月汇总!B:B,B39)</f>
        <v>397.392459016393</v>
      </c>
      <c r="AI39" s="603">
        <f t="shared" si="10"/>
        <v>0.0126482258892643</v>
      </c>
      <c r="AJ39" s="602">
        <f t="shared" si="11"/>
        <v>27122.043071294</v>
      </c>
      <c r="AK39" s="4">
        <f>SUMIFS(月汇总!AA:AA,月汇总!B:B,B39)</f>
        <v>10600</v>
      </c>
      <c r="AL39" s="602">
        <f t="shared" si="12"/>
        <v>-6468.21307129404</v>
      </c>
      <c r="AM39" s="603">
        <f t="shared" si="13"/>
        <v>-0.20587059006634</v>
      </c>
      <c r="AN39" s="602">
        <f>SUMIFS(月汇总!AB:AB,月汇总!B:B,B39)</f>
        <v>0</v>
      </c>
      <c r="AO39" s="602">
        <f>SUMIFS(月汇总!W:W,月汇总!B:B,B39)</f>
        <v>2666</v>
      </c>
      <c r="AP39" s="602">
        <f t="shared" si="14"/>
        <v>-9134.21307129404</v>
      </c>
    </row>
    <row r="40" ht="19" customHeight="1" spans="1:42">
      <c r="A40" s="4">
        <v>36</v>
      </c>
      <c r="B40" s="164" t="s">
        <v>154</v>
      </c>
      <c r="C40" s="37" t="s">
        <v>155</v>
      </c>
      <c r="D40" s="4" t="s">
        <v>146</v>
      </c>
      <c r="E40" s="4" t="s">
        <v>48</v>
      </c>
      <c r="F40" s="122" t="s">
        <v>156</v>
      </c>
      <c r="G40" s="4" t="s">
        <v>50</v>
      </c>
      <c r="H40" s="515">
        <f>COUNTIFS(磅单!E:E,B40)</f>
        <v>13</v>
      </c>
      <c r="I40" s="4">
        <f>SUMIFS(磅单!L:L,磅单!E:E,B40)</f>
        <v>564.55</v>
      </c>
      <c r="J40" s="4">
        <f>SUMIFS(磅单!O:O,磅单!E:E,B40)</f>
        <v>40949.85</v>
      </c>
      <c r="K40" s="602">
        <f>SUMIFS(月汇总!Y:Y,月汇总!B:B,B40)</f>
        <v>195</v>
      </c>
      <c r="L40" s="602">
        <f>SUMIFS(月汇总!I:I,月汇总!B:B,B40,月汇总!C:C,F42)</f>
        <v>0</v>
      </c>
      <c r="M40" s="602">
        <f>SUMIFS(月汇总!J:J,月汇总!B:B,B40,月汇总!C:C,F40)</f>
        <v>13245.6755106383</v>
      </c>
      <c r="N40" s="603">
        <f t="shared" si="0"/>
        <v>0.323460904267984</v>
      </c>
      <c r="O40" s="604">
        <f t="shared" si="1"/>
        <v>1018.89811620295</v>
      </c>
      <c r="P40" s="602">
        <f>SUMIFS(月汇总!R:R,月汇总!B:B,B40)+SUMIFS(月汇总!S:S,月汇总!B:B,B40)</f>
        <v>9200</v>
      </c>
      <c r="Q40" s="603">
        <f t="shared" si="2"/>
        <v>0.224665047613117</v>
      </c>
      <c r="R40" s="4">
        <f>SUMIFS(月汇总!Q:Q,月汇总!B:B,B40)</f>
        <v>180</v>
      </c>
      <c r="S40" s="603">
        <f t="shared" si="3"/>
        <v>0.00439562049677838</v>
      </c>
      <c r="T40" s="4">
        <f>SUMIFS(月汇总!N:N,月汇总!B:B,B40)</f>
        <v>220.881967213115</v>
      </c>
      <c r="U40" s="603"/>
      <c r="V40" s="602">
        <f>SUMIFS(月汇总!X:X,月汇总!B:B,B40)</f>
        <v>3200</v>
      </c>
      <c r="W40" s="603">
        <f t="shared" si="15"/>
        <v>0.0781443643871711</v>
      </c>
      <c r="X40" s="4">
        <f>SUMIFS(月汇总!U:U,月汇总!B:B,B40)</f>
        <v>229</v>
      </c>
      <c r="Y40" s="603">
        <f t="shared" si="5"/>
        <v>0.00559220607645693</v>
      </c>
      <c r="Z40" s="4">
        <f>SUMIFS(月汇总!O:O,月汇总!B:B,B40)</f>
        <v>950</v>
      </c>
      <c r="AA40" s="603">
        <f t="shared" si="6"/>
        <v>0.0231991081774414</v>
      </c>
      <c r="AB40" s="4">
        <f>SUMIFS(月汇总!T:T,月汇总!B:B,B40)</f>
        <v>200</v>
      </c>
      <c r="AC40" s="603">
        <f t="shared" si="7"/>
        <v>0.0048840227741982</v>
      </c>
      <c r="AD40" s="604">
        <f>SUMIFS(月汇总!Z:Z,月汇总!B:B,B40)</f>
        <v>2866.4895</v>
      </c>
      <c r="AE40" s="603">
        <f t="shared" si="8"/>
        <v>0.07</v>
      </c>
      <c r="AF40" s="602">
        <f>SUMIFS(月汇总!AC:AC,月汇总!B:B,B40)</f>
        <v>790.16393442623</v>
      </c>
      <c r="AG40" s="603">
        <f t="shared" si="9"/>
        <v>0.0192958932554388</v>
      </c>
      <c r="AH40" s="602">
        <f>SUMIFS(月汇总!V:V,月汇总!B:B,B40)</f>
        <v>397.392459016393</v>
      </c>
      <c r="AI40" s="603">
        <f t="shared" si="10"/>
        <v>0.00970436910065344</v>
      </c>
      <c r="AJ40" s="602">
        <f t="shared" si="11"/>
        <v>31479.603371294</v>
      </c>
      <c r="AK40" s="4">
        <f>SUMIFS(月汇总!AA:AA,月汇总!B:B,B40)</f>
        <v>10600</v>
      </c>
      <c r="AL40" s="602">
        <f t="shared" si="12"/>
        <v>-1324.75337129403</v>
      </c>
      <c r="AM40" s="603">
        <f t="shared" si="13"/>
        <v>-0.0323506281779794</v>
      </c>
      <c r="AN40" s="602">
        <f>SUMIFS(月汇总!AB:AB,月汇总!B:B,B40)</f>
        <v>0</v>
      </c>
      <c r="AO40" s="602">
        <f>SUMIFS(月汇总!W:W,月汇总!B:B,B40)</f>
        <v>2666</v>
      </c>
      <c r="AP40" s="602">
        <f t="shared" si="14"/>
        <v>-3990.75337129403</v>
      </c>
    </row>
    <row r="41" ht="19" customHeight="1" spans="1:42">
      <c r="A41" s="4">
        <v>37</v>
      </c>
      <c r="B41" s="344" t="s">
        <v>157</v>
      </c>
      <c r="C41" s="37" t="s">
        <v>158</v>
      </c>
      <c r="D41" s="4" t="s">
        <v>146</v>
      </c>
      <c r="E41" s="4" t="s">
        <v>48</v>
      </c>
      <c r="F41" s="122" t="s">
        <v>159</v>
      </c>
      <c r="G41" s="4" t="s">
        <v>50</v>
      </c>
      <c r="H41" s="515">
        <f>COUNTIFS(磅单!E:E,B41)</f>
        <v>12</v>
      </c>
      <c r="I41" s="4">
        <f>SUMIFS(磅单!L:L,磅单!E:E,B41)</f>
        <v>511.96</v>
      </c>
      <c r="J41" s="4">
        <f>SUMIFS(磅单!O:O,磅单!E:E,B41)</f>
        <v>38347.32</v>
      </c>
      <c r="K41" s="602">
        <f>SUMIFS(月汇总!Y:Y,月汇总!B:B,B41)</f>
        <v>180</v>
      </c>
      <c r="L41" s="602">
        <f>SUMIFS(月汇总!I:I,月汇总!B:B,B41,月汇总!C:C,F43)</f>
        <v>0</v>
      </c>
      <c r="M41" s="602">
        <f>SUMIFS(月汇总!J:J,月汇总!B:B,B41,月汇总!C:C,F41)</f>
        <v>13602.1693106383</v>
      </c>
      <c r="N41" s="603">
        <f t="shared" si="0"/>
        <v>0.354709776605987</v>
      </c>
      <c r="O41" s="604">
        <f t="shared" si="1"/>
        <v>1133.51410921986</v>
      </c>
      <c r="P41" s="602">
        <f>SUMIFS(月汇总!R:R,月汇总!B:B,B41)+SUMIFS(月汇总!S:S,月汇总!B:B,B41)</f>
        <v>8800</v>
      </c>
      <c r="Q41" s="603">
        <f t="shared" si="2"/>
        <v>0.22948148658107</v>
      </c>
      <c r="R41" s="4">
        <f>SUMIFS(月汇总!Q:Q,月汇总!B:B,B41)</f>
        <v>760</v>
      </c>
      <c r="S41" s="603">
        <f t="shared" si="3"/>
        <v>0.0198188556592742</v>
      </c>
      <c r="T41" s="4">
        <f>SUMIFS(月汇总!N:N,月汇总!B:B,B41)</f>
        <v>220.881967213115</v>
      </c>
      <c r="U41" s="603"/>
      <c r="V41" s="602">
        <f>SUMIFS(月汇总!X:X,月汇总!B:B,B41)</f>
        <v>3200</v>
      </c>
      <c r="W41" s="603">
        <f t="shared" si="15"/>
        <v>0.0834478133022073</v>
      </c>
      <c r="X41" s="4">
        <f>SUMIFS(月汇总!U:U,月汇总!B:B,B41)</f>
        <v>210</v>
      </c>
      <c r="Y41" s="603">
        <f t="shared" si="5"/>
        <v>0.00547626274795735</v>
      </c>
      <c r="Z41" s="4">
        <f>SUMIFS(月汇总!O:O,月汇总!B:B,B41)</f>
        <v>0</v>
      </c>
      <c r="AA41" s="603">
        <f t="shared" si="6"/>
        <v>0</v>
      </c>
      <c r="AB41" s="4">
        <f>SUMIFS(月汇总!T:T,月汇总!B:B,B41)</f>
        <v>200</v>
      </c>
      <c r="AC41" s="603">
        <f t="shared" si="7"/>
        <v>0.00521548833138796</v>
      </c>
      <c r="AD41" s="604">
        <f>SUMIFS(月汇总!Z:Z,月汇总!B:B,B41)</f>
        <v>2684.3124</v>
      </c>
      <c r="AE41" s="603">
        <f t="shared" si="8"/>
        <v>0.07</v>
      </c>
      <c r="AF41" s="602">
        <f>SUMIFS(月汇总!AC:AC,月汇总!B:B,B41)</f>
        <v>790.16393442623</v>
      </c>
      <c r="AG41" s="603">
        <f t="shared" si="9"/>
        <v>0.020605453899418</v>
      </c>
      <c r="AH41" s="602">
        <f>SUMIFS(月汇总!V:V,月汇总!B:B,B41)</f>
        <v>397.392459016393</v>
      </c>
      <c r="AI41" s="603">
        <f t="shared" si="10"/>
        <v>0.0103629786649078</v>
      </c>
      <c r="AJ41" s="602">
        <f t="shared" si="11"/>
        <v>30864.920071294</v>
      </c>
      <c r="AK41" s="4">
        <f>SUMIFS(月汇总!AA:AA,月汇总!B:B,B41)</f>
        <v>10600</v>
      </c>
      <c r="AL41" s="602">
        <f t="shared" si="12"/>
        <v>-3297.60007129404</v>
      </c>
      <c r="AM41" s="603">
        <f t="shared" si="13"/>
        <v>-0.0859929734670908</v>
      </c>
      <c r="AN41" s="602">
        <f>SUMIFS(月汇总!AB:AB,月汇总!B:B,B41)</f>
        <v>0</v>
      </c>
      <c r="AO41" s="602">
        <f>SUMIFS(月汇总!W:W,月汇总!B:B,B41)</f>
        <v>2666</v>
      </c>
      <c r="AP41" s="602">
        <f t="shared" si="14"/>
        <v>-5963.60007129404</v>
      </c>
    </row>
    <row r="42" ht="19" customHeight="1" spans="1:42">
      <c r="A42" s="4">
        <v>38</v>
      </c>
      <c r="B42" s="164" t="s">
        <v>160</v>
      </c>
      <c r="C42" s="37" t="s">
        <v>161</v>
      </c>
      <c r="D42" s="4" t="s">
        <v>146</v>
      </c>
      <c r="E42" s="4" t="s">
        <v>48</v>
      </c>
      <c r="F42" s="122" t="s">
        <v>162</v>
      </c>
      <c r="G42" s="4" t="s">
        <v>50</v>
      </c>
      <c r="H42" s="515">
        <f>COUNTIFS(磅单!E:E,B42)</f>
        <v>11</v>
      </c>
      <c r="I42" s="4">
        <f>SUMIFS(磅单!L:L,磅单!E:E,B42)</f>
        <v>471.26</v>
      </c>
      <c r="J42" s="4">
        <f>SUMIFS(磅单!O:O,磅单!E:E,B42)</f>
        <v>34804.6</v>
      </c>
      <c r="K42" s="602">
        <f>SUMIFS(月汇总!Y:Y,月汇总!B:B,B42)</f>
        <v>165</v>
      </c>
      <c r="L42" s="602">
        <f>SUMIFS(月汇总!I:I,月汇总!B:B,B42,月汇总!C:C,F44)</f>
        <v>0</v>
      </c>
      <c r="M42" s="602">
        <f>SUMIFS(月汇总!J:J,月汇总!B:B,B42,月汇总!C:C,F42)</f>
        <v>12537.7585106383</v>
      </c>
      <c r="N42" s="603">
        <f t="shared" si="0"/>
        <v>0.360232799993056</v>
      </c>
      <c r="O42" s="604">
        <f t="shared" si="1"/>
        <v>1139.79622823985</v>
      </c>
      <c r="P42" s="602">
        <f>SUMIFS(月汇总!R:R,月汇总!B:B,B42)+SUMIFS(月汇总!S:S,月汇总!B:B,B42)</f>
        <v>8000</v>
      </c>
      <c r="Q42" s="603">
        <f t="shared" si="2"/>
        <v>0.229854674382122</v>
      </c>
      <c r="R42" s="4">
        <f>SUMIFS(月汇总!Q:Q,月汇总!B:B,B42)</f>
        <v>180</v>
      </c>
      <c r="S42" s="603">
        <f t="shared" si="3"/>
        <v>0.00517173017359774</v>
      </c>
      <c r="T42" s="4">
        <f>SUMIFS(月汇总!N:N,月汇总!B:B,B42)</f>
        <v>220.881967213115</v>
      </c>
      <c r="U42" s="603"/>
      <c r="V42" s="602">
        <f>SUMIFS(月汇总!X:X,月汇总!B:B,B42)</f>
        <v>3200</v>
      </c>
      <c r="W42" s="603">
        <f t="shared" si="15"/>
        <v>0.0919418697528488</v>
      </c>
      <c r="X42" s="4">
        <f>SUMIFS(月汇总!U:U,月汇总!B:B,B42)</f>
        <v>207</v>
      </c>
      <c r="Y42" s="603">
        <f t="shared" si="5"/>
        <v>0.0059474896996374</v>
      </c>
      <c r="Z42" s="4">
        <f>SUMIFS(月汇总!O:O,月汇总!B:B,B42)</f>
        <v>0</v>
      </c>
      <c r="AA42" s="603">
        <f t="shared" si="6"/>
        <v>0</v>
      </c>
      <c r="AB42" s="4">
        <f>SUMIFS(月汇总!T:T,月汇总!B:B,B42)</f>
        <v>220</v>
      </c>
      <c r="AC42" s="603">
        <f t="shared" si="7"/>
        <v>0.00632100354550835</v>
      </c>
      <c r="AD42" s="604">
        <f>SUMIFS(月汇总!Z:Z,月汇总!B:B,B42)</f>
        <v>2436.322</v>
      </c>
      <c r="AE42" s="603">
        <f t="shared" si="8"/>
        <v>0.07</v>
      </c>
      <c r="AF42" s="602">
        <f>SUMIFS(月汇总!AC:AC,月汇总!B:B,B42)</f>
        <v>790.16393442623</v>
      </c>
      <c r="AG42" s="603">
        <f t="shared" si="9"/>
        <v>0.0227028592320047</v>
      </c>
      <c r="AH42" s="602">
        <f>SUMIFS(月汇总!V:V,月汇总!B:B,B42)</f>
        <v>397.392459016393</v>
      </c>
      <c r="AI42" s="603">
        <f t="shared" si="10"/>
        <v>0.0114178142836405</v>
      </c>
      <c r="AJ42" s="602">
        <f t="shared" si="11"/>
        <v>28189.518871294</v>
      </c>
      <c r="AK42" s="4">
        <f>SUMIFS(月汇总!AA:AA,月汇总!B:B,B42)</f>
        <v>10600</v>
      </c>
      <c r="AL42" s="602">
        <f t="shared" si="12"/>
        <v>-4149.91887129404</v>
      </c>
      <c r="AM42" s="603">
        <f t="shared" si="13"/>
        <v>-0.119234781359189</v>
      </c>
      <c r="AN42" s="602">
        <f>SUMIFS(月汇总!AB:AB,月汇总!B:B,B42)</f>
        <v>0</v>
      </c>
      <c r="AO42" s="602">
        <f>SUMIFS(月汇总!W:W,月汇总!B:B,B42)</f>
        <v>2666</v>
      </c>
      <c r="AP42" s="602">
        <f t="shared" si="14"/>
        <v>-6815.91887129404</v>
      </c>
    </row>
    <row r="43" ht="19" customHeight="1" spans="1:42">
      <c r="A43" s="4">
        <v>39</v>
      </c>
      <c r="B43" s="164" t="s">
        <v>163</v>
      </c>
      <c r="C43" s="37" t="s">
        <v>164</v>
      </c>
      <c r="D43" s="4" t="s">
        <v>146</v>
      </c>
      <c r="E43" s="4" t="s">
        <v>48</v>
      </c>
      <c r="F43" s="122" t="s">
        <v>165</v>
      </c>
      <c r="G43" s="4" t="s">
        <v>50</v>
      </c>
      <c r="H43" s="515">
        <f>COUNTIFS(磅单!E:E,B43)</f>
        <v>11</v>
      </c>
      <c r="I43" s="4">
        <f>SUMIFS(磅单!L:L,磅单!E:E,B43)</f>
        <v>466.22</v>
      </c>
      <c r="J43" s="4">
        <f>SUMIFS(磅单!O:O,磅单!E:E,B43)</f>
        <v>34415.52</v>
      </c>
      <c r="K43" s="602">
        <f>SUMIFS(月汇总!Y:Y,月汇总!B:B,B43)</f>
        <v>165</v>
      </c>
      <c r="L43" s="602">
        <f>SUMIFS(月汇总!I:I,月汇总!B:B,B43,月汇总!C:C,F45)</f>
        <v>0</v>
      </c>
      <c r="M43" s="602">
        <f>SUMIFS(月汇总!J:J,月汇总!B:B,B43,月汇总!C:C,F43)</f>
        <v>12805.2585106383</v>
      </c>
      <c r="N43" s="603">
        <f t="shared" si="0"/>
        <v>0.372078019179669</v>
      </c>
      <c r="O43" s="604">
        <f t="shared" si="1"/>
        <v>1164.11441005803</v>
      </c>
      <c r="P43" s="602">
        <f>SUMIFS(月汇总!R:R,月汇总!B:B,B43)+SUMIFS(月汇总!S:S,月汇总!B:B,B43)</f>
        <v>8000</v>
      </c>
      <c r="Q43" s="603">
        <f t="shared" si="2"/>
        <v>0.232453265271017</v>
      </c>
      <c r="R43" s="4">
        <f>SUMIFS(月汇总!Q:Q,月汇总!B:B,B43)</f>
        <v>70</v>
      </c>
      <c r="S43" s="603">
        <f t="shared" si="3"/>
        <v>0.0020339660711214</v>
      </c>
      <c r="T43" s="4">
        <f>SUMIFS(月汇总!N:N,月汇总!B:B,B43)</f>
        <v>220.881967213115</v>
      </c>
      <c r="U43" s="603"/>
      <c r="V43" s="602">
        <f>SUMIFS(月汇总!X:X,月汇总!B:B,B43)</f>
        <v>3200</v>
      </c>
      <c r="W43" s="603">
        <f t="shared" si="15"/>
        <v>0.0929813061084069</v>
      </c>
      <c r="X43" s="4">
        <f>SUMIFS(月汇总!U:U,月汇总!B:B,B43)</f>
        <v>197</v>
      </c>
      <c r="Y43" s="603">
        <f t="shared" si="5"/>
        <v>0.0057241616572988</v>
      </c>
      <c r="Z43" s="4">
        <f>SUMIFS(月汇总!O:O,月汇总!B:B,B43)</f>
        <v>0</v>
      </c>
      <c r="AA43" s="603">
        <f t="shared" si="6"/>
        <v>0</v>
      </c>
      <c r="AB43" s="4">
        <f>SUMIFS(月汇总!T:T,月汇总!B:B,B43)</f>
        <v>0</v>
      </c>
      <c r="AC43" s="603">
        <f t="shared" si="7"/>
        <v>0</v>
      </c>
      <c r="AD43" s="604">
        <f>SUMIFS(月汇总!Z:Z,月汇总!B:B,B43)</f>
        <v>2409.0864</v>
      </c>
      <c r="AE43" s="603">
        <f t="shared" si="8"/>
        <v>0.07</v>
      </c>
      <c r="AF43" s="602">
        <f>SUMIFS(月汇总!AC:AC,月汇总!B:B,B43)</f>
        <v>790.16393442623</v>
      </c>
      <c r="AG43" s="603">
        <f t="shared" si="9"/>
        <v>0.0229595233320964</v>
      </c>
      <c r="AH43" s="602">
        <f>SUMIFS(月汇总!V:V,月汇总!B:B,B43)</f>
        <v>397.392459016393</v>
      </c>
      <c r="AI43" s="603">
        <f t="shared" si="10"/>
        <v>0.0115468968365549</v>
      </c>
      <c r="AJ43" s="602">
        <f t="shared" si="11"/>
        <v>28089.783271294</v>
      </c>
      <c r="AK43" s="4">
        <f>SUMIFS(月汇总!AA:AA,月汇总!B:B,B43)</f>
        <v>10600</v>
      </c>
      <c r="AL43" s="602">
        <f t="shared" si="12"/>
        <v>-4439.26327129403</v>
      </c>
      <c r="AM43" s="603">
        <f t="shared" si="13"/>
        <v>-0.128990155351249</v>
      </c>
      <c r="AN43" s="602">
        <f>SUMIFS(月汇总!AB:AB,月汇总!B:B,B43)</f>
        <v>0</v>
      </c>
      <c r="AO43" s="602">
        <f>SUMIFS(月汇总!W:W,月汇总!B:B,B43)</f>
        <v>2666</v>
      </c>
      <c r="AP43" s="602">
        <f t="shared" si="14"/>
        <v>-7105.26327129403</v>
      </c>
    </row>
    <row r="44" ht="19" customHeight="1" spans="1:42">
      <c r="A44" s="4">
        <v>40</v>
      </c>
      <c r="B44" s="164" t="s">
        <v>166</v>
      </c>
      <c r="C44" s="37" t="s">
        <v>167</v>
      </c>
      <c r="D44" s="4" t="s">
        <v>146</v>
      </c>
      <c r="E44" s="4" t="s">
        <v>48</v>
      </c>
      <c r="F44" s="122" t="s">
        <v>168</v>
      </c>
      <c r="G44" s="4" t="s">
        <v>50</v>
      </c>
      <c r="H44" s="515">
        <f>COUNTIFS(磅单!E:E,B44)</f>
        <v>13</v>
      </c>
      <c r="I44" s="4">
        <f>SUMIFS(磅单!L:L,磅单!E:E,B44)</f>
        <v>565.56</v>
      </c>
      <c r="J44" s="4">
        <f>SUMIFS(磅单!O:O,磅单!E:E,B44)</f>
        <v>40860.88</v>
      </c>
      <c r="K44" s="602">
        <f>SUMIFS(月汇总!Y:Y,月汇总!B:B,B44)</f>
        <v>195</v>
      </c>
      <c r="L44" s="602">
        <f>SUMIFS(月汇总!I:I,月汇总!B:B,B44,月汇总!C:C,F46)</f>
        <v>0</v>
      </c>
      <c r="M44" s="602">
        <f>SUMIFS(月汇总!J:J,月汇总!B:B,B44,月汇总!C:C,F44)</f>
        <v>12702.3736106383</v>
      </c>
      <c r="N44" s="603">
        <f t="shared" si="0"/>
        <v>0.310868821489853</v>
      </c>
      <c r="O44" s="604">
        <f t="shared" si="1"/>
        <v>977.105662356792</v>
      </c>
      <c r="P44" s="602">
        <f>SUMIFS(月汇总!R:R,月汇总!B:B,B44)+SUMIFS(月汇总!S:S,月汇总!B:B,B44)</f>
        <v>9000</v>
      </c>
      <c r="Q44" s="603">
        <f t="shared" si="2"/>
        <v>0.220259573459994</v>
      </c>
      <c r="R44" s="4">
        <f>SUMIFS(月汇总!Q:Q,月汇总!B:B,B44)</f>
        <v>20</v>
      </c>
      <c r="S44" s="603">
        <f t="shared" si="3"/>
        <v>0.000489465718799987</v>
      </c>
      <c r="T44" s="4">
        <f>SUMIFS(月汇总!N:N,月汇总!B:B,B44)</f>
        <v>220.881967213115</v>
      </c>
      <c r="U44" s="603"/>
      <c r="V44" s="602">
        <f>SUMIFS(月汇总!X:X,月汇总!B:B,B44)</f>
        <v>3200</v>
      </c>
      <c r="W44" s="603">
        <f t="shared" si="15"/>
        <v>0.0783145150079979</v>
      </c>
      <c r="X44" s="4">
        <f>SUMIFS(月汇总!U:U,月汇总!B:B,B44)</f>
        <v>295</v>
      </c>
      <c r="Y44" s="603">
        <f t="shared" si="5"/>
        <v>0.0072196193522998</v>
      </c>
      <c r="Z44" s="4">
        <f>SUMIFS(月汇总!O:O,月汇总!B:B,B44)</f>
        <v>0</v>
      </c>
      <c r="AA44" s="603">
        <f t="shared" si="6"/>
        <v>0</v>
      </c>
      <c r="AB44" s="4">
        <f>SUMIFS(月汇总!T:T,月汇总!B:B,B44)</f>
        <v>0</v>
      </c>
      <c r="AC44" s="603">
        <f t="shared" si="7"/>
        <v>0</v>
      </c>
      <c r="AD44" s="604">
        <f>SUMIFS(月汇总!Z:Z,月汇总!B:B,B44)</f>
        <v>2860.2616</v>
      </c>
      <c r="AE44" s="603">
        <f t="shared" si="8"/>
        <v>0.07</v>
      </c>
      <c r="AF44" s="602">
        <f>SUMIFS(月汇总!AC:AC,月汇总!B:B,B44)</f>
        <v>790.16393442623</v>
      </c>
      <c r="AG44" s="603">
        <f t="shared" si="9"/>
        <v>0.019337907906688</v>
      </c>
      <c r="AH44" s="602">
        <f>SUMIFS(月汇总!V:V,月汇总!B:B,B44)</f>
        <v>397.392459016393</v>
      </c>
      <c r="AI44" s="603">
        <f t="shared" si="10"/>
        <v>0.00972549927990766</v>
      </c>
      <c r="AJ44" s="602">
        <f t="shared" si="11"/>
        <v>29486.073571294</v>
      </c>
      <c r="AK44" s="4">
        <f>SUMIFS(月汇总!AA:AA,月汇总!B:B,B44)</f>
        <v>10600</v>
      </c>
      <c r="AL44" s="602">
        <f t="shared" si="12"/>
        <v>579.806428705961</v>
      </c>
      <c r="AM44" s="603">
        <f t="shared" si="13"/>
        <v>0.0141897685195708</v>
      </c>
      <c r="AN44" s="602">
        <f>SUMIFS(月汇总!AB:AB,月汇总!B:B,B44)</f>
        <v>0</v>
      </c>
      <c r="AO44" s="602">
        <f>SUMIFS(月汇总!W:W,月汇总!B:B,B44)</f>
        <v>2666</v>
      </c>
      <c r="AP44" s="602">
        <f t="shared" si="14"/>
        <v>-2086.19357129404</v>
      </c>
    </row>
    <row r="45" ht="19" customHeight="1" spans="1:42">
      <c r="A45" s="4">
        <v>41</v>
      </c>
      <c r="B45" s="344" t="s">
        <v>169</v>
      </c>
      <c r="C45" s="37" t="s">
        <v>170</v>
      </c>
      <c r="D45" s="4" t="s">
        <v>146</v>
      </c>
      <c r="E45" s="4" t="s">
        <v>48</v>
      </c>
      <c r="F45" s="122" t="s">
        <v>171</v>
      </c>
      <c r="G45" s="4" t="s">
        <v>50</v>
      </c>
      <c r="H45" s="515">
        <f>COUNTIFS(磅单!E:E,B45)</f>
        <v>10</v>
      </c>
      <c r="I45" s="4">
        <f>SUMIFS(磅单!L:L,磅单!E:E,B45)</f>
        <v>433.28</v>
      </c>
      <c r="J45" s="4">
        <f>SUMIFS(磅单!O:O,磅单!E:E,B45)</f>
        <v>30994.56</v>
      </c>
      <c r="K45" s="602">
        <f>SUMIFS(月汇总!Y:Y,月汇总!B:B,B45)</f>
        <v>150</v>
      </c>
      <c r="L45" s="602">
        <f>SUMIFS(月汇总!I:I,月汇总!B:B,B45,月汇总!C:C,F66)</f>
        <v>0</v>
      </c>
      <c r="M45" s="602">
        <f>SUMIFS(月汇总!J:J,月汇总!B:B,B45,月汇总!C:C,F45)</f>
        <v>10634.2309106383</v>
      </c>
      <c r="N45" s="603">
        <f t="shared" si="0"/>
        <v>0.343099915296049</v>
      </c>
      <c r="O45" s="604">
        <f t="shared" si="1"/>
        <v>1063.42309106383</v>
      </c>
      <c r="P45" s="602">
        <f>SUMIFS(月汇总!R:R,月汇总!B:B,B45)+SUMIFS(月汇总!S:S,月汇总!B:B,B45)</f>
        <v>7000</v>
      </c>
      <c r="Q45" s="603">
        <f t="shared" si="2"/>
        <v>0.225846083957959</v>
      </c>
      <c r="R45" s="4">
        <f>SUMIFS(月汇总!Q:Q,月汇总!B:B,B45)</f>
        <v>260</v>
      </c>
      <c r="S45" s="603">
        <f t="shared" si="3"/>
        <v>0.00838856883272419</v>
      </c>
      <c r="T45" s="4">
        <f>SUMIFS(月汇总!N:N,月汇总!B:B,B45)</f>
        <v>220.881967213115</v>
      </c>
      <c r="U45" s="603"/>
      <c r="V45" s="602">
        <f>SUMIFS(月汇总!X:X,月汇总!B:B,B45)</f>
        <v>3200</v>
      </c>
      <c r="W45" s="603">
        <f t="shared" si="15"/>
        <v>0.103243924095067</v>
      </c>
      <c r="X45" s="4">
        <f>SUMIFS(月汇总!U:U,月汇总!B:B,B45)</f>
        <v>175</v>
      </c>
      <c r="Y45" s="603">
        <f t="shared" si="5"/>
        <v>0.00564615209894898</v>
      </c>
      <c r="Z45" s="4">
        <f>SUMIFS(月汇总!O:O,月汇总!B:B,B45)</f>
        <v>950</v>
      </c>
      <c r="AA45" s="603">
        <f t="shared" si="6"/>
        <v>0.030650539965723</v>
      </c>
      <c r="AB45" s="4">
        <f>SUMIFS(月汇总!T:T,月汇总!B:B,B45)</f>
        <v>0</v>
      </c>
      <c r="AC45" s="603">
        <f t="shared" si="7"/>
        <v>0</v>
      </c>
      <c r="AD45" s="604">
        <f>SUMIFS(月汇总!Z:Z,月汇总!B:B,B45)</f>
        <v>2169.6192</v>
      </c>
      <c r="AE45" s="603">
        <f t="shared" si="8"/>
        <v>0.07</v>
      </c>
      <c r="AF45" s="602">
        <f>SUMIFS(月汇总!AC:AC,月汇总!B:B,B45)</f>
        <v>790.16393442623</v>
      </c>
      <c r="AG45" s="603">
        <f t="shared" si="9"/>
        <v>0.0254936328964254</v>
      </c>
      <c r="AH45" s="602">
        <f>SUMIFS(月汇总!V:V,月汇总!B:B,B45)</f>
        <v>397.392459016393</v>
      </c>
      <c r="AI45" s="603">
        <f t="shared" si="10"/>
        <v>0.0128213615233252</v>
      </c>
      <c r="AJ45" s="602">
        <f t="shared" si="11"/>
        <v>25797.288471294</v>
      </c>
      <c r="AK45" s="4">
        <f>SUMIFS(月汇总!AA:AA,月汇总!B:B,B45)</f>
        <v>0</v>
      </c>
      <c r="AL45" s="602">
        <f t="shared" si="12"/>
        <v>5047.27152870596</v>
      </c>
      <c r="AM45" s="603">
        <f t="shared" si="13"/>
        <v>0.162843787061535</v>
      </c>
      <c r="AN45" s="602">
        <f>SUMIFS(月汇总!AB:AB,月汇总!B:B,B45)</f>
        <v>0</v>
      </c>
      <c r="AO45" s="602">
        <f>SUMIFS(月汇总!W:W,月汇总!B:B,B45)</f>
        <v>2666</v>
      </c>
      <c r="AP45" s="602">
        <f t="shared" si="14"/>
        <v>2381.27152870596</v>
      </c>
    </row>
    <row r="46" ht="19" customHeight="1" spans="1:42">
      <c r="A46" s="4">
        <v>42</v>
      </c>
      <c r="B46" s="37" t="s">
        <v>172</v>
      </c>
      <c r="C46" s="37" t="s">
        <v>173</v>
      </c>
      <c r="D46" s="4" t="s">
        <v>47</v>
      </c>
      <c r="E46" s="4" t="s">
        <v>48</v>
      </c>
      <c r="F46" s="122" t="s">
        <v>137</v>
      </c>
      <c r="G46" s="4" t="s">
        <v>50</v>
      </c>
      <c r="H46" s="515">
        <f>COUNTIFS(磅单!E:E,B46)</f>
        <v>7</v>
      </c>
      <c r="I46" s="4">
        <f>SUMIFS(磅单!L:L,磅单!E:E,B46)</f>
        <v>288.78</v>
      </c>
      <c r="J46" s="4">
        <f>SUMIFS(磅单!O:O,磅单!E:E,B46)</f>
        <v>16681.4</v>
      </c>
      <c r="K46" s="602">
        <f>SUMIFS(月汇总!Y:Y,月汇总!B:B,B46)</f>
        <v>105</v>
      </c>
      <c r="L46" s="602">
        <f>SUMIFS(月汇总!I:I,月汇总!B:B,B46,月汇总!C:C,F67)</f>
        <v>0</v>
      </c>
      <c r="M46" s="602">
        <f>SUMIFS(月汇总!J:J,月汇总!B:B,B46)</f>
        <v>5341.5002106383</v>
      </c>
      <c r="N46" s="603">
        <f t="shared" si="0"/>
        <v>0.320206949694768</v>
      </c>
      <c r="O46" s="604">
        <f t="shared" si="1"/>
        <v>763.071458662614</v>
      </c>
      <c r="P46" s="602">
        <f>SUMIFS(月汇总!R:R,月汇总!B:B,B46)+SUMIFS(月汇总!S:S,月汇总!B:B,B46)</f>
        <v>4200</v>
      </c>
      <c r="Q46" s="603">
        <f t="shared" si="2"/>
        <v>0.251777428752982</v>
      </c>
      <c r="R46" s="4">
        <f>SUMIFS(月汇总!Q:Q,月汇总!B:B,B46)</f>
        <v>60</v>
      </c>
      <c r="S46" s="603">
        <f t="shared" si="3"/>
        <v>0.00359682041075689</v>
      </c>
      <c r="T46" s="4">
        <f>SUMIFS(月汇总!N:N,月汇总!B:B,B46)</f>
        <v>220.881967213115</v>
      </c>
      <c r="U46" s="603"/>
      <c r="V46" s="602">
        <f>SUMIFS(月汇总!X:X,月汇总!B:B,B46)</f>
        <v>0</v>
      </c>
      <c r="W46" s="603">
        <f t="shared" si="15"/>
        <v>0</v>
      </c>
      <c r="X46" s="4">
        <f>SUMIFS(月汇总!U:U,月汇总!B:B,B46)</f>
        <v>855.4</v>
      </c>
      <c r="Y46" s="603">
        <f t="shared" si="5"/>
        <v>0.0512786696560241</v>
      </c>
      <c r="Z46" s="4">
        <f>SUMIFS(月汇总!O:O,月汇总!B:B,B46)</f>
        <v>0</v>
      </c>
      <c r="AA46" s="603">
        <f t="shared" si="6"/>
        <v>0</v>
      </c>
      <c r="AB46" s="4">
        <f>SUMIFS(月汇总!T:T,月汇总!B:B,B46)</f>
        <v>0</v>
      </c>
      <c r="AC46" s="603">
        <f t="shared" si="7"/>
        <v>0</v>
      </c>
      <c r="AD46" s="604">
        <f>SUMIFS(月汇总!Z:Z,月汇总!B:B,B46)</f>
        <v>1167.698</v>
      </c>
      <c r="AE46" s="603">
        <f t="shared" si="8"/>
        <v>0.07</v>
      </c>
      <c r="AF46" s="602">
        <f>SUMIFS(月汇总!AC:AC,月汇总!B:B,B46)</f>
        <v>790.16393442623</v>
      </c>
      <c r="AG46" s="603">
        <f t="shared" si="9"/>
        <v>0.0473679627864706</v>
      </c>
      <c r="AH46" s="602">
        <f>SUMIFS(月汇总!V:V,月汇总!B:B,B46)</f>
        <v>397.392459016393</v>
      </c>
      <c r="AI46" s="603">
        <f t="shared" si="10"/>
        <v>0.0238224884611839</v>
      </c>
      <c r="AJ46" s="602">
        <f t="shared" si="11"/>
        <v>13033.036571294</v>
      </c>
      <c r="AK46" s="4">
        <f>SUMIFS(月汇总!AA:AA,月汇总!B:B,B46)</f>
        <v>0</v>
      </c>
      <c r="AL46" s="602">
        <f t="shared" si="12"/>
        <v>3543.36342870596</v>
      </c>
      <c r="AM46" s="603">
        <f t="shared" si="13"/>
        <v>0.212414031718319</v>
      </c>
      <c r="AN46" s="602">
        <f>SUMIFS(月汇总!AB:AB,月汇总!B:B,B46)</f>
        <v>2280</v>
      </c>
      <c r="AO46" s="602">
        <f>SUMIFS(月汇总!W:W,月汇总!B:B,B46)</f>
        <v>0</v>
      </c>
      <c r="AP46" s="602">
        <f t="shared" si="14"/>
        <v>1263.36342870596</v>
      </c>
    </row>
    <row r="47" ht="19" customHeight="1" spans="1:42">
      <c r="A47" s="4">
        <v>43</v>
      </c>
      <c r="B47" s="164" t="s">
        <v>174</v>
      </c>
      <c r="C47" s="122" t="s">
        <v>175</v>
      </c>
      <c r="D47" s="4" t="s">
        <v>146</v>
      </c>
      <c r="E47" s="4" t="s">
        <v>48</v>
      </c>
      <c r="F47" s="122" t="s">
        <v>176</v>
      </c>
      <c r="G47" s="4" t="s">
        <v>50</v>
      </c>
      <c r="H47" s="515">
        <f>COUNTIFS(磅单!E:E,B47)</f>
        <v>10</v>
      </c>
      <c r="I47" s="4">
        <f>SUMIFS(磅单!L:L,磅单!E:E,B47)</f>
        <v>427.61</v>
      </c>
      <c r="J47" s="4">
        <f>SUMIFS(磅单!O:O,磅单!E:E,B47)</f>
        <v>31830.41</v>
      </c>
      <c r="K47" s="602">
        <f>SUMIFS(月汇总!Y:Y,月汇总!B:B,B47)</f>
        <v>150</v>
      </c>
      <c r="L47" s="602">
        <f>SUMIFS(月汇总!I:I,月汇总!B:B,B47,月汇总!C:C,F68)</f>
        <v>0</v>
      </c>
      <c r="M47" s="602">
        <f>SUMIFS(月汇总!J:J,月汇总!B:B,B47,月汇总!C:C,F47)</f>
        <v>12209.0522106383</v>
      </c>
      <c r="N47" s="603">
        <f t="shared" si="0"/>
        <v>0.383565659714666</v>
      </c>
      <c r="O47" s="604">
        <f t="shared" si="1"/>
        <v>1220.90522106383</v>
      </c>
      <c r="P47" s="602">
        <f>SUMIFS(月汇总!R:R,月汇总!B:B,B47)+SUMIFS(月汇总!S:S,月汇总!B:B,B47)</f>
        <v>7200</v>
      </c>
      <c r="Q47" s="603">
        <f t="shared" si="2"/>
        <v>0.226198782862049</v>
      </c>
      <c r="R47" s="4">
        <f>SUMIFS(月汇总!Q:Q,月汇总!B:B,B47)</f>
        <v>0</v>
      </c>
      <c r="S47" s="603">
        <f t="shared" si="3"/>
        <v>0</v>
      </c>
      <c r="T47" s="4">
        <f>SUMIFS(月汇总!N:N,月汇总!B:B,B47)</f>
        <v>220.881967213115</v>
      </c>
      <c r="U47" s="603"/>
      <c r="V47" s="602">
        <f>SUMIFS(月汇总!X:X,月汇总!B:B,B47)</f>
        <v>3200</v>
      </c>
      <c r="W47" s="603">
        <f t="shared" si="15"/>
        <v>0.100532792383133</v>
      </c>
      <c r="X47" s="4">
        <f>SUMIFS(月汇总!U:U,月汇总!B:B,B47)</f>
        <v>194</v>
      </c>
      <c r="Y47" s="603">
        <f t="shared" si="5"/>
        <v>0.00609480053822744</v>
      </c>
      <c r="Z47" s="4">
        <f>SUMIFS(月汇总!O:O,月汇总!B:B,B47)</f>
        <v>0</v>
      </c>
      <c r="AA47" s="603">
        <f t="shared" si="6"/>
        <v>0</v>
      </c>
      <c r="AB47" s="4">
        <f>SUMIFS(月汇总!T:T,月汇总!B:B,B47)</f>
        <v>0</v>
      </c>
      <c r="AC47" s="603">
        <f t="shared" si="7"/>
        <v>0</v>
      </c>
      <c r="AD47" s="604">
        <f>SUMIFS(月汇总!Z:Z,月汇总!B:B,B47)</f>
        <v>2228.1287</v>
      </c>
      <c r="AE47" s="603">
        <f t="shared" si="8"/>
        <v>0.07</v>
      </c>
      <c r="AF47" s="602">
        <f>SUMIFS(月汇总!AC:AC,月汇总!B:B,B47)</f>
        <v>790.16393442623</v>
      </c>
      <c r="AG47" s="603">
        <f t="shared" si="9"/>
        <v>0.0248241833650974</v>
      </c>
      <c r="AH47" s="602">
        <f>SUMIFS(月汇总!V:V,月汇总!B:B,B47)</f>
        <v>397.392459016393</v>
      </c>
      <c r="AI47" s="603">
        <f t="shared" si="10"/>
        <v>0.0124846792427868</v>
      </c>
      <c r="AJ47" s="602">
        <f t="shared" si="11"/>
        <v>26439.619271294</v>
      </c>
      <c r="AK47" s="4">
        <f>SUMIFS(月汇总!AA:AA,月汇总!B:B,B47)</f>
        <v>0</v>
      </c>
      <c r="AL47" s="602">
        <f t="shared" si="12"/>
        <v>5240.79072870596</v>
      </c>
      <c r="AM47" s="603">
        <f t="shared" si="13"/>
        <v>0.164647289453889</v>
      </c>
      <c r="AN47" s="602">
        <f>SUMIFS(月汇总!AB:AB,月汇总!B:B,B47)</f>
        <v>0</v>
      </c>
      <c r="AO47" s="602">
        <f>SUMIFS(月汇总!W:W,月汇总!B:B,B47)</f>
        <v>2666</v>
      </c>
      <c r="AP47" s="602">
        <f t="shared" si="14"/>
        <v>2574.79072870596</v>
      </c>
    </row>
    <row r="48" ht="19" customHeight="1" spans="1:42">
      <c r="A48" s="4">
        <v>44</v>
      </c>
      <c r="B48" s="164" t="s">
        <v>177</v>
      </c>
      <c r="C48" s="122" t="s">
        <v>178</v>
      </c>
      <c r="D48" s="4" t="s">
        <v>146</v>
      </c>
      <c r="E48" s="4" t="s">
        <v>48</v>
      </c>
      <c r="F48" s="122" t="s">
        <v>179</v>
      </c>
      <c r="G48" s="4" t="s">
        <v>50</v>
      </c>
      <c r="H48" s="515">
        <f>COUNTIFS(磅单!E:E,B48)</f>
        <v>11</v>
      </c>
      <c r="I48" s="4">
        <f>SUMIFS(磅单!L:L,磅单!E:E,B48)</f>
        <v>463.5</v>
      </c>
      <c r="J48" s="4">
        <f>SUMIFS(磅单!O:O,磅单!E:E,B48)</f>
        <v>34892.06</v>
      </c>
      <c r="K48" s="602">
        <f>SUMIFS(月汇总!Y:Y,月汇总!B:B,B48)</f>
        <v>150</v>
      </c>
      <c r="L48" s="602">
        <f>SUMIFS(月汇总!I:I,月汇总!B:B,B48,月汇总!C:C,F69)</f>
        <v>0</v>
      </c>
      <c r="M48" s="602">
        <f>SUMIFS(月汇总!J:J,月汇总!B:B,B48,月汇总!C:C,F48)</f>
        <v>11158.4515106383</v>
      </c>
      <c r="N48" s="603">
        <f t="shared" si="0"/>
        <v>0.319799160916217</v>
      </c>
      <c r="O48" s="604">
        <f t="shared" si="1"/>
        <v>1014.4046827853</v>
      </c>
      <c r="P48" s="602">
        <f>SUMIFS(月汇总!R:R,月汇总!B:B,B48)+SUMIFS(月汇总!S:S,月汇总!B:B,B48)</f>
        <v>7800</v>
      </c>
      <c r="Q48" s="603">
        <f t="shared" si="2"/>
        <v>0.223546560449569</v>
      </c>
      <c r="R48" s="4">
        <f>SUMIFS(月汇总!Q:Q,月汇总!B:B,B48)</f>
        <v>60</v>
      </c>
      <c r="S48" s="603">
        <f t="shared" si="3"/>
        <v>0.00171958892653515</v>
      </c>
      <c r="T48" s="4">
        <f>SUMIFS(月汇总!N:N,月汇总!B:B,B48)</f>
        <v>220.881967213115</v>
      </c>
      <c r="U48" s="603"/>
      <c r="V48" s="602">
        <f>SUMIFS(月汇总!X:X,月汇总!B:B,B48)</f>
        <v>2800</v>
      </c>
      <c r="W48" s="603">
        <f t="shared" si="15"/>
        <v>0.0802474832383069</v>
      </c>
      <c r="X48" s="4">
        <f>SUMIFS(月汇总!U:U,月汇总!B:B,B48)</f>
        <v>173</v>
      </c>
      <c r="Y48" s="603">
        <f t="shared" si="5"/>
        <v>0.00495814807150968</v>
      </c>
      <c r="Z48" s="4">
        <f>SUMIFS(月汇总!O:O,月汇总!B:B,B48)</f>
        <v>0</v>
      </c>
      <c r="AA48" s="603">
        <f t="shared" si="6"/>
        <v>0</v>
      </c>
      <c r="AB48" s="4">
        <f>SUMIFS(月汇总!T:T,月汇总!B:B,B48)</f>
        <v>0</v>
      </c>
      <c r="AC48" s="603">
        <f t="shared" si="7"/>
        <v>0</v>
      </c>
      <c r="AD48" s="604">
        <f>SUMIFS(月汇总!Z:Z,月汇总!B:B,B48)</f>
        <v>2442.4442</v>
      </c>
      <c r="AE48" s="603">
        <f t="shared" si="8"/>
        <v>0.07</v>
      </c>
      <c r="AF48" s="602">
        <f>SUMIFS(月汇总!AC:AC,月汇总!B:B,B48)</f>
        <v>790.16393442623</v>
      </c>
      <c r="AG48" s="603">
        <f t="shared" si="9"/>
        <v>0.0226459525297798</v>
      </c>
      <c r="AH48" s="602">
        <f>SUMIFS(月汇总!V:V,月汇总!B:B,B48)</f>
        <v>397.392459016393</v>
      </c>
      <c r="AI48" s="603">
        <f t="shared" si="10"/>
        <v>0.0113891945335527</v>
      </c>
      <c r="AJ48" s="602">
        <f t="shared" si="11"/>
        <v>25842.334071294</v>
      </c>
      <c r="AK48" s="4">
        <f>SUMIFS(月汇总!AA:AA,月汇总!B:B,B48)</f>
        <v>0</v>
      </c>
      <c r="AL48" s="602">
        <f t="shared" si="12"/>
        <v>8899.72592870596</v>
      </c>
      <c r="AM48" s="603">
        <f t="shared" si="13"/>
        <v>0.255064502603342</v>
      </c>
      <c r="AN48" s="602">
        <f>SUMIFS(月汇总!AB:AB,月汇总!B:B,B48)</f>
        <v>0</v>
      </c>
      <c r="AO48" s="602">
        <f>SUMIFS(月汇总!W:W,月汇总!B:B,B48)</f>
        <v>2666</v>
      </c>
      <c r="AP48" s="602">
        <f t="shared" si="14"/>
        <v>6233.72592870596</v>
      </c>
    </row>
    <row r="49" ht="19" customHeight="1" spans="1:42">
      <c r="A49" s="4">
        <v>45</v>
      </c>
      <c r="B49" s="164" t="s">
        <v>180</v>
      </c>
      <c r="C49" s="502" t="s">
        <v>181</v>
      </c>
      <c r="D49" s="4" t="s">
        <v>146</v>
      </c>
      <c r="E49" s="4" t="s">
        <v>48</v>
      </c>
      <c r="F49" s="502" t="s">
        <v>182</v>
      </c>
      <c r="G49" s="4" t="s">
        <v>50</v>
      </c>
      <c r="H49" s="515">
        <f>COUNTIFS(磅单!E:E,B49)</f>
        <v>12</v>
      </c>
      <c r="I49" s="4">
        <f>SUMIFS(磅单!L:L,磅单!E:E,B49)</f>
        <v>507.05</v>
      </c>
      <c r="J49" s="4">
        <f>SUMIFS(磅单!O:O,磅单!E:E,B49)</f>
        <v>38541.81</v>
      </c>
      <c r="K49" s="602">
        <f>SUMIFS(月汇总!Y:Y,月汇总!B:B,B49)</f>
        <v>180</v>
      </c>
      <c r="L49" s="602">
        <f>SUMIFS(月汇总!I:I,月汇总!B:B,B49,月汇总!C:C,F70)</f>
        <v>0</v>
      </c>
      <c r="M49" s="602">
        <f>SUMIFS(月汇总!J:J,月汇总!B:B,B49,月汇总!C:C,F49)</f>
        <v>13784.6365106383</v>
      </c>
      <c r="N49" s="603">
        <f t="shared" si="0"/>
        <v>0.357654103702922</v>
      </c>
      <c r="O49" s="604">
        <f t="shared" si="1"/>
        <v>1148.71970921986</v>
      </c>
      <c r="P49" s="602">
        <f>SUMIFS(月汇总!R:R,月汇总!B:B,B49)+SUMIFS(月汇总!S:S,月汇总!B:B,B49)</f>
        <v>8800</v>
      </c>
      <c r="Q49" s="603">
        <f t="shared" si="2"/>
        <v>0.228323475207833</v>
      </c>
      <c r="R49" s="4">
        <f>SUMIFS(月汇总!Q:Q,月汇总!B:B,B49)</f>
        <v>190</v>
      </c>
      <c r="S49" s="603">
        <f t="shared" si="3"/>
        <v>0.00492971139653275</v>
      </c>
      <c r="T49" s="4">
        <f>SUMIFS(月汇总!N:N,月汇总!B:B,B49)</f>
        <v>220.881967213115</v>
      </c>
      <c r="U49" s="603"/>
      <c r="V49" s="602">
        <f>SUMIFS(月汇总!X:X,月汇总!B:B,B49)</f>
        <v>2800</v>
      </c>
      <c r="W49" s="603">
        <f t="shared" si="15"/>
        <v>0.0726483784752195</v>
      </c>
      <c r="X49" s="4">
        <f>SUMIFS(月汇总!U:U,月汇总!B:B,B49)</f>
        <v>340</v>
      </c>
      <c r="Y49" s="603">
        <f t="shared" si="5"/>
        <v>0.00882158881484808</v>
      </c>
      <c r="Z49" s="4">
        <f>SUMIFS(月汇总!O:O,月汇总!B:B,B49)</f>
        <v>0</v>
      </c>
      <c r="AA49" s="603">
        <f t="shared" si="6"/>
        <v>0</v>
      </c>
      <c r="AB49" s="4">
        <f>SUMIFS(月汇总!T:T,月汇总!B:B,B49)</f>
        <v>200</v>
      </c>
      <c r="AC49" s="603">
        <f t="shared" si="7"/>
        <v>0.00518916989108711</v>
      </c>
      <c r="AD49" s="604">
        <f>SUMIFS(月汇总!Z:Z,月汇总!B:B,B49)</f>
        <v>2697.9267</v>
      </c>
      <c r="AE49" s="603">
        <f t="shared" si="8"/>
        <v>0.07</v>
      </c>
      <c r="AF49" s="602">
        <f>SUMIFS(月汇总!AC:AC,月汇总!B:B,B49)</f>
        <v>790.16393442623</v>
      </c>
      <c r="AG49" s="603">
        <f t="shared" si="9"/>
        <v>0.0205014744877376</v>
      </c>
      <c r="AH49" s="602">
        <f>SUMIFS(月汇总!V:V,月汇总!B:B,B49)</f>
        <v>397.392459016393</v>
      </c>
      <c r="AI49" s="603">
        <f t="shared" si="10"/>
        <v>0.0103106849163647</v>
      </c>
      <c r="AJ49" s="602">
        <f t="shared" si="11"/>
        <v>30221.001571294</v>
      </c>
      <c r="AK49" s="4">
        <f>SUMIFS(月汇总!AA:AA,月汇总!B:B,B49)</f>
        <v>0</v>
      </c>
      <c r="AL49" s="602">
        <f t="shared" si="12"/>
        <v>8140.80842870596</v>
      </c>
      <c r="AM49" s="603">
        <f t="shared" si="13"/>
        <v>0.211220189936746</v>
      </c>
      <c r="AN49" s="602">
        <f>SUMIFS(月汇总!AB:AB,月汇总!B:B,B49)</f>
        <v>0</v>
      </c>
      <c r="AO49" s="602">
        <f>SUMIFS(月汇总!W:W,月汇总!B:B,B49)</f>
        <v>2666</v>
      </c>
      <c r="AP49" s="602">
        <f t="shared" si="14"/>
        <v>5474.80842870596</v>
      </c>
    </row>
    <row r="50" ht="19" customHeight="1" spans="1:42">
      <c r="A50" s="4">
        <v>46</v>
      </c>
      <c r="B50" s="164" t="s">
        <v>183</v>
      </c>
      <c r="C50" s="42" t="s">
        <v>184</v>
      </c>
      <c r="D50" s="42" t="s">
        <v>119</v>
      </c>
      <c r="E50" s="4" t="s">
        <v>48</v>
      </c>
      <c r="F50" s="122" t="s">
        <v>185</v>
      </c>
      <c r="G50" s="4" t="s">
        <v>50</v>
      </c>
      <c r="H50" s="515">
        <f>COUNTIFS(磅单!E:E,B50)</f>
        <v>7</v>
      </c>
      <c r="I50" s="4">
        <f>SUMIFS(磅单!L:L,磅单!E:E,B50)</f>
        <v>306.91</v>
      </c>
      <c r="J50" s="4">
        <f>SUMIFS(磅单!O:O,磅单!E:E,B50)</f>
        <v>22716.15</v>
      </c>
      <c r="K50" s="602">
        <f>SUMIFS(月汇总!Y:Y,月汇总!B:B,B50)</f>
        <v>105</v>
      </c>
      <c r="L50" s="602">
        <f>SUMIFS(月汇总!I:I,月汇总!B:B,B50,月汇总!C:C,F71)</f>
        <v>0</v>
      </c>
      <c r="M50" s="602">
        <f>SUMIFS(月汇总!J:J,月汇总!B:B,B50,月汇总!C:C,F50)</f>
        <v>8633.0998106383</v>
      </c>
      <c r="N50" s="603">
        <f t="shared" si="0"/>
        <v>0.380042384411016</v>
      </c>
      <c r="O50" s="604">
        <f t="shared" si="1"/>
        <v>1233.29997294833</v>
      </c>
      <c r="P50" s="602">
        <f>SUMIFS(月汇总!R:R,月汇总!B:B,B50)+SUMIFS(月汇总!S:S,月汇总!B:B,B50)</f>
        <v>5200</v>
      </c>
      <c r="Q50" s="603">
        <f t="shared" si="2"/>
        <v>0.22891202954726</v>
      </c>
      <c r="R50" s="4">
        <f>SUMIFS(月汇总!Q:Q,月汇总!B:B,B50)</f>
        <v>0</v>
      </c>
      <c r="S50" s="603">
        <f t="shared" si="3"/>
        <v>0</v>
      </c>
      <c r="T50" s="4">
        <f>SUMIFS(月汇总!N:N,月汇总!B:B,B50)</f>
        <v>220.881967213115</v>
      </c>
      <c r="U50" s="603"/>
      <c r="V50" s="602">
        <f>SUMIFS(月汇总!X:X,月汇总!B:B,B50)</f>
        <v>2800</v>
      </c>
      <c r="W50" s="603">
        <f t="shared" si="15"/>
        <v>0.123260323602371</v>
      </c>
      <c r="X50" s="4">
        <f>SUMIFS(月汇总!U:U,月汇总!B:B,B50)</f>
        <v>190</v>
      </c>
      <c r="Y50" s="603">
        <f t="shared" si="5"/>
        <v>0.00836409338730375</v>
      </c>
      <c r="Z50" s="4">
        <f>SUMIFS(月汇总!O:O,月汇总!B:B,B50)</f>
        <v>0</v>
      </c>
      <c r="AA50" s="603">
        <f t="shared" si="6"/>
        <v>0</v>
      </c>
      <c r="AB50" s="4">
        <f>SUMIFS(月汇总!T:T,月汇总!B:B,B50)</f>
        <v>200</v>
      </c>
      <c r="AC50" s="603">
        <f t="shared" si="7"/>
        <v>0.00880430882874078</v>
      </c>
      <c r="AD50" s="604">
        <f>SUMIFS(月汇总!Z:Z,月汇总!B:B,B50)</f>
        <v>1590.1305</v>
      </c>
      <c r="AE50" s="603">
        <f t="shared" si="8"/>
        <v>0.07</v>
      </c>
      <c r="AF50" s="602">
        <f>SUMIFS(月汇总!AC:AC,月汇总!B:B,B50)</f>
        <v>790.16393442623</v>
      </c>
      <c r="AG50" s="603">
        <f t="shared" si="9"/>
        <v>0.0347842365201071</v>
      </c>
      <c r="AH50" s="602">
        <f>SUMIFS(月汇总!V:V,月汇总!B:B,B50)</f>
        <v>397.392459016393</v>
      </c>
      <c r="AI50" s="603">
        <f t="shared" si="10"/>
        <v>0.0174938296769652</v>
      </c>
      <c r="AJ50" s="602">
        <f t="shared" si="11"/>
        <v>20021.668671294</v>
      </c>
      <c r="AK50" s="4">
        <f>SUMIFS(月汇总!AA:AA,月汇总!B:B,B50)</f>
        <v>0</v>
      </c>
      <c r="AL50" s="602">
        <f t="shared" si="12"/>
        <v>2589.48132870597</v>
      </c>
      <c r="AM50" s="603">
        <f t="shared" si="13"/>
        <v>0.113992966620927</v>
      </c>
      <c r="AN50" s="602">
        <f>SUMIFS(月汇总!AB:AB,月汇总!B:B,B50)</f>
        <v>0</v>
      </c>
      <c r="AO50" s="602">
        <f>SUMIFS(月汇总!W:W,月汇总!B:B,B50)</f>
        <v>2666</v>
      </c>
      <c r="AP50" s="602">
        <f t="shared" si="14"/>
        <v>-76.518671294034</v>
      </c>
    </row>
    <row r="51" ht="19" customHeight="1" spans="1:42">
      <c r="A51" s="4">
        <v>47</v>
      </c>
      <c r="B51" s="164" t="s">
        <v>186</v>
      </c>
      <c r="C51" s="42" t="s">
        <v>187</v>
      </c>
      <c r="D51" s="4" t="s">
        <v>146</v>
      </c>
      <c r="E51" s="4" t="s">
        <v>48</v>
      </c>
      <c r="F51" s="122" t="s">
        <v>188</v>
      </c>
      <c r="G51" s="4" t="s">
        <v>50</v>
      </c>
      <c r="H51" s="515">
        <f>COUNTIFS(磅单!E:E,B51)</f>
        <v>7</v>
      </c>
      <c r="I51" s="4">
        <f>SUMIFS(磅单!L:L,磅单!E:E,B51)</f>
        <v>304.92</v>
      </c>
      <c r="J51" s="4">
        <f>SUMIFS(磅单!O:O,磅单!E:E,B51)</f>
        <v>20903.86</v>
      </c>
      <c r="K51" s="602">
        <f>SUMIFS(月汇总!Y:Y,月汇总!B:B,B51)</f>
        <v>105</v>
      </c>
      <c r="L51" s="602">
        <f>SUMIFS(月汇总!I:I,月汇总!B:B,B51,月汇总!C:C,F72)</f>
        <v>0</v>
      </c>
      <c r="M51" s="602">
        <f>SUMIFS(月汇总!J:J,月汇总!B:B,B51)</f>
        <v>7254.3167106383</v>
      </c>
      <c r="N51" s="603">
        <f t="shared" si="0"/>
        <v>0.347032400266664</v>
      </c>
      <c r="O51" s="604">
        <f t="shared" si="1"/>
        <v>1036.33095866261</v>
      </c>
      <c r="P51" s="602">
        <f>SUMIFS(月汇总!R:R,月汇总!B:B,B51)+SUMIFS(月汇总!S:S,月汇总!B:B,B51)</f>
        <v>4600</v>
      </c>
      <c r="Q51" s="603">
        <f t="shared" si="2"/>
        <v>0.220055052033452</v>
      </c>
      <c r="R51" s="4">
        <f>SUMIFS(月汇总!Q:Q,月汇总!B:B,B51)</f>
        <v>0</v>
      </c>
      <c r="S51" s="603">
        <f t="shared" si="3"/>
        <v>0</v>
      </c>
      <c r="T51" s="4">
        <f>SUMIFS(月汇总!N:N,月汇总!B:B,B51)</f>
        <v>220.881967213115</v>
      </c>
      <c r="U51" s="603"/>
      <c r="V51" s="602">
        <f>SUMIFS(月汇总!X:X,月汇总!B:B,B51)</f>
        <v>2800</v>
      </c>
      <c r="W51" s="603">
        <f t="shared" si="15"/>
        <v>0.133946553411667</v>
      </c>
      <c r="X51" s="4">
        <f>SUMIFS(月汇总!U:U,月汇总!B:B,B51)</f>
        <v>179</v>
      </c>
      <c r="Y51" s="603">
        <f t="shared" si="5"/>
        <v>0.00856301180738868</v>
      </c>
      <c r="Z51" s="4">
        <f>SUMIFS(月汇总!O:O,月汇总!B:B,B51)</f>
        <v>0</v>
      </c>
      <c r="AA51" s="603">
        <f t="shared" si="6"/>
        <v>0</v>
      </c>
      <c r="AB51" s="4">
        <f>SUMIFS(月汇总!T:T,月汇总!B:B,B51)</f>
        <v>40</v>
      </c>
      <c r="AC51" s="603">
        <f t="shared" si="7"/>
        <v>0.00191352219159524</v>
      </c>
      <c r="AD51" s="604">
        <f>SUMIFS(月汇总!Z:Z,月汇总!B:B,B51)</f>
        <v>1463.2702</v>
      </c>
      <c r="AE51" s="603">
        <f t="shared" si="8"/>
        <v>0.07</v>
      </c>
      <c r="AF51" s="602">
        <f>SUMIFS(月汇总!AC:AC,月汇总!B:B,B51)</f>
        <v>790.16393442623</v>
      </c>
      <c r="AG51" s="603">
        <f t="shared" si="9"/>
        <v>0.0377999055880699</v>
      </c>
      <c r="AH51" s="602">
        <f>SUMIFS(月汇总!V:V,月汇总!B:B,B51)</f>
        <v>397.392459016393</v>
      </c>
      <c r="AI51" s="603">
        <f t="shared" si="10"/>
        <v>0.0190104822275117</v>
      </c>
      <c r="AJ51" s="602">
        <f t="shared" si="11"/>
        <v>17745.025271294</v>
      </c>
      <c r="AK51" s="4">
        <f>SUMIFS(月汇总!AA:AA,月汇总!B:B,B51)</f>
        <v>0</v>
      </c>
      <c r="AL51" s="602">
        <f t="shared" si="12"/>
        <v>3053.83472870596</v>
      </c>
      <c r="AM51" s="603">
        <f t="shared" si="13"/>
        <v>0.146089513071077</v>
      </c>
      <c r="AN51" s="602">
        <f>SUMIFS(月汇总!AB:AB,月汇总!B:B,B51)</f>
        <v>0</v>
      </c>
      <c r="AO51" s="602">
        <f>SUMIFS(月汇总!W:W,月汇总!B:B,B51)</f>
        <v>2666</v>
      </c>
      <c r="AP51" s="602">
        <f t="shared" si="14"/>
        <v>387.834728705962</v>
      </c>
    </row>
    <row r="52" ht="19" customHeight="1" spans="1:42">
      <c r="A52" s="4">
        <v>48</v>
      </c>
      <c r="B52" s="164" t="s">
        <v>189</v>
      </c>
      <c r="C52" s="42" t="s">
        <v>190</v>
      </c>
      <c r="D52" s="42" t="s">
        <v>119</v>
      </c>
      <c r="E52" s="4" t="s">
        <v>48</v>
      </c>
      <c r="F52" s="122" t="s">
        <v>191</v>
      </c>
      <c r="G52" s="4" t="s">
        <v>50</v>
      </c>
      <c r="H52" s="515">
        <f>COUNTIFS(磅单!E:E,B52)</f>
        <v>6</v>
      </c>
      <c r="I52" s="4">
        <f>SUMIFS(磅单!L:L,磅单!E:E,B52)</f>
        <v>264.06</v>
      </c>
      <c r="J52" s="4">
        <f>SUMIFS(磅单!O:O,磅单!E:E,B52)</f>
        <v>18529.74</v>
      </c>
      <c r="K52" s="602">
        <f>SUMIFS(月汇总!Y:Y,月汇总!B:B,B52)</f>
        <v>90</v>
      </c>
      <c r="L52" s="602">
        <f>SUMIFS(月汇总!I:I,月汇总!B:B,B52,月汇总!C:C,F73)</f>
        <v>0</v>
      </c>
      <c r="M52" s="602">
        <f>SUMIFS(月汇总!J:J,月汇总!B:B,B52)</f>
        <v>8196.1785106383</v>
      </c>
      <c r="N52" s="603">
        <f t="shared" si="0"/>
        <v>0.442325607949075</v>
      </c>
      <c r="O52" s="604">
        <f t="shared" si="1"/>
        <v>1366.02975177305</v>
      </c>
      <c r="P52" s="602">
        <f>SUMIFS(月汇总!R:R,月汇总!B:B,B52)+SUMIFS(月汇总!S:S,月汇总!B:B,B52)</f>
        <v>4000</v>
      </c>
      <c r="Q52" s="603">
        <f t="shared" si="2"/>
        <v>0.215869191904474</v>
      </c>
      <c r="R52" s="4">
        <f>SUMIFS(月汇总!Q:Q,月汇总!B:B,B52)</f>
        <v>60</v>
      </c>
      <c r="S52" s="603">
        <f t="shared" si="3"/>
        <v>0.0032380378785671</v>
      </c>
      <c r="T52" s="4">
        <f>SUMIFS(月汇总!N:N,月汇总!B:B,B52)</f>
        <v>220.881967213115</v>
      </c>
      <c r="U52" s="603"/>
      <c r="V52" s="602">
        <f>SUMIFS(月汇总!X:X,月汇总!B:B,B52)</f>
        <v>2800</v>
      </c>
      <c r="W52" s="603">
        <f t="shared" si="15"/>
        <v>0.151108434333132</v>
      </c>
      <c r="X52" s="4">
        <f>SUMIFS(月汇总!U:U,月汇总!B:B,B52)</f>
        <v>151</v>
      </c>
      <c r="Y52" s="603">
        <f t="shared" si="5"/>
        <v>0.00814906199439388</v>
      </c>
      <c r="Z52" s="4">
        <f>SUMIFS(月汇总!O:O,月汇总!B:B,B52)</f>
        <v>0</v>
      </c>
      <c r="AA52" s="603">
        <f t="shared" si="6"/>
        <v>0</v>
      </c>
      <c r="AB52" s="4">
        <f>SUMIFS(月汇总!T:T,月汇总!B:B,B52)</f>
        <v>20</v>
      </c>
      <c r="AC52" s="603">
        <f t="shared" si="7"/>
        <v>0.00107934595952237</v>
      </c>
      <c r="AD52" s="604">
        <f>SUMIFS(月汇总!Z:Z,月汇总!B:B,B52)</f>
        <v>1297.0818</v>
      </c>
      <c r="AE52" s="603">
        <f t="shared" si="8"/>
        <v>0.07</v>
      </c>
      <c r="AF52" s="602">
        <f>SUMIFS(月汇总!AC:AC,月汇总!B:B,B52)</f>
        <v>790.16393442623</v>
      </c>
      <c r="AG52" s="603">
        <f t="shared" si="9"/>
        <v>0.0426430124991624</v>
      </c>
      <c r="AH52" s="602">
        <f>SUMIFS(月汇总!V:V,月汇总!B:B,B52)</f>
        <v>397.392459016393</v>
      </c>
      <c r="AI52" s="603">
        <f t="shared" si="10"/>
        <v>0.0214461972492001</v>
      </c>
      <c r="AJ52" s="602">
        <f t="shared" si="11"/>
        <v>17932.698671294</v>
      </c>
      <c r="AK52" s="4">
        <f>SUMIFS(月汇总!AA:AA,月汇总!B:B,B52)</f>
        <v>0</v>
      </c>
      <c r="AL52" s="602">
        <f t="shared" si="12"/>
        <v>507.04132870596</v>
      </c>
      <c r="AM52" s="603">
        <f t="shared" si="13"/>
        <v>0.0273636504724815</v>
      </c>
      <c r="AN52" s="602">
        <f>SUMIFS(月汇总!AB:AB,月汇总!B:B,B52)</f>
        <v>0</v>
      </c>
      <c r="AO52" s="602">
        <f>SUMIFS(月汇总!W:W,月汇总!B:B,B52)</f>
        <v>2666</v>
      </c>
      <c r="AP52" s="602">
        <f t="shared" si="14"/>
        <v>-2158.95867129404</v>
      </c>
    </row>
    <row r="53" ht="19" customHeight="1" spans="1:42">
      <c r="A53" s="4">
        <v>49</v>
      </c>
      <c r="B53" s="164" t="s">
        <v>192</v>
      </c>
      <c r="C53" s="42" t="s">
        <v>193</v>
      </c>
      <c r="D53" s="42" t="s">
        <v>119</v>
      </c>
      <c r="E53" s="4" t="s">
        <v>48</v>
      </c>
      <c r="F53" s="122" t="s">
        <v>194</v>
      </c>
      <c r="G53" s="4" t="s">
        <v>50</v>
      </c>
      <c r="H53" s="515">
        <f>COUNTIFS(磅单!E:E,B53)</f>
        <v>8</v>
      </c>
      <c r="I53" s="4">
        <f>SUMIFS(磅单!L:L,磅单!E:E,B53)</f>
        <v>343.69</v>
      </c>
      <c r="J53" s="4">
        <f>SUMIFS(磅单!O:O,磅单!E:E,B53)</f>
        <v>22105.89</v>
      </c>
      <c r="K53" s="602">
        <f>SUMIFS(月汇总!Y:Y,月汇总!B:B,B53)</f>
        <v>120</v>
      </c>
      <c r="L53" s="602">
        <f>SUMIFS(月汇总!I:I,月汇总!B:B,B53,月汇总!C:C,F74)</f>
        <v>0</v>
      </c>
      <c r="M53" s="602">
        <f>SUMIFS(月汇总!J:J,月汇总!B:B,B53)</f>
        <v>7639.6485106383</v>
      </c>
      <c r="N53" s="603">
        <f t="shared" si="0"/>
        <v>0.34559334686992</v>
      </c>
      <c r="O53" s="604">
        <f t="shared" si="1"/>
        <v>954.956063829787</v>
      </c>
      <c r="P53" s="602">
        <f>SUMIFS(月汇总!R:R,月汇总!B:B,B53)+SUMIFS(月汇总!S:S,月汇总!B:B,B53)</f>
        <v>5000</v>
      </c>
      <c r="Q53" s="603">
        <f t="shared" si="2"/>
        <v>0.226184062256711</v>
      </c>
      <c r="R53" s="4">
        <f>SUMIFS(月汇总!Q:Q,月汇总!B:B,B53)</f>
        <v>0</v>
      </c>
      <c r="S53" s="603">
        <f t="shared" si="3"/>
        <v>0</v>
      </c>
      <c r="T53" s="4">
        <f>SUMIFS(月汇总!N:N,月汇总!B:B,B53)</f>
        <v>220.881967213115</v>
      </c>
      <c r="U53" s="603"/>
      <c r="V53" s="602">
        <f>SUMIFS(月汇总!X:X,月汇总!B:B,B53)</f>
        <v>3600</v>
      </c>
      <c r="W53" s="603">
        <f t="shared" si="15"/>
        <v>0.162852524824832</v>
      </c>
      <c r="X53" s="4">
        <f>SUMIFS(月汇总!U:U,月汇总!B:B,B53)</f>
        <v>90</v>
      </c>
      <c r="Y53" s="603">
        <f t="shared" si="5"/>
        <v>0.00407131312062079</v>
      </c>
      <c r="Z53" s="4">
        <f>SUMIFS(月汇总!O:O,月汇总!B:B,B53)</f>
        <v>0</v>
      </c>
      <c r="AA53" s="603">
        <f t="shared" si="6"/>
        <v>0</v>
      </c>
      <c r="AB53" s="4">
        <f>SUMIFS(月汇总!T:T,月汇总!B:B,B53)</f>
        <v>0</v>
      </c>
      <c r="AC53" s="603">
        <f t="shared" si="7"/>
        <v>0</v>
      </c>
      <c r="AD53" s="604">
        <f>SUMIFS(月汇总!Z:Z,月汇总!B:B,B53)</f>
        <v>1547.4123</v>
      </c>
      <c r="AE53" s="603">
        <f t="shared" si="8"/>
        <v>0.07</v>
      </c>
      <c r="AF53" s="602">
        <f>SUMIFS(月汇总!AC:AC,月汇总!B:B,B53)</f>
        <v>790.16393442623</v>
      </c>
      <c r="AG53" s="603">
        <f t="shared" si="9"/>
        <v>0.035744497707454</v>
      </c>
      <c r="AH53" s="602">
        <f>SUMIFS(月汇总!V:V,月汇总!B:B,B53)</f>
        <v>397.392459016393</v>
      </c>
      <c r="AI53" s="603">
        <f t="shared" si="10"/>
        <v>0.0179767681381023</v>
      </c>
      <c r="AJ53" s="602">
        <f t="shared" si="11"/>
        <v>19285.499171294</v>
      </c>
      <c r="AK53" s="4">
        <f>SUMIFS(月汇总!AA:AA,月汇总!B:B,B53)</f>
        <v>0</v>
      </c>
      <c r="AL53" s="602">
        <f t="shared" si="12"/>
        <v>2700.39082870596</v>
      </c>
      <c r="AM53" s="603">
        <f t="shared" si="13"/>
        <v>0.122157073463496</v>
      </c>
      <c r="AN53" s="602">
        <f>SUMIFS(月汇总!AB:AB,月汇总!B:B,B53)</f>
        <v>0</v>
      </c>
      <c r="AO53" s="602">
        <f>SUMIFS(月汇总!W:W,月汇总!B:B,B53)</f>
        <v>2666</v>
      </c>
      <c r="AP53" s="602">
        <f t="shared" si="14"/>
        <v>34.3908287059603</v>
      </c>
    </row>
    <row r="54" ht="19" customHeight="1" spans="1:42">
      <c r="A54" s="4">
        <v>50</v>
      </c>
      <c r="B54" s="164" t="s">
        <v>195</v>
      </c>
      <c r="C54" s="42" t="s">
        <v>196</v>
      </c>
      <c r="D54" s="42" t="s">
        <v>119</v>
      </c>
      <c r="E54" s="4" t="s">
        <v>48</v>
      </c>
      <c r="F54" s="122" t="s">
        <v>197</v>
      </c>
      <c r="G54" s="4" t="s">
        <v>50</v>
      </c>
      <c r="H54" s="515">
        <f>COUNTIFS(磅单!E:E,B54)</f>
        <v>7</v>
      </c>
      <c r="I54" s="4">
        <f>SUMIFS(磅单!L:L,磅单!E:E,B54)</f>
        <v>300.53</v>
      </c>
      <c r="J54" s="4">
        <f>SUMIFS(磅单!O:O,磅单!E:E,B54)</f>
        <v>22774.69</v>
      </c>
      <c r="K54" s="602">
        <f>SUMIFS(月汇总!Y:Y,月汇总!B:B,B54)</f>
        <v>105</v>
      </c>
      <c r="L54" s="602">
        <f>SUMIFS(月汇总!I:I,月汇总!B:B,B54,月汇总!C:C,F75)</f>
        <v>0</v>
      </c>
      <c r="M54" s="602">
        <f>SUMIFS(月汇总!J:J,月汇总!B:B,B54)</f>
        <v>6947.4685106383</v>
      </c>
      <c r="N54" s="603">
        <f t="shared" si="0"/>
        <v>0.305052165831381</v>
      </c>
      <c r="O54" s="604">
        <f t="shared" si="1"/>
        <v>992.495501519757</v>
      </c>
      <c r="P54" s="602">
        <f>SUMIFS(月汇总!R:R,月汇总!B:B,B54)+SUMIFS(月汇总!S:S,月汇总!B:B,B54)</f>
        <v>5000</v>
      </c>
      <c r="Q54" s="603">
        <f t="shared" si="2"/>
        <v>0.219541956443754</v>
      </c>
      <c r="R54" s="4">
        <f>SUMIFS(月汇总!Q:Q,月汇总!B:B,B54)</f>
        <v>120</v>
      </c>
      <c r="S54" s="603">
        <f t="shared" si="3"/>
        <v>0.0052690069546501</v>
      </c>
      <c r="T54" s="4">
        <f>SUMIFS(月汇总!N:N,月汇总!B:B,B54)</f>
        <v>220.881967213115</v>
      </c>
      <c r="U54" s="603"/>
      <c r="V54" s="602">
        <f>SUMIFS(月汇总!X:X,月汇总!B:B,B54)</f>
        <v>3600</v>
      </c>
      <c r="W54" s="603">
        <f t="shared" si="15"/>
        <v>0.158070208639503</v>
      </c>
      <c r="X54" s="4">
        <f>SUMIFS(月汇总!U:U,月汇总!B:B,B54)</f>
        <v>105</v>
      </c>
      <c r="Y54" s="603">
        <f t="shared" si="5"/>
        <v>0.00461038108531883</v>
      </c>
      <c r="Z54" s="4">
        <f>SUMIFS(月汇总!O:O,月汇总!B:B,B54)</f>
        <v>0</v>
      </c>
      <c r="AA54" s="603">
        <f t="shared" si="6"/>
        <v>0</v>
      </c>
      <c r="AB54" s="4">
        <f>SUMIFS(月汇总!T:T,月汇总!B:B,B54)</f>
        <v>0</v>
      </c>
      <c r="AC54" s="603">
        <f t="shared" si="7"/>
        <v>0</v>
      </c>
      <c r="AD54" s="604">
        <f>SUMIFS(月汇总!Z:Z,月汇总!B:B,B54)</f>
        <v>1594.2283</v>
      </c>
      <c r="AE54" s="603">
        <f t="shared" si="8"/>
        <v>0.07</v>
      </c>
      <c r="AF54" s="602">
        <f>SUMIFS(月汇总!AC:AC,月汇总!B:B,B54)</f>
        <v>790.16393442623</v>
      </c>
      <c r="AG54" s="603">
        <f t="shared" si="9"/>
        <v>0.0346948272150457</v>
      </c>
      <c r="AH54" s="602">
        <f>SUMIFS(月汇总!V:V,月汇总!B:B,B54)</f>
        <v>397.392459016393</v>
      </c>
      <c r="AI54" s="603">
        <f t="shared" si="10"/>
        <v>0.0174488635856907</v>
      </c>
      <c r="AJ54" s="602">
        <f t="shared" si="11"/>
        <v>18775.135171294</v>
      </c>
      <c r="AK54" s="4">
        <f>SUMIFS(月汇总!AA:AA,月汇总!B:B,B54)</f>
        <v>0</v>
      </c>
      <c r="AL54" s="602">
        <f t="shared" si="12"/>
        <v>3894.55482870596</v>
      </c>
      <c r="AM54" s="603">
        <f t="shared" si="13"/>
        <v>0.171003637314315</v>
      </c>
      <c r="AN54" s="602">
        <f>SUMIFS(月汇总!AB:AB,月汇总!B:B,B54)</f>
        <v>0</v>
      </c>
      <c r="AO54" s="602">
        <f>SUMIFS(月汇总!W:W,月汇总!B:B,B54)</f>
        <v>2666</v>
      </c>
      <c r="AP54" s="602">
        <f t="shared" si="14"/>
        <v>1228.55482870596</v>
      </c>
    </row>
    <row r="55" ht="19" customHeight="1" spans="1:42">
      <c r="A55" s="4">
        <v>51</v>
      </c>
      <c r="B55" s="164" t="s">
        <v>198</v>
      </c>
      <c r="C55" s="42" t="s">
        <v>199</v>
      </c>
      <c r="D55" s="42" t="s">
        <v>119</v>
      </c>
      <c r="E55" s="4" t="s">
        <v>48</v>
      </c>
      <c r="F55" s="122" t="s">
        <v>200</v>
      </c>
      <c r="G55" s="4" t="s">
        <v>50</v>
      </c>
      <c r="H55" s="515">
        <f>COUNTIFS(磅单!E:E,B55)</f>
        <v>4</v>
      </c>
      <c r="I55" s="4">
        <f>SUMIFS(磅单!L:L,磅单!E:E,B55)</f>
        <v>172.36</v>
      </c>
      <c r="J55" s="4">
        <f>SUMIFS(磅单!O:O,磅单!E:E,B55)</f>
        <v>12133.5</v>
      </c>
      <c r="K55" s="602">
        <f>SUMIFS(月汇总!Y:Y,月汇总!B:B,B55)</f>
        <v>60</v>
      </c>
      <c r="L55" s="602">
        <f>SUMIFS(月汇总!I:I,月汇总!B:B,B55,月汇总!C:C,F76)</f>
        <v>0</v>
      </c>
      <c r="M55" s="602">
        <f>SUMIFS(月汇总!J:J,月汇总!B:B,B55)</f>
        <v>5978.9385106383</v>
      </c>
      <c r="N55" s="603">
        <f t="shared" si="0"/>
        <v>0.49276288874919</v>
      </c>
      <c r="O55" s="604">
        <f t="shared" si="1"/>
        <v>1494.73462765957</v>
      </c>
      <c r="P55" s="602">
        <f>SUMIFS(月汇总!R:R,月汇总!B:B,B55)+SUMIFS(月汇总!S:S,月汇总!B:B,B55)</f>
        <v>2800</v>
      </c>
      <c r="Q55" s="603">
        <f t="shared" si="2"/>
        <v>0.230766060905757</v>
      </c>
      <c r="R55" s="4">
        <f>SUMIFS(月汇总!Q:Q,月汇总!B:B,B55)</f>
        <v>50</v>
      </c>
      <c r="S55" s="603">
        <f t="shared" si="3"/>
        <v>0.00412082251617423</v>
      </c>
      <c r="T55" s="4">
        <f>SUMIFS(月汇总!N:N,月汇总!B:B,B55)</f>
        <v>220.881967213115</v>
      </c>
      <c r="U55" s="603"/>
      <c r="V55" s="602">
        <f>SUMIFS(月汇总!X:X,月汇总!B:B,B55)</f>
        <v>3600</v>
      </c>
      <c r="W55" s="603">
        <f t="shared" si="15"/>
        <v>0.296699221164544</v>
      </c>
      <c r="X55" s="4">
        <f>SUMIFS(月汇总!U:U,月汇总!B:B,B55)</f>
        <v>204</v>
      </c>
      <c r="Y55" s="603">
        <f t="shared" si="5"/>
        <v>0.0168129558659909</v>
      </c>
      <c r="Z55" s="4">
        <f>SUMIFS(月汇总!O:O,月汇总!B:B,B55)</f>
        <v>1050</v>
      </c>
      <c r="AA55" s="603">
        <f t="shared" si="6"/>
        <v>0.0865372728396588</v>
      </c>
      <c r="AB55" s="4">
        <f>SUMIFS(月汇总!T:T,月汇总!B:B,B55)</f>
        <v>200</v>
      </c>
      <c r="AC55" s="603">
        <f t="shared" si="7"/>
        <v>0.0164832900646969</v>
      </c>
      <c r="AD55" s="604">
        <f>SUMIFS(月汇总!Z:Z,月汇总!B:B,B55)</f>
        <v>849.345</v>
      </c>
      <c r="AE55" s="603">
        <f t="shared" si="8"/>
        <v>0.07</v>
      </c>
      <c r="AF55" s="602">
        <f>SUMIFS(月汇总!AC:AC,月汇总!B:B,B55)</f>
        <v>790.16393442623</v>
      </c>
      <c r="AG55" s="603">
        <f t="shared" si="9"/>
        <v>0.0651225066490485</v>
      </c>
      <c r="AH55" s="602">
        <f>SUMIFS(月汇总!V:V,月汇总!B:B,B55)</f>
        <v>397.392459016393</v>
      </c>
      <c r="AI55" s="603">
        <f t="shared" si="10"/>
        <v>0.032751675857452</v>
      </c>
      <c r="AJ55" s="602">
        <f t="shared" si="11"/>
        <v>16140.721871294</v>
      </c>
      <c r="AK55" s="4">
        <f>SUMIFS(月汇总!AA:AA,月汇总!B:B,B55)</f>
        <v>0</v>
      </c>
      <c r="AL55" s="602">
        <f t="shared" si="12"/>
        <v>-4067.22187129404</v>
      </c>
      <c r="AM55" s="603">
        <f t="shared" si="13"/>
        <v>-0.335205989310095</v>
      </c>
      <c r="AN55" s="602">
        <f>SUMIFS(月汇总!AB:AB,月汇总!B:B,B55)</f>
        <v>0</v>
      </c>
      <c r="AO55" s="602">
        <f>SUMIFS(月汇总!W:W,月汇总!B:B,B55)</f>
        <v>2666</v>
      </c>
      <c r="AP55" s="602">
        <f t="shared" si="14"/>
        <v>-6733.22187129404</v>
      </c>
    </row>
    <row r="56" ht="19" customHeight="1" spans="1:42">
      <c r="A56" s="4">
        <v>52</v>
      </c>
      <c r="B56" s="164" t="s">
        <v>201</v>
      </c>
      <c r="C56" s="10" t="s">
        <v>202</v>
      </c>
      <c r="D56" s="42" t="s">
        <v>146</v>
      </c>
      <c r="E56" s="4" t="s">
        <v>48</v>
      </c>
      <c r="F56" s="122" t="s">
        <v>203</v>
      </c>
      <c r="G56" s="4" t="s">
        <v>50</v>
      </c>
      <c r="H56" s="515">
        <f>COUNTIFS(磅单!E:E,B56)</f>
        <v>4</v>
      </c>
      <c r="I56" s="4">
        <f>SUMIFS(磅单!L:L,磅单!E:E,B56)</f>
        <v>179.06</v>
      </c>
      <c r="J56" s="4">
        <f>SUMIFS(磅单!O:O,磅单!E:E,B56)</f>
        <v>11225.4</v>
      </c>
      <c r="K56" s="602">
        <f>SUMIFS(月汇总!Y:Y,月汇总!B:B,B56)</f>
        <v>60</v>
      </c>
      <c r="L56" s="602">
        <f>SUMIFS(月汇总!I:I,月汇总!B:B,B56,月汇总!C:C,F77)</f>
        <v>0</v>
      </c>
      <c r="M56" s="602">
        <f>SUMIFS(月汇总!J:J,月汇总!B:B,B56)</f>
        <v>6039.1485106383</v>
      </c>
      <c r="N56" s="603">
        <f t="shared" si="0"/>
        <v>0.537989604881634</v>
      </c>
      <c r="O56" s="604">
        <f t="shared" si="1"/>
        <v>1509.78712765957</v>
      </c>
      <c r="P56" s="602">
        <f>SUMIFS(月汇总!R:R,月汇总!B:B,B56)+SUMIFS(月汇总!S:S,月汇总!B:B,B56)</f>
        <v>2600</v>
      </c>
      <c r="Q56" s="603">
        <f t="shared" si="2"/>
        <v>0.231617581556114</v>
      </c>
      <c r="R56" s="4">
        <f>SUMIFS(月汇总!Q:Q,月汇总!B:B,B56)</f>
        <v>0</v>
      </c>
      <c r="S56" s="603">
        <f t="shared" si="3"/>
        <v>0</v>
      </c>
      <c r="T56" s="4">
        <f>SUMIFS(月汇总!N:N,月汇总!B:B,B56)</f>
        <v>220.881967213115</v>
      </c>
      <c r="U56" s="603"/>
      <c r="V56" s="602">
        <f>SUMIFS(月汇总!X:X,月汇总!B:B,B56)</f>
        <v>3600</v>
      </c>
      <c r="W56" s="603">
        <f t="shared" si="15"/>
        <v>0.320701266770004</v>
      </c>
      <c r="X56" s="4">
        <f>SUMIFS(月汇总!U:U,月汇总!B:B,B56)</f>
        <v>183</v>
      </c>
      <c r="Y56" s="603">
        <f t="shared" si="5"/>
        <v>0.0163023143941419</v>
      </c>
      <c r="Z56" s="4">
        <f>SUMIFS(月汇总!O:O,月汇总!B:B,B56)</f>
        <v>0</v>
      </c>
      <c r="AA56" s="603">
        <f t="shared" si="6"/>
        <v>0</v>
      </c>
      <c r="AB56" s="4">
        <f>SUMIFS(月汇总!T:T,月汇总!B:B,B56)</f>
        <v>0</v>
      </c>
      <c r="AC56" s="603">
        <f t="shared" si="7"/>
        <v>0</v>
      </c>
      <c r="AD56" s="604">
        <f>SUMIFS(月汇总!Z:Z,月汇总!B:B,B56)</f>
        <v>785.778</v>
      </c>
      <c r="AE56" s="603">
        <f t="shared" si="8"/>
        <v>0.07</v>
      </c>
      <c r="AF56" s="602">
        <f>SUMIFS(月汇总!AC:AC,月汇总!B:B,B56)</f>
        <v>790.16393442623</v>
      </c>
      <c r="AG56" s="603">
        <f t="shared" si="9"/>
        <v>0.070390715201795</v>
      </c>
      <c r="AH56" s="602">
        <f>SUMIFS(月汇总!V:V,月汇总!B:B,B56)</f>
        <v>397.392459016393</v>
      </c>
      <c r="AI56" s="603">
        <f t="shared" si="10"/>
        <v>0.03540118472539</v>
      </c>
      <c r="AJ56" s="602">
        <f t="shared" si="11"/>
        <v>14616.364871294</v>
      </c>
      <c r="AK56" s="4">
        <f>SUMIFS(月汇总!AA:AA,月汇总!B:B,B56)</f>
        <v>0</v>
      </c>
      <c r="AL56" s="602">
        <f t="shared" si="12"/>
        <v>-3450.96487129404</v>
      </c>
      <c r="AM56" s="603">
        <f t="shared" si="13"/>
        <v>-0.30742466827855</v>
      </c>
      <c r="AN56" s="602">
        <f>SUMIFS(月汇总!AB:AB,月汇总!B:B,B56)</f>
        <v>0</v>
      </c>
      <c r="AO56" s="602">
        <f>SUMIFS(月汇总!W:W,月汇总!B:B,B56)</f>
        <v>2666</v>
      </c>
      <c r="AP56" s="602">
        <f t="shared" si="14"/>
        <v>-6116.96487129404</v>
      </c>
    </row>
    <row r="57" ht="19" customHeight="1" spans="1:42">
      <c r="A57" s="4">
        <v>53</v>
      </c>
      <c r="B57" s="164" t="s">
        <v>204</v>
      </c>
      <c r="C57" s="10" t="s">
        <v>205</v>
      </c>
      <c r="D57" s="42" t="s">
        <v>146</v>
      </c>
      <c r="E57" s="4" t="s">
        <v>48</v>
      </c>
      <c r="F57" s="122" t="s">
        <v>206</v>
      </c>
      <c r="G57" s="4" t="s">
        <v>50</v>
      </c>
      <c r="H57" s="515">
        <f>COUNTIFS(磅单!E:E,B57)</f>
        <v>4</v>
      </c>
      <c r="I57" s="4">
        <f>SUMIFS(磅单!L:L,磅单!E:E,B57)</f>
        <v>169.5</v>
      </c>
      <c r="J57" s="4">
        <f>SUMIFS(磅单!O:O,磅单!E:E,B57)</f>
        <v>13067.94</v>
      </c>
      <c r="K57" s="602">
        <f>SUMIFS(月汇总!Y:Y,月汇总!B:B,B57)</f>
        <v>60</v>
      </c>
      <c r="L57" s="602">
        <f>SUMIFS(月汇总!I:I,月汇总!B:B,B57,月汇总!C:C,F78)</f>
        <v>0</v>
      </c>
      <c r="M57" s="602">
        <f>SUMIFS(月汇总!J:J,月汇总!B:B,B57)</f>
        <v>5560.7085106383</v>
      </c>
      <c r="N57" s="603">
        <f t="shared" si="0"/>
        <v>0.425522960056313</v>
      </c>
      <c r="O57" s="604">
        <f t="shared" si="1"/>
        <v>1390.17712765957</v>
      </c>
      <c r="P57" s="602">
        <f>SUMIFS(月汇总!R:R,月汇总!B:B,B57)+SUMIFS(月汇总!S:S,月汇总!B:B,B57)</f>
        <v>3000</v>
      </c>
      <c r="Q57" s="603">
        <f t="shared" si="2"/>
        <v>0.229569465424543</v>
      </c>
      <c r="R57" s="4">
        <f>SUMIFS(月汇总!Q:Q,月汇总!B:B,B57)</f>
        <v>0</v>
      </c>
      <c r="S57" s="603">
        <f t="shared" si="3"/>
        <v>0</v>
      </c>
      <c r="T57" s="4">
        <f>SUMIFS(月汇总!N:N,月汇总!B:B,B57)</f>
        <v>220.881967213115</v>
      </c>
      <c r="U57" s="603"/>
      <c r="V57" s="602">
        <f>SUMIFS(月汇总!X:X,月汇总!B:B,B57)</f>
        <v>3600</v>
      </c>
      <c r="W57" s="603">
        <f t="shared" si="15"/>
        <v>0.275483358509451</v>
      </c>
      <c r="X57" s="4">
        <f>SUMIFS(月汇总!U:U,月汇总!B:B,B57)</f>
        <v>113</v>
      </c>
      <c r="Y57" s="603">
        <f t="shared" si="5"/>
        <v>0.00864711653099111</v>
      </c>
      <c r="Z57" s="4">
        <f>SUMIFS(月汇总!O:O,月汇总!B:B,B57)</f>
        <v>0</v>
      </c>
      <c r="AA57" s="603">
        <f t="shared" si="6"/>
        <v>0</v>
      </c>
      <c r="AB57" s="4">
        <f>SUMIFS(月汇总!T:T,月汇总!B:B,B57)</f>
        <v>0</v>
      </c>
      <c r="AC57" s="603">
        <f t="shared" si="7"/>
        <v>0</v>
      </c>
      <c r="AD57" s="604">
        <f>SUMIFS(月汇总!Z:Z,月汇总!B:B,B57)</f>
        <v>914.7558</v>
      </c>
      <c r="AE57" s="603">
        <f t="shared" si="8"/>
        <v>0.07</v>
      </c>
      <c r="AF57" s="602">
        <f>SUMIFS(月汇总!AC:AC,月汇总!B:B,B57)</f>
        <v>790.16393442623</v>
      </c>
      <c r="AG57" s="603">
        <f t="shared" si="9"/>
        <v>0.0604658373413277</v>
      </c>
      <c r="AH57" s="602">
        <f>SUMIFS(月汇总!V:V,月汇总!B:B,B57)</f>
        <v>397.392459016393</v>
      </c>
      <c r="AI57" s="603">
        <f t="shared" si="10"/>
        <v>0.0304097247933793</v>
      </c>
      <c r="AJ57" s="602">
        <f t="shared" si="11"/>
        <v>14596.902671294</v>
      </c>
      <c r="AK57" s="4">
        <f>SUMIFS(月汇总!AA:AA,月汇总!B:B,B57)</f>
        <v>0</v>
      </c>
      <c r="AL57" s="602">
        <f t="shared" si="12"/>
        <v>-1588.96267129404</v>
      </c>
      <c r="AM57" s="603">
        <f t="shared" si="13"/>
        <v>-0.121592437009509</v>
      </c>
      <c r="AN57" s="602">
        <f>SUMIFS(月汇总!AB:AB,月汇总!B:B,B57)</f>
        <v>0</v>
      </c>
      <c r="AO57" s="602">
        <f>SUMIFS(月汇总!W:W,月汇总!B:B,B57)</f>
        <v>2666</v>
      </c>
      <c r="AP57" s="602">
        <f t="shared" si="14"/>
        <v>-4254.96267129404</v>
      </c>
    </row>
    <row r="58" ht="19" customHeight="1" spans="1:42">
      <c r="A58" s="4">
        <v>54</v>
      </c>
      <c r="B58" s="164" t="s">
        <v>207</v>
      </c>
      <c r="C58" s="10" t="s">
        <v>208</v>
      </c>
      <c r="D58" s="4" t="s">
        <v>146</v>
      </c>
      <c r="E58" s="4" t="s">
        <v>48</v>
      </c>
      <c r="F58" s="122" t="s">
        <v>209</v>
      </c>
      <c r="G58" s="4" t="s">
        <v>50</v>
      </c>
      <c r="H58" s="515">
        <f>COUNTIFS(磅单!E:E,B58)</f>
        <v>4</v>
      </c>
      <c r="I58" s="4">
        <f>SUMIFS(磅单!L:L,磅单!E:E,B58)</f>
        <v>169.46</v>
      </c>
      <c r="J58" s="4">
        <f>SUMIFS(磅单!O:O,磅单!E:E,B58)</f>
        <v>13020.78</v>
      </c>
      <c r="K58" s="602">
        <f>SUMIFS(月汇总!Y:Y,月汇总!B:B,B58)</f>
        <v>60</v>
      </c>
      <c r="L58" s="602">
        <f>SUMIFS(月汇总!I:I,月汇总!B:B,B58,月汇总!C:C,F79)</f>
        <v>0</v>
      </c>
      <c r="M58" s="602">
        <f>SUMIFS(月汇总!J:J,月汇总!B:B,B58)</f>
        <v>6333.0219106383</v>
      </c>
      <c r="N58" s="603">
        <f t="shared" si="0"/>
        <v>0.486378074941616</v>
      </c>
      <c r="O58" s="604">
        <f t="shared" si="1"/>
        <v>1583.25547765957</v>
      </c>
      <c r="P58" s="602">
        <f>SUMIFS(月汇总!R:R,月汇总!B:B,B58)+SUMIFS(月汇总!S:S,月汇总!B:B,B58)</f>
        <v>3000</v>
      </c>
      <c r="Q58" s="603">
        <f t="shared" si="2"/>
        <v>0.230400943722265</v>
      </c>
      <c r="R58" s="4">
        <f>SUMIFS(月汇总!Q:Q,月汇总!B:B,B58)</f>
        <v>70</v>
      </c>
      <c r="S58" s="603">
        <f t="shared" si="3"/>
        <v>0.00537602202018619</v>
      </c>
      <c r="T58" s="4">
        <f>SUMIFS(月汇总!N:N,月汇总!B:B,B58)</f>
        <v>220.881967213115</v>
      </c>
      <c r="U58" s="603"/>
      <c r="V58" s="602">
        <f>SUMIFS(月汇总!X:X,月汇总!B:B,B58)</f>
        <v>3600</v>
      </c>
      <c r="W58" s="603">
        <f t="shared" si="15"/>
        <v>0.276481132466719</v>
      </c>
      <c r="X58" s="4">
        <f>SUMIFS(月汇总!U:U,月汇总!B:B,B58)</f>
        <v>122</v>
      </c>
      <c r="Y58" s="603">
        <f t="shared" si="5"/>
        <v>0.0093696383780388</v>
      </c>
      <c r="Z58" s="4">
        <f>SUMIFS(月汇总!O:O,月汇总!B:B,B58)</f>
        <v>0</v>
      </c>
      <c r="AA58" s="603">
        <f t="shared" si="6"/>
        <v>0</v>
      </c>
      <c r="AB58" s="4">
        <f>SUMIFS(月汇总!T:T,月汇总!B:B,B58)</f>
        <v>0</v>
      </c>
      <c r="AC58" s="603">
        <f t="shared" si="7"/>
        <v>0</v>
      </c>
      <c r="AD58" s="604">
        <f>SUMIFS(月汇总!Z:Z,月汇总!B:B,B58)</f>
        <v>911.4546</v>
      </c>
      <c r="AE58" s="603">
        <f t="shared" si="8"/>
        <v>0.07</v>
      </c>
      <c r="AF58" s="602">
        <f>SUMIFS(月汇总!AC:AC,月汇总!B:B,B58)</f>
        <v>790.16393442623</v>
      </c>
      <c r="AG58" s="603">
        <f t="shared" si="9"/>
        <v>0.0606848387290339</v>
      </c>
      <c r="AH58" s="602">
        <f>SUMIFS(月汇总!V:V,月汇总!B:B,B58)</f>
        <v>397.392459016393</v>
      </c>
      <c r="AI58" s="603">
        <f t="shared" si="10"/>
        <v>0.0305198658618296</v>
      </c>
      <c r="AJ58" s="602">
        <f t="shared" si="11"/>
        <v>15444.914871294</v>
      </c>
      <c r="AK58" s="4">
        <f>SUMIFS(月汇总!AA:AA,月汇总!B:B,B58)</f>
        <v>0</v>
      </c>
      <c r="AL58" s="602">
        <f t="shared" si="12"/>
        <v>-2484.13487129404</v>
      </c>
      <c r="AM58" s="603">
        <f t="shared" si="13"/>
        <v>-0.190782339559845</v>
      </c>
      <c r="AN58" s="602">
        <f>SUMIFS(月汇总!AB:AB,月汇总!B:B,B58)</f>
        <v>0</v>
      </c>
      <c r="AO58" s="602">
        <f>SUMIFS(月汇总!W:W,月汇总!B:B,B58)</f>
        <v>2666</v>
      </c>
      <c r="AP58" s="602">
        <f t="shared" si="14"/>
        <v>-5150.13487129404</v>
      </c>
    </row>
    <row r="59" ht="19" customHeight="1" spans="1:42">
      <c r="A59" s="4">
        <v>55</v>
      </c>
      <c r="B59" s="189" t="s">
        <v>210</v>
      </c>
      <c r="C59" s="10" t="s">
        <v>211</v>
      </c>
      <c r="D59" s="4" t="s">
        <v>146</v>
      </c>
      <c r="E59" s="4" t="s">
        <v>48</v>
      </c>
      <c r="F59" s="122" t="s">
        <v>212</v>
      </c>
      <c r="G59" s="4" t="s">
        <v>50</v>
      </c>
      <c r="H59" s="515">
        <f>COUNTIFS(磅单!E:E,B59)</f>
        <v>3</v>
      </c>
      <c r="I59" s="4">
        <f>SUMIFS(磅单!L:L,磅单!E:E,B59)</f>
        <v>132.56</v>
      </c>
      <c r="J59" s="4">
        <f>SUMIFS(磅单!O:O,磅单!E:E,B59)</f>
        <v>9437.6</v>
      </c>
      <c r="K59" s="602">
        <f>SUMIFS(月汇总!Y:Y,月汇总!B:B,B59)</f>
        <v>45</v>
      </c>
      <c r="L59" s="602">
        <f>SUMIFS(月汇总!I:I,月汇总!B:B,B59,月汇总!C:C,F80)</f>
        <v>0</v>
      </c>
      <c r="M59" s="602">
        <f>SUMIFS(月汇总!J:J,月汇总!B:B,B59)</f>
        <v>5155.1585106383</v>
      </c>
      <c r="N59" s="603">
        <f t="shared" si="0"/>
        <v>0.546236173459174</v>
      </c>
      <c r="O59" s="604">
        <f t="shared" si="1"/>
        <v>1718.38617021277</v>
      </c>
      <c r="P59" s="602">
        <f>SUMIFS(月汇总!R:R,月汇总!B:B,B59)+SUMIFS(月汇总!S:S,月汇总!B:B,B59)</f>
        <v>2000</v>
      </c>
      <c r="Q59" s="603">
        <f t="shared" si="2"/>
        <v>0.21191828430957</v>
      </c>
      <c r="R59" s="4">
        <f>SUMIFS(月汇总!Q:Q,月汇总!B:B,B59)</f>
        <v>0</v>
      </c>
      <c r="S59" s="603">
        <f t="shared" si="3"/>
        <v>0</v>
      </c>
      <c r="T59" s="4">
        <f>SUMIFS(月汇总!N:N,月汇总!B:B,B59)</f>
        <v>220.881967213115</v>
      </c>
      <c r="U59" s="603"/>
      <c r="V59" s="602">
        <f>SUMIFS(月汇总!X:X,月汇总!B:B,B59)</f>
        <v>3600</v>
      </c>
      <c r="W59" s="603">
        <f t="shared" si="15"/>
        <v>0.381452911757226</v>
      </c>
      <c r="X59" s="4">
        <f>SUMIFS(月汇总!U:U,月汇总!B:B,B59)</f>
        <v>52</v>
      </c>
      <c r="Y59" s="603">
        <f t="shared" si="5"/>
        <v>0.00550987539204883</v>
      </c>
      <c r="Z59" s="4">
        <f>SUMIFS(月汇总!O:O,月汇总!B:B,B59)</f>
        <v>0</v>
      </c>
      <c r="AA59" s="603">
        <f t="shared" si="6"/>
        <v>0</v>
      </c>
      <c r="AB59" s="4">
        <f>SUMIFS(月汇总!T:T,月汇总!B:B,B59)</f>
        <v>0</v>
      </c>
      <c r="AC59" s="603">
        <f t="shared" si="7"/>
        <v>0</v>
      </c>
      <c r="AD59" s="604">
        <f>SUMIFS(月汇总!Z:Z,月汇总!B:B,B59)</f>
        <v>660.632</v>
      </c>
      <c r="AE59" s="603">
        <f t="shared" si="8"/>
        <v>0.07</v>
      </c>
      <c r="AF59" s="602">
        <f>SUMIFS(月汇总!AC:AC,月汇总!B:B,B59)</f>
        <v>790.16393442623</v>
      </c>
      <c r="AG59" s="603">
        <f t="shared" si="9"/>
        <v>0.0837250926534532</v>
      </c>
      <c r="AH59" s="602">
        <f>SUMIFS(月汇总!V:V,月汇总!B:B,B59)</f>
        <v>397.392459016393</v>
      </c>
      <c r="AI59" s="603">
        <f t="shared" si="10"/>
        <v>0.0421073640561576</v>
      </c>
      <c r="AJ59" s="602">
        <f t="shared" si="11"/>
        <v>12876.228871294</v>
      </c>
      <c r="AK59" s="4">
        <f>SUMIFS(月汇总!AA:AA,月汇总!B:B,B59)</f>
        <v>0</v>
      </c>
      <c r="AL59" s="602">
        <f t="shared" si="12"/>
        <v>-3483.62887129403</v>
      </c>
      <c r="AM59" s="603">
        <f t="shared" si="13"/>
        <v>-0.369122326787958</v>
      </c>
      <c r="AN59" s="602">
        <f>SUMIFS(月汇总!AB:AB,月汇总!B:B,B59)</f>
        <v>0</v>
      </c>
      <c r="AO59" s="602">
        <f>SUMIFS(月汇总!W:W,月汇总!B:B,B59)</f>
        <v>2666</v>
      </c>
      <c r="AP59" s="602">
        <f t="shared" si="14"/>
        <v>-6149.62887129403</v>
      </c>
    </row>
    <row r="60" ht="19" customHeight="1" spans="1:42">
      <c r="A60" s="4">
        <v>56</v>
      </c>
      <c r="B60" s="189" t="s">
        <v>213</v>
      </c>
      <c r="C60" s="10" t="s">
        <v>214</v>
      </c>
      <c r="D60" s="4" t="s">
        <v>146</v>
      </c>
      <c r="E60" s="4" t="s">
        <v>48</v>
      </c>
      <c r="F60" s="122" t="s">
        <v>215</v>
      </c>
      <c r="G60" s="4" t="s">
        <v>50</v>
      </c>
      <c r="H60" s="515">
        <f>COUNTIFS(磅单!E:E,B60)</f>
        <v>5</v>
      </c>
      <c r="I60" s="4">
        <f>SUMIFS(磅单!L:L,磅单!E:E,B60)</f>
        <v>217.46</v>
      </c>
      <c r="J60" s="4">
        <f>SUMIFS(磅单!O:O,磅单!E:E,B60)</f>
        <v>14219.62</v>
      </c>
      <c r="K60" s="602">
        <f>SUMIFS(月汇总!Y:Y,月汇总!B:B,B60)</f>
        <v>75</v>
      </c>
      <c r="L60" s="602">
        <f>SUMIFS(月汇总!I:I,月汇总!B:B,B60,月汇总!C:C,F81)</f>
        <v>0</v>
      </c>
      <c r="M60" s="602">
        <f>SUMIFS(月汇总!J:J,月汇总!B:B,B60)</f>
        <v>4658.5885106383</v>
      </c>
      <c r="N60" s="603">
        <f t="shared" si="0"/>
        <v>0.327616948317768</v>
      </c>
      <c r="O60" s="604">
        <f t="shared" si="1"/>
        <v>931.71770212766</v>
      </c>
      <c r="P60" s="602">
        <f>SUMIFS(月汇总!R:R,月汇总!B:B,B60)+SUMIFS(月汇总!S:S,月汇总!B:B,B60)</f>
        <v>3200</v>
      </c>
      <c r="Q60" s="603">
        <f t="shared" si="2"/>
        <v>0.22504117550258</v>
      </c>
      <c r="R60" s="4">
        <f>SUMIFS(月汇总!Q:Q,月汇总!B:B,B60)</f>
        <v>15</v>
      </c>
      <c r="S60" s="603">
        <f t="shared" si="3"/>
        <v>0.00105488051016834</v>
      </c>
      <c r="T60" s="4">
        <f>SUMIFS(月汇总!N:N,月汇总!B:B,B60)</f>
        <v>220.881967213115</v>
      </c>
      <c r="U60" s="603"/>
      <c r="V60" s="602">
        <f>SUMIFS(月汇总!X:X,月汇总!B:B,B60)</f>
        <v>3600</v>
      </c>
      <c r="W60" s="603">
        <f t="shared" si="15"/>
        <v>0.253171322440403</v>
      </c>
      <c r="X60" s="4">
        <f>SUMIFS(月汇总!U:U,月汇总!B:B,B60)</f>
        <v>111</v>
      </c>
      <c r="Y60" s="603">
        <f t="shared" si="5"/>
        <v>0.00780611577524575</v>
      </c>
      <c r="Z60" s="4">
        <f>SUMIFS(月汇总!O:O,月汇总!B:B,B60)</f>
        <v>0</v>
      </c>
      <c r="AA60" s="603">
        <f t="shared" si="6"/>
        <v>0</v>
      </c>
      <c r="AB60" s="4">
        <f>SUMIFS(月汇总!T:T,月汇总!B:B,B60)</f>
        <v>0</v>
      </c>
      <c r="AC60" s="603">
        <f t="shared" si="7"/>
        <v>0</v>
      </c>
      <c r="AD60" s="604">
        <f>SUMIFS(月汇总!Z:Z,月汇总!B:B,B60)</f>
        <v>995.3734</v>
      </c>
      <c r="AE60" s="603">
        <f t="shared" si="8"/>
        <v>0.07</v>
      </c>
      <c r="AF60" s="602">
        <f>SUMIFS(月汇总!AC:AC,月汇总!B:B,B60)</f>
        <v>790.16393442623</v>
      </c>
      <c r="AG60" s="603">
        <f t="shared" si="9"/>
        <v>0.0555685689509445</v>
      </c>
      <c r="AH60" s="602">
        <f>SUMIFS(月汇总!V:V,月汇总!B:B,B60)</f>
        <v>397.392459016393</v>
      </c>
      <c r="AI60" s="603">
        <f t="shared" si="10"/>
        <v>0.0279467706602844</v>
      </c>
      <c r="AJ60" s="602">
        <f t="shared" si="11"/>
        <v>13988.400271294</v>
      </c>
      <c r="AK60" s="4">
        <f>SUMIFS(月汇总!AA:AA,月汇总!B:B,B60)</f>
        <v>0</v>
      </c>
      <c r="AL60" s="602">
        <f t="shared" si="12"/>
        <v>156.219728705964</v>
      </c>
      <c r="AM60" s="603">
        <f t="shared" si="13"/>
        <v>0.0109862098077139</v>
      </c>
      <c r="AN60" s="602">
        <f>SUMIFS(月汇总!AB:AB,月汇总!B:B,B60)</f>
        <v>0</v>
      </c>
      <c r="AO60" s="602">
        <f>SUMIFS(月汇总!W:W,月汇总!B:B,B60)</f>
        <v>2666</v>
      </c>
      <c r="AP60" s="602">
        <f t="shared" si="14"/>
        <v>-2509.78027129404</v>
      </c>
    </row>
    <row r="61" ht="19" customHeight="1" spans="1:42">
      <c r="A61" s="4">
        <v>57</v>
      </c>
      <c r="B61" s="503" t="s">
        <v>216</v>
      </c>
      <c r="C61" s="10" t="s">
        <v>217</v>
      </c>
      <c r="D61" s="4" t="s">
        <v>146</v>
      </c>
      <c r="E61" s="4" t="s">
        <v>48</v>
      </c>
      <c r="F61" s="122" t="s">
        <v>218</v>
      </c>
      <c r="G61" s="4" t="s">
        <v>50</v>
      </c>
      <c r="H61" s="515">
        <f>COUNTIFS(磅单!E:E,B61)</f>
        <v>5</v>
      </c>
      <c r="I61" s="4">
        <f>SUMIFS(磅单!L:L,磅单!E:E,B61)</f>
        <v>213.55</v>
      </c>
      <c r="J61" s="4">
        <f>SUMIFS(磅单!O:O,磅单!E:E,B61)</f>
        <v>14014.69</v>
      </c>
      <c r="K61" s="602">
        <f>SUMIFS(月汇总!Y:Y,月汇总!B:B,B61)</f>
        <v>75</v>
      </c>
      <c r="L61" s="602">
        <f>SUMIFS(月汇总!I:I,月汇总!B:B,B61,月汇总!C:C,F82)</f>
        <v>0</v>
      </c>
      <c r="M61" s="602">
        <f>SUMIFS(月汇总!J:J,月汇总!B:B,B61)</f>
        <v>4891.6085106383</v>
      </c>
      <c r="N61" s="603">
        <f t="shared" si="0"/>
        <v>0.349034371123321</v>
      </c>
      <c r="O61" s="604">
        <f t="shared" si="1"/>
        <v>978.32170212766</v>
      </c>
      <c r="P61" s="602">
        <f>SUMIFS(月汇总!R:R,月汇总!B:B,B61)+SUMIFS(月汇总!S:S,月汇总!B:B,B61)</f>
        <v>3200</v>
      </c>
      <c r="Q61" s="603">
        <f t="shared" si="2"/>
        <v>0.228331843230211</v>
      </c>
      <c r="R61" s="4">
        <f>SUMIFS(月汇总!Q:Q,月汇总!B:B,B61)</f>
        <v>10</v>
      </c>
      <c r="S61" s="603">
        <f t="shared" si="3"/>
        <v>0.000713537010094408</v>
      </c>
      <c r="T61" s="4">
        <f>SUMIFS(月汇总!N:N,月汇总!B:B,B61)</f>
        <v>220.881967213115</v>
      </c>
      <c r="U61" s="603"/>
      <c r="V61" s="602">
        <f>SUMIFS(月汇总!X:X,月汇总!B:B,B61)</f>
        <v>3600</v>
      </c>
      <c r="W61" s="603">
        <f t="shared" si="15"/>
        <v>0.256873323633987</v>
      </c>
      <c r="X61" s="4">
        <f>SUMIFS(月汇总!U:U,月汇总!B:B,B61)</f>
        <v>141</v>
      </c>
      <c r="Y61" s="603">
        <f t="shared" si="5"/>
        <v>0.0100608718423312</v>
      </c>
      <c r="Z61" s="4">
        <f>SUMIFS(月汇总!O:O,月汇总!B:B,B61)</f>
        <v>0</v>
      </c>
      <c r="AA61" s="603">
        <f t="shared" si="6"/>
        <v>0</v>
      </c>
      <c r="AB61" s="4">
        <f>SUMIFS(月汇总!T:T,月汇总!B:B,B61)</f>
        <v>0</v>
      </c>
      <c r="AC61" s="603">
        <f t="shared" si="7"/>
        <v>0</v>
      </c>
      <c r="AD61" s="604">
        <f>SUMIFS(月汇总!Z:Z,月汇总!B:B,B61)</f>
        <v>981.0283</v>
      </c>
      <c r="AE61" s="603">
        <f t="shared" si="8"/>
        <v>0.07</v>
      </c>
      <c r="AF61" s="602">
        <f>SUMIFS(月汇总!AC:AC,月汇总!B:B,B61)</f>
        <v>790.16393442623</v>
      </c>
      <c r="AG61" s="603">
        <f t="shared" si="9"/>
        <v>0.0563811211254926</v>
      </c>
      <c r="AH61" s="602">
        <f>SUMIFS(月汇总!V:V,月汇总!B:B,B61)</f>
        <v>397.392459016393</v>
      </c>
      <c r="AI61" s="603">
        <f t="shared" si="10"/>
        <v>0.0283554227040622</v>
      </c>
      <c r="AJ61" s="602">
        <f t="shared" si="11"/>
        <v>14232.075171294</v>
      </c>
      <c r="AK61" s="4">
        <f>SUMIFS(月汇总!AA:AA,月汇总!B:B,B61)</f>
        <v>0</v>
      </c>
      <c r="AL61" s="602">
        <f t="shared" si="12"/>
        <v>-292.385171294038</v>
      </c>
      <c r="AM61" s="603">
        <f t="shared" si="13"/>
        <v>-0.0208627640921089</v>
      </c>
      <c r="AN61" s="602">
        <f>SUMIFS(月汇总!AB:AB,月汇总!B:B,B61)</f>
        <v>0</v>
      </c>
      <c r="AO61" s="602">
        <f>SUMIFS(月汇总!W:W,月汇总!B:B,B61)</f>
        <v>2666</v>
      </c>
      <c r="AP61" s="602">
        <f t="shared" si="14"/>
        <v>-2958.38517129404</v>
      </c>
    </row>
    <row r="62" ht="19" customHeight="1" spans="1:42">
      <c r="A62" s="4">
        <v>58</v>
      </c>
      <c r="B62" s="503" t="s">
        <v>219</v>
      </c>
      <c r="C62" s="10"/>
      <c r="D62" s="4"/>
      <c r="E62" s="4" t="s">
        <v>48</v>
      </c>
      <c r="F62" s="504" t="s">
        <v>220</v>
      </c>
      <c r="G62" s="4" t="s">
        <v>50</v>
      </c>
      <c r="H62" s="515">
        <f>COUNTIFS(磅单!E:E,B62)</f>
        <v>1</v>
      </c>
      <c r="I62" s="4">
        <f>SUMIFS(磅单!L:L,磅单!E:E,B62)</f>
        <v>44.38</v>
      </c>
      <c r="J62" s="4">
        <f>SUMIFS(磅单!O:O,磅单!E:E,B62)</f>
        <v>2973.46</v>
      </c>
      <c r="K62" s="602">
        <f>SUMIFS(月汇总!Y:Y,月汇总!B:B,B62)</f>
        <v>15</v>
      </c>
      <c r="L62" s="602">
        <f>SUMIFS(月汇总!I:I,月汇总!B:B,B62,月汇总!C:C,F83)</f>
        <v>0</v>
      </c>
      <c r="M62" s="602">
        <f>SUMIFS(月汇总!J:J,月汇总!B:B,B62)</f>
        <v>1830.1877106383</v>
      </c>
      <c r="N62" s="603">
        <f t="shared" si="0"/>
        <v>0.615507762215835</v>
      </c>
      <c r="O62" s="604">
        <f t="shared" si="1"/>
        <v>1830.1877106383</v>
      </c>
      <c r="P62" s="602">
        <f>SUMIFS(月汇总!R:R,月汇总!B:B,B62)+SUMIFS(月汇总!S:S,月汇总!B:B,B62)</f>
        <v>600</v>
      </c>
      <c r="Q62" s="603">
        <f t="shared" si="2"/>
        <v>0.201785125745764</v>
      </c>
      <c r="R62" s="4">
        <f>SUMIFS(月汇总!Q:Q,月汇总!B:B,B62)</f>
        <v>0</v>
      </c>
      <c r="S62" s="603">
        <f t="shared" si="3"/>
        <v>0</v>
      </c>
      <c r="T62" s="4">
        <f>SUMIFS(月汇总!N:N,月汇总!B:B,B62)</f>
        <v>220.881967213115</v>
      </c>
      <c r="U62" s="603"/>
      <c r="V62" s="602">
        <f>SUMIFS(月汇总!X:X,月汇总!B:B,B62)</f>
        <v>3600</v>
      </c>
      <c r="W62" s="603">
        <f t="shared" si="15"/>
        <v>1.21071075447459</v>
      </c>
      <c r="X62" s="4">
        <f>SUMIFS(月汇总!U:U,月汇总!B:B,B62)</f>
        <v>15</v>
      </c>
      <c r="Y62" s="603">
        <f t="shared" si="5"/>
        <v>0.00504462814364411</v>
      </c>
      <c r="Z62" s="4">
        <f>SUMIFS(月汇总!O:O,月汇总!B:B,B62)</f>
        <v>0</v>
      </c>
      <c r="AA62" s="603">
        <f t="shared" si="6"/>
        <v>0</v>
      </c>
      <c r="AB62" s="4">
        <f>SUMIFS(月汇总!T:T,月汇总!B:B,B62)</f>
        <v>0</v>
      </c>
      <c r="AC62" s="603">
        <f t="shared" si="7"/>
        <v>0</v>
      </c>
      <c r="AD62" s="604">
        <f>SUMIFS(月汇总!Z:Z,月汇总!B:B,B62)</f>
        <v>208.1422</v>
      </c>
      <c r="AE62" s="603">
        <f t="shared" si="8"/>
        <v>0.07</v>
      </c>
      <c r="AF62" s="602">
        <f>SUMIFS(月汇总!AC:AC,月汇总!B:B,B62)</f>
        <v>790.16393442623</v>
      </c>
      <c r="AG62" s="603">
        <f t="shared" si="9"/>
        <v>0.265738881446608</v>
      </c>
      <c r="AH62" s="602">
        <f>SUMIFS(月汇总!V:V,月汇总!B:B,B62)</f>
        <v>397.392459016393</v>
      </c>
      <c r="AI62" s="603">
        <f t="shared" si="10"/>
        <v>0.133646478855069</v>
      </c>
      <c r="AJ62" s="602">
        <f t="shared" si="11"/>
        <v>7661.76827129404</v>
      </c>
      <c r="AK62" s="4">
        <f>SUMIFS(月汇总!AA:AA,月汇总!B:B,B62)</f>
        <v>0</v>
      </c>
      <c r="AL62" s="602">
        <f t="shared" si="12"/>
        <v>-4703.30827129404</v>
      </c>
      <c r="AM62" s="603">
        <f t="shared" si="13"/>
        <v>-1.5817627515736</v>
      </c>
      <c r="AN62" s="602">
        <f>SUMIFS(月汇总!AB:AB,月汇总!B:B,B62)</f>
        <v>0</v>
      </c>
      <c r="AO62" s="602">
        <f>SUMIFS(月汇总!W:W,月汇总!B:B,B62)</f>
        <v>2666</v>
      </c>
      <c r="AP62" s="602">
        <f t="shared" si="14"/>
        <v>-7369.30827129404</v>
      </c>
    </row>
    <row r="63" ht="19" customHeight="1" spans="1:42">
      <c r="A63" s="4">
        <v>59</v>
      </c>
      <c r="B63" s="503" t="s">
        <v>221</v>
      </c>
      <c r="C63" s="10"/>
      <c r="D63" s="4"/>
      <c r="E63" s="4" t="s">
        <v>48</v>
      </c>
      <c r="F63" s="504" t="s">
        <v>222</v>
      </c>
      <c r="G63" s="4" t="s">
        <v>50</v>
      </c>
      <c r="H63" s="515">
        <f>COUNTIFS(磅单!E:E,B63)</f>
        <v>4</v>
      </c>
      <c r="I63" s="4">
        <f>SUMIFS(磅单!L:L,磅单!E:E,B63)</f>
        <v>168.56</v>
      </c>
      <c r="J63" s="4">
        <f>SUMIFS(磅单!O:O,磅单!E:E,B63)</f>
        <v>12051.06</v>
      </c>
      <c r="K63" s="602">
        <f>SUMIFS(月汇总!Y:Y,月汇总!B:B,B63)</f>
        <v>60</v>
      </c>
      <c r="L63" s="602">
        <f>SUMIFS(月汇总!I:I,月汇总!B:B,B63,月汇总!C:C,F84)</f>
        <v>0</v>
      </c>
      <c r="M63" s="602">
        <f>SUMIFS(月汇总!J:J,月汇总!B:B,B63)</f>
        <v>5765.5309106383</v>
      </c>
      <c r="N63" s="603">
        <f t="shared" si="0"/>
        <v>0.478425209951514</v>
      </c>
      <c r="O63" s="604">
        <f t="shared" si="1"/>
        <v>1441.38272765957</v>
      </c>
      <c r="P63" s="602">
        <f>SUMIFS(月汇总!R:R,月汇总!B:B,B63)+SUMIFS(月汇总!S:S,月汇总!B:B,B63)</f>
        <v>2800</v>
      </c>
      <c r="Q63" s="603">
        <f t="shared" si="2"/>
        <v>0.232344706606722</v>
      </c>
      <c r="R63" s="4">
        <f>SUMIFS(月汇总!Q:Q,月汇总!B:B,B63)</f>
        <v>60</v>
      </c>
      <c r="S63" s="603">
        <f t="shared" si="3"/>
        <v>0.00497881514157261</v>
      </c>
      <c r="T63" s="4">
        <f>SUMIFS(月汇总!N:N,月汇总!B:B,B63)</f>
        <v>220.881967213115</v>
      </c>
      <c r="U63" s="603"/>
      <c r="V63" s="602">
        <f>SUMIFS(月汇总!X:X,月汇总!B:B,B63)</f>
        <v>3600</v>
      </c>
      <c r="W63" s="603">
        <f t="shared" si="15"/>
        <v>0.298728908494357</v>
      </c>
      <c r="X63" s="4">
        <f>SUMIFS(月汇总!U:U,月汇总!B:B,B63)</f>
        <v>105.5</v>
      </c>
      <c r="Y63" s="603">
        <f t="shared" si="5"/>
        <v>0.00875441662393184</v>
      </c>
      <c r="Z63" s="4">
        <f>SUMIFS(月汇总!O:O,月汇总!B:B,B63)</f>
        <v>950</v>
      </c>
      <c r="AA63" s="603">
        <f t="shared" si="6"/>
        <v>0.0788312397415663</v>
      </c>
      <c r="AB63" s="4">
        <f>SUMIFS(月汇总!T:T,月汇总!B:B,B63)</f>
        <v>0</v>
      </c>
      <c r="AC63" s="603">
        <f t="shared" si="7"/>
        <v>0</v>
      </c>
      <c r="AD63" s="604">
        <f>SUMIFS(月汇总!Z:Z,月汇总!B:B,B63)</f>
        <v>843.5742</v>
      </c>
      <c r="AE63" s="603">
        <f t="shared" si="8"/>
        <v>0.07</v>
      </c>
      <c r="AF63" s="602">
        <f>SUMIFS(月汇总!AC:AC,月汇总!B:B,B63)</f>
        <v>790.16393442623</v>
      </c>
      <c r="AG63" s="603">
        <f t="shared" si="9"/>
        <v>0.0655680026840983</v>
      </c>
      <c r="AH63" s="602">
        <f>SUMIFS(月汇总!V:V,月汇总!B:B,B63)</f>
        <v>397.392459016393</v>
      </c>
      <c r="AI63" s="603">
        <f t="shared" si="10"/>
        <v>0.0329757265349599</v>
      </c>
      <c r="AJ63" s="602">
        <f t="shared" si="11"/>
        <v>15533.043471294</v>
      </c>
      <c r="AK63" s="4">
        <f>SUMIFS(月汇总!AA:AA,月汇总!B:B,B63)</f>
        <v>0</v>
      </c>
      <c r="AL63" s="602">
        <f t="shared" si="12"/>
        <v>-3541.98347129404</v>
      </c>
      <c r="AM63" s="603">
        <f t="shared" si="13"/>
        <v>-0.293914682301311</v>
      </c>
      <c r="AN63" s="602">
        <f>SUMIFS(月汇总!AB:AB,月汇总!B:B,B63)</f>
        <v>0</v>
      </c>
      <c r="AO63" s="602">
        <f>SUMIFS(月汇总!W:W,月汇总!B:B,B63)</f>
        <v>2666</v>
      </c>
      <c r="AP63" s="602">
        <f t="shared" si="14"/>
        <v>-6207.98347129404</v>
      </c>
    </row>
    <row r="64" ht="19" customHeight="1" spans="1:42">
      <c r="A64" s="4">
        <v>60</v>
      </c>
      <c r="B64" s="503" t="s">
        <v>223</v>
      </c>
      <c r="C64" s="10"/>
      <c r="D64" s="4"/>
      <c r="E64" s="4" t="s">
        <v>48</v>
      </c>
      <c r="F64" s="504" t="s">
        <v>224</v>
      </c>
      <c r="G64" s="4" t="s">
        <v>50</v>
      </c>
      <c r="H64" s="515">
        <f>COUNTIFS(磅单!E:E,B64)</f>
        <v>3</v>
      </c>
      <c r="I64" s="4">
        <f>SUMIFS(磅单!L:L,磅单!E:E,B64)</f>
        <v>124.5</v>
      </c>
      <c r="J64" s="4">
        <f>SUMIFS(磅单!O:O,磅单!E:E,B64)</f>
        <v>9134.22</v>
      </c>
      <c r="K64" s="602">
        <f>SUMIFS(月汇总!Y:Y,月汇总!B:B,B64)</f>
        <v>45</v>
      </c>
      <c r="L64" s="602">
        <f>SUMIFS(月汇总!I:I,月汇总!B:B,B64,月汇总!C:C,F85)</f>
        <v>0</v>
      </c>
      <c r="M64" s="602">
        <f>SUMIFS(月汇总!J:J,月汇总!B:B,B64)</f>
        <v>5409.4885106383</v>
      </c>
      <c r="N64" s="603">
        <f t="shared" si="0"/>
        <v>0.592222270827536</v>
      </c>
      <c r="O64" s="604">
        <f t="shared" si="1"/>
        <v>1803.16283687943</v>
      </c>
      <c r="P64" s="602">
        <f>SUMIFS(月汇总!R:R,月汇总!B:B,B64)+SUMIFS(月汇总!S:S,月汇总!B:B,B64)</f>
        <v>2200</v>
      </c>
      <c r="Q64" s="603">
        <f t="shared" si="2"/>
        <v>0.240852530374788</v>
      </c>
      <c r="R64" s="4">
        <f>SUMIFS(月汇总!Q:Q,月汇总!B:B,B64)</f>
        <v>150</v>
      </c>
      <c r="S64" s="603">
        <f t="shared" si="3"/>
        <v>0.0164217634346447</v>
      </c>
      <c r="T64" s="4">
        <f>SUMIFS(月汇总!N:N,月汇总!B:B,B64)</f>
        <v>220.881967213115</v>
      </c>
      <c r="U64" s="603"/>
      <c r="V64" s="602">
        <f>SUMIFS(月汇总!X:X,月汇总!B:B,B64)</f>
        <v>3600</v>
      </c>
      <c r="W64" s="603">
        <f t="shared" si="15"/>
        <v>0.394122322431472</v>
      </c>
      <c r="X64" s="4">
        <f>SUMIFS(月汇总!U:U,月汇总!B:B,B64)</f>
        <v>90.5</v>
      </c>
      <c r="Y64" s="603">
        <f t="shared" si="5"/>
        <v>0.00990779727223562</v>
      </c>
      <c r="Z64" s="4">
        <f>SUMIFS(月汇总!O:O,月汇总!B:B,B64)</f>
        <v>0</v>
      </c>
      <c r="AA64" s="603">
        <f t="shared" si="6"/>
        <v>0</v>
      </c>
      <c r="AB64" s="4">
        <f>SUMIFS(月汇总!T:T,月汇总!B:B,B64)</f>
        <v>0</v>
      </c>
      <c r="AC64" s="603">
        <f t="shared" si="7"/>
        <v>0</v>
      </c>
      <c r="AD64" s="604">
        <f>SUMIFS(月汇总!Z:Z,月汇总!B:B,B64)</f>
        <v>639.3954</v>
      </c>
      <c r="AE64" s="603">
        <f t="shared" si="8"/>
        <v>0.07</v>
      </c>
      <c r="AF64" s="602">
        <f>SUMIFS(月汇总!AC:AC,月汇总!B:B,B64)</f>
        <v>790.16393442623</v>
      </c>
      <c r="AG64" s="603">
        <f t="shared" si="9"/>
        <v>0.0865059013715709</v>
      </c>
      <c r="AH64" s="602">
        <f>SUMIFS(月汇总!V:V,月汇总!B:B,B64)</f>
        <v>397.392459016393</v>
      </c>
      <c r="AI64" s="603">
        <f t="shared" si="10"/>
        <v>0.0435058996845263</v>
      </c>
      <c r="AJ64" s="602">
        <f t="shared" si="11"/>
        <v>13497.822271294</v>
      </c>
      <c r="AK64" s="4">
        <f>SUMIFS(月汇总!AA:AA,月汇总!B:B,B64)</f>
        <v>0</v>
      </c>
      <c r="AL64" s="602">
        <f t="shared" si="12"/>
        <v>-4408.60227129404</v>
      </c>
      <c r="AM64" s="603">
        <f t="shared" si="13"/>
        <v>-0.482646823844186</v>
      </c>
      <c r="AN64" s="602">
        <f>SUMIFS(月汇总!AB:AB,月汇总!B:B,B64)</f>
        <v>0</v>
      </c>
      <c r="AO64" s="602">
        <f>SUMIFS(月汇总!W:W,月汇总!B:B,B64)</f>
        <v>2666</v>
      </c>
      <c r="AP64" s="602">
        <f t="shared" si="14"/>
        <v>-7074.60227129404</v>
      </c>
    </row>
    <row r="65" ht="19" customHeight="1" spans="1:42">
      <c r="A65" s="4">
        <v>61</v>
      </c>
      <c r="B65" s="503" t="s">
        <v>225</v>
      </c>
      <c r="C65" s="10"/>
      <c r="D65" s="4"/>
      <c r="E65" s="4" t="s">
        <v>48</v>
      </c>
      <c r="F65" s="504"/>
      <c r="G65" s="4" t="s">
        <v>50</v>
      </c>
      <c r="H65" s="515">
        <f>COUNTIFS(磅单!E:E,B65)</f>
        <v>0</v>
      </c>
      <c r="I65" s="4">
        <f>SUMIFS(磅单!L:L,磅单!E:E,B65)</f>
        <v>0</v>
      </c>
      <c r="J65" s="4">
        <f>SUMIFS(磅单!O:O,磅单!E:E,B65)</f>
        <v>0</v>
      </c>
      <c r="K65" s="602">
        <f>SUMIFS(月汇总!Y:Y,月汇总!B:B,B65)</f>
        <v>0</v>
      </c>
      <c r="L65" s="602">
        <f>SUMIFS(月汇总!I:I,月汇总!B:B,B65,月汇总!C:C,F86)</f>
        <v>0</v>
      </c>
      <c r="M65" s="602">
        <f>SUMIFS(月汇总!J:J,月汇总!B:B,B65)</f>
        <v>800.298510638298</v>
      </c>
      <c r="N65" s="603" t="e">
        <f t="shared" si="0"/>
        <v>#DIV/0!</v>
      </c>
      <c r="O65" s="604" t="e">
        <f t="shared" si="1"/>
        <v>#DIV/0!</v>
      </c>
      <c r="P65" s="602">
        <f>SUMIFS(月汇总!R:R,月汇总!B:B,B65)+SUMIFS(月汇总!S:S,月汇总!B:B,B65)</f>
        <v>0</v>
      </c>
      <c r="Q65" s="603" t="e">
        <f t="shared" si="2"/>
        <v>#DIV/0!</v>
      </c>
      <c r="R65" s="4">
        <f>SUMIFS(月汇总!Q:Q,月汇总!B:B,B65)</f>
        <v>0</v>
      </c>
      <c r="S65" s="603" t="e">
        <f t="shared" si="3"/>
        <v>#DIV/0!</v>
      </c>
      <c r="T65" s="4">
        <f>SUMIFS(月汇总!N:N,月汇总!B:B,B65)</f>
        <v>220.881967213115</v>
      </c>
      <c r="U65" s="603"/>
      <c r="V65" s="602">
        <f>SUMIFS(月汇总!X:X,月汇总!B:B,B65)</f>
        <v>0</v>
      </c>
      <c r="W65" s="603" t="e">
        <f t="shared" si="15"/>
        <v>#DIV/0!</v>
      </c>
      <c r="X65" s="4">
        <f>SUMIFS(月汇总!U:U,月汇总!B:B,B65)</f>
        <v>0</v>
      </c>
      <c r="Y65" s="603" t="e">
        <f t="shared" si="5"/>
        <v>#DIV/0!</v>
      </c>
      <c r="Z65" s="4">
        <f>SUMIFS(月汇总!O:O,月汇总!B:B,B65)</f>
        <v>0</v>
      </c>
      <c r="AA65" s="603" t="e">
        <f t="shared" si="6"/>
        <v>#DIV/0!</v>
      </c>
      <c r="AB65" s="4">
        <f>SUMIFS(月汇总!T:T,月汇总!B:B,B65)</f>
        <v>0</v>
      </c>
      <c r="AC65" s="603" t="e">
        <f t="shared" si="7"/>
        <v>#DIV/0!</v>
      </c>
      <c r="AD65" s="604">
        <f>SUMIFS(月汇总!Z:Z,月汇总!B:B,B65)</f>
        <v>0</v>
      </c>
      <c r="AE65" s="603" t="e">
        <f t="shared" si="8"/>
        <v>#DIV/0!</v>
      </c>
      <c r="AF65" s="602">
        <f>SUMIFS(月汇总!AC:AC,月汇总!B:B,B65)</f>
        <v>790.16393442623</v>
      </c>
      <c r="AG65" s="603" t="e">
        <f t="shared" si="9"/>
        <v>#DIV/0!</v>
      </c>
      <c r="AH65" s="602">
        <f>SUMIFS(月汇总!V:V,月汇总!B:B,B65)</f>
        <v>397.392459016393</v>
      </c>
      <c r="AI65" s="603" t="e">
        <f t="shared" si="10"/>
        <v>#DIV/0!</v>
      </c>
      <c r="AJ65" s="602">
        <f t="shared" si="11"/>
        <v>2208.73687129404</v>
      </c>
      <c r="AK65" s="4">
        <f>SUMIFS(月汇总!AA:AA,月汇总!B:B,B65)</f>
        <v>0</v>
      </c>
      <c r="AL65" s="602">
        <f t="shared" si="12"/>
        <v>-2208.73687129404</v>
      </c>
      <c r="AM65" s="603" t="e">
        <f t="shared" si="13"/>
        <v>#DIV/0!</v>
      </c>
      <c r="AN65" s="602">
        <f>SUMIFS(月汇总!AB:AB,月汇总!B:B,B65)</f>
        <v>0</v>
      </c>
      <c r="AO65" s="602">
        <f>SUMIFS(月汇总!W:W,月汇总!B:B,B65)</f>
        <v>0</v>
      </c>
      <c r="AP65" s="602">
        <f t="shared" si="14"/>
        <v>-2208.73687129404</v>
      </c>
    </row>
    <row r="66" ht="24" customHeight="1" spans="1:42">
      <c r="A66" s="605" t="s">
        <v>226</v>
      </c>
      <c r="B66" s="593"/>
      <c r="C66" s="593"/>
      <c r="D66" s="4"/>
      <c r="E66" s="4"/>
      <c r="F66" s="605"/>
      <c r="G66" s="605"/>
      <c r="H66" s="605">
        <f t="shared" ref="H66:AP66" si="16">SUM(H5:H65)</f>
        <v>773</v>
      </c>
      <c r="I66" s="605">
        <f t="shared" si="16"/>
        <v>32439.31</v>
      </c>
      <c r="J66" s="605">
        <f t="shared" si="16"/>
        <v>2116578.05</v>
      </c>
      <c r="K66" s="605">
        <f t="shared" si="16"/>
        <v>11580</v>
      </c>
      <c r="L66" s="605">
        <f t="shared" si="16"/>
        <v>350</v>
      </c>
      <c r="M66" s="605">
        <f t="shared" si="16"/>
        <v>707281.989748936</v>
      </c>
      <c r="N66" s="605" t="e">
        <f t="shared" si="16"/>
        <v>#DIV/0!</v>
      </c>
      <c r="O66" s="605" t="e">
        <f t="shared" si="16"/>
        <v>#DIV/0!</v>
      </c>
      <c r="P66" s="605">
        <f t="shared" si="16"/>
        <v>504580</v>
      </c>
      <c r="Q66" s="605" t="e">
        <f t="shared" si="16"/>
        <v>#DIV/0!</v>
      </c>
      <c r="R66" s="605">
        <f t="shared" si="16"/>
        <v>55270</v>
      </c>
      <c r="S66" s="605" t="e">
        <f t="shared" si="16"/>
        <v>#DIV/0!</v>
      </c>
      <c r="T66" s="605">
        <f t="shared" si="16"/>
        <v>13473.8</v>
      </c>
      <c r="U66" s="605">
        <f t="shared" si="16"/>
        <v>0</v>
      </c>
      <c r="V66" s="605">
        <f t="shared" si="16"/>
        <v>100800</v>
      </c>
      <c r="W66" s="605" t="e">
        <f t="shared" si="16"/>
        <v>#DIV/0!</v>
      </c>
      <c r="X66" s="605">
        <f t="shared" si="16"/>
        <v>26221.1</v>
      </c>
      <c r="Y66" s="605" t="e">
        <f t="shared" si="16"/>
        <v>#DIV/0!</v>
      </c>
      <c r="Z66" s="605">
        <f t="shared" si="16"/>
        <v>46150</v>
      </c>
      <c r="AA66" s="605" t="e">
        <f t="shared" si="16"/>
        <v>#DIV/0!</v>
      </c>
      <c r="AB66" s="605">
        <f t="shared" si="16"/>
        <v>8290</v>
      </c>
      <c r="AC66" s="605" t="e">
        <f t="shared" si="16"/>
        <v>#DIV/0!</v>
      </c>
      <c r="AD66" s="605">
        <f t="shared" si="16"/>
        <v>148345.6247</v>
      </c>
      <c r="AE66" s="605" t="e">
        <f t="shared" si="16"/>
        <v>#DIV/0!</v>
      </c>
      <c r="AF66" s="605">
        <f t="shared" si="16"/>
        <v>48200</v>
      </c>
      <c r="AG66" s="605" t="e">
        <f t="shared" si="16"/>
        <v>#DIV/0!</v>
      </c>
      <c r="AH66" s="605">
        <f t="shared" si="16"/>
        <v>24240.94</v>
      </c>
      <c r="AI66" s="605" t="e">
        <f t="shared" si="16"/>
        <v>#DIV/0!</v>
      </c>
      <c r="AJ66" s="605">
        <f t="shared" si="16"/>
        <v>1682853.45444894</v>
      </c>
      <c r="AK66" s="605">
        <f t="shared" si="16"/>
        <v>424000</v>
      </c>
      <c r="AL66" s="605">
        <f t="shared" si="16"/>
        <v>-2205.40444893627</v>
      </c>
      <c r="AM66" s="605" t="e">
        <f t="shared" si="16"/>
        <v>#DIV/0!</v>
      </c>
      <c r="AN66" s="605">
        <f t="shared" si="16"/>
        <v>116280</v>
      </c>
      <c r="AO66" s="605">
        <f t="shared" si="16"/>
        <v>157294</v>
      </c>
      <c r="AP66" s="605">
        <f t="shared" si="16"/>
        <v>-275779.404448936</v>
      </c>
    </row>
    <row r="67" spans="1:42"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</row>
  </sheetData>
  <autoFilter xmlns:etc="http://www.wps.cn/officeDocument/2017/etCustomData" ref="A4:AQ66" etc:filterBottomFollowUsedRange="0">
    <extLst/>
  </autoFilter>
  <mergeCells count="25">
    <mergeCell ref="A1:Y1"/>
    <mergeCell ref="A2:B2"/>
    <mergeCell ref="R3:AA3"/>
    <mergeCell ref="A3:A4"/>
    <mergeCell ref="B3:B4"/>
    <mergeCell ref="D3:D4"/>
    <mergeCell ref="E3:E4"/>
    <mergeCell ref="F3:F4"/>
    <mergeCell ref="G3:G4"/>
    <mergeCell ref="H3:H4"/>
    <mergeCell ref="I3:I4"/>
    <mergeCell ref="J3:J4"/>
    <mergeCell ref="M3:M4"/>
    <mergeCell ref="N3:N4"/>
    <mergeCell ref="P3:P4"/>
    <mergeCell ref="Q3:Q4"/>
    <mergeCell ref="AF3:AF4"/>
    <mergeCell ref="AH3:AH4"/>
    <mergeCell ref="AJ3:AJ4"/>
    <mergeCell ref="AK3:AK4"/>
    <mergeCell ref="AL3:AL4"/>
    <mergeCell ref="AM3:AM4"/>
    <mergeCell ref="AN3:AN4"/>
    <mergeCell ref="AO3:AO4"/>
    <mergeCell ref="AP3:AP4"/>
  </mergeCells>
  <conditionalFormatting sqref="B46">
    <cfRule type="duplicateValues" dxfId="0" priority="11"/>
  </conditionalFormatting>
  <conditionalFormatting sqref="B49">
    <cfRule type="duplicateValues" dxfId="0" priority="8"/>
  </conditionalFormatting>
  <conditionalFormatting sqref="B50">
    <cfRule type="duplicateValues" dxfId="0" priority="6"/>
  </conditionalFormatting>
  <conditionalFormatting sqref="B51">
    <cfRule type="duplicateValues" dxfId="0" priority="5"/>
  </conditionalFormatting>
  <conditionalFormatting sqref="B55">
    <cfRule type="duplicateValues" dxfId="0" priority="3"/>
  </conditionalFormatting>
  <conditionalFormatting sqref="B58">
    <cfRule type="duplicateValues" dxfId="0" priority="1"/>
  </conditionalFormatting>
  <conditionalFormatting sqref="B5:B24">
    <cfRule type="duplicateValues" dxfId="0" priority="14"/>
  </conditionalFormatting>
  <conditionalFormatting sqref="B25:B32">
    <cfRule type="duplicateValues" dxfId="0" priority="13"/>
  </conditionalFormatting>
  <conditionalFormatting sqref="B33:B45">
    <cfRule type="duplicateValues" dxfId="0" priority="12"/>
  </conditionalFormatting>
  <conditionalFormatting sqref="B47:B48">
    <cfRule type="duplicateValues" dxfId="0" priority="10"/>
  </conditionalFormatting>
  <conditionalFormatting sqref="B52:B54">
    <cfRule type="duplicateValues" dxfId="0" priority="4"/>
  </conditionalFormatting>
  <conditionalFormatting sqref="B56:B57">
    <cfRule type="duplicateValues" dxfId="0" priority="2"/>
  </conditionalFormatting>
  <pageMargins left="0.75" right="0.75" top="1" bottom="1" header="0.5" footer="0.5"/>
  <headerFooter/>
  <ignoredErrors>
    <ignoredError sqref="M4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"/>
  <sheetViews>
    <sheetView topLeftCell="A31" workbookViewId="0">
      <selection activeCell="G56" sqref="G56"/>
    </sheetView>
  </sheetViews>
  <sheetFormatPr defaultColWidth="9" defaultRowHeight="13.5"/>
  <cols>
    <col min="1" max="1" width="9" style="421"/>
    <col min="2" max="2" width="38.8916666666667" style="421" customWidth="1"/>
    <col min="3" max="4" width="16.8833333333333" style="421" customWidth="1"/>
    <col min="5" max="5" width="13.3833333333333" style="421" customWidth="1"/>
    <col min="6" max="6" width="13.5" style="421" customWidth="1"/>
    <col min="7" max="7" width="31.875" style="421" customWidth="1"/>
    <col min="8" max="8" width="12.625" style="421"/>
    <col min="9" max="9" width="14.1083333333333" style="421"/>
    <col min="10" max="10" width="13.7583333333333" style="421"/>
    <col min="11" max="11" width="10.3833333333333" style="421"/>
    <col min="12" max="12" width="9" style="421"/>
    <col min="13" max="13" width="12.6333333333333" style="421"/>
    <col min="14" max="15" width="9" style="421"/>
    <col min="16" max="16" width="12.6333333333333" style="421"/>
    <col min="17" max="16384" width="9" style="421"/>
  </cols>
  <sheetData>
    <row r="1" s="421" customFormat="1" ht="20.25" spans="1:12">
      <c r="A1" s="545" t="s">
        <v>227</v>
      </c>
      <c r="B1" s="546"/>
      <c r="C1" s="546"/>
      <c r="D1" s="546"/>
      <c r="E1" s="546"/>
      <c r="F1" s="546"/>
    </row>
    <row r="2" s="17" customFormat="1" ht="24" customHeight="1" spans="1:12">
      <c r="A2" s="547" t="s">
        <v>2</v>
      </c>
      <c r="B2" s="547" t="s">
        <v>228</v>
      </c>
      <c r="C2" s="547" t="s">
        <v>229</v>
      </c>
      <c r="D2" s="548" t="s">
        <v>230</v>
      </c>
      <c r="E2" s="548" t="s">
        <v>231</v>
      </c>
      <c r="F2" s="548" t="s">
        <v>232</v>
      </c>
    </row>
    <row r="3" s="17" customFormat="1" ht="16" customHeight="1" spans="1:12">
      <c r="A3" s="11">
        <v>1</v>
      </c>
      <c r="B3" s="549" t="s">
        <v>233</v>
      </c>
      <c r="C3" s="550">
        <v>160255.36</v>
      </c>
      <c r="D3" s="550">
        <f>SUMIFS(磅单!O:O,磅单!D:D,B:B)</f>
        <v>664162.44</v>
      </c>
      <c r="E3" s="550">
        <v>300000</v>
      </c>
      <c r="F3" s="550">
        <f>D3-E3+C3</f>
        <v>524417.8</v>
      </c>
    </row>
    <row r="4" s="17" customFormat="1" ht="16" customHeight="1" spans="1:12">
      <c r="A4" s="11">
        <v>2</v>
      </c>
      <c r="B4" s="7" t="s">
        <v>234</v>
      </c>
      <c r="C4" s="550">
        <v>70646.72</v>
      </c>
      <c r="D4" s="550">
        <f>SUMIFS(磅单!O:O,磅单!D:D,B:B)</f>
        <v>27568.26</v>
      </c>
      <c r="E4" s="550"/>
      <c r="F4" s="550">
        <f>D4-E4+C4</f>
        <v>98214.98</v>
      </c>
    </row>
    <row r="5" s="17" customFormat="1" ht="16" customHeight="1" spans="1:12">
      <c r="A5" s="11">
        <v>3</v>
      </c>
      <c r="B5" s="549" t="s">
        <v>235</v>
      </c>
      <c r="C5" s="550">
        <v>193999.82</v>
      </c>
      <c r="D5" s="550">
        <f>SUMIFS(磅单!O:O,磅单!D:D,B:B)</f>
        <v>820260.909999999</v>
      </c>
      <c r="E5" s="550">
        <v>224870.3</v>
      </c>
      <c r="F5" s="550">
        <f>D5-E5+C5</f>
        <v>789390.429999999</v>
      </c>
    </row>
    <row r="6" s="17" customFormat="1" ht="16" customHeight="1" spans="1:12">
      <c r="A6" s="11">
        <v>4</v>
      </c>
      <c r="B6" s="549" t="s">
        <v>236</v>
      </c>
      <c r="C6" s="550">
        <v>127283.62</v>
      </c>
      <c r="D6" s="550">
        <f>SUMIFS(磅单!O:O,磅单!D:D,B:B)</f>
        <v>194197.36</v>
      </c>
      <c r="E6" s="550"/>
      <c r="F6" s="550">
        <f>D6-E6+C6</f>
        <v>321480.98</v>
      </c>
    </row>
    <row r="7" s="17" customFormat="1" ht="16" customHeight="1" spans="1:12">
      <c r="A7" s="11">
        <v>5</v>
      </c>
      <c r="B7" s="7" t="s">
        <v>237</v>
      </c>
      <c r="C7" s="550"/>
      <c r="D7" s="550">
        <f>SUMIFS(磅单!O:O,磅单!D:D,B:B)</f>
        <v>413034.24</v>
      </c>
      <c r="E7" s="550"/>
      <c r="F7" s="550">
        <f>D7-E7+C7</f>
        <v>413034.24</v>
      </c>
    </row>
    <row r="8" s="17" customFormat="1" ht="17" customHeight="1" spans="1:12">
      <c r="A8" s="551" t="s">
        <v>238</v>
      </c>
      <c r="B8" s="552"/>
      <c r="C8" s="550">
        <f>SUM(C3:C7)-27315.22</f>
        <v>524870.3</v>
      </c>
      <c r="D8" s="550">
        <f>SUM(D3:D7)-月汇总!Y63-月汇总!Y68-月汇总!I63-月汇总!I68</f>
        <v>2107293.21</v>
      </c>
      <c r="E8" s="550">
        <f>SUM(E3:E7)</f>
        <v>524870.3</v>
      </c>
      <c r="F8" s="550">
        <f>C8+D8-E8</f>
        <v>2107293.21</v>
      </c>
    </row>
    <row r="9" spans="1:12">
      <c r="H9"/>
    </row>
    <row r="10" s="421" customFormat="1" spans="1:12">
      <c r="A10" s="421" t="s">
        <v>239</v>
      </c>
    </row>
    <row r="11" s="421" customFormat="1" ht="20.25" spans="1:12">
      <c r="A11" s="545" t="s">
        <v>240</v>
      </c>
      <c r="B11" s="546"/>
      <c r="C11" s="546"/>
      <c r="D11" s="546"/>
      <c r="E11" s="546"/>
      <c r="F11" s="546"/>
    </row>
    <row r="12" s="421" customFormat="1" ht="20" customHeight="1" spans="1:12">
      <c r="A12" s="553" t="s">
        <v>2</v>
      </c>
      <c r="B12" s="553" t="s">
        <v>228</v>
      </c>
      <c r="C12" s="547" t="s">
        <v>241</v>
      </c>
      <c r="D12" s="548" t="s">
        <v>242</v>
      </c>
      <c r="E12" s="548" t="s">
        <v>243</v>
      </c>
      <c r="F12" s="548" t="s">
        <v>244</v>
      </c>
      <c r="H12" s="554"/>
      <c r="I12" s="554"/>
      <c r="J12" s="554"/>
      <c r="K12" s="554"/>
      <c r="L12" s="554"/>
    </row>
    <row r="13" s="421" customFormat="1" ht="20" customHeight="1" spans="1:12">
      <c r="A13" s="555">
        <v>1</v>
      </c>
      <c r="B13" s="11" t="s">
        <v>245</v>
      </c>
      <c r="C13" s="110">
        <v>-122541.36</v>
      </c>
      <c r="D13" s="556">
        <f>月汇总!J63+月汇总!J68</f>
        <v>707281.989748936</v>
      </c>
      <c r="E13" s="557" t="e">
        <f>SUMIFS(农行卡!#REF!,农行卡!#REF!,B13)+SUMIFS(微信!#REF!,微信!#REF!,B13)+SUMIFS(骏恒对公户!#REF!,骏恒对公户!#REF!,B13)</f>
        <v>#REF!</v>
      </c>
      <c r="F13" s="558" t="e">
        <f t="shared" ref="F13:F26" si="0">C13+D13-E13</f>
        <v>#REF!</v>
      </c>
      <c r="H13" s="554"/>
      <c r="I13" s="554"/>
      <c r="J13" s="388"/>
      <c r="K13" s="559"/>
      <c r="L13" s="554"/>
    </row>
    <row r="14" s="421" customFormat="1" ht="20" customHeight="1" spans="1:12">
      <c r="A14" s="555">
        <v>2</v>
      </c>
      <c r="B14" s="11" t="s">
        <v>246</v>
      </c>
      <c r="C14" s="110">
        <v>0</v>
      </c>
      <c r="D14" s="556">
        <f>月汇总!N63+月汇总!N68</f>
        <v>13473.8</v>
      </c>
      <c r="E14" s="557" t="e">
        <f>SUMIFS(微信!#REF!,微信!#REF!,B14)+SUMIFS(骏恒对公户!#REF!,骏恒对公户!#REF!,B14)+6300</f>
        <v>#REF!</v>
      </c>
      <c r="F14" s="558" t="e">
        <f t="shared" si="0"/>
        <v>#REF!</v>
      </c>
    </row>
    <row r="15" s="421" customFormat="1" ht="20" customHeight="1" spans="1:12">
      <c r="A15" s="555">
        <v>3</v>
      </c>
      <c r="B15" s="11" t="s">
        <v>247</v>
      </c>
      <c r="C15" s="110">
        <v>780</v>
      </c>
      <c r="D15" s="556">
        <f>月汇总!O63+月汇总!O68</f>
        <v>46150</v>
      </c>
      <c r="E15" s="557" t="e">
        <f>SUMIFS(农行卡!#REF!,农行卡!#REF!,B15)+SUMIFS(微信!#REF!,微信!#REF!,B15)+SUMIFS(骏恒对公户!#REF!,骏恒对公户!#REF!,B15)</f>
        <v>#REF!</v>
      </c>
      <c r="F15" s="558" t="e">
        <f t="shared" si="0"/>
        <v>#REF!</v>
      </c>
    </row>
    <row r="16" s="421" customFormat="1" ht="20" customHeight="1" spans="1:12">
      <c r="A16" s="555">
        <v>4</v>
      </c>
      <c r="B16" s="11" t="s">
        <v>248</v>
      </c>
      <c r="C16" s="110">
        <v>0</v>
      </c>
      <c r="D16" s="556">
        <f>月汇总!P63</f>
        <v>0</v>
      </c>
      <c r="E16" s="557" t="e">
        <f>SUMIFS(农行卡!#REF!,农行卡!#REF!,B16)+SUMIFS(微信!#REF!,微信!#REF!,B16)+SUMIFS(骏恒对公户!#REF!,骏恒对公户!#REF!,B16)</f>
        <v>#REF!</v>
      </c>
      <c r="F16" s="558" t="e">
        <f t="shared" si="0"/>
        <v>#REF!</v>
      </c>
    </row>
    <row r="17" s="421" customFormat="1" ht="20" customHeight="1" spans="1:9">
      <c r="A17" s="555">
        <v>5</v>
      </c>
      <c r="B17" s="11" t="s">
        <v>249</v>
      </c>
      <c r="C17" s="110">
        <v>380100</v>
      </c>
      <c r="D17" s="556">
        <f>月汇总!R63+月汇总!S63+月汇总!S68+月汇总!R68</f>
        <v>504580</v>
      </c>
      <c r="E17" s="557" t="e">
        <f>SUMIFS(农行卡!#REF!,农行卡!#REF!,B17)+SUMIFS(微信!#REF!,微信!#REF!,B17)+SUMIFS(骏恒对公户!#REF!,骏恒对公户!#REF!,B17)</f>
        <v>#REF!</v>
      </c>
      <c r="F17" s="558" t="e">
        <f t="shared" si="0"/>
        <v>#REF!</v>
      </c>
    </row>
    <row r="18" s="421" customFormat="1" ht="20" customHeight="1" spans="1:9">
      <c r="A18" s="555">
        <v>6</v>
      </c>
      <c r="B18" s="11" t="s">
        <v>29</v>
      </c>
      <c r="C18" s="110">
        <v>37586.08</v>
      </c>
      <c r="D18" s="556">
        <f>月汇总!Q63+月汇总!Q68</f>
        <v>55270</v>
      </c>
      <c r="E18" s="557" t="e">
        <f>SUMIFS(农行卡!#REF!,农行卡!#REF!,B18)+SUMIFS(微信!#REF!,微信!#REF!,B18)+SUMIFS(骏恒对公户!#REF!,骏恒对公户!#REF!,B18)</f>
        <v>#REF!</v>
      </c>
      <c r="F18" s="558" t="e">
        <f t="shared" si="0"/>
        <v>#REF!</v>
      </c>
    </row>
    <row r="19" s="421" customFormat="1" ht="20" customHeight="1" spans="1:9">
      <c r="A19" s="555">
        <v>7</v>
      </c>
      <c r="B19" s="11" t="s">
        <v>35</v>
      </c>
      <c r="C19" s="110">
        <v>135</v>
      </c>
      <c r="D19" s="556">
        <f>月汇总!U63+月汇总!U68</f>
        <v>26221.1</v>
      </c>
      <c r="E19" s="557" t="e">
        <f>SUMIFS(农行卡!#REF!,农行卡!#REF!,B19)+SUMIFS(微信!#REF!,微信!#REF!,B19)+SUMIFS(骏恒对公户!#REF!,骏恒对公户!#REF!,B19)</f>
        <v>#REF!</v>
      </c>
      <c r="F19" s="558" t="e">
        <f t="shared" si="0"/>
        <v>#REF!</v>
      </c>
    </row>
    <row r="20" s="421" customFormat="1" ht="20" customHeight="1" spans="1:9">
      <c r="A20" s="555">
        <v>8</v>
      </c>
      <c r="B20" s="11" t="s">
        <v>250</v>
      </c>
      <c r="C20" s="110">
        <v>12903.0716666668</v>
      </c>
      <c r="D20" s="556">
        <f>月汇总!V63+月汇总!V68+月汇总!X63+月汇总!X68</f>
        <v>125040.94</v>
      </c>
      <c r="E20" s="557" t="e">
        <f>SUMIFS(农行卡!#REF!,农行卡!#REF!,B20)+SUMIFS(微信!#REF!,微信!#REF!,B20)+SUMIFS(骏恒对公户!#REF!,骏恒对公户!#REF!,B20)</f>
        <v>#REF!</v>
      </c>
      <c r="F20" s="558" t="e">
        <f t="shared" si="0"/>
        <v>#REF!</v>
      </c>
      <c r="I20" s="138"/>
    </row>
    <row r="21" s="421" customFormat="1" ht="20" customHeight="1" spans="1:9">
      <c r="A21" s="555">
        <v>9</v>
      </c>
      <c r="B21" s="11" t="s">
        <v>251</v>
      </c>
      <c r="C21" s="110">
        <v>285858.064516129</v>
      </c>
      <c r="D21" s="556">
        <f>月汇总!AA63</f>
        <v>424000</v>
      </c>
      <c r="E21" s="557" t="e">
        <f>SUMIFS(农行卡!#REF!,农行卡!#REF!,B21)+SUMIFS(微信!#REF!,微信!#REF!,B21)+SUMIFS(骏恒对公户!#REF!,骏恒对公户!#REF!,B21)+285858.06</f>
        <v>#REF!</v>
      </c>
      <c r="F21" s="558" t="e">
        <f t="shared" si="0"/>
        <v>#REF!</v>
      </c>
    </row>
    <row r="22" s="421" customFormat="1" ht="20" customHeight="1" spans="1:9">
      <c r="A22" s="555">
        <v>10</v>
      </c>
      <c r="B22" s="11" t="s">
        <v>22</v>
      </c>
      <c r="C22" s="110">
        <v>111401.295268817</v>
      </c>
      <c r="D22" s="556">
        <f>月汇总!AB63+月汇总!AB68</f>
        <v>116280</v>
      </c>
      <c r="E22" s="557" t="e">
        <f>SUMIFS(农行卡!#REF!,农行卡!#REF!,B22)+SUMIFS(微信!#REF!,微信!#REF!,B22)+SUMIFS(骏恒对公户!#REF!,骏恒对公户!#REF!,B22)</f>
        <v>#REF!</v>
      </c>
      <c r="F22" s="558" t="e">
        <f t="shared" si="0"/>
        <v>#REF!</v>
      </c>
      <c r="G22" s="560"/>
    </row>
    <row r="23" s="421" customFormat="1" ht="20" customHeight="1" spans="1:9">
      <c r="A23" s="555">
        <v>11</v>
      </c>
      <c r="B23" s="11" t="s">
        <v>252</v>
      </c>
      <c r="C23" s="110">
        <v>71895.9966666667</v>
      </c>
      <c r="D23" s="556">
        <f>月汇总!W63</f>
        <v>157294</v>
      </c>
      <c r="E23" s="557" t="e">
        <f>SUMIFS(农行卡!#REF!,农行卡!#REF!,B23)+SUMIFS(微信!#REF!,微信!#REF!,B23)+SUMIFS(骏恒对公户!#REF!,骏恒对公户!#REF!,B23)+71896</f>
        <v>#REF!</v>
      </c>
      <c r="F23" s="558" t="e">
        <f t="shared" si="0"/>
        <v>#REF!</v>
      </c>
    </row>
    <row r="24" s="421" customFormat="1" ht="20" customHeight="1" spans="1:9">
      <c r="A24" s="555">
        <v>12</v>
      </c>
      <c r="B24" s="11" t="s">
        <v>16</v>
      </c>
      <c r="C24" s="110">
        <v>28029.0989247312</v>
      </c>
      <c r="D24" s="556">
        <f>月汇总!AC63+月汇总!AC68</f>
        <v>48200</v>
      </c>
      <c r="E24" s="557" t="e">
        <f>SUMIFS(农行卡!#REF!,农行卡!#REF!,B24)+SUMIFS(微信!#REF!,微信!#REF!,B24)+SUMIFS(骏恒对公户!#REF!,骏恒对公户!#REF!,B24)</f>
        <v>#REF!</v>
      </c>
      <c r="F24" s="558" t="e">
        <f t="shared" si="0"/>
        <v>#REF!</v>
      </c>
    </row>
    <row r="25" s="421" customFormat="1" ht="20" customHeight="1" spans="1:9">
      <c r="A25" s="555">
        <v>13</v>
      </c>
      <c r="B25" s="552" t="s">
        <v>253</v>
      </c>
      <c r="C25" s="561">
        <v>0</v>
      </c>
      <c r="D25" s="556">
        <f>月汇总!T63+月汇总!T68</f>
        <v>8290</v>
      </c>
      <c r="E25" s="557" t="e">
        <f>SUMIFS(农行卡!#REF!,农行卡!#REF!,B25)+SUMIFS(微信!#REF!,微信!#REF!,B25)+SUMIFS(骏恒对公户!#REF!,骏恒对公户!#REF!,B25)</f>
        <v>#REF!</v>
      </c>
      <c r="F25" s="558" t="e">
        <f t="shared" si="0"/>
        <v>#REF!</v>
      </c>
    </row>
    <row r="26" s="421" customFormat="1" ht="20" customHeight="1" spans="1:9">
      <c r="A26" s="555">
        <v>14</v>
      </c>
      <c r="B26" s="552" t="s">
        <v>254</v>
      </c>
      <c r="C26" s="561">
        <v>212217.9305</v>
      </c>
      <c r="D26" s="556">
        <f>月汇总!Z63+月汇总!Z68</f>
        <v>148345.6247</v>
      </c>
      <c r="E26" s="557" t="e">
        <f>SUMIFS(农行卡!#REF!,农行卡!#REF!,B26)+SUMIFS(微信!#REF!,微信!#REF!,B26)+SUMIFS(骏恒对公户!#REF!,骏恒对公户!#REF!,B26)</f>
        <v>#REF!</v>
      </c>
      <c r="F26" s="558" t="e">
        <f t="shared" si="0"/>
        <v>#REF!</v>
      </c>
    </row>
    <row r="27" s="421" customFormat="1" ht="20" customHeight="1" spans="1:9">
      <c r="A27" s="562" t="s">
        <v>238</v>
      </c>
      <c r="B27" s="563"/>
      <c r="C27" s="564">
        <f>SUM(C13:C26)</f>
        <v>1018365.17754301</v>
      </c>
      <c r="D27" s="558">
        <f>SUM(D13:D26)</f>
        <v>2380427.45444894</v>
      </c>
      <c r="E27" s="558" t="e">
        <f>SUM(E13:E26)</f>
        <v>#REF!</v>
      </c>
      <c r="F27" s="558" t="e">
        <f>SUM(F13:F26)</f>
        <v>#REF!</v>
      </c>
    </row>
    <row r="28" s="421" customFormat="1" spans="1:9">
      <c r="C28" s="421" t="s">
        <v>255</v>
      </c>
      <c r="D28" s="565">
        <f>D8-D27</f>
        <v>-273134.244448937</v>
      </c>
      <c r="G28" s="565"/>
    </row>
    <row r="29" s="421" customFormat="1" spans="1:9">
      <c r="C29" s="421" t="s">
        <v>256</v>
      </c>
      <c r="D29" s="565">
        <f>月汇总!AD63+月汇总!AD68</f>
        <v>-273134.244448936</v>
      </c>
    </row>
    <row r="30" spans="1:9">
      <c r="D30" s="566">
        <f>D28-D29</f>
        <v>-1.22236087918282e-9</v>
      </c>
    </row>
    <row r="31" s="421" customFormat="1" spans="1:9">
      <c r="A31" s="421" t="s">
        <v>257</v>
      </c>
      <c r="D31" s="566"/>
    </row>
    <row r="32" s="421" customFormat="1" spans="1:9">
      <c r="A32" s="567" t="s">
        <v>2</v>
      </c>
      <c r="B32" s="568" t="s">
        <v>258</v>
      </c>
      <c r="C32" s="568" t="s">
        <v>259</v>
      </c>
      <c r="D32" s="568" t="s">
        <v>260</v>
      </c>
      <c r="E32" s="568" t="s">
        <v>261</v>
      </c>
      <c r="F32" s="568" t="s">
        <v>262</v>
      </c>
    </row>
    <row r="33" s="421" customFormat="1" spans="1:6">
      <c r="A33" s="117">
        <v>1</v>
      </c>
      <c r="B33" s="437" t="s">
        <v>263</v>
      </c>
      <c r="C33" s="437">
        <v>0</v>
      </c>
      <c r="D33" s="569"/>
      <c r="E33" s="437"/>
      <c r="F33" s="437"/>
    </row>
    <row r="34" s="421" customFormat="1" spans="1:6">
      <c r="A34" s="117">
        <v>2</v>
      </c>
      <c r="B34" s="437" t="s">
        <v>264</v>
      </c>
      <c r="C34" s="437">
        <v>0</v>
      </c>
      <c r="D34" s="570"/>
      <c r="E34" s="437"/>
      <c r="F34" s="437"/>
    </row>
    <row r="35" s="421" customFormat="1" spans="1:6">
      <c r="A35" s="117">
        <v>3</v>
      </c>
      <c r="B35" s="437" t="s">
        <v>265</v>
      </c>
      <c r="C35" s="437">
        <v>4000</v>
      </c>
      <c r="D35" s="570"/>
      <c r="E35" s="437"/>
      <c r="F35" s="437">
        <f t="shared" ref="F35:F42" si="1">C35+D35-E35</f>
        <v>4000</v>
      </c>
    </row>
    <row r="36" s="421" customFormat="1" spans="1:6">
      <c r="A36" s="117">
        <v>4</v>
      </c>
      <c r="B36" s="437" t="s">
        <v>266</v>
      </c>
      <c r="C36" s="437">
        <v>49830.99</v>
      </c>
      <c r="D36" s="570"/>
      <c r="E36" s="437"/>
      <c r="F36" s="437">
        <f t="shared" si="1"/>
        <v>49830.99</v>
      </c>
    </row>
    <row r="37" s="421" customFormat="1" spans="1:6">
      <c r="A37" s="117">
        <v>5</v>
      </c>
      <c r="B37" s="437" t="s">
        <v>267</v>
      </c>
      <c r="C37" s="437">
        <v>0</v>
      </c>
      <c r="D37" s="570"/>
      <c r="E37" s="437"/>
      <c r="F37" s="437">
        <f t="shared" si="1"/>
        <v>0</v>
      </c>
    </row>
    <row r="38" s="421" customFormat="1" spans="1:6">
      <c r="A38" s="117">
        <v>6</v>
      </c>
      <c r="B38" s="571" t="s">
        <v>268</v>
      </c>
      <c r="C38" s="437">
        <v>0</v>
      </c>
      <c r="D38" s="570"/>
      <c r="E38" s="437"/>
      <c r="F38" s="437">
        <f t="shared" si="1"/>
        <v>0</v>
      </c>
    </row>
    <row r="39" s="421" customFormat="1" spans="1:6">
      <c r="A39" s="117">
        <v>7</v>
      </c>
      <c r="B39" s="572" t="s">
        <v>269</v>
      </c>
      <c r="C39" s="437">
        <v>650000</v>
      </c>
      <c r="D39" s="570"/>
      <c r="E39" s="244">
        <v>650000</v>
      </c>
      <c r="F39" s="437">
        <f t="shared" si="1"/>
        <v>0</v>
      </c>
    </row>
    <row r="40" s="421" customFormat="1" spans="1:6">
      <c r="A40" s="117">
        <v>8</v>
      </c>
      <c r="B40" s="572" t="s">
        <v>47</v>
      </c>
      <c r="C40" s="437"/>
      <c r="D40" s="570">
        <v>25000</v>
      </c>
      <c r="E40" s="437"/>
      <c r="F40" s="437">
        <f t="shared" si="1"/>
        <v>25000</v>
      </c>
    </row>
    <row r="41" s="421" customFormat="1" spans="1:6">
      <c r="A41" s="117">
        <v>9</v>
      </c>
      <c r="B41" s="572" t="s">
        <v>270</v>
      </c>
      <c r="C41" s="437"/>
      <c r="D41" s="570">
        <v>2050</v>
      </c>
      <c r="E41" s="437"/>
      <c r="F41" s="437">
        <f t="shared" si="1"/>
        <v>2050</v>
      </c>
    </row>
    <row r="42" s="421" customFormat="1" spans="1:6">
      <c r="A42" s="117">
        <v>10</v>
      </c>
      <c r="B42" s="572" t="s">
        <v>271</v>
      </c>
      <c r="C42" s="437"/>
      <c r="D42" s="570">
        <v>570</v>
      </c>
      <c r="E42" s="437"/>
      <c r="F42" s="437">
        <f t="shared" si="1"/>
        <v>570</v>
      </c>
    </row>
    <row r="43" s="421" customFormat="1" spans="1:6">
      <c r="A43" s="567" t="s">
        <v>238</v>
      </c>
      <c r="B43" s="567"/>
      <c r="C43" s="567">
        <f>SUM(C35:C40)</f>
        <v>703830.99</v>
      </c>
      <c r="D43" s="567">
        <f>SUM(D35:D42)</f>
        <v>27620</v>
      </c>
      <c r="E43" s="567">
        <f>SUM(E35:E42)</f>
        <v>650000</v>
      </c>
      <c r="F43" s="567">
        <f>SUM(F35:F42)</f>
        <v>81450.99</v>
      </c>
    </row>
    <row r="44" s="421" customFormat="1" spans="1:6">
      <c r="E44" s="566"/>
    </row>
    <row r="45" s="421" customFormat="1" spans="1:6">
      <c r="A45" s="421" t="s">
        <v>272</v>
      </c>
      <c r="E45" s="566"/>
    </row>
    <row r="46" s="421" customFormat="1" spans="1:6">
      <c r="A46" s="567" t="s">
        <v>2</v>
      </c>
      <c r="B46" s="568" t="s">
        <v>273</v>
      </c>
      <c r="C46" s="568" t="s">
        <v>241</v>
      </c>
      <c r="D46" s="568" t="s">
        <v>274</v>
      </c>
      <c r="E46" s="568" t="s">
        <v>275</v>
      </c>
      <c r="F46" s="568" t="s">
        <v>276</v>
      </c>
    </row>
    <row r="47" s="421" customFormat="1" spans="1:6">
      <c r="A47" s="117">
        <v>1</v>
      </c>
      <c r="B47" s="437" t="s">
        <v>263</v>
      </c>
      <c r="C47" s="573">
        <v>0</v>
      </c>
      <c r="D47" s="570"/>
      <c r="E47" s="437"/>
      <c r="F47" s="437"/>
    </row>
    <row r="48" s="421" customFormat="1" spans="1:6">
      <c r="A48" s="117">
        <v>2</v>
      </c>
      <c r="B48" s="437" t="s">
        <v>264</v>
      </c>
      <c r="C48" s="573">
        <v>6000</v>
      </c>
      <c r="D48" s="211">
        <f>2000+2000</f>
        <v>4000</v>
      </c>
      <c r="E48" s="437">
        <v>2000</v>
      </c>
      <c r="F48" s="573">
        <f t="shared" ref="F48:F54" si="2">C48+D48-E48</f>
        <v>8000</v>
      </c>
    </row>
    <row r="49" s="421" customFormat="1" spans="1:6">
      <c r="A49" s="117">
        <v>3</v>
      </c>
      <c r="B49" s="437" t="s">
        <v>277</v>
      </c>
      <c r="C49" s="573">
        <v>37230.7221176606</v>
      </c>
      <c r="D49" s="569">
        <f>月汇总!AD68</f>
        <v>1263.36342870596</v>
      </c>
      <c r="E49" s="437">
        <v>30000</v>
      </c>
      <c r="F49" s="573">
        <f t="shared" si="2"/>
        <v>8494.08554636656</v>
      </c>
    </row>
    <row r="50" s="421" customFormat="1" spans="1:6">
      <c r="A50" s="117">
        <v>4</v>
      </c>
      <c r="B50" s="437" t="s">
        <v>278</v>
      </c>
      <c r="C50" s="573">
        <v>0</v>
      </c>
      <c r="D50" s="569">
        <f>120000+150000</f>
        <v>270000</v>
      </c>
      <c r="E50" s="437"/>
      <c r="F50" s="573">
        <f t="shared" si="2"/>
        <v>270000</v>
      </c>
    </row>
    <row r="51" s="421" customFormat="1" spans="1:6">
      <c r="A51" s="117">
        <v>5</v>
      </c>
      <c r="B51" s="437" t="s">
        <v>279</v>
      </c>
      <c r="C51" s="573">
        <v>6000</v>
      </c>
      <c r="D51" s="569"/>
      <c r="E51" s="437">
        <v>6000</v>
      </c>
      <c r="F51" s="573">
        <f t="shared" si="2"/>
        <v>0</v>
      </c>
    </row>
    <row r="52" s="421" customFormat="1" spans="1:6">
      <c r="A52" s="117">
        <v>6</v>
      </c>
      <c r="B52" s="572" t="s">
        <v>269</v>
      </c>
      <c r="C52" s="573"/>
      <c r="D52" s="569">
        <v>100000</v>
      </c>
      <c r="E52" s="437"/>
      <c r="F52" s="573">
        <f t="shared" si="2"/>
        <v>100000</v>
      </c>
    </row>
    <row r="53" s="421" customFormat="1" spans="1:6">
      <c r="A53" s="117">
        <v>7</v>
      </c>
      <c r="B53" s="572" t="s">
        <v>270</v>
      </c>
      <c r="C53" s="573"/>
      <c r="D53" s="569">
        <v>2050</v>
      </c>
      <c r="E53" s="437"/>
      <c r="F53" s="573">
        <f t="shared" si="2"/>
        <v>2050</v>
      </c>
    </row>
    <row r="54" s="421" customFormat="1" spans="1:6">
      <c r="A54" s="117">
        <v>8</v>
      </c>
      <c r="B54" s="572" t="s">
        <v>271</v>
      </c>
      <c r="C54" s="573"/>
      <c r="D54" s="569">
        <v>570</v>
      </c>
      <c r="E54" s="437"/>
      <c r="F54" s="573">
        <f t="shared" si="2"/>
        <v>570</v>
      </c>
    </row>
    <row r="55" s="421" customFormat="1" spans="1:6">
      <c r="A55" s="567" t="s">
        <v>238</v>
      </c>
      <c r="B55" s="567"/>
      <c r="C55" s="567"/>
      <c r="D55" s="574">
        <f>SUM(D47:D54)</f>
        <v>377883.363428706</v>
      </c>
      <c r="E55" s="567">
        <f>SUM(E47:E54)</f>
        <v>38000</v>
      </c>
      <c r="F55" s="567">
        <f>SUM(F47:F54)</f>
        <v>389114.085546367</v>
      </c>
    </row>
    <row r="57" s="421" customFormat="1" spans="1:6">
      <c r="A57" s="421" t="s">
        <v>280</v>
      </c>
    </row>
    <row r="58" s="421" customFormat="1" spans="1:6">
      <c r="A58" s="575" t="s">
        <v>2</v>
      </c>
      <c r="B58" s="575" t="s">
        <v>281</v>
      </c>
      <c r="C58" s="575" t="s">
        <v>282</v>
      </c>
      <c r="D58" s="575" t="s">
        <v>2</v>
      </c>
      <c r="E58" s="576" t="s">
        <v>283</v>
      </c>
      <c r="F58" s="575" t="s">
        <v>282</v>
      </c>
    </row>
    <row r="59" s="421" customFormat="1" ht="14.25" spans="1:6">
      <c r="A59" s="577">
        <v>1</v>
      </c>
      <c r="B59" s="577" t="s">
        <v>284</v>
      </c>
      <c r="C59" s="578">
        <v>2.24000000000001</v>
      </c>
      <c r="D59" s="577">
        <v>1</v>
      </c>
      <c r="E59" s="11" t="s">
        <v>251</v>
      </c>
      <c r="F59" s="579" t="e">
        <f>F21</f>
        <v>#REF!</v>
      </c>
    </row>
    <row r="60" s="421" customFormat="1" spans="1:6">
      <c r="A60" s="577">
        <v>2</v>
      </c>
      <c r="B60" s="138" t="s">
        <v>285</v>
      </c>
      <c r="C60" s="579" t="e">
        <f>微信!#REF!</f>
        <v>#REF!</v>
      </c>
      <c r="D60" s="577">
        <v>2</v>
      </c>
      <c r="E60" s="11" t="s">
        <v>286</v>
      </c>
      <c r="F60" s="579" t="e">
        <f>F22</f>
        <v>#REF!</v>
      </c>
    </row>
    <row r="61" s="421" customFormat="1" spans="1:6">
      <c r="A61" s="577">
        <v>3</v>
      </c>
      <c r="B61" s="577" t="s">
        <v>287</v>
      </c>
      <c r="C61" s="577" t="e">
        <f>骏恒对公户!#REF!</f>
        <v>#REF!</v>
      </c>
      <c r="D61" s="577">
        <v>3</v>
      </c>
      <c r="E61" s="11" t="s">
        <v>252</v>
      </c>
      <c r="F61" s="579" t="e">
        <f>F23</f>
        <v>#REF!</v>
      </c>
    </row>
    <row r="62" s="421" customFormat="1" spans="1:6">
      <c r="A62" s="577">
        <v>4</v>
      </c>
      <c r="B62" s="117" t="s">
        <v>288</v>
      </c>
      <c r="C62" s="577">
        <v>0</v>
      </c>
      <c r="D62" s="577">
        <v>4</v>
      </c>
      <c r="E62" s="11" t="s">
        <v>289</v>
      </c>
      <c r="F62" s="579" t="e">
        <f t="shared" ref="F62:F69" si="3">F13</f>
        <v>#REF!</v>
      </c>
    </row>
    <row r="63" s="421" customFormat="1" ht="14.25" spans="1:6">
      <c r="A63" s="577">
        <v>5</v>
      </c>
      <c r="B63" s="577" t="s">
        <v>258</v>
      </c>
      <c r="C63" s="577">
        <f>F8</f>
        <v>2107293.21</v>
      </c>
      <c r="D63" s="577">
        <v>5</v>
      </c>
      <c r="E63" s="11" t="s">
        <v>290</v>
      </c>
      <c r="F63" s="579" t="e">
        <f t="shared" si="3"/>
        <v>#REF!</v>
      </c>
    </row>
    <row r="64" s="421" customFormat="1" ht="14.25" spans="1:6">
      <c r="A64" s="577">
        <v>6</v>
      </c>
      <c r="B64" s="577" t="s">
        <v>291</v>
      </c>
      <c r="C64" s="577">
        <f>F43</f>
        <v>81450.99</v>
      </c>
      <c r="D64" s="577">
        <v>6</v>
      </c>
      <c r="E64" s="11" t="s">
        <v>292</v>
      </c>
      <c r="F64" s="579" t="e">
        <f t="shared" si="3"/>
        <v>#REF!</v>
      </c>
    </row>
    <row r="65" s="421" customFormat="1" ht="14.25" spans="1:10">
      <c r="A65" s="577">
        <v>7</v>
      </c>
      <c r="B65" s="577" t="s">
        <v>293</v>
      </c>
      <c r="C65" s="577">
        <f>600000-37840.03</f>
        <v>562159.97</v>
      </c>
      <c r="D65" s="577">
        <v>7</v>
      </c>
      <c r="E65" s="11" t="s">
        <v>294</v>
      </c>
      <c r="F65" s="579" t="e">
        <f t="shared" si="3"/>
        <v>#REF!</v>
      </c>
    </row>
    <row r="66" s="421" customFormat="1" ht="18" customHeight="1" spans="1:10">
      <c r="A66" s="577">
        <v>8</v>
      </c>
      <c r="B66" s="577"/>
      <c r="C66" s="577"/>
      <c r="D66" s="577">
        <v>8</v>
      </c>
      <c r="E66" s="11" t="s">
        <v>295</v>
      </c>
      <c r="F66" s="579" t="e">
        <f t="shared" si="3"/>
        <v>#REF!</v>
      </c>
    </row>
    <row r="67" s="421" customFormat="1" ht="22" customHeight="1" spans="1:10">
      <c r="A67" s="577">
        <v>9</v>
      </c>
      <c r="B67" s="577"/>
      <c r="C67" s="577"/>
      <c r="D67" s="577">
        <v>9</v>
      </c>
      <c r="E67" s="11" t="s">
        <v>296</v>
      </c>
      <c r="F67" s="579" t="e">
        <f t="shared" si="3"/>
        <v>#REF!</v>
      </c>
    </row>
    <row r="68" s="421" customFormat="1" spans="1:10">
      <c r="A68" s="577">
        <v>10</v>
      </c>
      <c r="B68" s="10"/>
      <c r="C68" s="577"/>
      <c r="D68" s="577">
        <v>10</v>
      </c>
      <c r="E68" s="11" t="s">
        <v>297</v>
      </c>
      <c r="F68" s="579" t="e">
        <f t="shared" si="3"/>
        <v>#REF!</v>
      </c>
    </row>
    <row r="69" s="421" customFormat="1" ht="16.5" spans="1:10">
      <c r="A69" s="577"/>
      <c r="B69" s="82"/>
      <c r="C69" s="577"/>
      <c r="D69" s="577">
        <v>11</v>
      </c>
      <c r="E69" s="11" t="s">
        <v>250</v>
      </c>
      <c r="F69" s="579" t="e">
        <f t="shared" si="3"/>
        <v>#REF!</v>
      </c>
    </row>
    <row r="70" s="421" customFormat="1" spans="1:10">
      <c r="A70" s="577"/>
      <c r="B70" s="577"/>
      <c r="C70" s="577"/>
      <c r="D70" s="577">
        <v>12</v>
      </c>
      <c r="E70" s="11" t="s">
        <v>298</v>
      </c>
      <c r="F70" s="579">
        <f>F55</f>
        <v>389114.085546367</v>
      </c>
    </row>
    <row r="71" s="421" customFormat="1" spans="1:10">
      <c r="A71" s="577"/>
      <c r="B71" s="577"/>
      <c r="C71" s="577"/>
      <c r="D71" s="577">
        <v>13</v>
      </c>
      <c r="E71" s="11" t="s">
        <v>299</v>
      </c>
      <c r="F71" s="579" t="e">
        <f>F24</f>
        <v>#REF!</v>
      </c>
    </row>
    <row r="72" s="421" customFormat="1" spans="1:10">
      <c r="A72" s="577"/>
      <c r="B72" s="577"/>
      <c r="C72" s="577"/>
      <c r="D72" s="577">
        <v>14</v>
      </c>
      <c r="E72" s="11" t="s">
        <v>39</v>
      </c>
      <c r="F72" s="579" t="e">
        <f>F25</f>
        <v>#REF!</v>
      </c>
    </row>
    <row r="73" s="421" customFormat="1" spans="1:10">
      <c r="A73" s="577"/>
      <c r="B73" s="577"/>
      <c r="C73" s="577"/>
      <c r="D73" s="577">
        <v>15</v>
      </c>
      <c r="E73" s="11" t="s">
        <v>41</v>
      </c>
      <c r="F73" s="579" t="e">
        <f>F26</f>
        <v>#REF!</v>
      </c>
    </row>
    <row r="74" s="421" customFormat="1" spans="1:10">
      <c r="A74" s="577"/>
      <c r="B74" s="577"/>
      <c r="C74" s="579"/>
      <c r="D74" s="580" t="s">
        <v>300</v>
      </c>
      <c r="E74" s="581"/>
      <c r="F74" s="582" t="e">
        <f>SUM(F59:F73)</f>
        <v>#REF!</v>
      </c>
    </row>
    <row r="75" s="421" customFormat="1" spans="1:10">
      <c r="A75" s="577"/>
      <c r="B75" s="577"/>
      <c r="C75" s="577"/>
      <c r="D75" s="577">
        <v>1</v>
      </c>
      <c r="E75" s="583" t="s">
        <v>301</v>
      </c>
      <c r="F75" s="584">
        <f>100000+600000-37840.03</f>
        <v>662159.97</v>
      </c>
      <c r="I75" s="421" t="s">
        <v>302</v>
      </c>
      <c r="J75" s="421">
        <v>-4973.11833333334</v>
      </c>
    </row>
    <row r="76" s="421" customFormat="1" spans="1:10">
      <c r="A76" s="577"/>
      <c r="B76" s="577"/>
      <c r="C76" s="577"/>
      <c r="D76" s="577">
        <v>2</v>
      </c>
      <c r="E76" s="583" t="s">
        <v>303</v>
      </c>
      <c r="F76" s="579">
        <f>J75+J76-19298.41-18541.61+J77+月汇总!AD63-37840.03+J78</f>
        <v>-184907.87920498</v>
      </c>
      <c r="I76" s="421" t="s">
        <v>304</v>
      </c>
      <c r="J76" s="421">
        <v>80653.1711678955</v>
      </c>
    </row>
    <row r="77" s="421" customFormat="1" spans="1:10">
      <c r="A77" s="577"/>
      <c r="B77" s="577"/>
      <c r="C77" s="577"/>
      <c r="D77" s="580" t="s">
        <v>305</v>
      </c>
      <c r="E77" s="580"/>
      <c r="F77" s="582">
        <f>SUM(F75:F76)</f>
        <v>477252.09079502</v>
      </c>
      <c r="I77" s="421" t="s">
        <v>306</v>
      </c>
      <c r="J77" s="421">
        <v>23214.7733999999</v>
      </c>
    </row>
    <row r="78" s="421" customFormat="1" spans="1:10">
      <c r="A78" s="585" t="s">
        <v>307</v>
      </c>
      <c r="B78" s="585"/>
      <c r="C78" s="586" t="e">
        <f>SUM(C59:C77)</f>
        <v>#REF!</v>
      </c>
      <c r="D78" s="585" t="s">
        <v>308</v>
      </c>
      <c r="E78" s="585"/>
      <c r="F78" s="586" t="e">
        <f>F74+F77</f>
        <v>#REF!</v>
      </c>
      <c r="I78" s="421" t="s">
        <v>309</v>
      </c>
      <c r="J78" s="421">
        <v>66274.9524380997</v>
      </c>
    </row>
    <row r="79" s="421" customFormat="1" spans="1:10">
      <c r="F79" s="587" t="e">
        <f>C78-F78</f>
        <v>#REF!</v>
      </c>
      <c r="G79" s="566"/>
    </row>
    <row r="80" spans="1:10">
      <c r="F80" s="588"/>
    </row>
  </sheetData>
  <mergeCells count="4">
    <mergeCell ref="A1:F1"/>
    <mergeCell ref="A8:B8"/>
    <mergeCell ref="A11:F11"/>
    <mergeCell ref="A27:B27"/>
  </mergeCells>
  <pageMargins left="0.7" right="0.7" top="0.75" bottom="0.75" header="0.3" footer="0.3"/>
  <pageSetup paperSize="9" orientation="portrait"/>
  <headerFooter/>
  <ignoredErrors>
    <ignoredError sqref="E14 E21 E2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H98"/>
  <sheetViews>
    <sheetView tabSelected="1" workbookViewId="0">
      <pane xSplit="6" ySplit="2" topLeftCell="G45" activePane="bottomRight" state="frozen"/>
      <selection/>
      <selection pane="topRight"/>
      <selection pane="bottomLeft"/>
      <selection pane="bottomRight" activeCell="E49" sqref="E49"/>
    </sheetView>
  </sheetViews>
  <sheetFormatPr defaultColWidth="9" defaultRowHeight="13.5"/>
  <cols>
    <col min="1" max="1" width="4.25833333333333" style="138" customWidth="1"/>
    <col min="2" max="2" width="11.6333333333333" style="138" customWidth="1"/>
    <col min="3" max="4" width="11.875" style="138" customWidth="1"/>
    <col min="5" max="5" width="12.625" style="138" customWidth="1"/>
    <col min="6" max="6" width="8.25833333333333" style="138" customWidth="1"/>
    <col min="7" max="7" width="10.6666666666667" style="138" customWidth="1"/>
    <col min="8" max="8" width="14.125" style="138" customWidth="1"/>
    <col min="9" max="9" width="12.625" style="138" customWidth="1"/>
    <col min="10" max="10" width="13.125" style="508" customWidth="1"/>
    <col min="11" max="11" width="12" style="138" customWidth="1"/>
    <col min="12" max="13" width="11.8916666666667" style="138" customWidth="1"/>
    <col min="14" max="14" width="10.875" style="138" customWidth="1"/>
    <col min="15" max="15" width="12.125" style="138" customWidth="1"/>
    <col min="16" max="16" width="9.5" style="138" customWidth="1"/>
    <col min="17" max="17" width="10.2583333333333" style="138" customWidth="1"/>
    <col min="18" max="18" width="10.375" style="138" customWidth="1"/>
    <col min="19" max="19" width="10.6666666666667" style="138" customWidth="1"/>
    <col min="20" max="20" width="11.375" style="138" customWidth="1"/>
    <col min="21" max="22" width="11.8916666666667" style="138" customWidth="1"/>
    <col min="23" max="26" width="12.5" style="138" customWidth="1"/>
    <col min="27" max="27" width="12.1333333333333" style="509" customWidth="1"/>
    <col min="28" max="28" width="14.9" style="106" customWidth="1"/>
    <col min="29" max="29" width="14.1083333333333" style="138" customWidth="1"/>
    <col min="30" max="30" width="14.4416666666667" style="138"/>
    <col min="31" max="31" width="13.7583333333333" style="138"/>
    <col min="32" max="32" width="9.66666666666667" style="138"/>
    <col min="33" max="16384" width="9" style="138"/>
  </cols>
  <sheetData>
    <row r="1" s="138" customFormat="1" ht="27" customHeight="1" spans="1:31">
      <c r="A1" s="510" t="s">
        <v>310</v>
      </c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  <c r="O1" s="511"/>
      <c r="P1" s="511"/>
      <c r="Q1" s="511"/>
      <c r="R1" s="511"/>
      <c r="S1" s="511"/>
      <c r="T1" s="511"/>
      <c r="U1" s="511"/>
      <c r="V1" s="511"/>
      <c r="W1" s="511"/>
      <c r="X1" s="511"/>
      <c r="Y1" s="511"/>
      <c r="Z1" s="511"/>
      <c r="AA1" s="511"/>
      <c r="AB1" s="511"/>
      <c r="AC1" s="511"/>
      <c r="AD1" s="511"/>
    </row>
    <row r="2" s="137" customFormat="1" ht="33" customHeight="1" spans="1:31">
      <c r="A2" s="512" t="s">
        <v>2</v>
      </c>
      <c r="B2" s="513" t="s">
        <v>3</v>
      </c>
      <c r="C2" s="513" t="s">
        <v>311</v>
      </c>
      <c r="D2" s="513" t="s">
        <v>25</v>
      </c>
      <c r="E2" s="512" t="s">
        <v>312</v>
      </c>
      <c r="F2" s="512" t="s">
        <v>313</v>
      </c>
      <c r="G2" s="513" t="s">
        <v>314</v>
      </c>
      <c r="H2" s="513" t="s">
        <v>315</v>
      </c>
      <c r="I2" s="513" t="s">
        <v>316</v>
      </c>
      <c r="J2" s="513" t="s">
        <v>317</v>
      </c>
      <c r="K2" s="514" t="s">
        <v>318</v>
      </c>
      <c r="L2" s="513" t="s">
        <v>28</v>
      </c>
      <c r="M2" s="513" t="s">
        <v>319</v>
      </c>
      <c r="N2" s="513" t="s">
        <v>246</v>
      </c>
      <c r="O2" s="513" t="s">
        <v>247</v>
      </c>
      <c r="P2" s="513" t="s">
        <v>248</v>
      </c>
      <c r="Q2" s="513" t="s">
        <v>29</v>
      </c>
      <c r="R2" s="513" t="s">
        <v>320</v>
      </c>
      <c r="S2" s="513" t="s">
        <v>321</v>
      </c>
      <c r="T2" s="513" t="s">
        <v>39</v>
      </c>
      <c r="U2" s="513" t="s">
        <v>35</v>
      </c>
      <c r="V2" s="513" t="s">
        <v>322</v>
      </c>
      <c r="W2" s="513" t="s">
        <v>323</v>
      </c>
      <c r="X2" s="513" t="s">
        <v>33</v>
      </c>
      <c r="Y2" s="513" t="s">
        <v>26</v>
      </c>
      <c r="Z2" s="513" t="s">
        <v>41</v>
      </c>
      <c r="AA2" s="512" t="s">
        <v>324</v>
      </c>
      <c r="AB2" s="513" t="s">
        <v>325</v>
      </c>
      <c r="AC2" s="513" t="s">
        <v>16</v>
      </c>
      <c r="AD2" s="513" t="s">
        <v>256</v>
      </c>
    </row>
    <row r="3" s="106" customFormat="1" ht="20" customHeight="1" spans="1:31">
      <c r="A3" s="344">
        <v>1</v>
      </c>
      <c r="B3" s="494" t="s">
        <v>45</v>
      </c>
      <c r="C3" s="122" t="s">
        <v>49</v>
      </c>
      <c r="D3" s="7" t="s">
        <v>193</v>
      </c>
      <c r="E3" s="515" t="s">
        <v>326</v>
      </c>
      <c r="F3" s="515">
        <f>COUNTIFS(磅单!E:E,B3)</f>
        <v>1</v>
      </c>
      <c r="G3" s="439">
        <f>SUMIFS(磅单!L:L,磅单!F:F,B3)</f>
        <v>41.74</v>
      </c>
      <c r="H3" s="439">
        <f>SUMIFS(磅单!O:O,磅单!F:F,B3)</f>
        <v>2546.14</v>
      </c>
      <c r="I3" s="439"/>
      <c r="J3" s="439">
        <f>SUMIFS(现金充电明细!L:L,现金充电明细!B:B,B3)+SUMIFS('华瑞-曙光，大水井，老水井充电站'!L:L,'华瑞-曙光，大水井，老水井充电站'!B:B,B3)+SUMIFS('银盛-青龙坪充电站'!L:L,'银盛-青龙坪充电站'!B:B,B3)+SUMIFS('砚山锦佳-砚山充电站'!K:K,'砚山锦佳-砚山充电站'!B:B,B3)+SUMIFS(中石油广西百色靖西市龙临加油充电站!K:K,中石油广西百色靖西市龙临加油充电站!B:B,B3)+SUMIFS(德保众擎充电站!L:L,德保众擎充电站!B:B,B3)+SUMIFS(南网八宝充电站!K:K,南网八宝充电站!B:B,B3)+SUMIFS(南屏充电站!K:K,南屏充电站!B:B,B3)+SUMIFS(鑫鸿充电站!K:K,鑫鸿充电站!B:B,B3)+SUMIFS('锦田-百色田东充电站'!K:K,'锦田-百色田东充电站'!B:B,B3)+37.06/47+SUMIFS(平远充电站!K:K,平远充电站!B:B,B3)</f>
        <v>1091.9085106383</v>
      </c>
      <c r="K3" s="516">
        <f t="shared" ref="K3:K56" si="0">J3/(H3)</f>
        <v>0.428848574955932</v>
      </c>
      <c r="L3" s="439">
        <f t="shared" ref="L3:L56" si="1">J3/F3</f>
        <v>1091.9085106383</v>
      </c>
      <c r="M3" s="439"/>
      <c r="N3" s="439">
        <f>13473.8/61</f>
        <v>220.881967213115</v>
      </c>
      <c r="O3" s="439">
        <f>SUMIFS(轮胎!H:H,轮胎!D:D,B3)+SUMIFS(轮胎!H:H,轮胎!D:D,C3)</f>
        <v>0</v>
      </c>
      <c r="P3" s="439">
        <v>0</v>
      </c>
      <c r="Q3" s="439">
        <f>SUMIFS(维修费!E:E,维修费!C:C,B3)+SUMIFS(维修费!E:E,维修费!C:C,C3)</f>
        <v>12500</v>
      </c>
      <c r="R3" s="439">
        <f>SUMIFS(磅单!R:R,磅单!F:F,B3)</f>
        <v>600</v>
      </c>
      <c r="S3" s="439">
        <f>SUMIFS(司机工资表!E:E,司机工资表!B:B,D3)+SUMIFS(司机工资表!N:N,司机工资表!B:B,D3)</f>
        <v>0</v>
      </c>
      <c r="T3" s="517">
        <f>SUMIFS(付款明细!G:G,付款明细!D:D,B3,付款明细!B:B,"车队-罚款")</f>
        <v>0</v>
      </c>
      <c r="U3" s="517">
        <f>SUMIFS(付款明细!G:G,付款明细!D:D,B3,付款明细!B:B,"车辆费用")+SUMIFS(付款明细!G:G,付款明细!D:D,C3,付款明细!B:B,"车辆费用")</f>
        <v>0</v>
      </c>
      <c r="V3" s="439">
        <f>SUMIFS(付款明细!G:G,付款明细!B:B,"综合费用")/61</f>
        <v>397.392459016393</v>
      </c>
      <c r="W3" s="439">
        <v>2666</v>
      </c>
      <c r="X3" s="518"/>
      <c r="Y3" s="439">
        <f>SUMIFS(磅单!P:P,磅单!E:E,B3)</f>
        <v>15</v>
      </c>
      <c r="Z3" s="439">
        <f>H3*0.07-M3</f>
        <v>178.2298</v>
      </c>
      <c r="AA3" s="519">
        <v>10600</v>
      </c>
      <c r="AB3" s="439">
        <f>3800</f>
        <v>3800</v>
      </c>
      <c r="AC3" s="438">
        <f>(管理人员工资!$D$10+管理人员工资!$E$10)/61</f>
        <v>790.16393442623</v>
      </c>
      <c r="AD3" s="517">
        <f>H3-I3-J3-N3-O3-R3-S3-T3-U3-V3-W3-AA3-AB3-AC3-Q3-P3-Z3-Y3-X3</f>
        <v>-30313.436671294</v>
      </c>
    </row>
    <row r="4" s="106" customFormat="1" ht="20" customHeight="1" spans="1:31">
      <c r="A4" s="344">
        <v>2</v>
      </c>
      <c r="B4" s="494" t="s">
        <v>51</v>
      </c>
      <c r="C4" s="122" t="s">
        <v>53</v>
      </c>
      <c r="D4" s="122" t="s">
        <v>52</v>
      </c>
      <c r="E4" s="515" t="s">
        <v>326</v>
      </c>
      <c r="F4" s="515">
        <f>COUNTIFS(磅单!E:E,B4)</f>
        <v>19</v>
      </c>
      <c r="G4" s="439">
        <f>SUMIFS(磅单!L:L,磅单!F:F,B4)</f>
        <v>805.2</v>
      </c>
      <c r="H4" s="439">
        <f>SUMIFS(磅单!O:O,磅单!F:F,B4)</f>
        <v>50229.42</v>
      </c>
      <c r="I4" s="439"/>
      <c r="J4" s="439">
        <f>SUMIFS(现金充电明细!L:L,现金充电明细!B:B,B4)+SUMIFS('华瑞-曙光，大水井，老水井充电站'!L:L,'华瑞-曙光，大水井，老水井充电站'!B:B,B4)+SUMIFS('银盛-青龙坪充电站'!L:L,'银盛-青龙坪充电站'!B:B,B4)+SUMIFS('砚山锦佳-砚山充电站'!K:K,'砚山锦佳-砚山充电站'!B:B,B4)+SUMIFS(中石油广西百色靖西市龙临加油充电站!K:K,中石油广西百色靖西市龙临加油充电站!B:B,B4)+SUMIFS(德保众擎充电站!L:L,德保众擎充电站!B:B,B4)+SUMIFS(南网八宝充电站!K:K,南网八宝充电站!B:B,B4)+SUMIFS(南屏充电站!K:K,南屏充电站!B:B,B4)+SUMIFS(鑫鸿充电站!K:K,鑫鸿充电站!B:B,B4)+SUMIFS('锦田-百色田东充电站'!K:K,'锦田-百色田东充电站'!B:B,B4)+37.06/47+SUMIFS(平远充电站!K:K,平远充电站!B:B,B4)</f>
        <v>16063.7730606383</v>
      </c>
      <c r="K4" s="516">
        <f t="shared" si="0"/>
        <v>0.319808053938076</v>
      </c>
      <c r="L4" s="439">
        <f t="shared" si="1"/>
        <v>845.461740033595</v>
      </c>
      <c r="M4" s="439"/>
      <c r="N4" s="439">
        <f t="shared" ref="N4:N13" si="2">13473.8/61</f>
        <v>220.881967213115</v>
      </c>
      <c r="O4" s="439">
        <f>SUMIFS(轮胎!H:H,轮胎!D:D,B4)+SUMIFS(轮胎!H:H,轮胎!D:D,C4)</f>
        <v>0</v>
      </c>
      <c r="P4" s="439">
        <v>0</v>
      </c>
      <c r="Q4" s="439">
        <f>SUMIFS(维修费!E:E,维修费!C:C,B4)+SUMIFS(维修费!E:E,维修费!C:C,C4)</f>
        <v>510</v>
      </c>
      <c r="R4" s="439">
        <f>SUMIFS(磅单!R:R,磅单!F:F,B4)</f>
        <v>11800</v>
      </c>
      <c r="S4" s="439">
        <f>SUMIFS(司机工资表!E:E,司机工资表!B:B,D4)+SUMIFS(司机工资表!N:N,司机工资表!B:B,D4)</f>
        <v>0</v>
      </c>
      <c r="T4" s="517">
        <f>SUMIFS(付款明细!G:G,付款明细!D:D,B4,付款明细!B:B,"车队-罚款")</f>
        <v>120</v>
      </c>
      <c r="U4" s="517">
        <f>SUMIFS(付款明细!G:G,付款明细!D:D,B4,付款明细!B:B,"车辆费用")+SUMIFS(付款明细!G:G,付款明细!D:D,C4,付款明细!B:B,"车辆费用")</f>
        <v>467</v>
      </c>
      <c r="V4" s="439">
        <f>SUMIFS(付款明细!G:G,付款明细!B:B,"综合费用")/61</f>
        <v>397.392459016393</v>
      </c>
      <c r="W4" s="439">
        <v>2666</v>
      </c>
      <c r="X4" s="518"/>
      <c r="Y4" s="439">
        <f>SUMIFS(磅单!P:P,磅单!E:E,B4)</f>
        <v>285</v>
      </c>
      <c r="Z4" s="439">
        <f t="shared" ref="Z3:Z61" si="3">H4*0.07-M4</f>
        <v>3516.0594</v>
      </c>
      <c r="AA4" s="519">
        <v>10600</v>
      </c>
      <c r="AB4" s="439">
        <f>3800</f>
        <v>3800</v>
      </c>
      <c r="AC4" s="438">
        <f>(管理人员工资!$D$10+管理人员工资!$E$10)/61</f>
        <v>790.16393442623</v>
      </c>
      <c r="AD4" s="517">
        <f t="shared" ref="AD4:AD35" si="4">H4-I4-J4-N4-O4-R4-S4-T4-U4-V4-W4-AA4-AB4-AC4-Q4-P4-Z4-Y4-X4</f>
        <v>-1006.85082129403</v>
      </c>
    </row>
    <row r="5" s="106" customFormat="1" ht="20" customHeight="1" spans="1:31">
      <c r="A5" s="344">
        <v>3</v>
      </c>
      <c r="B5" s="494" t="s">
        <v>54</v>
      </c>
      <c r="C5" s="122" t="s">
        <v>56</v>
      </c>
      <c r="D5" s="122" t="s">
        <v>55</v>
      </c>
      <c r="E5" s="515" t="s">
        <v>326</v>
      </c>
      <c r="F5" s="515">
        <f>COUNTIFS(磅单!E:E,B5)</f>
        <v>21</v>
      </c>
      <c r="G5" s="439">
        <f>SUMIFS(磅单!L:L,磅单!F:F,B5)</f>
        <v>893.18</v>
      </c>
      <c r="H5" s="439">
        <f>SUMIFS(磅单!O:O,磅单!F:F,B5)</f>
        <v>55301.38</v>
      </c>
      <c r="I5" s="439"/>
      <c r="J5" s="439">
        <f>SUMIFS(现金充电明细!L:L,现金充电明细!B:B,B5)+SUMIFS('华瑞-曙光，大水井，老水井充电站'!L:L,'华瑞-曙光，大水井，老水井充电站'!B:B,B5)+SUMIFS('银盛-青龙坪充电站'!L:L,'银盛-青龙坪充电站'!B:B,B5)+SUMIFS('砚山锦佳-砚山充电站'!K:K,'砚山锦佳-砚山充电站'!B:B,B5)+SUMIFS(中石油广西百色靖西市龙临加油充电站!K:K,中石油广西百色靖西市龙临加油充电站!B:B,B5)+SUMIFS(德保众擎充电站!L:L,德保众擎充电站!B:B,B5)+SUMIFS(南网八宝充电站!K:K,南网八宝充电站!B:B,B5)+SUMIFS(南屏充电站!K:K,南屏充电站!B:B,B5)+SUMIFS(鑫鸿充电站!K:K,鑫鸿充电站!B:B,B5)+SUMIFS('锦田-百色田东充电站'!K:K,'锦田-百色田东充电站'!B:B,B5)+37.06/47+SUMIFS(平远充电站!K:K,平远充电站!B:B,B5)</f>
        <v>17389.0206106383</v>
      </c>
      <c r="K5" s="516">
        <f t="shared" si="0"/>
        <v>0.314440988825926</v>
      </c>
      <c r="L5" s="439">
        <f t="shared" si="1"/>
        <v>828.048600506586</v>
      </c>
      <c r="M5" s="439"/>
      <c r="N5" s="439">
        <f t="shared" si="2"/>
        <v>220.881967213115</v>
      </c>
      <c r="O5" s="439">
        <f>SUMIFS(轮胎!H:H,轮胎!D:D,B5)+SUMIFS(轮胎!H:H,轮胎!D:D,C5)</f>
        <v>7130</v>
      </c>
      <c r="P5" s="439">
        <v>0</v>
      </c>
      <c r="Q5" s="439">
        <f>SUMIFS(维修费!E:E,维修费!C:C,B5)+SUMIFS(维修费!E:E,维修费!C:C,C5)</f>
        <v>800</v>
      </c>
      <c r="R5" s="439">
        <f>SUMIFS(磅单!R:R,磅单!F:F,B5)</f>
        <v>13000</v>
      </c>
      <c r="S5" s="439">
        <f>SUMIFS(司机工资表!E:E,司机工资表!B:B,D5)+SUMIFS(司机工资表!N:N,司机工资表!B:B,D5)</f>
        <v>200</v>
      </c>
      <c r="T5" s="517">
        <f>SUMIFS(付款明细!G:G,付款明细!D:D,B5,付款明细!B:B,"车队-罚款")</f>
        <v>400</v>
      </c>
      <c r="U5" s="517">
        <f>SUMIFS(付款明细!G:G,付款明细!D:D,B5,付款明细!B:B,"车辆费用")+SUMIFS(付款明细!G:G,付款明细!D:D,C5,付款明细!B:B,"车辆费用")</f>
        <v>544</v>
      </c>
      <c r="V5" s="439">
        <f>SUMIFS(付款明细!G:G,付款明细!B:B,"综合费用")/61</f>
        <v>397.392459016393</v>
      </c>
      <c r="W5" s="439">
        <v>2666</v>
      </c>
      <c r="X5" s="518"/>
      <c r="Y5" s="439">
        <f>SUMIFS(磅单!P:P,磅单!E:E,B5)</f>
        <v>315</v>
      </c>
      <c r="Z5" s="439">
        <f t="shared" si="3"/>
        <v>3871.0966</v>
      </c>
      <c r="AA5" s="519">
        <v>10600</v>
      </c>
      <c r="AB5" s="439">
        <f t="shared" ref="AB4:AB13" si="5">3800</f>
        <v>3800</v>
      </c>
      <c r="AC5" s="438">
        <f>(管理人员工资!$D$10+管理人员工资!$E$10)/61</f>
        <v>790.16393442623</v>
      </c>
      <c r="AD5" s="517">
        <f t="shared" si="4"/>
        <v>-6822.17557129404</v>
      </c>
      <c r="AE5" s="520"/>
    </row>
    <row r="6" s="106" customFormat="1" ht="20" customHeight="1" spans="1:31">
      <c r="A6" s="344">
        <v>4</v>
      </c>
      <c r="B6" s="37" t="s">
        <v>57</v>
      </c>
      <c r="C6" s="122" t="s">
        <v>59</v>
      </c>
      <c r="D6" s="122" t="s">
        <v>58</v>
      </c>
      <c r="E6" s="515" t="s">
        <v>326</v>
      </c>
      <c r="F6" s="515">
        <f>COUNTIFS(磅单!E:E,B6)</f>
        <v>19</v>
      </c>
      <c r="G6" s="439">
        <f>SUMIFS(磅单!L:L,磅单!F:F,B6)</f>
        <v>782.99</v>
      </c>
      <c r="H6" s="439">
        <f>SUMIFS(磅单!O:O,磅单!F:F,B6)</f>
        <v>46796.27</v>
      </c>
      <c r="I6" s="439"/>
      <c r="J6" s="439">
        <f>SUMIFS(现金充电明细!L:L,现金充电明细!B:B,B6)+SUMIFS('华瑞-曙光，大水井，老水井充电站'!L:L,'华瑞-曙光，大水井，老水井充电站'!B:B,B6)+SUMIFS('银盛-青龙坪充电站'!L:L,'银盛-青龙坪充电站'!B:B,B6)+SUMIFS('砚山锦佳-砚山充电站'!K:K,'砚山锦佳-砚山充电站'!B:B,B6)+SUMIFS(中石油广西百色靖西市龙临加油充电站!K:K,中石油广西百色靖西市龙临加油充电站!B:B,B6)+SUMIFS(德保众擎充电站!L:L,德保众擎充电站!B:B,B6)+SUMIFS(南网八宝充电站!K:K,南网八宝充电站!B:B,B6)+SUMIFS(南屏充电站!K:K,南屏充电站!B:B,B6)+SUMIFS(鑫鸿充电站!K:K,鑫鸿充电站!B:B,B6)+SUMIFS('锦田-百色田东充电站'!K:K,'锦田-百色田东充电站'!B:B,B6)+37.06/47+SUMIFS(平远充电站!K:K,平远充电站!B:B,B6)</f>
        <v>15004.9035606383</v>
      </c>
      <c r="K6" s="516">
        <f t="shared" si="0"/>
        <v>0.320643152982883</v>
      </c>
      <c r="L6" s="439">
        <f t="shared" si="1"/>
        <v>789.731766349384</v>
      </c>
      <c r="M6" s="439"/>
      <c r="N6" s="439">
        <f t="shared" si="2"/>
        <v>220.881967213115</v>
      </c>
      <c r="O6" s="439">
        <f>SUMIFS(轮胎!H:H,轮胎!D:D,B6)+SUMIFS(轮胎!H:H,轮胎!D:D,C6)</f>
        <v>0</v>
      </c>
      <c r="P6" s="439">
        <v>0</v>
      </c>
      <c r="Q6" s="439">
        <f>SUMIFS(维修费!E:E,维修费!C:C,B6)+SUMIFS(维修费!E:E,维修费!C:C,C6)</f>
        <v>1120</v>
      </c>
      <c r="R6" s="439">
        <f>SUMIFS(磅单!R:R,磅单!F:F,B6)</f>
        <v>11400</v>
      </c>
      <c r="S6" s="439">
        <f>SUMIFS(司机工资表!E:E,司机工资表!B:B,D6)+SUMIFS(司机工资表!N:N,司机工资表!B:B,D6)</f>
        <v>200</v>
      </c>
      <c r="T6" s="517">
        <f>SUMIFS(付款明细!G:G,付款明细!D:D,B6,付款明细!B:B,"车队-罚款")</f>
        <v>440</v>
      </c>
      <c r="U6" s="517">
        <f>SUMIFS(付款明细!G:G,付款明细!D:D,B6,付款明细!B:B,"车辆费用")+SUMIFS(付款明细!G:G,付款明细!D:D,C6,付款明细!B:B,"车辆费用")</f>
        <v>636</v>
      </c>
      <c r="V6" s="439">
        <f>SUMIFS(付款明细!G:G,付款明细!B:B,"综合费用")/61</f>
        <v>397.392459016393</v>
      </c>
      <c r="W6" s="439">
        <v>2666</v>
      </c>
      <c r="X6" s="518"/>
      <c r="Y6" s="439">
        <f>SUMIFS(磅单!P:P,磅单!E:E,B6)</f>
        <v>285</v>
      </c>
      <c r="Z6" s="439">
        <f t="shared" si="3"/>
        <v>3275.7389</v>
      </c>
      <c r="AA6" s="519">
        <v>10600</v>
      </c>
      <c r="AB6" s="439">
        <f t="shared" si="5"/>
        <v>3800</v>
      </c>
      <c r="AC6" s="438">
        <f>(管理人员工资!$D$10+管理人员工资!$E$10)/61</f>
        <v>790.16393442623</v>
      </c>
      <c r="AD6" s="517">
        <f t="shared" si="4"/>
        <v>-4039.81082129404</v>
      </c>
    </row>
    <row r="7" s="106" customFormat="1" ht="20" customHeight="1" spans="1:31">
      <c r="A7" s="344">
        <v>5</v>
      </c>
      <c r="B7" s="37" t="s">
        <v>60</v>
      </c>
      <c r="C7" s="74" t="s">
        <v>62</v>
      </c>
      <c r="D7" s="74" t="s">
        <v>61</v>
      </c>
      <c r="E7" s="515" t="s">
        <v>326</v>
      </c>
      <c r="F7" s="515">
        <f>COUNTIFS(磅单!E:E,B7)</f>
        <v>20</v>
      </c>
      <c r="G7" s="439">
        <f>SUMIFS(磅单!L:L,磅单!F:F,B7)</f>
        <v>820.18</v>
      </c>
      <c r="H7" s="439">
        <f>SUMIFS(磅单!O:O,磅单!F:F,B7)</f>
        <v>50875.58</v>
      </c>
      <c r="I7" s="439">
        <v>50</v>
      </c>
      <c r="J7" s="439">
        <f>SUMIFS(现金充电明细!L:L,现金充电明细!B:B,B7)+SUMIFS('华瑞-曙光，大水井，老水井充电站'!L:L,'华瑞-曙光，大水井，老水井充电站'!B:B,B7)+SUMIFS('银盛-青龙坪充电站'!L:L,'银盛-青龙坪充电站'!B:B,B7)+SUMIFS('砚山锦佳-砚山充电站'!K:K,'砚山锦佳-砚山充电站'!B:B,B7)+SUMIFS(中石油广西百色靖西市龙临加油充电站!K:K,中石油广西百色靖西市龙临加油充电站!B:B,B7)+SUMIFS(德保众擎充电站!L:L,德保众擎充电站!B:B,B7)+SUMIFS(南网八宝充电站!K:K,南网八宝充电站!B:B,B7)+SUMIFS(南屏充电站!K:K,南屏充电站!B:B,B7)+SUMIFS(鑫鸿充电站!K:K,鑫鸿充电站!B:B,B7)+SUMIFS('锦田-百色田东充电站'!K:K,'锦田-百色田东充电站'!B:B,B7)+37.06/47+SUMIFS(平远充电站!K:K,平远充电站!B:B,B7)</f>
        <v>16613.9325106383</v>
      </c>
      <c r="K7" s="516">
        <f t="shared" si="0"/>
        <v>0.326560061047723</v>
      </c>
      <c r="L7" s="439">
        <f t="shared" si="1"/>
        <v>830.696625531915</v>
      </c>
      <c r="M7" s="439"/>
      <c r="N7" s="439">
        <f t="shared" si="2"/>
        <v>220.881967213115</v>
      </c>
      <c r="O7" s="439">
        <f>SUMIFS(轮胎!H:H,轮胎!D:D,B7)+SUMIFS(轮胎!H:H,轮胎!D:D,C7)</f>
        <v>7130</v>
      </c>
      <c r="P7" s="439">
        <v>0</v>
      </c>
      <c r="Q7" s="439">
        <f>SUMIFS(维修费!E:E,维修费!C:C,B7)+SUMIFS(维修费!E:E,维修费!C:C,C7)</f>
        <v>670</v>
      </c>
      <c r="R7" s="439">
        <f>SUMIFS(磅单!R:R,磅单!F:F,B7)</f>
        <v>12200</v>
      </c>
      <c r="S7" s="439">
        <f>SUMIFS(司机工资表!E:E,司机工资表!B:B,D7)+SUMIFS(司机工资表!N:N,司机工资表!B:B,D7)</f>
        <v>0</v>
      </c>
      <c r="T7" s="517">
        <f>SUMIFS(付款明细!G:G,付款明细!D:D,B7,付款明细!B:B,"车队-罚款")</f>
        <v>200</v>
      </c>
      <c r="U7" s="517">
        <f>SUMIFS(付款明细!G:G,付款明细!D:D,B7,付款明细!B:B,"车辆费用")+SUMIFS(付款明细!G:G,付款明细!D:D,C7,付款明细!B:B,"车辆费用")</f>
        <v>422</v>
      </c>
      <c r="V7" s="439">
        <f>SUMIFS(付款明细!G:G,付款明细!B:B,"综合费用")/61</f>
        <v>397.392459016393</v>
      </c>
      <c r="W7" s="439">
        <v>2666</v>
      </c>
      <c r="X7" s="518"/>
      <c r="Y7" s="439">
        <f>SUMIFS(磅单!P:P,磅单!E:E,B7)</f>
        <v>300</v>
      </c>
      <c r="Z7" s="439">
        <f t="shared" si="3"/>
        <v>3561.2906</v>
      </c>
      <c r="AA7" s="519">
        <v>10600</v>
      </c>
      <c r="AB7" s="439">
        <f t="shared" si="5"/>
        <v>3800</v>
      </c>
      <c r="AC7" s="438">
        <f>(管理人员工资!$D$10+管理人员工资!$E$10)/61</f>
        <v>790.16393442623</v>
      </c>
      <c r="AD7" s="517">
        <f t="shared" si="4"/>
        <v>-8746.08147129403</v>
      </c>
    </row>
    <row r="8" s="106" customFormat="1" ht="20" customHeight="1" spans="1:31">
      <c r="A8" s="344">
        <v>6</v>
      </c>
      <c r="B8" s="37" t="s">
        <v>63</v>
      </c>
      <c r="C8" s="122" t="s">
        <v>65</v>
      </c>
      <c r="D8" s="37" t="s">
        <v>327</v>
      </c>
      <c r="E8" s="515" t="s">
        <v>326</v>
      </c>
      <c r="F8" s="515">
        <f>COUNTIFS(磅单!E:E,B8)</f>
        <v>19</v>
      </c>
      <c r="G8" s="439">
        <f>SUMIFS(磅单!L:L,磅单!F:F,B8)</f>
        <v>769.79</v>
      </c>
      <c r="H8" s="439">
        <f>SUMIFS(磅单!O:O,磅单!F:F,B8)</f>
        <v>48095.53</v>
      </c>
      <c r="I8" s="439"/>
      <c r="J8" s="439">
        <f>SUMIFS(现金充电明细!L:L,现金充电明细!B:B,B8)+SUMIFS('华瑞-曙光，大水井，老水井充电站'!L:L,'华瑞-曙光，大水井，老水井充电站'!B:B,B8)+SUMIFS('银盛-青龙坪充电站'!L:L,'银盛-青龙坪充电站'!B:B,B8)+SUMIFS('砚山锦佳-砚山充电站'!K:K,'砚山锦佳-砚山充电站'!B:B,B8)+SUMIFS(中石油广西百色靖西市龙临加油充电站!K:K,中石油广西百色靖西市龙临加油充电站!B:B,B8)+SUMIFS(德保众擎充电站!L:L,德保众擎充电站!B:B,B8)+SUMIFS(南网八宝充电站!K:K,南网八宝充电站!B:B,B8)+SUMIFS(南屏充电站!K:K,南屏充电站!B:B,B8)+SUMIFS(鑫鸿充电站!K:K,鑫鸿充电站!B:B,B8)+SUMIFS('锦田-百色田东充电站'!K:K,'锦田-百色田东充电站'!B:B,B8)+37.06/47+SUMIFS(平远充电站!K:K,平远充电站!B:B,B8)</f>
        <v>14132.4886106383</v>
      </c>
      <c r="K8" s="516">
        <f t="shared" si="0"/>
        <v>0.293842039179905</v>
      </c>
      <c r="L8" s="439">
        <f t="shared" si="1"/>
        <v>743.815190033595</v>
      </c>
      <c r="M8" s="439"/>
      <c r="N8" s="439">
        <f t="shared" si="2"/>
        <v>220.881967213115</v>
      </c>
      <c r="O8" s="439">
        <f>SUMIFS(轮胎!H:H,轮胎!D:D,B8)+SUMIFS(轮胎!H:H,轮胎!D:D,C8)</f>
        <v>900</v>
      </c>
      <c r="P8" s="439">
        <v>0</v>
      </c>
      <c r="Q8" s="439">
        <f>SUMIFS(维修费!E:E,维修费!C:C,B8)+SUMIFS(维修费!E:E,维修费!C:C,C8)</f>
        <v>415</v>
      </c>
      <c r="R8" s="439">
        <f>SUMIFS(磅单!R:R,磅单!F:F,B8)</f>
        <v>11800</v>
      </c>
      <c r="S8" s="439">
        <f>SUMIFS(司机工资表!E:E,司机工资表!B:B,D8)+SUMIFS(司机工资表!N:N,司机工资表!B:B,D8)</f>
        <v>0</v>
      </c>
      <c r="T8" s="517">
        <f>SUMIFS(付款明细!G:G,付款明细!D:D,B8,付款明细!B:B,"车队-罚款")</f>
        <v>0</v>
      </c>
      <c r="U8" s="517">
        <f>SUMIFS(付款明细!G:G,付款明细!D:D,B8,付款明细!B:B,"车辆费用")+SUMIFS(付款明细!G:G,付款明细!D:D,C8,付款明细!B:B,"车辆费用")</f>
        <v>581</v>
      </c>
      <c r="V8" s="439">
        <f>SUMIFS(付款明细!G:G,付款明细!B:B,"综合费用")/61</f>
        <v>397.392459016393</v>
      </c>
      <c r="W8" s="439">
        <v>2666</v>
      </c>
      <c r="X8" s="518"/>
      <c r="Y8" s="439">
        <f>SUMIFS(磅单!P:P,磅单!E:E,B8)</f>
        <v>285</v>
      </c>
      <c r="Z8" s="439">
        <f t="shared" si="3"/>
        <v>3366.6871</v>
      </c>
      <c r="AA8" s="519">
        <v>10600</v>
      </c>
      <c r="AB8" s="439">
        <f t="shared" si="5"/>
        <v>3800</v>
      </c>
      <c r="AC8" s="438">
        <f>(管理人员工资!$D$10+管理人员工资!$E$10)/61</f>
        <v>790.16393442623</v>
      </c>
      <c r="AD8" s="517">
        <f t="shared" si="4"/>
        <v>-1859.08407129405</v>
      </c>
    </row>
    <row r="9" s="106" customFormat="1" ht="20" customHeight="1" spans="1:31">
      <c r="A9" s="344">
        <v>7</v>
      </c>
      <c r="B9" s="37" t="s">
        <v>66</v>
      </c>
      <c r="C9" s="122" t="s">
        <v>68</v>
      </c>
      <c r="D9" s="37" t="s">
        <v>67</v>
      </c>
      <c r="E9" s="515" t="s">
        <v>326</v>
      </c>
      <c r="F9" s="515">
        <f>COUNTIFS(磅单!E:E,B9)</f>
        <v>18</v>
      </c>
      <c r="G9" s="439">
        <f>SUMIFS(磅单!L:L,磅单!F:F,B9)</f>
        <v>789.79</v>
      </c>
      <c r="H9" s="439">
        <f>SUMIFS(磅单!O:O,磅单!F:F,B9)</f>
        <v>48659.05</v>
      </c>
      <c r="I9" s="439"/>
      <c r="J9" s="439">
        <f>SUMIFS(现金充电明细!L:L,现金充电明细!B:B,B9)+SUMIFS('华瑞-曙光，大水井，老水井充电站'!L:L,'华瑞-曙光，大水井，老水井充电站'!B:B,B9)+SUMIFS('银盛-青龙坪充电站'!L:L,'银盛-青龙坪充电站'!B:B,B9)+SUMIFS('砚山锦佳-砚山充电站'!K:K,'砚山锦佳-砚山充电站'!B:B,B9)+SUMIFS(中石油广西百色靖西市龙临加油充电站!K:K,中石油广西百色靖西市龙临加油充电站!B:B,B9)+SUMIFS(德保众擎充电站!L:L,德保众擎充电站!B:B,B9)+SUMIFS(南网八宝充电站!K:K,南网八宝充电站!B:B,B9)+SUMIFS(南屏充电站!K:K,南屏充电站!B:B,B9)+SUMIFS(鑫鸿充电站!K:K,鑫鸿充电站!B:B,B9)+SUMIFS('锦田-百色田东充电站'!K:K,'锦田-百色田东充电站'!B:B,B9)+37.06/47+SUMIFS(平远充电站!K:K,平远充电站!B:B,B9)</f>
        <v>15027.9501106383</v>
      </c>
      <c r="K9" s="516">
        <f t="shared" si="0"/>
        <v>0.308841831286026</v>
      </c>
      <c r="L9" s="439">
        <f t="shared" si="1"/>
        <v>834.886117257683</v>
      </c>
      <c r="M9" s="439"/>
      <c r="N9" s="439">
        <f t="shared" si="2"/>
        <v>220.881967213115</v>
      </c>
      <c r="O9" s="439">
        <f>SUMIFS(轮胎!H:H,轮胎!D:D,B9)+SUMIFS(轮胎!H:H,轮胎!D:D,C9)</f>
        <v>900</v>
      </c>
      <c r="P9" s="439">
        <v>0</v>
      </c>
      <c r="Q9" s="439">
        <f>SUMIFS(维修费!E:E,维修费!C:C,B9)+SUMIFS(维修费!E:E,维修费!C:C,C9)</f>
        <v>50</v>
      </c>
      <c r="R9" s="439">
        <f>SUMIFS(磅单!R:R,磅单!F:F,B9)</f>
        <v>11600</v>
      </c>
      <c r="S9" s="439">
        <f>SUMIFS(司机工资表!E:E,司机工资表!B:B,D9)+SUMIFS(司机工资表!N:N,司机工资表!B:B,D9)</f>
        <v>200</v>
      </c>
      <c r="T9" s="517">
        <f>SUMIFS(付款明细!G:G,付款明细!D:D,B9,付款明细!B:B,"车队-罚款")</f>
        <v>210</v>
      </c>
      <c r="U9" s="517">
        <f>SUMIFS(付款明细!G:G,付款明细!D:D,B9,付款明细!B:B,"车辆费用")+SUMIFS(付款明细!G:G,付款明细!D:D,C9,付款明细!B:B,"车辆费用")</f>
        <v>480</v>
      </c>
      <c r="V9" s="439">
        <f>SUMIFS(付款明细!G:G,付款明细!B:B,"综合费用")/61</f>
        <v>397.392459016393</v>
      </c>
      <c r="W9" s="439">
        <v>2666</v>
      </c>
      <c r="X9" s="518"/>
      <c r="Y9" s="439">
        <f>SUMIFS(磅单!P:P,磅单!E:E,B9)</f>
        <v>270</v>
      </c>
      <c r="Z9" s="439">
        <f t="shared" si="3"/>
        <v>3406.1335</v>
      </c>
      <c r="AA9" s="519">
        <v>10600</v>
      </c>
      <c r="AB9" s="439">
        <f t="shared" si="5"/>
        <v>3800</v>
      </c>
      <c r="AC9" s="438">
        <f>(管理人员工资!$D$10+管理人员工资!$E$10)/61</f>
        <v>790.16393442623</v>
      </c>
      <c r="AD9" s="517">
        <f t="shared" si="4"/>
        <v>-1959.47197129405</v>
      </c>
    </row>
    <row r="10" s="106" customFormat="1" ht="20" customHeight="1" spans="1:31">
      <c r="A10" s="344">
        <v>8</v>
      </c>
      <c r="B10" s="37" t="s">
        <v>69</v>
      </c>
      <c r="C10" s="122" t="s">
        <v>71</v>
      </c>
      <c r="D10" s="37" t="s">
        <v>70</v>
      </c>
      <c r="E10" s="515" t="s">
        <v>326</v>
      </c>
      <c r="F10" s="515">
        <f>COUNTIFS(磅单!E:E,B10)</f>
        <v>22</v>
      </c>
      <c r="G10" s="439">
        <f>SUMIFS(磅单!L:L,磅单!F:F,B10)</f>
        <v>928.88</v>
      </c>
      <c r="H10" s="439">
        <f>SUMIFS(磅单!O:O,磅单!F:F,B10)</f>
        <v>58792.78</v>
      </c>
      <c r="I10" s="439"/>
      <c r="J10" s="439">
        <f>SUMIFS(现金充电明细!L:L,现金充电明细!B:B,B10)+SUMIFS('华瑞-曙光，大水井，老水井充电站'!L:L,'华瑞-曙光，大水井，老水井充电站'!B:B,B10)+SUMIFS('银盛-青龙坪充电站'!L:L,'银盛-青龙坪充电站'!B:B,B10)+SUMIFS('砚山锦佳-砚山充电站'!K:K,'砚山锦佳-砚山充电站'!B:B,B10)+SUMIFS(中石油广西百色靖西市龙临加油充电站!K:K,中石油广西百色靖西市龙临加油充电站!B:B,B10)+SUMIFS(德保众擎充电站!L:L,德保众擎充电站!B:B,B10)+SUMIFS(南网八宝充电站!K:K,南网八宝充电站!B:B,B10)+SUMIFS(南屏充电站!K:K,南屏充电站!B:B,B10)+SUMIFS(鑫鸿充电站!K:K,鑫鸿充电站!B:B,B10)+SUMIFS('锦田-百色田东充电站'!K:K,'锦田-百色田东充电站'!B:B,B10)+37.06/47+SUMIFS(平远充电站!K:K,平远充电站!B:B,B10)</f>
        <v>16765.7484606383</v>
      </c>
      <c r="K10" s="516">
        <f t="shared" si="0"/>
        <v>0.285166791919659</v>
      </c>
      <c r="L10" s="439">
        <f t="shared" si="1"/>
        <v>762.079475483559</v>
      </c>
      <c r="M10" s="439"/>
      <c r="N10" s="439">
        <f t="shared" si="2"/>
        <v>220.881967213115</v>
      </c>
      <c r="O10" s="439">
        <f>SUMIFS(轮胎!H:H,轮胎!D:D,B10)+SUMIFS(轮胎!H:H,轮胎!D:D,C10)</f>
        <v>0</v>
      </c>
      <c r="P10" s="439">
        <v>0</v>
      </c>
      <c r="Q10" s="439">
        <f>SUMIFS(维修费!E:E,维修费!C:C,B10)+SUMIFS(维修费!E:E,维修费!C:C,C10)</f>
        <v>1203</v>
      </c>
      <c r="R10" s="439">
        <f>SUMIFS(磅单!R:R,磅单!F:F,B10)</f>
        <v>13800</v>
      </c>
      <c r="S10" s="439">
        <f>SUMIFS(司机工资表!E:E,司机工资表!B:B,D10)+SUMIFS(司机工资表!N:N,司机工资表!B:B,D10)</f>
        <v>1200</v>
      </c>
      <c r="T10" s="517">
        <f>SUMIFS(付款明细!G:G,付款明细!D:D,B10,付款明细!B:B,"车队-罚款")</f>
        <v>420</v>
      </c>
      <c r="U10" s="517">
        <f>SUMIFS(付款明细!G:G,付款明细!D:D,B10,付款明细!B:B,"车辆费用")+SUMIFS(付款明细!G:G,付款明细!D:D,C10,付款明细!B:B,"车辆费用")</f>
        <v>711</v>
      </c>
      <c r="V10" s="439">
        <f>SUMIFS(付款明细!G:G,付款明细!B:B,"综合费用")/61</f>
        <v>397.392459016393</v>
      </c>
      <c r="W10" s="439">
        <v>2666</v>
      </c>
      <c r="X10" s="518"/>
      <c r="Y10" s="439">
        <f>SUMIFS(磅单!P:P,磅单!E:E,B10)</f>
        <v>330</v>
      </c>
      <c r="Z10" s="439">
        <f t="shared" si="3"/>
        <v>4115.4946</v>
      </c>
      <c r="AA10" s="519">
        <v>10600</v>
      </c>
      <c r="AB10" s="439">
        <f t="shared" si="5"/>
        <v>3800</v>
      </c>
      <c r="AC10" s="438">
        <f>(管理人员工资!$D$10+管理人员工资!$E$10)/61</f>
        <v>790.16393442623</v>
      </c>
      <c r="AD10" s="517">
        <f t="shared" si="4"/>
        <v>1773.09857870595</v>
      </c>
    </row>
    <row r="11" s="106" customFormat="1" ht="20" customHeight="1" spans="1:31">
      <c r="A11" s="344">
        <v>9</v>
      </c>
      <c r="B11" s="37" t="s">
        <v>72</v>
      </c>
      <c r="C11" s="122" t="s">
        <v>74</v>
      </c>
      <c r="D11" s="37" t="s">
        <v>73</v>
      </c>
      <c r="E11" s="515" t="s">
        <v>326</v>
      </c>
      <c r="F11" s="515">
        <f>COUNTIFS(磅单!E:E,B11)</f>
        <v>21</v>
      </c>
      <c r="G11" s="439">
        <f>SUMIFS(磅单!L:L,磅单!F:F,B11)</f>
        <v>874.61</v>
      </c>
      <c r="H11" s="439">
        <f>SUMIFS(磅单!O:O,磅单!F:F,B11)</f>
        <v>55429.23</v>
      </c>
      <c r="I11" s="439"/>
      <c r="J11" s="439">
        <f>SUMIFS(现金充电明细!L:L,现金充电明细!B:B,B11)+SUMIFS('华瑞-曙光，大水井，老水井充电站'!L:L,'华瑞-曙光，大水井，老水井充电站'!B:B,B11)+SUMIFS('银盛-青龙坪充电站'!L:L,'银盛-青龙坪充电站'!B:B,B11)+SUMIFS('砚山锦佳-砚山充电站'!K:K,'砚山锦佳-砚山充电站'!B:B,B11)+SUMIFS(中石油广西百色靖西市龙临加油充电站!K:K,中石油广西百色靖西市龙临加油充电站!B:B,B11)+SUMIFS(德保众擎充电站!L:L,德保众擎充电站!B:B,B11)+SUMIFS(南网八宝充电站!K:K,南网八宝充电站!B:B,B11)+SUMIFS(南屏充电站!K:K,南屏充电站!B:B,B11)+SUMIFS(鑫鸿充电站!K:K,鑫鸿充电站!B:B,B11)+SUMIFS('锦田-百色田东充电站'!K:K,'锦田-百色田东充电站'!B:B,B11)+37.06/47+SUMIFS(平远充电站!K:K,平远充电站!B:B,B11)</f>
        <v>14114.0895606383</v>
      </c>
      <c r="K11" s="516">
        <f t="shared" si="0"/>
        <v>0.254632611000339</v>
      </c>
      <c r="L11" s="439">
        <f t="shared" si="1"/>
        <v>672.099502887538</v>
      </c>
      <c r="M11" s="439"/>
      <c r="N11" s="439">
        <f t="shared" si="2"/>
        <v>220.881967213115</v>
      </c>
      <c r="O11" s="439">
        <f>SUMIFS(轮胎!H:H,轮胎!D:D,B11)+SUMIFS(轮胎!H:H,轮胎!D:D,C11)</f>
        <v>0</v>
      </c>
      <c r="P11" s="439">
        <v>0</v>
      </c>
      <c r="Q11" s="439">
        <f>SUMIFS(维修费!E:E,维修费!C:C,B11)+SUMIFS(维修费!E:E,维修费!C:C,C11)</f>
        <v>620</v>
      </c>
      <c r="R11" s="439">
        <f>SUMIFS(磅单!R:R,磅单!F:F,B11)</f>
        <v>13000</v>
      </c>
      <c r="S11" s="439">
        <f>SUMIFS(司机工资表!E:E,司机工资表!B:B,D11)+SUMIFS(司机工资表!N:N,司机工资表!B:B,D11)</f>
        <v>0</v>
      </c>
      <c r="T11" s="517">
        <f>SUMIFS(付款明细!G:G,付款明细!D:D,B11,付款明细!B:B,"车队-罚款")</f>
        <v>0</v>
      </c>
      <c r="U11" s="517">
        <f>SUMIFS(付款明细!G:G,付款明细!D:D,B11,付款明细!B:B,"车辆费用")+SUMIFS(付款明细!G:G,付款明细!D:D,C11,付款明细!B:B,"车辆费用")</f>
        <v>613</v>
      </c>
      <c r="V11" s="439">
        <f>SUMIFS(付款明细!G:G,付款明细!B:B,"综合费用")/61</f>
        <v>397.392459016393</v>
      </c>
      <c r="W11" s="439">
        <v>2666</v>
      </c>
      <c r="X11" s="518"/>
      <c r="Y11" s="439">
        <f>SUMIFS(磅单!P:P,磅单!E:E,B11)</f>
        <v>315</v>
      </c>
      <c r="Z11" s="439">
        <f t="shared" si="3"/>
        <v>3880.0461</v>
      </c>
      <c r="AA11" s="519">
        <v>10600</v>
      </c>
      <c r="AB11" s="439">
        <f t="shared" si="5"/>
        <v>3800</v>
      </c>
      <c r="AC11" s="438">
        <f>(管理人员工资!$D$10+管理人员工资!$E$10)/61</f>
        <v>790.16393442623</v>
      </c>
      <c r="AD11" s="517">
        <f t="shared" si="4"/>
        <v>4412.65597870597</v>
      </c>
    </row>
    <row r="12" s="106" customFormat="1" ht="20" customHeight="1" spans="1:31">
      <c r="A12" s="344">
        <v>10</v>
      </c>
      <c r="B12" s="37" t="s">
        <v>75</v>
      </c>
      <c r="C12" s="122" t="s">
        <v>77</v>
      </c>
      <c r="D12" s="37" t="s">
        <v>76</v>
      </c>
      <c r="E12" s="515" t="s">
        <v>326</v>
      </c>
      <c r="F12" s="515">
        <f>COUNTIFS(磅单!E:E,B12)</f>
        <v>16</v>
      </c>
      <c r="G12" s="439">
        <f>SUMIFS(磅单!L:L,磅单!F:F,B12)</f>
        <v>673.98</v>
      </c>
      <c r="H12" s="439">
        <f>SUMIFS(磅单!O:O,磅单!F:F,B12)</f>
        <v>44638.62</v>
      </c>
      <c r="I12" s="439"/>
      <c r="J12" s="439">
        <f>SUMIFS(现金充电明细!L:L,现金充电明细!B:B,B12)+SUMIFS('华瑞-曙光，大水井，老水井充电站'!L:L,'华瑞-曙光，大水井，老水井充电站'!B:B,B12)+SUMIFS('银盛-青龙坪充电站'!L:L,'银盛-青龙坪充电站'!B:B,B12)+SUMIFS('砚山锦佳-砚山充电站'!K:K,'砚山锦佳-砚山充电站'!B:B,B12)+SUMIFS(中石油广西百色靖西市龙临加油充电站!K:K,中石油广西百色靖西市龙临加油充电站!B:B,B12)+SUMIFS(德保众擎充电站!L:L,德保众擎充电站!B:B,B12)+SUMIFS(南网八宝充电站!K:K,南网八宝充电站!B:B,B12)+SUMIFS(南屏充电站!K:K,南屏充电站!B:B,B12)+SUMIFS(鑫鸿充电站!K:K,鑫鸿充电站!B:B,B12)+SUMIFS('锦田-百色田东充电站'!K:K,'锦田-百色田东充电站'!B:B,B12)+37.06/47+SUMIFS(平远充电站!K:K,平远充电站!B:B,B12)</f>
        <v>15202.3654106383</v>
      </c>
      <c r="K12" s="516">
        <f t="shared" si="0"/>
        <v>0.340565308932899</v>
      </c>
      <c r="L12" s="439">
        <f t="shared" si="1"/>
        <v>950.147838164894</v>
      </c>
      <c r="M12" s="439"/>
      <c r="N12" s="439">
        <f t="shared" si="2"/>
        <v>220.881967213115</v>
      </c>
      <c r="O12" s="439">
        <f>SUMIFS(轮胎!H:H,轮胎!D:D,B12)+SUMIFS(轮胎!H:H,轮胎!D:D,C12)</f>
        <v>0</v>
      </c>
      <c r="P12" s="439">
        <v>0</v>
      </c>
      <c r="Q12" s="439">
        <f>SUMIFS(维修费!E:E,维修费!C:C,B12)+SUMIFS(维修费!E:E,维修费!C:C,C12)</f>
        <v>370</v>
      </c>
      <c r="R12" s="439">
        <f>SUMIFS(磅单!R:R,磅单!F:F,B12)</f>
        <v>10400</v>
      </c>
      <c r="S12" s="439">
        <f>SUMIFS(司机工资表!E:E,司机工资表!B:B,D12)+SUMIFS(司机工资表!N:N,司机工资表!B:B,D12)</f>
        <v>1000</v>
      </c>
      <c r="T12" s="517">
        <f>SUMIFS(付款明细!G:G,付款明细!D:D,B12,付款明细!B:B,"车队-罚款")</f>
        <v>0</v>
      </c>
      <c r="U12" s="517">
        <f>SUMIFS(付款明细!G:G,付款明细!D:D,B12,付款明细!B:B,"车辆费用")+SUMIFS(付款明细!G:G,付款明细!D:D,C12,付款明细!B:B,"车辆费用")</f>
        <v>3194</v>
      </c>
      <c r="V12" s="439">
        <f>SUMIFS(付款明细!G:G,付款明细!B:B,"综合费用")/61</f>
        <v>397.392459016393</v>
      </c>
      <c r="W12" s="439">
        <v>2666</v>
      </c>
      <c r="X12" s="518"/>
      <c r="Y12" s="439">
        <f>SUMIFS(磅单!P:P,磅单!E:E,B12)</f>
        <v>240</v>
      </c>
      <c r="Z12" s="439">
        <f t="shared" si="3"/>
        <v>3124.7034</v>
      </c>
      <c r="AA12" s="519">
        <v>10600</v>
      </c>
      <c r="AB12" s="439">
        <f t="shared" si="5"/>
        <v>3800</v>
      </c>
      <c r="AC12" s="438">
        <f>(管理人员工资!$D$10+管理人员工资!$E$10)/61</f>
        <v>790.16393442623</v>
      </c>
      <c r="AD12" s="517">
        <f t="shared" si="4"/>
        <v>-7366.88717129403</v>
      </c>
    </row>
    <row r="13" s="106" customFormat="1" ht="20" customHeight="1" spans="1:31">
      <c r="A13" s="344">
        <v>11</v>
      </c>
      <c r="B13" s="37" t="s">
        <v>78</v>
      </c>
      <c r="C13" s="122" t="s">
        <v>80</v>
      </c>
      <c r="D13" s="37" t="s">
        <v>79</v>
      </c>
      <c r="E13" s="515" t="s">
        <v>326</v>
      </c>
      <c r="F13" s="515">
        <f>COUNTIFS(磅单!E:E,B13)</f>
        <v>19</v>
      </c>
      <c r="G13" s="439">
        <f>SUMIFS(磅单!L:L,磅单!F:F,B13)</f>
        <v>798.41</v>
      </c>
      <c r="H13" s="439">
        <f>SUMIFS(磅单!O:O,磅单!F:F,B13)</f>
        <v>48640.05</v>
      </c>
      <c r="I13" s="439"/>
      <c r="J13" s="439">
        <f>SUMIFS(现金充电明细!L:L,现金充电明细!B:B,B13)+SUMIFS('华瑞-曙光，大水井，老水井充电站'!L:L,'华瑞-曙光，大水井，老水井充电站'!B:B,B13)+SUMIFS('银盛-青龙坪充电站'!L:L,'银盛-青龙坪充电站'!B:B,B13)+SUMIFS('砚山锦佳-砚山充电站'!K:K,'砚山锦佳-砚山充电站'!B:B,B13)+SUMIFS(中石油广西百色靖西市龙临加油充电站!K:K,中石油广西百色靖西市龙临加油充电站!B:B,B13)+SUMIFS(德保众擎充电站!L:L,德保众擎充电站!B:B,B13)+SUMIFS(南网八宝充电站!K:K,南网八宝充电站!B:B,B13)+SUMIFS(南屏充电站!K:K,南屏充电站!B:B,B13)+SUMIFS(鑫鸿充电站!K:K,鑫鸿充电站!B:B,B13)+SUMIFS('锦田-百色田东充电站'!K:K,'锦田-百色田东充电站'!B:B,B13)+37.06/47+SUMIFS(平远充电站!K:K,平远充电站!B:B,B13)</f>
        <v>14817.4250106383</v>
      </c>
      <c r="K13" s="516">
        <f t="shared" si="0"/>
        <v>0.304634247099629</v>
      </c>
      <c r="L13" s="439">
        <f t="shared" si="1"/>
        <v>779.864474244121</v>
      </c>
      <c r="M13" s="439"/>
      <c r="N13" s="439">
        <f t="shared" si="2"/>
        <v>220.881967213115</v>
      </c>
      <c r="O13" s="439">
        <f>SUMIFS(轮胎!H:H,轮胎!D:D,B13)+SUMIFS(轮胎!H:H,轮胎!D:D,C13)</f>
        <v>50</v>
      </c>
      <c r="P13" s="439">
        <v>0</v>
      </c>
      <c r="Q13" s="439">
        <f>SUMIFS(维修费!E:E,维修费!C:C,B13)+SUMIFS(维修费!E:E,维修费!C:C,C13)</f>
        <v>2190</v>
      </c>
      <c r="R13" s="439">
        <f>SUMIFS(磅单!R:R,磅单!F:F,B13)</f>
        <v>11600</v>
      </c>
      <c r="S13" s="439">
        <f>SUMIFS(司机工资表!E:E,司机工资表!B:B,D13)+SUMIFS(司机工资表!N:N,司机工资表!B:B,D13)</f>
        <v>200</v>
      </c>
      <c r="T13" s="517">
        <f>SUMIFS(付款明细!G:G,付款明细!D:D,B13,付款明细!B:B,"车队-罚款")</f>
        <v>200</v>
      </c>
      <c r="U13" s="517">
        <f>SUMIFS(付款明细!G:G,付款明细!D:D,B13,付款明细!B:B,"车辆费用")+SUMIFS(付款明细!G:G,付款明细!D:D,C13,付款明细!B:B,"车辆费用")</f>
        <v>395</v>
      </c>
      <c r="V13" s="439">
        <f>SUMIFS(付款明细!G:G,付款明细!B:B,"综合费用")/61</f>
        <v>397.392459016393</v>
      </c>
      <c r="W13" s="439">
        <v>2666</v>
      </c>
      <c r="X13" s="518"/>
      <c r="Y13" s="439">
        <f>SUMIFS(磅单!P:P,磅单!E:E,B13)</f>
        <v>285</v>
      </c>
      <c r="Z13" s="439">
        <f t="shared" si="3"/>
        <v>3404.8035</v>
      </c>
      <c r="AA13" s="519">
        <v>10600</v>
      </c>
      <c r="AB13" s="439">
        <f t="shared" si="5"/>
        <v>3800</v>
      </c>
      <c r="AC13" s="438">
        <f>(管理人员工资!$D$10+管理人员工资!$E$10)/61</f>
        <v>790.16393442623</v>
      </c>
      <c r="AD13" s="517">
        <f t="shared" si="4"/>
        <v>-2976.61687129405</v>
      </c>
    </row>
    <row r="14" s="106" customFormat="1" ht="20" customHeight="1" spans="1:31">
      <c r="A14" s="344">
        <v>12</v>
      </c>
      <c r="B14" s="37" t="s">
        <v>81</v>
      </c>
      <c r="C14" s="122" t="s">
        <v>83</v>
      </c>
      <c r="D14" s="37" t="s">
        <v>82</v>
      </c>
      <c r="E14" s="515" t="s">
        <v>326</v>
      </c>
      <c r="F14" s="515">
        <f>COUNTIFS(磅单!E:E,B14)</f>
        <v>25</v>
      </c>
      <c r="G14" s="439">
        <f>SUMIFS(磅单!L:L,磅单!F:F,B14)</f>
        <v>1015.87</v>
      </c>
      <c r="H14" s="439">
        <f>SUMIFS(磅单!O:O,磅单!F:F,B14)</f>
        <v>64387.11</v>
      </c>
      <c r="I14" s="439"/>
      <c r="J14" s="439">
        <f>SUMIFS(现金充电明细!L:L,现金充电明细!B:B,B14)+SUMIFS('华瑞-曙光，大水井，老水井充电站'!L:L,'华瑞-曙光，大水井，老水井充电站'!B:B,B14)+SUMIFS('银盛-青龙坪充电站'!L:L,'银盛-青龙坪充电站'!B:B,B14)+SUMIFS('砚山锦佳-砚山充电站'!K:K,'砚山锦佳-砚山充电站'!B:B,B14)+SUMIFS(中石油广西百色靖西市龙临加油充电站!K:K,中石油广西百色靖西市龙临加油充电站!B:B,B14)+SUMIFS(德保众擎充电站!L:L,德保众擎充电站!B:B,B14)+SUMIFS(南网八宝充电站!K:K,南网八宝充电站!B:B,B14)+SUMIFS(南屏充电站!K:K,南屏充电站!B:B,B14)+SUMIFS(鑫鸿充电站!K:K,鑫鸿充电站!B:B,B14)+SUMIFS('锦田-百色田东充电站'!K:K,'锦田-百色田东充电站'!B:B,B14)+37.06/47+SUMIFS(平远充电站!K:K,平远充电站!B:B,B14)</f>
        <v>20084.7349106383</v>
      </c>
      <c r="K14" s="516">
        <f t="shared" si="0"/>
        <v>0.311937201570909</v>
      </c>
      <c r="L14" s="439">
        <f t="shared" si="1"/>
        <v>803.389396425532</v>
      </c>
      <c r="M14" s="439"/>
      <c r="N14" s="439">
        <f t="shared" ref="N14:N23" si="6">13473.8/61</f>
        <v>220.881967213115</v>
      </c>
      <c r="O14" s="439">
        <f>SUMIFS(轮胎!H:H,轮胎!D:D,B14)+SUMIFS(轮胎!H:H,轮胎!D:D,C14)</f>
        <v>950</v>
      </c>
      <c r="P14" s="439">
        <v>0</v>
      </c>
      <c r="Q14" s="439">
        <f>SUMIFS(维修费!E:E,维修费!C:C,B14)+SUMIFS(维修费!E:E,维修费!C:C,C14)</f>
        <v>2396</v>
      </c>
      <c r="R14" s="439">
        <f>SUMIFS(磅单!R:R,磅单!F:F,B14)</f>
        <v>15400</v>
      </c>
      <c r="S14" s="439">
        <f>SUMIFS(司机工资表!E:E,司机工资表!B:B,D14)+SUMIFS(司机工资表!N:N,司机工资表!B:B,D14)</f>
        <v>200</v>
      </c>
      <c r="T14" s="517">
        <f>SUMIFS(付款明细!G:G,付款明细!D:D,B14,付款明细!B:B,"车队-罚款")</f>
        <v>220</v>
      </c>
      <c r="U14" s="517">
        <f>SUMIFS(付款明细!G:G,付款明细!D:D,B14,付款明细!B:B,"车辆费用")+SUMIFS(付款明细!G:G,付款明细!D:D,C14,付款明细!B:B,"车辆费用")</f>
        <v>606</v>
      </c>
      <c r="V14" s="439">
        <f>SUMIFS(付款明细!G:G,付款明细!B:B,"综合费用")/61</f>
        <v>397.392459016393</v>
      </c>
      <c r="W14" s="439">
        <v>2666</v>
      </c>
      <c r="X14" s="518"/>
      <c r="Y14" s="439">
        <f>SUMIFS(磅单!P:P,磅单!E:E,B14)</f>
        <v>375</v>
      </c>
      <c r="Z14" s="439">
        <f t="shared" si="3"/>
        <v>4507.0977</v>
      </c>
      <c r="AA14" s="519">
        <v>10600</v>
      </c>
      <c r="AB14" s="439">
        <f t="shared" ref="AB14:AB24" si="7">3800</f>
        <v>3800</v>
      </c>
      <c r="AC14" s="438">
        <f>(管理人员工资!$D$10+管理人员工资!$E$10)/61</f>
        <v>790.16393442623</v>
      </c>
      <c r="AD14" s="517">
        <f t="shared" si="4"/>
        <v>1173.83902870596</v>
      </c>
    </row>
    <row r="15" s="106" customFormat="1" ht="20" customHeight="1" spans="1:31">
      <c r="A15" s="344">
        <v>13</v>
      </c>
      <c r="B15" s="37" t="s">
        <v>84</v>
      </c>
      <c r="C15" s="122" t="s">
        <v>86</v>
      </c>
      <c r="D15" s="37" t="s">
        <v>85</v>
      </c>
      <c r="E15" s="515" t="s">
        <v>326</v>
      </c>
      <c r="F15" s="515">
        <f>COUNTIFS(磅单!E:E,B15)</f>
        <v>18</v>
      </c>
      <c r="G15" s="439">
        <f>SUMIFS(磅单!L:L,磅单!F:F,B15)</f>
        <v>736.31</v>
      </c>
      <c r="H15" s="439">
        <f>SUMIFS(磅单!O:O,磅单!F:F,B15)</f>
        <v>45586.49</v>
      </c>
      <c r="I15" s="439"/>
      <c r="J15" s="439">
        <f>SUMIFS(现金充电明细!L:L,现金充电明细!B:B,B15)+SUMIFS('华瑞-曙光，大水井，老水井充电站'!L:L,'华瑞-曙光，大水井，老水井充电站'!B:B,B15)+SUMIFS('银盛-青龙坪充电站'!L:L,'银盛-青龙坪充电站'!B:B,B15)+SUMIFS('砚山锦佳-砚山充电站'!K:K,'砚山锦佳-砚山充电站'!B:B,B15)+SUMIFS(中石油广西百色靖西市龙临加油充电站!K:K,中石油广西百色靖西市龙临加油充电站!B:B,B15)+SUMIFS(德保众擎充电站!L:L,德保众擎充电站!B:B,B15)+SUMIFS(南网八宝充电站!K:K,南网八宝充电站!B:B,B15)+SUMIFS(南屏充电站!K:K,南屏充电站!B:B,B15)+SUMIFS(鑫鸿充电站!K:K,鑫鸿充电站!B:B,B15)+SUMIFS('锦田-百色田东充电站'!K:K,'锦田-百色田东充电站'!B:B,B15)+37.06/47+SUMIFS(平远充电站!K:K,平远充电站!B:B,B15)</f>
        <v>14244.5237606383</v>
      </c>
      <c r="K15" s="516">
        <f t="shared" si="0"/>
        <v>0.312472483857351</v>
      </c>
      <c r="L15" s="439">
        <f t="shared" si="1"/>
        <v>791.362431146572</v>
      </c>
      <c r="M15" s="439"/>
      <c r="N15" s="439">
        <f t="shared" si="6"/>
        <v>220.881967213115</v>
      </c>
      <c r="O15" s="439">
        <f>SUMIFS(轮胎!H:H,轮胎!D:D,B15)+SUMIFS(轮胎!H:H,轮胎!D:D,C15)</f>
        <v>0</v>
      </c>
      <c r="P15" s="439">
        <v>0</v>
      </c>
      <c r="Q15" s="439">
        <f>SUMIFS(维修费!E:E,维修费!C:C,B15)+SUMIFS(维修费!E:E,维修费!C:C,C15)</f>
        <v>720</v>
      </c>
      <c r="R15" s="439">
        <f>SUMIFS(磅单!R:R,磅单!F:F,B15)</f>
        <v>11000</v>
      </c>
      <c r="S15" s="439">
        <f>SUMIFS(司机工资表!E:E,司机工资表!B:B,D15)+SUMIFS(司机工资表!N:N,司机工资表!B:B,D15)</f>
        <v>200</v>
      </c>
      <c r="T15" s="517">
        <f>SUMIFS(付款明细!G:G,付款明细!D:D,B15,付款明细!B:B,"车队-罚款")</f>
        <v>20</v>
      </c>
      <c r="U15" s="517">
        <f>SUMIFS(付款明细!G:G,付款明细!D:D,B15,付款明细!B:B,"车辆费用")+SUMIFS(付款明细!G:G,付款明细!D:D,C15,付款明细!B:B,"车辆费用")</f>
        <v>370.5</v>
      </c>
      <c r="V15" s="439">
        <f>SUMIFS(付款明细!G:G,付款明细!B:B,"综合费用")/61</f>
        <v>397.392459016393</v>
      </c>
      <c r="W15" s="439">
        <v>2666</v>
      </c>
      <c r="X15" s="518"/>
      <c r="Y15" s="439">
        <f>SUMIFS(磅单!P:P,磅单!E:E,B15)</f>
        <v>270</v>
      </c>
      <c r="Z15" s="439">
        <f t="shared" si="3"/>
        <v>3191.0543</v>
      </c>
      <c r="AA15" s="519">
        <v>10600</v>
      </c>
      <c r="AB15" s="439">
        <f t="shared" si="7"/>
        <v>3800</v>
      </c>
      <c r="AC15" s="438">
        <f>(管理人员工资!$D$10+管理人员工资!$E$10)/61</f>
        <v>790.16393442623</v>
      </c>
      <c r="AD15" s="517">
        <f t="shared" si="4"/>
        <v>-2904.02642129404</v>
      </c>
    </row>
    <row r="16" s="106" customFormat="1" ht="20" customHeight="1" spans="1:31">
      <c r="A16" s="344">
        <v>14</v>
      </c>
      <c r="B16" s="37" t="s">
        <v>87</v>
      </c>
      <c r="C16" s="122" t="s">
        <v>89</v>
      </c>
      <c r="D16" s="37" t="s">
        <v>88</v>
      </c>
      <c r="E16" s="515" t="s">
        <v>326</v>
      </c>
      <c r="F16" s="515">
        <f>COUNTIFS(磅单!E:E,B16)</f>
        <v>19</v>
      </c>
      <c r="G16" s="439">
        <f>SUMIFS(磅单!L:L,磅单!F:F,B16)</f>
        <v>799.74</v>
      </c>
      <c r="H16" s="439">
        <f>SUMIFS(磅单!O:O,磅单!F:F,B16)</f>
        <v>52459.52</v>
      </c>
      <c r="I16" s="439"/>
      <c r="J16" s="439">
        <f>SUMIFS(现金充电明细!L:L,现金充电明细!B:B,B16)+SUMIFS('华瑞-曙光，大水井，老水井充电站'!L:L,'华瑞-曙光，大水井，老水井充电站'!B:B,B16)+SUMIFS('银盛-青龙坪充电站'!L:L,'银盛-青龙坪充电站'!B:B,B16)+SUMIFS('砚山锦佳-砚山充电站'!K:K,'砚山锦佳-砚山充电站'!B:B,B16)+SUMIFS(中石油广西百色靖西市龙临加油充电站!K:K,中石油广西百色靖西市龙临加油充电站!B:B,B16)+SUMIFS(德保众擎充电站!L:L,德保众擎充电站!B:B,B16)+SUMIFS(南网八宝充电站!K:K,南网八宝充电站!B:B,B16)+SUMIFS(南屏充电站!K:K,南屏充电站!B:B,B16)+SUMIFS(鑫鸿充电站!K:K,鑫鸿充电站!B:B,B16)+SUMIFS('锦田-百色田东充电站'!K:K,'锦田-百色田东充电站'!B:B,B16)+37.06/47+SUMIFS(平远充电站!K:K,平远充电站!B:B,B16)</f>
        <v>14653.4061106383</v>
      </c>
      <c r="K16" s="516">
        <f t="shared" si="0"/>
        <v>0.279327872436467</v>
      </c>
      <c r="L16" s="439">
        <f t="shared" si="1"/>
        <v>771.23190055991</v>
      </c>
      <c r="M16" s="439"/>
      <c r="N16" s="439">
        <f t="shared" si="6"/>
        <v>220.881967213115</v>
      </c>
      <c r="O16" s="439">
        <f>SUMIFS(轮胎!H:H,轮胎!D:D,B16)+SUMIFS(轮胎!H:H,轮胎!D:D,C16)</f>
        <v>6080</v>
      </c>
      <c r="P16" s="439">
        <v>0</v>
      </c>
      <c r="Q16" s="439">
        <f>SUMIFS(维修费!E:E,维修费!C:C,B16)+SUMIFS(维修费!E:E,维修费!C:C,C16)</f>
        <v>1350</v>
      </c>
      <c r="R16" s="439">
        <f>SUMIFS(磅单!R:R,磅单!F:F,B16)</f>
        <v>12200</v>
      </c>
      <c r="S16" s="439">
        <f>SUMIFS(司机工资表!E:E,司机工资表!B:B,D16)+SUMIFS(司机工资表!N:N,司机工资表!B:B,D16)</f>
        <v>0</v>
      </c>
      <c r="T16" s="517">
        <f>SUMIFS(付款明细!G:G,付款明细!D:D,B16,付款明细!B:B,"车队-罚款")</f>
        <v>20</v>
      </c>
      <c r="U16" s="517">
        <f>SUMIFS(付款明细!G:G,付款明细!D:D,B16,付款明细!B:B,"车辆费用")+SUMIFS(付款明细!G:G,付款明细!D:D,C16,付款明细!B:B,"车辆费用")</f>
        <v>355</v>
      </c>
      <c r="V16" s="439">
        <f>SUMIFS(付款明细!G:G,付款明细!B:B,"综合费用")/61</f>
        <v>397.392459016393</v>
      </c>
      <c r="W16" s="439">
        <v>2666</v>
      </c>
      <c r="X16" s="518"/>
      <c r="Y16" s="439">
        <f>SUMIFS(磅单!P:P,磅单!E:E,B16)</f>
        <v>285</v>
      </c>
      <c r="Z16" s="439">
        <f t="shared" si="3"/>
        <v>3672.1664</v>
      </c>
      <c r="AA16" s="519">
        <v>10600</v>
      </c>
      <c r="AB16" s="439">
        <f t="shared" si="7"/>
        <v>3800</v>
      </c>
      <c r="AC16" s="438">
        <f>(管理人员工资!$D$10+管理人员工资!$E$10)/61</f>
        <v>790.16393442623</v>
      </c>
      <c r="AD16" s="517">
        <f t="shared" si="4"/>
        <v>-4630.49087129403</v>
      </c>
    </row>
    <row r="17" s="106" customFormat="1" ht="20" customHeight="1" spans="1:33">
      <c r="A17" s="344">
        <v>15</v>
      </c>
      <c r="B17" s="521" t="s">
        <v>90</v>
      </c>
      <c r="C17" s="122" t="s">
        <v>92</v>
      </c>
      <c r="D17" s="37" t="s">
        <v>91</v>
      </c>
      <c r="E17" s="522" t="s">
        <v>326</v>
      </c>
      <c r="F17" s="515">
        <f>COUNTIFS(磅单!E:E,B17)</f>
        <v>19</v>
      </c>
      <c r="G17" s="439">
        <f>SUMIFS(磅单!L:L,磅单!F:F,B17)</f>
        <v>776.1</v>
      </c>
      <c r="H17" s="439">
        <f>SUMIFS(磅单!O:O,磅单!F:F,B17)</f>
        <v>48410.34</v>
      </c>
      <c r="I17" s="439"/>
      <c r="J17" s="439">
        <f>SUMIFS(现金充电明细!L:L,现金充电明细!B:B,B17)+SUMIFS('华瑞-曙光，大水井，老水井充电站'!L:L,'华瑞-曙光，大水井，老水井充电站'!B:B,B17)+SUMIFS('银盛-青龙坪充电站'!L:L,'银盛-青龙坪充电站'!B:B,B17)+SUMIFS('砚山锦佳-砚山充电站'!K:K,'砚山锦佳-砚山充电站'!B:B,B17)+SUMIFS(中石油广西百色靖西市龙临加油充电站!K:K,中石油广西百色靖西市龙临加油充电站!B:B,B17)+SUMIFS(德保众擎充电站!L:L,德保众擎充电站!B:B,B17)+SUMIFS(南网八宝充电站!K:K,南网八宝充电站!B:B,B17)+SUMIFS(南屏充电站!K:K,南屏充电站!B:B,B17)+SUMIFS(鑫鸿充电站!K:K,鑫鸿充电站!B:B,B17)+SUMIFS('锦田-百色田东充电站'!K:K,'锦田-百色田东充电站'!B:B,B17)+37.06/47+SUMIFS(平远充电站!K:K,平远充电站!B:B,B17)</f>
        <v>14095.5481106383</v>
      </c>
      <c r="K17" s="516">
        <f t="shared" si="0"/>
        <v>0.291168128764192</v>
      </c>
      <c r="L17" s="439">
        <f t="shared" si="1"/>
        <v>741.870953191489</v>
      </c>
      <c r="M17" s="439"/>
      <c r="N17" s="439">
        <f t="shared" si="6"/>
        <v>220.881967213115</v>
      </c>
      <c r="O17" s="439">
        <f>SUMIFS(轮胎!H:H,轮胎!D:D,B17)+SUMIFS(轮胎!H:H,轮胎!D:D,C17)</f>
        <v>0</v>
      </c>
      <c r="P17" s="439">
        <v>0</v>
      </c>
      <c r="Q17" s="439">
        <f>SUMIFS(维修费!E:E,维修费!C:C,B17)+SUMIFS(维修费!E:E,维修费!C:C,C17)</f>
        <v>1530</v>
      </c>
      <c r="R17" s="439">
        <f>SUMIFS(磅单!R:R,磅单!F:F,B17)</f>
        <v>11800</v>
      </c>
      <c r="S17" s="439">
        <f>SUMIFS(司机工资表!E:E,司机工资表!B:B,D17)+SUMIFS(司机工资表!N:N,司机工资表!B:B,D17)</f>
        <v>400</v>
      </c>
      <c r="T17" s="517">
        <f>SUMIFS(付款明细!G:G,付款明细!D:D,B17,付款明细!B:B,"车队-罚款")</f>
        <v>720</v>
      </c>
      <c r="U17" s="517">
        <f>SUMIFS(付款明细!G:G,付款明细!D:D,B17,付款明细!B:B,"车辆费用")+SUMIFS(付款明细!G:G,付款明细!D:D,C17,付款明细!B:B,"车辆费用")</f>
        <v>487</v>
      </c>
      <c r="V17" s="439">
        <f>SUMIFS(付款明细!G:G,付款明细!B:B,"综合费用")/61</f>
        <v>397.392459016393</v>
      </c>
      <c r="W17" s="439">
        <v>2666</v>
      </c>
      <c r="X17" s="518"/>
      <c r="Y17" s="439">
        <f>SUMIFS(磅单!P:P,磅单!E:E,B17)</f>
        <v>285</v>
      </c>
      <c r="Z17" s="439">
        <f t="shared" si="3"/>
        <v>3388.7238</v>
      </c>
      <c r="AA17" s="519">
        <v>10600</v>
      </c>
      <c r="AB17" s="439">
        <f t="shared" si="7"/>
        <v>3800</v>
      </c>
      <c r="AC17" s="438">
        <f>(管理人员工资!$D$10+管理人员工资!$E$10)/61</f>
        <v>790.16393442623</v>
      </c>
      <c r="AD17" s="517">
        <f t="shared" si="4"/>
        <v>-2770.37027129403</v>
      </c>
    </row>
    <row r="18" s="106" customFormat="1" ht="20" customHeight="1" spans="1:33">
      <c r="A18" s="344">
        <v>16</v>
      </c>
      <c r="B18" s="501" t="s">
        <v>93</v>
      </c>
      <c r="C18" s="122" t="s">
        <v>95</v>
      </c>
      <c r="D18" s="37" t="s">
        <v>94</v>
      </c>
      <c r="E18" s="522" t="s">
        <v>326</v>
      </c>
      <c r="F18" s="515">
        <f>COUNTIFS(磅单!E:E,B18)</f>
        <v>20</v>
      </c>
      <c r="G18" s="439">
        <f>SUMIFS(磅单!L:L,磅单!F:F,B18)</f>
        <v>821.3</v>
      </c>
      <c r="H18" s="439">
        <f>SUMIFS(磅单!O:O,磅单!F:F,B18)</f>
        <v>50943.24</v>
      </c>
      <c r="I18" s="439">
        <v>200</v>
      </c>
      <c r="J18" s="439">
        <f>SUMIFS(现金充电明细!L:L,现金充电明细!B:B,B18)+SUMIFS('华瑞-曙光，大水井，老水井充电站'!L:L,'华瑞-曙光，大水井，老水井充电站'!B:B,B18)+SUMIFS('银盛-青龙坪充电站'!L:L,'银盛-青龙坪充电站'!B:B,B18)+SUMIFS('砚山锦佳-砚山充电站'!K:K,'砚山锦佳-砚山充电站'!B:B,B18)+SUMIFS(中石油广西百色靖西市龙临加油充电站!K:K,中石油广西百色靖西市龙临加油充电站!B:B,B18)+SUMIFS(德保众擎充电站!L:L,德保众擎充电站!B:B,B18)+SUMIFS(南网八宝充电站!K:K,南网八宝充电站!B:B,B18)+SUMIFS(南屏充电站!K:K,南屏充电站!B:B,B18)+SUMIFS(鑫鸿充电站!K:K,鑫鸿充电站!B:B,B18)+SUMIFS('锦田-百色田东充电站'!K:K,'锦田-百色田东充电站'!B:B,B18)+37.06/47+SUMIFS(平远充电站!K:K,平远充电站!B:B,B18)</f>
        <v>16407.3497106383</v>
      </c>
      <c r="K18" s="516">
        <f t="shared" si="0"/>
        <v>0.32207118570861</v>
      </c>
      <c r="L18" s="439">
        <f t="shared" si="1"/>
        <v>820.367485531915</v>
      </c>
      <c r="M18" s="439"/>
      <c r="N18" s="439">
        <f t="shared" si="6"/>
        <v>220.881967213115</v>
      </c>
      <c r="O18" s="439">
        <f>SUMIFS(轮胎!H:H,轮胎!D:D,B18)+SUMIFS(轮胎!H:H,轮胎!D:D,C18)</f>
        <v>0</v>
      </c>
      <c r="P18" s="439">
        <v>0</v>
      </c>
      <c r="Q18" s="439">
        <f>SUMIFS(维修费!E:E,维修费!C:C,B18)+SUMIFS(维修费!E:E,维修费!C:C,C18)</f>
        <v>680</v>
      </c>
      <c r="R18" s="439">
        <f>SUMIFS(磅单!R:R,磅单!F:F,B18)</f>
        <v>12200</v>
      </c>
      <c r="S18" s="439">
        <f>SUMIFS(司机工资表!E:E,司机工资表!B:B,D18)+SUMIFS(司机工资表!N:N,司机工资表!B:B,D18)</f>
        <v>0</v>
      </c>
      <c r="T18" s="517">
        <f>SUMIFS(付款明细!G:G,付款明细!D:D,B18,付款明细!B:B,"车队-罚款")</f>
        <v>20</v>
      </c>
      <c r="U18" s="517">
        <f>SUMIFS(付款明细!G:G,付款明细!D:D,B18,付款明细!B:B,"车辆费用")+SUMIFS(付款明细!G:G,付款明细!D:D,C18,付款明细!B:B,"车辆费用")</f>
        <v>574</v>
      </c>
      <c r="V18" s="439">
        <f>SUMIFS(付款明细!G:G,付款明细!B:B,"综合费用")/61</f>
        <v>397.392459016393</v>
      </c>
      <c r="W18" s="439">
        <v>2666</v>
      </c>
      <c r="X18" s="518"/>
      <c r="Y18" s="439">
        <f>SUMIFS(磅单!P:P,磅单!E:E,B18)</f>
        <v>300</v>
      </c>
      <c r="Z18" s="439">
        <f t="shared" si="3"/>
        <v>3566.0268</v>
      </c>
      <c r="AA18" s="519">
        <v>10600</v>
      </c>
      <c r="AB18" s="439">
        <f t="shared" si="7"/>
        <v>3800</v>
      </c>
      <c r="AC18" s="438">
        <f>(管理人员工资!$D$10+管理人员工资!$E$10)/61</f>
        <v>790.16393442623</v>
      </c>
      <c r="AD18" s="517">
        <f t="shared" si="4"/>
        <v>-1478.57487129403</v>
      </c>
    </row>
    <row r="19" s="106" customFormat="1" ht="20" customHeight="1" spans="1:33">
      <c r="A19" s="344">
        <v>17</v>
      </c>
      <c r="B19" s="501" t="s">
        <v>96</v>
      </c>
      <c r="C19" s="122" t="s">
        <v>98</v>
      </c>
      <c r="D19" s="37" t="s">
        <v>97</v>
      </c>
      <c r="E19" s="522" t="s">
        <v>326</v>
      </c>
      <c r="F19" s="515">
        <f>COUNTIFS(磅单!E:E,B19)</f>
        <v>20</v>
      </c>
      <c r="G19" s="439">
        <f>SUMIFS(磅单!L:L,磅单!F:F,B19)</f>
        <v>814.94</v>
      </c>
      <c r="H19" s="439">
        <f>SUMIFS(磅单!O:O,磅单!F:F,B19)</f>
        <v>50288.08</v>
      </c>
      <c r="I19" s="439"/>
      <c r="J19" s="439">
        <f>SUMIFS(现金充电明细!L:L,现金充电明细!B:B,B19)+SUMIFS('华瑞-曙光，大水井，老水井充电站'!L:L,'华瑞-曙光，大水井，老水井充电站'!B:B,B19)+SUMIFS('银盛-青龙坪充电站'!L:L,'银盛-青龙坪充电站'!B:B,B19)+SUMIFS('砚山锦佳-砚山充电站'!K:K,'砚山锦佳-砚山充电站'!B:B,B19)+SUMIFS(中石油广西百色靖西市龙临加油充电站!K:K,中石油广西百色靖西市龙临加油充电站!B:B,B19)+SUMIFS(德保众擎充电站!L:L,德保众擎充电站!B:B,B19)+SUMIFS(南网八宝充电站!K:K,南网八宝充电站!B:B,B19)+SUMIFS(南屏充电站!K:K,南屏充电站!B:B,B19)+SUMIFS(鑫鸿充电站!K:K,鑫鸿充电站!B:B,B19)+SUMIFS('锦田-百色田东充电站'!K:K,'锦田-百色田东充电站'!B:B,B19)+37.06/47+SUMIFS(平远充电站!K:K,平远充电站!B:B,B19)</f>
        <v>16655.4308606383</v>
      </c>
      <c r="K19" s="516">
        <f t="shared" si="0"/>
        <v>0.331200373142866</v>
      </c>
      <c r="L19" s="439">
        <f t="shared" si="1"/>
        <v>832.771543031915</v>
      </c>
      <c r="M19" s="439"/>
      <c r="N19" s="439">
        <f t="shared" si="6"/>
        <v>220.881967213115</v>
      </c>
      <c r="O19" s="439">
        <f>SUMIFS(轮胎!H:H,轮胎!D:D,B19)+SUMIFS(轮胎!H:H,轮胎!D:D,C19)</f>
        <v>1300</v>
      </c>
      <c r="P19" s="439">
        <v>0</v>
      </c>
      <c r="Q19" s="439">
        <f>SUMIFS(维修费!E:E,维修费!C:C,B19)+SUMIFS(维修费!E:E,维修费!C:C,C19)</f>
        <v>550</v>
      </c>
      <c r="R19" s="439">
        <f>SUMIFS(磅单!R:R,磅单!F:F,B19)</f>
        <v>12400</v>
      </c>
      <c r="S19" s="439">
        <f>SUMIFS(司机工资表!E:E,司机工资表!B:B,D19)+SUMIFS(司机工资表!N:N,司机工资表!B:B,D19)</f>
        <v>0</v>
      </c>
      <c r="T19" s="517">
        <f>SUMIFS(付款明细!G:G,付款明细!D:D,B19,付款明细!B:B,"车队-罚款")</f>
        <v>260</v>
      </c>
      <c r="U19" s="517">
        <f>SUMIFS(付款明细!G:G,付款明细!D:D,B19,付款明细!B:B,"车辆费用")+SUMIFS(付款明细!G:G,付款明细!D:D,C19,付款明细!B:B,"车辆费用")</f>
        <v>636</v>
      </c>
      <c r="V19" s="439">
        <f>SUMIFS(付款明细!G:G,付款明细!B:B,"综合费用")/61</f>
        <v>397.392459016393</v>
      </c>
      <c r="W19" s="439">
        <v>2666</v>
      </c>
      <c r="X19" s="518"/>
      <c r="Y19" s="439">
        <f>SUMIFS(磅单!P:P,磅单!E:E,B19)</f>
        <v>300</v>
      </c>
      <c r="Z19" s="439">
        <f t="shared" si="3"/>
        <v>3520.1656</v>
      </c>
      <c r="AA19" s="519">
        <v>10600</v>
      </c>
      <c r="AB19" s="439">
        <f t="shared" si="7"/>
        <v>3800</v>
      </c>
      <c r="AC19" s="438">
        <f>(管理人员工资!$D$10+管理人员工资!$E$10)/61</f>
        <v>790.16393442623</v>
      </c>
      <c r="AD19" s="517">
        <f t="shared" si="4"/>
        <v>-3807.95482129404</v>
      </c>
    </row>
    <row r="20" s="106" customFormat="1" ht="20" customHeight="1" spans="1:33">
      <c r="A20" s="344">
        <v>18</v>
      </c>
      <c r="B20" s="37" t="s">
        <v>99</v>
      </c>
      <c r="C20" s="122" t="s">
        <v>101</v>
      </c>
      <c r="D20" s="37" t="s">
        <v>100</v>
      </c>
      <c r="E20" s="522" t="s">
        <v>326</v>
      </c>
      <c r="F20" s="515">
        <f>COUNTIFS(磅单!E:E,B20)</f>
        <v>19</v>
      </c>
      <c r="G20" s="439">
        <f>SUMIFS(磅单!L:L,磅单!F:F,B20)</f>
        <v>779.92</v>
      </c>
      <c r="H20" s="439">
        <f>SUMIFS(磅单!O:O,磅单!F:F,B20)</f>
        <v>47588.88</v>
      </c>
      <c r="I20" s="439"/>
      <c r="J20" s="439">
        <f>SUMIFS(现金充电明细!L:L,现金充电明细!B:B,B20)+SUMIFS('华瑞-曙光，大水井，老水井充电站'!L:L,'华瑞-曙光，大水井，老水井充电站'!B:B,B20)+SUMIFS('银盛-青龙坪充电站'!L:L,'银盛-青龙坪充电站'!B:B,B20)+SUMIFS('砚山锦佳-砚山充电站'!K:K,'砚山锦佳-砚山充电站'!B:B,B20)+SUMIFS(中石油广西百色靖西市龙临加油充电站!K:K,中石油广西百色靖西市龙临加油充电站!B:B,B20)+SUMIFS(德保众擎充电站!L:L,德保众擎充电站!B:B,B20)+SUMIFS(南网八宝充电站!K:K,南网八宝充电站!B:B,B20)+SUMIFS(南屏充电站!K:K,南屏充电站!B:B,B20)+SUMIFS(鑫鸿充电站!K:K,鑫鸿充电站!B:B,B20)+SUMIFS('锦田-百色田东充电站'!K:K,'锦田-百色田东充电站'!B:B,B20)+37.06/47+SUMIFS(平远充电站!K:K,平远充电站!B:B,B20)</f>
        <v>16710.5883106383</v>
      </c>
      <c r="K20" s="516">
        <f t="shared" si="0"/>
        <v>0.351144811784566</v>
      </c>
      <c r="L20" s="439">
        <f t="shared" si="1"/>
        <v>879.504647928331</v>
      </c>
      <c r="M20" s="439"/>
      <c r="N20" s="439">
        <f t="shared" si="6"/>
        <v>220.881967213115</v>
      </c>
      <c r="O20" s="439">
        <f>SUMIFS(轮胎!H:H,轮胎!D:D,B20)+SUMIFS(轮胎!H:H,轮胎!D:D,C20)</f>
        <v>0</v>
      </c>
      <c r="P20" s="439">
        <v>0</v>
      </c>
      <c r="Q20" s="439">
        <f>SUMIFS(维修费!E:E,维修费!C:C,B20)+SUMIFS(维修费!E:E,维修费!C:C,C20)</f>
        <v>120</v>
      </c>
      <c r="R20" s="439">
        <f>SUMIFS(磅单!R:R,磅单!F:F,B20)</f>
        <v>11600</v>
      </c>
      <c r="S20" s="439">
        <f>SUMIFS(司机工资表!E:E,司机工资表!B:B,D20)+SUMIFS(司机工资表!N:N,司机工资表!B:B,D20)</f>
        <v>1200</v>
      </c>
      <c r="T20" s="517">
        <f>SUMIFS(付款明细!G:G,付款明细!D:D,B20,付款明细!B:B,"车队-罚款")</f>
        <v>220</v>
      </c>
      <c r="U20" s="517">
        <f>SUMIFS(付款明细!G:G,付款明细!D:D,B20,付款明细!B:B,"车辆费用")+SUMIFS(付款明细!G:G,付款明细!D:D,C20,付款明细!B:B,"车辆费用")</f>
        <v>555</v>
      </c>
      <c r="V20" s="439">
        <f>SUMIFS(付款明细!G:G,付款明细!B:B,"综合费用")/61</f>
        <v>397.392459016393</v>
      </c>
      <c r="W20" s="439">
        <v>2666</v>
      </c>
      <c r="X20" s="518"/>
      <c r="Y20" s="439">
        <f>SUMIFS(磅单!P:P,磅单!E:E,B20)</f>
        <v>285</v>
      </c>
      <c r="Z20" s="439">
        <f t="shared" si="3"/>
        <v>3331.2216</v>
      </c>
      <c r="AA20" s="519">
        <v>10600</v>
      </c>
      <c r="AB20" s="439">
        <f t="shared" si="7"/>
        <v>3800</v>
      </c>
      <c r="AC20" s="438">
        <f>(管理人员工资!$D$10+管理人员工资!$E$10)/61</f>
        <v>790.16393442623</v>
      </c>
      <c r="AD20" s="517">
        <f t="shared" si="4"/>
        <v>-4907.36827129403</v>
      </c>
    </row>
    <row r="21" s="106" customFormat="1" ht="20" customHeight="1" spans="1:33">
      <c r="A21" s="344">
        <v>19</v>
      </c>
      <c r="B21" s="37" t="s">
        <v>102</v>
      </c>
      <c r="C21" s="122" t="s">
        <v>104</v>
      </c>
      <c r="D21" s="37" t="s">
        <v>103</v>
      </c>
      <c r="E21" s="522" t="s">
        <v>326</v>
      </c>
      <c r="F21" s="515">
        <f>COUNTIFS(磅单!E:E,B21)</f>
        <v>18</v>
      </c>
      <c r="G21" s="439">
        <f>SUMIFS(磅单!L:L,磅单!F:F,B21)</f>
        <v>745.35</v>
      </c>
      <c r="H21" s="439">
        <f>SUMIFS(磅单!O:O,磅单!F:F,B21)</f>
        <v>45725.11</v>
      </c>
      <c r="I21" s="439"/>
      <c r="J21" s="439">
        <f>SUMIFS(现金充电明细!L:L,现金充电明细!B:B,B21)+SUMIFS('华瑞-曙光，大水井，老水井充电站'!L:L,'华瑞-曙光，大水井，老水井充电站'!B:B,B21)+SUMIFS('银盛-青龙坪充电站'!L:L,'银盛-青龙坪充电站'!B:B,B21)+SUMIFS('砚山锦佳-砚山充电站'!K:K,'砚山锦佳-砚山充电站'!B:B,B21)+SUMIFS(中石油广西百色靖西市龙临加油充电站!K:K,中石油广西百色靖西市龙临加油充电站!B:B,B21)+SUMIFS(德保众擎充电站!L:L,德保众擎充电站!B:B,B21)+SUMIFS(南网八宝充电站!K:K,南网八宝充电站!B:B,B21)+SUMIFS(南屏充电站!K:K,南屏充电站!B:B,B21)+SUMIFS(鑫鸿充电站!K:K,鑫鸿充电站!B:B,B21)+SUMIFS('锦田-百色田东充电站'!K:K,'锦田-百色田东充电站'!B:B,B21)+37.06/47+SUMIFS(平远充电站!K:K,平远充电站!B:B,B21)</f>
        <v>15247.8422606383</v>
      </c>
      <c r="K21" s="516">
        <f t="shared" si="0"/>
        <v>0.333467590578531</v>
      </c>
      <c r="L21" s="439">
        <f t="shared" si="1"/>
        <v>847.102347813239</v>
      </c>
      <c r="M21" s="439"/>
      <c r="N21" s="439">
        <f t="shared" si="6"/>
        <v>220.881967213115</v>
      </c>
      <c r="O21" s="439">
        <f>SUMIFS(轮胎!H:H,轮胎!D:D,B21)+SUMIFS(轮胎!H:H,轮胎!D:D,C21)</f>
        <v>1000</v>
      </c>
      <c r="P21" s="439">
        <v>0</v>
      </c>
      <c r="Q21" s="439">
        <f>SUMIFS(维修费!E:E,维修费!C:C,B21)+SUMIFS(维修费!E:E,维修费!C:C,C21)</f>
        <v>954</v>
      </c>
      <c r="R21" s="439">
        <f>SUMIFS(磅单!R:R,磅单!F:F,B21)</f>
        <v>11200</v>
      </c>
      <c r="S21" s="439">
        <f>SUMIFS(司机工资表!E:E,司机工资表!B:B,D21)+SUMIFS(司机工资表!N:N,司机工资表!B:B,D21)+200</f>
        <v>200</v>
      </c>
      <c r="T21" s="517">
        <f>SUMIFS(付款明细!G:G,付款明细!D:D,B21,付款明细!B:B,"车队-罚款")</f>
        <v>300</v>
      </c>
      <c r="U21" s="517">
        <f>SUMIFS(付款明细!G:G,付款明细!D:D,B21,付款明细!B:B,"车辆费用")+SUMIFS(付款明细!G:G,付款明细!D:D,C21,付款明细!B:B,"车辆费用")</f>
        <v>390</v>
      </c>
      <c r="V21" s="439">
        <f>SUMIFS(付款明细!G:G,付款明细!B:B,"综合费用")/61</f>
        <v>397.392459016393</v>
      </c>
      <c r="W21" s="439">
        <v>2666</v>
      </c>
      <c r="X21" s="518"/>
      <c r="Y21" s="439">
        <f>SUMIFS(磅单!P:P,磅单!E:E,B21)</f>
        <v>270</v>
      </c>
      <c r="Z21" s="439">
        <f t="shared" si="3"/>
        <v>3200.7577</v>
      </c>
      <c r="AA21" s="519">
        <v>10600</v>
      </c>
      <c r="AB21" s="439">
        <f t="shared" si="7"/>
        <v>3800</v>
      </c>
      <c r="AC21" s="438">
        <f>(管理人员工资!$D$10+管理人员工资!$E$10)/61</f>
        <v>790.16393442623</v>
      </c>
      <c r="AD21" s="517">
        <f t="shared" si="4"/>
        <v>-5511.92832129403</v>
      </c>
    </row>
    <row r="22" s="106" customFormat="1" ht="20" customHeight="1" spans="1:33">
      <c r="A22" s="344">
        <v>20</v>
      </c>
      <c r="B22" s="37" t="s">
        <v>105</v>
      </c>
      <c r="C22" s="122" t="s">
        <v>107</v>
      </c>
      <c r="D22" s="37" t="s">
        <v>328</v>
      </c>
      <c r="E22" s="522" t="s">
        <v>326</v>
      </c>
      <c r="F22" s="515">
        <f>COUNTIFS(磅单!E:E,B22)</f>
        <v>19</v>
      </c>
      <c r="G22" s="439">
        <f>SUMIFS(磅单!L:L,磅单!F:F,B22)</f>
        <v>786.97</v>
      </c>
      <c r="H22" s="439">
        <f>SUMIFS(磅单!O:O,磅单!F:F,B22)</f>
        <v>50797.99</v>
      </c>
      <c r="I22" s="439"/>
      <c r="J22" s="439">
        <f>SUMIFS(现金充电明细!L:L,现金充电明细!B:B,B22)+SUMIFS('华瑞-曙光，大水井，老水井充电站'!L:L,'华瑞-曙光，大水井，老水井充电站'!B:B,B22)+SUMIFS('银盛-青龙坪充电站'!L:L,'银盛-青龙坪充电站'!B:B,B22)+SUMIFS('砚山锦佳-砚山充电站'!K:K,'砚山锦佳-砚山充电站'!B:B,B22)+SUMIFS(中石油广西百色靖西市龙临加油充电站!K:K,中石油广西百色靖西市龙临加油充电站!B:B,B22)+SUMIFS(德保众擎充电站!L:L,德保众擎充电站!B:B,B22)+SUMIFS(南网八宝充电站!K:K,南网八宝充电站!B:B,B22)+SUMIFS(南屏充电站!K:K,南屏充电站!B:B,B22)+SUMIFS(鑫鸿充电站!K:K,鑫鸿充电站!B:B,B22)+SUMIFS('锦田-百色田东充电站'!K:K,'锦田-百色田东充电站'!B:B,B22)+37.06/47+SUMIFS(平远充电站!K:K,平远充电站!B:B,B22)</f>
        <v>13928.0655106383</v>
      </c>
      <c r="K22" s="516">
        <f t="shared" si="0"/>
        <v>0.274185366598921</v>
      </c>
      <c r="L22" s="439">
        <f t="shared" si="1"/>
        <v>733.056079507279</v>
      </c>
      <c r="M22" s="439"/>
      <c r="N22" s="439">
        <f t="shared" si="6"/>
        <v>220.881967213115</v>
      </c>
      <c r="O22" s="439">
        <f>SUMIFS(轮胎!H:H,轮胎!D:D,B22)+SUMIFS(轮胎!H:H,轮胎!D:D,C22)</f>
        <v>0</v>
      </c>
      <c r="P22" s="439">
        <v>0</v>
      </c>
      <c r="Q22" s="439">
        <f>SUMIFS(维修费!E:E,维修费!C:C,B22)+SUMIFS(维修费!E:E,维修费!C:C,C22)</f>
        <v>0</v>
      </c>
      <c r="R22" s="439">
        <f>SUMIFS(磅单!R:R,磅单!F:F,B22)</f>
        <v>11800</v>
      </c>
      <c r="S22" s="439">
        <f>SUMIFS(司机工资表!E:E,司机工资表!B:B,D22)+SUMIFS(司机工资表!N:N,司机工资表!B:B,D22)</f>
        <v>0</v>
      </c>
      <c r="T22" s="517">
        <f>SUMIFS(付款明细!G:G,付款明细!D:D,B22,付款明细!B:B,"车队-罚款")</f>
        <v>100</v>
      </c>
      <c r="U22" s="517">
        <f>SUMIFS(付款明细!G:G,付款明细!D:D,B22,付款明细!B:B,"车辆费用")+SUMIFS(付款明细!G:G,付款明细!D:D,C22,付款明细!B:B,"车辆费用")</f>
        <v>426.6</v>
      </c>
      <c r="V22" s="439">
        <f>SUMIFS(付款明细!G:G,付款明细!B:B,"综合费用")/61</f>
        <v>397.392459016393</v>
      </c>
      <c r="W22" s="439">
        <v>2666</v>
      </c>
      <c r="X22" s="518"/>
      <c r="Y22" s="439">
        <f>SUMIFS(磅单!P:P,磅单!E:E,B22)</f>
        <v>285</v>
      </c>
      <c r="Z22" s="439">
        <f t="shared" si="3"/>
        <v>3555.8593</v>
      </c>
      <c r="AA22" s="519">
        <v>10600</v>
      </c>
      <c r="AB22" s="439">
        <f t="shared" si="7"/>
        <v>3800</v>
      </c>
      <c r="AC22" s="438">
        <f>(管理人员工资!$D$10+管理人员工资!$E$10)/61</f>
        <v>790.16393442623</v>
      </c>
      <c r="AD22" s="517">
        <f t="shared" si="4"/>
        <v>2228.02682870595</v>
      </c>
    </row>
    <row r="23" s="106" customFormat="1" ht="20" customHeight="1" spans="1:33">
      <c r="A23" s="344">
        <v>21</v>
      </c>
      <c r="B23" s="37" t="s">
        <v>108</v>
      </c>
      <c r="C23" s="122" t="s">
        <v>110</v>
      </c>
      <c r="D23" s="37" t="s">
        <v>109</v>
      </c>
      <c r="E23" s="515" t="s">
        <v>326</v>
      </c>
      <c r="F23" s="515">
        <f>COUNTIFS(磅单!E:E,B23)</f>
        <v>17</v>
      </c>
      <c r="G23" s="439">
        <f>SUMIFS(磅单!L:L,磅单!F:F,B23)</f>
        <v>722.21</v>
      </c>
      <c r="H23" s="439">
        <f>SUMIFS(磅单!O:O,磅单!F:F,B23)</f>
        <v>47707.93</v>
      </c>
      <c r="I23" s="439"/>
      <c r="J23" s="439">
        <f>SUMIFS(现金充电明细!L:L,现金充电明细!B:B,B23)+SUMIFS('华瑞-曙光，大水井，老水井充电站'!L:L,'华瑞-曙光，大水井，老水井充电站'!B:B,B23)+SUMIFS('银盛-青龙坪充电站'!L:L,'银盛-青龙坪充电站'!B:B,B23)+SUMIFS('砚山锦佳-砚山充电站'!K:K,'砚山锦佳-砚山充电站'!B:B,B23)+SUMIFS(中石油广西百色靖西市龙临加油充电站!K:K,中石油广西百色靖西市龙临加油充电站!B:B,B23)+SUMIFS(德保众擎充电站!L:L,德保众擎充电站!B:B,B23)+SUMIFS(南网八宝充电站!K:K,南网八宝充电站!B:B,B23)+SUMIFS(南屏充电站!K:K,南屏充电站!B:B,B23)+SUMIFS(鑫鸿充电站!K:K,鑫鸿充电站!B:B,B23)+SUMIFS('锦田-百色田东充电站'!K:K,'锦田-百色田东充电站'!B:B,B23)+37.06/47+SUMIFS(平远充电站!K:K,平远充电站!B:B,B23)</f>
        <v>13353.9940106383</v>
      </c>
      <c r="K23" s="516">
        <f t="shared" si="0"/>
        <v>0.2799114111771</v>
      </c>
      <c r="L23" s="439">
        <f t="shared" si="1"/>
        <v>785.529059449312</v>
      </c>
      <c r="M23" s="439"/>
      <c r="N23" s="439">
        <f t="shared" si="6"/>
        <v>220.881967213115</v>
      </c>
      <c r="O23" s="439">
        <f>SUMIFS(轮胎!H:H,轮胎!D:D,B23)+SUMIFS(轮胎!H:H,轮胎!D:D,C23)</f>
        <v>1000</v>
      </c>
      <c r="P23" s="439">
        <v>0</v>
      </c>
      <c r="Q23" s="439">
        <f>SUMIFS(维修费!E:E,维修费!C:C,B23)+SUMIFS(维修费!E:E,维修费!C:C,C23)</f>
        <v>400</v>
      </c>
      <c r="R23" s="439">
        <f>SUMIFS(磅单!R:R,磅单!F:F,B23)</f>
        <v>11000</v>
      </c>
      <c r="S23" s="439">
        <f>SUMIFS(司机工资表!E:E,司机工资表!B:B,D23)+SUMIFS(司机工资表!N:N,司机工资表!B:B,D23)</f>
        <v>200</v>
      </c>
      <c r="T23" s="517">
        <f>SUMIFS(付款明细!G:G,付款明细!D:D,B23,付款明细!B:B,"车队-罚款")</f>
        <v>440</v>
      </c>
      <c r="U23" s="517">
        <f>SUMIFS(付款明细!G:G,付款明细!D:D,B23,付款明细!B:B,"车辆费用")+SUMIFS(付款明细!G:G,付款明细!D:D,C23,付款明细!B:B,"车辆费用")</f>
        <v>554</v>
      </c>
      <c r="V23" s="439">
        <f>SUMIFS(付款明细!G:G,付款明细!B:B,"综合费用")/61</f>
        <v>397.392459016393</v>
      </c>
      <c r="W23" s="439">
        <v>2666</v>
      </c>
      <c r="X23" s="517"/>
      <c r="Y23" s="439">
        <f>SUMIFS(磅单!P:P,磅单!E:E,B23)</f>
        <v>255</v>
      </c>
      <c r="Z23" s="439">
        <f t="shared" si="3"/>
        <v>3339.5551</v>
      </c>
      <c r="AA23" s="519">
        <v>10600</v>
      </c>
      <c r="AB23" s="439">
        <f t="shared" si="7"/>
        <v>3800</v>
      </c>
      <c r="AC23" s="438">
        <f>(管理人员工资!$D$10+管理人员工资!$E$10)/61</f>
        <v>790.16393442623</v>
      </c>
      <c r="AD23" s="517">
        <f t="shared" si="4"/>
        <v>-1309.05747129404</v>
      </c>
    </row>
    <row r="24" s="106" customFormat="1" ht="20" customHeight="1" spans="1:33">
      <c r="A24" s="344">
        <v>22</v>
      </c>
      <c r="B24" s="37" t="s">
        <v>111</v>
      </c>
      <c r="C24" s="122" t="s">
        <v>113</v>
      </c>
      <c r="D24" s="37" t="s">
        <v>112</v>
      </c>
      <c r="E24" s="515" t="s">
        <v>326</v>
      </c>
      <c r="F24" s="515">
        <f>COUNTIFS(磅单!E:E,B24)</f>
        <v>23</v>
      </c>
      <c r="G24" s="439">
        <f>SUMIFS(磅单!L:L,磅单!F:F,B24)</f>
        <v>949.84</v>
      </c>
      <c r="H24" s="439">
        <f>SUMIFS(磅单!O:O,磅单!F:F,B24)</f>
        <v>59389.6</v>
      </c>
      <c r="I24" s="439"/>
      <c r="J24" s="439">
        <f>SUMIFS(现金充电明细!L:L,现金充电明细!B:B,B24)+SUMIFS('华瑞-曙光，大水井，老水井充电站'!L:L,'华瑞-曙光，大水井，老水井充电站'!B:B,B24)+SUMIFS('银盛-青龙坪充电站'!L:L,'银盛-青龙坪充电站'!B:B,B24)+SUMIFS('砚山锦佳-砚山充电站'!K:K,'砚山锦佳-砚山充电站'!B:B,B24)+SUMIFS(中石油广西百色靖西市龙临加油充电站!K:K,中石油广西百色靖西市龙临加油充电站!B:B,B24)+SUMIFS(德保众擎充电站!L:L,德保众擎充电站!B:B,B24)+SUMIFS(南网八宝充电站!K:K,南网八宝充电站!B:B,B24)+SUMIFS(南屏充电站!K:K,南屏充电站!B:B,B24)+SUMIFS(鑫鸿充电站!K:K,鑫鸿充电站!B:B,B24)+SUMIFS('锦田-百色田东充电站'!K:K,'锦田-百色田东充电站'!B:B,B24)+37.06/47+SUMIFS(平远充电站!K:K,平远充电站!B:B,B24)</f>
        <v>19713.9582606383</v>
      </c>
      <c r="K24" s="516">
        <f t="shared" si="0"/>
        <v>0.331942937157992</v>
      </c>
      <c r="L24" s="439">
        <f t="shared" si="1"/>
        <v>857.128620027752</v>
      </c>
      <c r="M24" s="439"/>
      <c r="N24" s="439">
        <f t="shared" ref="N24:N33" si="8">13473.8/61</f>
        <v>220.881967213115</v>
      </c>
      <c r="O24" s="439">
        <f>SUMIFS(轮胎!H:H,轮胎!D:D,B24)+SUMIFS(轮胎!H:H,轮胎!D:D,C24)</f>
        <v>0</v>
      </c>
      <c r="P24" s="439">
        <v>0</v>
      </c>
      <c r="Q24" s="439">
        <f>SUMIFS(维修费!E:E,维修费!C:C,B24)+SUMIFS(维修费!E:E,维修费!C:C,C24)</f>
        <v>455</v>
      </c>
      <c r="R24" s="439">
        <f>SUMIFS(磅单!R:R,磅单!F:F,B24)</f>
        <v>14200</v>
      </c>
      <c r="S24" s="439">
        <f>SUMIFS(司机工资表!E:E,司机工资表!B:B,D24)+SUMIFS(司机工资表!N:N,司机工资表!B:B,D24)</f>
        <v>200</v>
      </c>
      <c r="T24" s="517">
        <f>SUMIFS(付款明细!G:G,付款明细!D:D,B24,付款明细!B:B,"车队-罚款")</f>
        <v>260</v>
      </c>
      <c r="U24" s="517">
        <f>SUMIFS(付款明细!G:G,付款明细!D:D,B24,付款明细!B:B,"车辆费用")+SUMIFS(付款明细!G:G,付款明细!D:D,C24,付款明细!B:B,"车辆费用")</f>
        <v>568.6</v>
      </c>
      <c r="V24" s="439">
        <f>SUMIFS(付款明细!G:G,付款明细!B:B,"综合费用")/61</f>
        <v>397.392459016393</v>
      </c>
      <c r="W24" s="439">
        <v>2666</v>
      </c>
      <c r="X24" s="517"/>
      <c r="Y24" s="439">
        <f>SUMIFS(磅单!P:P,磅单!E:E,B24)</f>
        <v>345</v>
      </c>
      <c r="Z24" s="439">
        <f t="shared" si="3"/>
        <v>4157.272</v>
      </c>
      <c r="AA24" s="519">
        <v>10600</v>
      </c>
      <c r="AB24" s="439">
        <f t="shared" si="7"/>
        <v>3800</v>
      </c>
      <c r="AC24" s="438">
        <f>(管理人员工资!$D$10+管理人员工资!$E$10)/61</f>
        <v>790.16393442623</v>
      </c>
      <c r="AD24" s="517">
        <f t="shared" si="4"/>
        <v>1015.33137870596</v>
      </c>
    </row>
    <row r="25" s="106" customFormat="1" ht="20" customHeight="1" spans="1:33">
      <c r="A25" s="344">
        <v>23</v>
      </c>
      <c r="B25" s="37" t="s">
        <v>114</v>
      </c>
      <c r="C25" s="122" t="s">
        <v>116</v>
      </c>
      <c r="D25" s="37" t="s">
        <v>115</v>
      </c>
      <c r="E25" s="515" t="s">
        <v>326</v>
      </c>
      <c r="F25" s="515">
        <f>COUNTIFS(磅单!E:E,B25)</f>
        <v>21</v>
      </c>
      <c r="G25" s="439">
        <f>SUMIFS(磅单!L:L,磅单!F:F,B25)</f>
        <v>888.56</v>
      </c>
      <c r="H25" s="439">
        <f>SUMIFS(磅单!O:O,磅单!F:F,B25)</f>
        <v>57045.58</v>
      </c>
      <c r="I25" s="439"/>
      <c r="J25" s="439">
        <f>SUMIFS(现金充电明细!L:L,现金充电明细!B:B,B25)+SUMIFS('华瑞-曙光，大水井，老水井充电站'!L:L,'华瑞-曙光，大水井，老水井充电站'!B:B,B25)+SUMIFS('银盛-青龙坪充电站'!L:L,'银盛-青龙坪充电站'!B:B,B25)+SUMIFS('砚山锦佳-砚山充电站'!K:K,'砚山锦佳-砚山充电站'!B:B,B25)+SUMIFS(中石油广西百色靖西市龙临加油充电站!K:K,中石油广西百色靖西市龙临加油充电站!B:B,B25)+SUMIFS(德保众擎充电站!L:L,德保众擎充电站!B:B,B25)+SUMIFS(南网八宝充电站!K:K,南网八宝充电站!B:B,B25)+SUMIFS(南屏充电站!K:K,南屏充电站!B:B,B25)+SUMIFS(鑫鸿充电站!K:K,鑫鸿充电站!B:B,B25)+SUMIFS('锦田-百色田东充电站'!K:K,'锦田-百色田东充电站'!B:B,B25)+37.06/47+SUMIFS(平远充电站!K:K,平远充电站!B:B,B25)</f>
        <v>15543.1342106383</v>
      </c>
      <c r="K25" s="516">
        <f t="shared" si="0"/>
        <v>0.272468685753362</v>
      </c>
      <c r="L25" s="439">
        <f t="shared" si="1"/>
        <v>740.149248125633</v>
      </c>
      <c r="M25" s="439"/>
      <c r="N25" s="439">
        <f t="shared" si="8"/>
        <v>220.881967213115</v>
      </c>
      <c r="O25" s="439">
        <f>SUMIFS(轮胎!H:H,轮胎!D:D,B25)+SUMIFS(轮胎!H:H,轮胎!D:D,C25)</f>
        <v>0</v>
      </c>
      <c r="P25" s="439">
        <v>0</v>
      </c>
      <c r="Q25" s="439">
        <f>SUMIFS(维修费!E:E,维修费!C:C,B25)+SUMIFS(维修费!E:E,维修费!C:C,C25)</f>
        <v>570</v>
      </c>
      <c r="R25" s="439">
        <f>SUMIFS(磅单!R:R,磅单!F:F,B25)</f>
        <v>13200</v>
      </c>
      <c r="S25" s="439">
        <f>SUMIFS(司机工资表!E:E,司机工资表!B:B,D25)+SUMIFS(司机工资表!N:N,司机工资表!B:B,D25)</f>
        <v>0</v>
      </c>
      <c r="T25" s="517">
        <f>SUMIFS(付款明细!G:G,付款明细!D:D,B25,付款明细!B:B,"车队-罚款")</f>
        <v>200</v>
      </c>
      <c r="U25" s="517">
        <f>SUMIFS(付款明细!G:G,付款明细!D:D,B25,付款明细!B:B,"车辆费用")+SUMIFS(付款明细!G:G,付款明细!D:D,C25,付款明细!B:B,"车辆费用")</f>
        <v>608</v>
      </c>
      <c r="V25" s="439">
        <f>SUMIFS(付款明细!G:G,付款明细!B:B,"综合费用")/61</f>
        <v>397.392459016393</v>
      </c>
      <c r="W25" s="439">
        <v>2666</v>
      </c>
      <c r="X25" s="517"/>
      <c r="Y25" s="439">
        <f>SUMIFS(磅单!P:P,磅单!E:E,B25)</f>
        <v>315</v>
      </c>
      <c r="Z25" s="439">
        <f t="shared" si="3"/>
        <v>3993.1906</v>
      </c>
      <c r="AA25" s="519">
        <v>10600</v>
      </c>
      <c r="AB25" s="439">
        <f t="shared" ref="AB25:AB32" si="9">3800</f>
        <v>3800</v>
      </c>
      <c r="AC25" s="438">
        <f>(管理人员工资!$D$10+管理人员工资!$E$10)/61</f>
        <v>790.16393442623</v>
      </c>
      <c r="AD25" s="517">
        <f t="shared" si="4"/>
        <v>4141.81682870597</v>
      </c>
    </row>
    <row r="26" s="106" customFormat="1" ht="20" customHeight="1" spans="1:33">
      <c r="A26" s="344">
        <v>24</v>
      </c>
      <c r="B26" s="37" t="s">
        <v>117</v>
      </c>
      <c r="C26" s="122" t="s">
        <v>120</v>
      </c>
      <c r="D26" s="37" t="s">
        <v>118</v>
      </c>
      <c r="E26" s="515" t="s">
        <v>326</v>
      </c>
      <c r="F26" s="515">
        <f>COUNTIFS(磅单!E:E,B26)</f>
        <v>4</v>
      </c>
      <c r="G26" s="439">
        <f>SUMIFS(磅单!L:L,磅单!F:F,B26)</f>
        <v>167.72</v>
      </c>
      <c r="H26" s="439">
        <f>SUMIFS(磅单!O:O,磅单!F:F,B26)</f>
        <v>11193.96</v>
      </c>
      <c r="I26" s="439">
        <v>50</v>
      </c>
      <c r="J26" s="439">
        <f>SUMIFS(现金充电明细!L:L,现金充电明细!B:B,B26)+SUMIFS('华瑞-曙光，大水井，老水井充电站'!L:L,'华瑞-曙光，大水井，老水井充电站'!B:B,B26)+SUMIFS('银盛-青龙坪充电站'!L:L,'银盛-青龙坪充电站'!B:B,B26)+SUMIFS('砚山锦佳-砚山充电站'!K:K,'砚山锦佳-砚山充电站'!B:B,B26)+SUMIFS(中石油广西百色靖西市龙临加油充电站!K:K,中石油广西百色靖西市龙临加油充电站!B:B,B26)+SUMIFS(德保众擎充电站!L:L,德保众擎充电站!B:B,B26)+SUMIFS(南网八宝充电站!K:K,南网八宝充电站!B:B,B26)+SUMIFS(南屏充电站!K:K,南屏充电站!B:B,B26)+SUMIFS(鑫鸿充电站!K:K,鑫鸿充电站!B:B,B26)+SUMIFS('锦田-百色田东充电站'!K:K,'锦田-百色田东充电站'!B:B,B26)+37.06/47+SUMIFS(平远充电站!K:K,平远充电站!B:B,B26)</f>
        <v>5252.5870606383</v>
      </c>
      <c r="K26" s="516">
        <f t="shared" si="0"/>
        <v>0.469234038770756</v>
      </c>
      <c r="L26" s="439">
        <f t="shared" si="1"/>
        <v>1313.14676515957</v>
      </c>
      <c r="M26" s="439"/>
      <c r="N26" s="439">
        <f t="shared" si="8"/>
        <v>220.881967213115</v>
      </c>
      <c r="O26" s="439">
        <f>SUMIFS(轮胎!H:H,轮胎!D:D,B26)+SUMIFS(轮胎!H:H,轮胎!D:D,C26)</f>
        <v>0</v>
      </c>
      <c r="P26" s="439">
        <v>0</v>
      </c>
      <c r="Q26" s="439">
        <f>SUMIFS(维修费!E:E,维修费!C:C,B26)+SUMIFS(维修费!E:E,维修费!C:C,C26)</f>
        <v>295</v>
      </c>
      <c r="R26" s="439">
        <f>SUMIFS(磅单!R:R,磅单!F:F,B26)</f>
        <v>2800</v>
      </c>
      <c r="S26" s="439">
        <f>SUMIFS(司机工资表!E:E,司机工资表!B:B,D26)+SUMIFS(司机工资表!N:N,司机工资表!B:B,D26)</f>
        <v>200</v>
      </c>
      <c r="T26" s="517">
        <f>SUMIFS(付款明细!G:G,付款明细!D:D,B26,付款明细!B:B,"车队-罚款")</f>
        <v>200</v>
      </c>
      <c r="U26" s="517">
        <f>SUMIFS(付款明细!G:G,付款明细!D:D,B26,付款明细!B:B,"车辆费用")+SUMIFS(付款明细!G:G,付款明细!D:D,C26,付款明细!B:B,"车辆费用")</f>
        <v>160</v>
      </c>
      <c r="V26" s="439">
        <f>SUMIFS(付款明细!G:G,付款明细!B:B,"综合费用")/61</f>
        <v>397.392459016393</v>
      </c>
      <c r="W26" s="439">
        <v>2666</v>
      </c>
      <c r="X26" s="517"/>
      <c r="Y26" s="439">
        <f>SUMIFS(磅单!P:P,磅单!E:E,B26)</f>
        <v>60</v>
      </c>
      <c r="Z26" s="439">
        <f t="shared" si="3"/>
        <v>783.5772</v>
      </c>
      <c r="AA26" s="519">
        <v>10600</v>
      </c>
      <c r="AB26" s="439">
        <f t="shared" si="9"/>
        <v>3800</v>
      </c>
      <c r="AC26" s="438">
        <f>(管理人员工资!$D$10+管理人员工资!$E$10)/61</f>
        <v>790.16393442623</v>
      </c>
      <c r="AD26" s="517">
        <f t="shared" si="4"/>
        <v>-17081.642621294</v>
      </c>
    </row>
    <row r="27" s="106" customFormat="1" ht="20" customHeight="1" spans="1:33">
      <c r="A27" s="523">
        <v>25</v>
      </c>
      <c r="B27" s="524" t="s">
        <v>121</v>
      </c>
      <c r="C27" s="525" t="s">
        <v>123</v>
      </c>
      <c r="D27" s="524"/>
      <c r="E27" s="526" t="s">
        <v>329</v>
      </c>
      <c r="F27" s="526">
        <f>COUNTIFS(磅单!E:E,B27)</f>
        <v>2</v>
      </c>
      <c r="G27" s="439">
        <f>SUMIFS(磅单!L:L,磅单!F:F,B27)</f>
        <v>85.91</v>
      </c>
      <c r="H27" s="439">
        <f>SUMIFS(磅单!O:O,磅单!F:F,B27)</f>
        <v>5499.59</v>
      </c>
      <c r="I27" s="439"/>
      <c r="J27" s="439">
        <f>SUMIFS(现金充电明细!L:L,现金充电明细!B:B,B27)+SUMIFS('华瑞-曙光，大水井，老水井充电站'!L:L,'华瑞-曙光，大水井，老水井充电站'!B:B,B27)+SUMIFS('银盛-青龙坪充电站'!L:L,'银盛-青龙坪充电站'!B:B,B27)+SUMIFS('砚山锦佳-砚山充电站'!K:K,'砚山锦佳-砚山充电站'!B:B,B27)+SUMIFS(中石油广西百色靖西市龙临加油充电站!K:K,中石油广西百色靖西市龙临加油充电站!B:B,B27)+SUMIFS(德保众擎充电站!L:L,德保众擎充电站!B:B,B27)+SUMIFS(南网八宝充电站!K:K,南网八宝充电站!B:B,B27)+SUMIFS(南屏充电站!K:K,南屏充电站!B:B,B27)+SUMIFS(鑫鸿充电站!K:K,鑫鸿充电站!B:B,B27)+SUMIFS('锦田-百色田东充电站'!K:K,'锦田-百色田东充电站'!B:B,B27)+37.06/47+SUMIFS(平远充电站!K:K,平远充电站!B:B,B27)</f>
        <v>2495.5028106383</v>
      </c>
      <c r="K27" s="516">
        <f t="shared" si="0"/>
        <v>0.453761609617862</v>
      </c>
      <c r="L27" s="439">
        <f t="shared" si="1"/>
        <v>1247.75140531915</v>
      </c>
      <c r="M27" s="439"/>
      <c r="N27" s="439">
        <f t="shared" si="8"/>
        <v>220.881967213115</v>
      </c>
      <c r="O27" s="439">
        <f>SUMIFS(轮胎!H:H,轮胎!D:D,B27)+SUMIFS(轮胎!H:H,轮胎!D:D,C27)</f>
        <v>0</v>
      </c>
      <c r="P27" s="439">
        <v>0</v>
      </c>
      <c r="Q27" s="439">
        <f>SUMIFS(维修费!E:E,维修费!C:C,B27)+SUMIFS(维修费!E:E,维修费!C:C,C27)</f>
        <v>300</v>
      </c>
      <c r="R27" s="439">
        <f>SUMIFS(磅单!R:R,磅单!F:F,B27)</f>
        <v>1200</v>
      </c>
      <c r="S27" s="439">
        <f>SUMIFS(司机工资表!E:E,司机工资表!B:B,D27)+SUMIFS(司机工资表!N:N,司机工资表!B:B,D27)</f>
        <v>0</v>
      </c>
      <c r="T27" s="517">
        <f>SUMIFS(付款明细!G:G,付款明细!D:D,B27,付款明细!B:B,"车队-罚款")</f>
        <v>200</v>
      </c>
      <c r="U27" s="517">
        <f>SUMIFS(付款明细!G:G,付款明细!D:D,B27,付款明细!B:B,"车辆费用")+SUMIFS(付款明细!G:G,付款明细!D:D,C27,付款明细!B:B,"车辆费用")</f>
        <v>417</v>
      </c>
      <c r="V27" s="439">
        <f>SUMIFS(付款明细!G:G,付款明细!B:B,"综合费用")/61</f>
        <v>397.392459016393</v>
      </c>
      <c r="W27" s="439">
        <v>2666</v>
      </c>
      <c r="X27" s="517"/>
      <c r="Y27" s="439">
        <f>SUMIFS(磅单!P:P,磅单!E:E,B27)</f>
        <v>30</v>
      </c>
      <c r="Z27" s="439">
        <f t="shared" si="3"/>
        <v>384.9713</v>
      </c>
      <c r="AA27" s="519">
        <v>10600</v>
      </c>
      <c r="AB27" s="439">
        <f t="shared" si="9"/>
        <v>3800</v>
      </c>
      <c r="AC27" s="438">
        <f>(管理人员工资!$D$10+管理人员工资!$E$10)/61</f>
        <v>790.16393442623</v>
      </c>
      <c r="AD27" s="517">
        <f t="shared" si="4"/>
        <v>-18002.322471294</v>
      </c>
    </row>
    <row r="28" s="106" customFormat="1" ht="20" customHeight="1" spans="1:33">
      <c r="A28" s="344">
        <v>26</v>
      </c>
      <c r="B28" s="37" t="s">
        <v>124</v>
      </c>
      <c r="C28" s="122" t="s">
        <v>126</v>
      </c>
      <c r="D28" s="37" t="s">
        <v>125</v>
      </c>
      <c r="E28" s="515" t="s">
        <v>326</v>
      </c>
      <c r="F28" s="515">
        <f>COUNTIFS(磅单!E:E,B28)</f>
        <v>17</v>
      </c>
      <c r="G28" s="439">
        <f>SUMIFS(磅单!L:L,磅单!F:F,B28)</f>
        <v>685.49</v>
      </c>
      <c r="H28" s="439">
        <f>SUMIFS(磅单!O:O,磅单!F:F,B28)</f>
        <v>44813.27</v>
      </c>
      <c r="I28" s="439">
        <v>50</v>
      </c>
      <c r="J28" s="439">
        <f>SUMIFS(现金充电明细!L:L,现金充电明细!B:B,B28)+SUMIFS('华瑞-曙光，大水井，老水井充电站'!L:L,'华瑞-曙光，大水井，老水井充电站'!B:B,B28)+SUMIFS('银盛-青龙坪充电站'!L:L,'银盛-青龙坪充电站'!B:B,B28)+SUMIFS('砚山锦佳-砚山充电站'!K:K,'砚山锦佳-砚山充电站'!B:B,B28)+SUMIFS(中石油广西百色靖西市龙临加油充电站!K:K,中石油广西百色靖西市龙临加油充电站!B:B,B28)+SUMIFS(德保众擎充电站!L:L,德保众擎充电站!B:B,B28)+SUMIFS(南网八宝充电站!K:K,南网八宝充电站!B:B,B28)+SUMIFS(南屏充电站!K:K,南屏充电站!B:B,B28)+SUMIFS(鑫鸿充电站!K:K,鑫鸿充电站!B:B,B28)+SUMIFS('锦田-百色田东充电站'!K:K,'锦田-百色田东充电站'!B:B,B28)+37.06/47+SUMIFS(平远充电站!K:K,平远充电站!B:B,B28)</f>
        <v>14525.3580106383</v>
      </c>
      <c r="K28" s="516">
        <f t="shared" si="0"/>
        <v>0.324130732049643</v>
      </c>
      <c r="L28" s="439">
        <f t="shared" si="1"/>
        <v>854.432824155194</v>
      </c>
      <c r="M28" s="439"/>
      <c r="N28" s="439">
        <f t="shared" si="8"/>
        <v>220.881967213115</v>
      </c>
      <c r="O28" s="439">
        <f>SUMIFS(轮胎!H:H,轮胎!D:D,B28)+SUMIFS(轮胎!H:H,轮胎!D:D,C28)</f>
        <v>6080</v>
      </c>
      <c r="P28" s="439">
        <v>0</v>
      </c>
      <c r="Q28" s="439">
        <f>SUMIFS(维修费!E:E,维修费!C:C,B28)+SUMIFS(维修费!E:E,维修费!C:C,C28)</f>
        <v>270</v>
      </c>
      <c r="R28" s="439">
        <f>SUMIFS(磅单!R:R,磅单!F:F,B28)</f>
        <v>10600</v>
      </c>
      <c r="S28" s="439">
        <f>SUMIFS(司机工资表!E:E,司机工资表!B:B,D28)+SUMIFS(司机工资表!N:N,司机工资表!B:B,D28)</f>
        <v>400</v>
      </c>
      <c r="T28" s="517">
        <f>SUMIFS(付款明细!G:G,付款明细!D:D,B28,付款明细!B:B,"车队-罚款")</f>
        <v>200</v>
      </c>
      <c r="U28" s="517">
        <f>SUMIFS(付款明细!G:G,付款明细!D:D,B28,付款明细!B:B,"车辆费用")+SUMIFS(付款明细!G:G,付款明细!D:D,C28,付款明细!B:B,"车辆费用")</f>
        <v>456</v>
      </c>
      <c r="V28" s="439">
        <f>SUMIFS(付款明细!G:G,付款明细!B:B,"综合费用")/61</f>
        <v>397.392459016393</v>
      </c>
      <c r="W28" s="439">
        <v>2666</v>
      </c>
      <c r="X28" s="517"/>
      <c r="Y28" s="439">
        <f>SUMIFS(磅单!P:P,磅单!E:E,B28)</f>
        <v>255</v>
      </c>
      <c r="Z28" s="439">
        <f t="shared" si="3"/>
        <v>3136.9289</v>
      </c>
      <c r="AA28" s="519">
        <v>10600</v>
      </c>
      <c r="AB28" s="439">
        <f t="shared" si="9"/>
        <v>3800</v>
      </c>
      <c r="AC28" s="438">
        <f>(管理人员工资!$D$10+管理人员工资!$E$10)/61</f>
        <v>790.16393442623</v>
      </c>
      <c r="AD28" s="517">
        <f t="shared" si="4"/>
        <v>-9634.45527129403</v>
      </c>
    </row>
    <row r="29" s="106" customFormat="1" ht="20" customHeight="1" spans="1:33">
      <c r="A29" s="344">
        <v>27</v>
      </c>
      <c r="B29" s="37" t="s">
        <v>127</v>
      </c>
      <c r="C29" s="122" t="s">
        <v>129</v>
      </c>
      <c r="D29" s="37" t="s">
        <v>128</v>
      </c>
      <c r="E29" s="515" t="s">
        <v>326</v>
      </c>
      <c r="F29" s="515">
        <f>COUNTIFS(磅单!E:E,B29)</f>
        <v>16</v>
      </c>
      <c r="G29" s="439">
        <f>SUMIFS(磅单!L:L,磅单!F:F,B29)</f>
        <v>649.14</v>
      </c>
      <c r="H29" s="439">
        <f>SUMIFS(磅单!O:O,磅单!F:F,B29)</f>
        <v>41386.44</v>
      </c>
      <c r="I29" s="439"/>
      <c r="J29" s="439">
        <f>SUMIFS(现金充电明细!L:L,现金充电明细!B:B,B29)+SUMIFS('华瑞-曙光，大水井，老水井充电站'!L:L,'华瑞-曙光，大水井，老水井充电站'!B:B,B29)+SUMIFS('银盛-青龙坪充电站'!L:L,'银盛-青龙坪充电站'!B:B,B29)+SUMIFS('砚山锦佳-砚山充电站'!K:K,'砚山锦佳-砚山充电站'!B:B,B29)+SUMIFS(中石油广西百色靖西市龙临加油充电站!K:K,中石油广西百色靖西市龙临加油充电站!B:B,B29)+SUMIFS(德保众擎充电站!L:L,德保众擎充电站!B:B,B29)+SUMIFS(南网八宝充电站!K:K,南网八宝充电站!B:B,B29)+SUMIFS(南屏充电站!K:K,南屏充电站!B:B,B29)+SUMIFS(鑫鸿充电站!K:K,鑫鸿充电站!B:B,B29)+SUMIFS('锦田-百色田东充电站'!K:K,'锦田-百色田东充电站'!B:B,B29)+37.06/47+SUMIFS(平远充电站!K:K,平远充电站!B:B,B29)</f>
        <v>12909.9520106383</v>
      </c>
      <c r="K29" s="516">
        <f t="shared" si="0"/>
        <v>0.311936760219973</v>
      </c>
      <c r="L29" s="439">
        <f t="shared" si="1"/>
        <v>806.872000664894</v>
      </c>
      <c r="M29" s="439"/>
      <c r="N29" s="439">
        <f t="shared" si="8"/>
        <v>220.881967213115</v>
      </c>
      <c r="O29" s="439">
        <f>SUMIFS(轮胎!H:H,轮胎!D:D,B29)+SUMIFS(轮胎!H:H,轮胎!D:D,C29)</f>
        <v>8830</v>
      </c>
      <c r="P29" s="439">
        <v>0</v>
      </c>
      <c r="Q29" s="439">
        <f>SUMIFS(维修费!E:E,维修费!C:C,B29)+SUMIFS(维修费!E:E,维修费!C:C,C29)</f>
        <v>1405</v>
      </c>
      <c r="R29" s="439">
        <f>SUMIFS(磅单!R:R,磅单!F:F,B29)</f>
        <v>10000</v>
      </c>
      <c r="S29" s="439">
        <f>SUMIFS(司机工资表!E:E,司机工资表!B:B,D29)+SUMIFS(司机工资表!N:N,司机工资表!B:B,D29)</f>
        <v>0</v>
      </c>
      <c r="T29" s="517">
        <f>SUMIFS(付款明细!G:G,付款明细!D:D,B29,付款明细!B:B,"车队-罚款")</f>
        <v>220</v>
      </c>
      <c r="U29" s="517">
        <f>SUMIFS(付款明细!G:G,付款明细!D:D,B29,付款明细!B:B,"车辆费用")+SUMIFS(付款明细!G:G,付款明细!D:D,C29,付款明细!B:B,"车辆费用")</f>
        <v>386</v>
      </c>
      <c r="V29" s="439">
        <f>SUMIFS(付款明细!G:G,付款明细!B:B,"综合费用")/61</f>
        <v>397.392459016393</v>
      </c>
      <c r="W29" s="439">
        <v>2666</v>
      </c>
      <c r="X29" s="517"/>
      <c r="Y29" s="439">
        <f>SUMIFS(磅单!P:P,磅单!E:E,B29)</f>
        <v>240</v>
      </c>
      <c r="Z29" s="439">
        <f t="shared" si="3"/>
        <v>2897.0508</v>
      </c>
      <c r="AA29" s="519">
        <v>10600</v>
      </c>
      <c r="AB29" s="439">
        <f t="shared" si="9"/>
        <v>3800</v>
      </c>
      <c r="AC29" s="438">
        <f>(管理人员工资!$D$10+管理人员工资!$E$10)/61</f>
        <v>790.16393442623</v>
      </c>
      <c r="AD29" s="517">
        <f t="shared" si="4"/>
        <v>-13976.001171294</v>
      </c>
    </row>
    <row r="30" s="106" customFormat="1" ht="20" customHeight="1" spans="1:33">
      <c r="A30" s="344">
        <v>28</v>
      </c>
      <c r="B30" s="37" t="s">
        <v>130</v>
      </c>
      <c r="C30" s="122" t="s">
        <v>131</v>
      </c>
      <c r="D30" s="37" t="s">
        <v>122</v>
      </c>
      <c r="E30" s="515" t="s">
        <v>326</v>
      </c>
      <c r="F30" s="515">
        <f>COUNTIFS(磅单!E:E,B30)</f>
        <v>15</v>
      </c>
      <c r="G30" s="439">
        <f>SUMIFS(磅单!L:L,磅单!F:F,B30)</f>
        <v>621.41</v>
      </c>
      <c r="H30" s="439">
        <f>SUMIFS(磅单!O:O,磅单!F:F,B30)</f>
        <v>37840.85</v>
      </c>
      <c r="I30" s="439"/>
      <c r="J30" s="439">
        <f>SUMIFS(现金充电明细!L:L,现金充电明细!B:B,B30)+SUMIFS('华瑞-曙光，大水井，老水井充电站'!L:L,'华瑞-曙光，大水井，老水井充电站'!B:B,B30)+SUMIFS('银盛-青龙坪充电站'!L:L,'银盛-青龙坪充电站'!B:B,B30)+SUMIFS('砚山锦佳-砚山充电站'!K:K,'砚山锦佳-砚山充电站'!B:B,B30)+SUMIFS(中石油广西百色靖西市龙临加油充电站!K:K,中石油广西百色靖西市龙临加油充电站!B:B,B30)+SUMIFS(德保众擎充电站!L:L,德保众擎充电站!B:B,B30)+SUMIFS(南网八宝充电站!K:K,南网八宝充电站!B:B,B30)+SUMIFS(南屏充电站!K:K,南屏充电站!B:B,B30)+SUMIFS(鑫鸿充电站!K:K,鑫鸿充电站!B:B,B30)+SUMIFS('锦田-百色田东充电站'!K:K,'锦田-百色田东充电站'!B:B,B30)+37.06/47+SUMIFS(平远充电站!K:K,平远充电站!B:B,B30)</f>
        <v>13910.7910106383</v>
      </c>
      <c r="K30" s="516">
        <f t="shared" si="0"/>
        <v>0.367613069226466</v>
      </c>
      <c r="L30" s="439">
        <f t="shared" si="1"/>
        <v>927.386067375887</v>
      </c>
      <c r="M30" s="439"/>
      <c r="N30" s="439">
        <f t="shared" si="8"/>
        <v>220.881967213115</v>
      </c>
      <c r="O30" s="439">
        <f>SUMIFS(轮胎!H:H,轮胎!D:D,B30)+SUMIFS(轮胎!H:H,轮胎!D:D,C30)</f>
        <v>900</v>
      </c>
      <c r="P30" s="439">
        <v>0</v>
      </c>
      <c r="Q30" s="439">
        <f>SUMIFS(维修费!E:E,维修费!C:C,B30)+SUMIFS(维修费!E:E,维修费!C:C,C30)</f>
        <v>2260</v>
      </c>
      <c r="R30" s="439">
        <f>SUMIFS(磅单!R:R,磅单!F:F,B30)</f>
        <v>9200</v>
      </c>
      <c r="S30" s="439">
        <f>SUMIFS(司机工资表!E:E,司机工资表!B:B,D30)+SUMIFS(司机工资表!N:N,司机工资表!B:B,D30)</f>
        <v>780</v>
      </c>
      <c r="T30" s="517">
        <f>SUMIFS(付款明细!G:G,付款明细!D:D,B30,付款明细!B:B,"车队-罚款")</f>
        <v>400</v>
      </c>
      <c r="U30" s="517">
        <f>SUMIFS(付款明细!G:G,付款明细!D:D,B30,付款明细!B:B,"车辆费用")+SUMIFS(付款明细!G:G,付款明细!D:D,C30,付款明细!B:B,"车辆费用")</f>
        <v>412</v>
      </c>
      <c r="V30" s="439">
        <f>SUMIFS(付款明细!G:G,付款明细!B:B,"综合费用")/61</f>
        <v>397.392459016393</v>
      </c>
      <c r="W30" s="439">
        <v>2666</v>
      </c>
      <c r="X30" s="517"/>
      <c r="Y30" s="439">
        <f>SUMIFS(磅单!P:P,磅单!E:E,B30)</f>
        <v>225</v>
      </c>
      <c r="Z30" s="439">
        <f t="shared" si="3"/>
        <v>2648.8595</v>
      </c>
      <c r="AA30" s="519">
        <v>10600</v>
      </c>
      <c r="AB30" s="439">
        <f t="shared" si="9"/>
        <v>3800</v>
      </c>
      <c r="AC30" s="438">
        <f>(管理人员工资!$D$10+管理人员工资!$E$10)/61</f>
        <v>790.16393442623</v>
      </c>
      <c r="AD30" s="517">
        <f t="shared" si="4"/>
        <v>-11370.238871294</v>
      </c>
    </row>
    <row r="31" s="106" customFormat="1" ht="20" customHeight="1" spans="1:33">
      <c r="A31" s="344">
        <v>29</v>
      </c>
      <c r="B31" s="37" t="s">
        <v>132</v>
      </c>
      <c r="C31" s="122" t="s">
        <v>134</v>
      </c>
      <c r="D31" s="37" t="s">
        <v>133</v>
      </c>
      <c r="E31" s="515" t="s">
        <v>326</v>
      </c>
      <c r="F31" s="515">
        <f>COUNTIFS(磅单!E:E,B31)</f>
        <v>18</v>
      </c>
      <c r="G31" s="439">
        <f>SUMIFS(磅单!L:L,磅单!F:F,B31)</f>
        <v>746.48</v>
      </c>
      <c r="H31" s="439">
        <f>SUMIFS(磅单!O:O,磅单!F:F,B31)</f>
        <v>47601.34</v>
      </c>
      <c r="I31" s="439"/>
      <c r="J31" s="439">
        <f>SUMIFS(现金充电明细!L:L,现金充电明细!B:B,B31)+SUMIFS('华瑞-曙光，大水井，老水井充电站'!L:L,'华瑞-曙光，大水井，老水井充电站'!B:B,B31)+SUMIFS('银盛-青龙坪充电站'!L:L,'银盛-青龙坪充电站'!B:B,B31)+SUMIFS('砚山锦佳-砚山充电站'!K:K,'砚山锦佳-砚山充电站'!B:B,B31)+SUMIFS(中石油广西百色靖西市龙临加油充电站!K:K,中石油广西百色靖西市龙临加油充电站!B:B,B31)+SUMIFS(德保众擎充电站!L:L,德保众擎充电站!B:B,B31)+SUMIFS(南网八宝充电站!K:K,南网八宝充电站!B:B,B31)+SUMIFS(南屏充电站!K:K,南屏充电站!B:B,B31)+SUMIFS(鑫鸿充电站!K:K,鑫鸿充电站!B:B,B31)+SUMIFS('锦田-百色田东充电站'!K:K,'锦田-百色田东充电站'!B:B,B31)+37.06/47+SUMIFS(平远充电站!K:K,平远充电站!B:B,B31)</f>
        <v>14021.3641106383</v>
      </c>
      <c r="K31" s="516">
        <f t="shared" si="0"/>
        <v>0.29455818072849</v>
      </c>
      <c r="L31" s="439">
        <f t="shared" si="1"/>
        <v>778.964672813239</v>
      </c>
      <c r="M31" s="439"/>
      <c r="N31" s="439">
        <f t="shared" si="8"/>
        <v>220.881967213115</v>
      </c>
      <c r="O31" s="439">
        <f>SUMIFS(轮胎!H:H,轮胎!D:D,B31)+SUMIFS(轮胎!H:H,轮胎!D:D,C31)</f>
        <v>0</v>
      </c>
      <c r="P31" s="439">
        <v>0</v>
      </c>
      <c r="Q31" s="439">
        <f>SUMIFS(维修费!E:E,维修费!C:C,B31)+SUMIFS(维修费!E:E,维修费!C:C,C31)</f>
        <v>352</v>
      </c>
      <c r="R31" s="439">
        <f>SUMIFS(磅单!R:R,磅单!F:F,B31)</f>
        <v>11200</v>
      </c>
      <c r="S31" s="439">
        <f>SUMIFS(司机工资表!E:E,司机工资表!B:B,D31)+SUMIFS(司机工资表!N:N,司机工资表!B:B,D31)</f>
        <v>0</v>
      </c>
      <c r="T31" s="517">
        <f>SUMIFS(付款明细!G:G,付款明细!D:D,B31,付款明细!B:B,"车队-罚款")</f>
        <v>200</v>
      </c>
      <c r="U31" s="517">
        <f>SUMIFS(付款明细!G:G,付款明细!D:D,B31,付款明细!B:B,"车辆费用")+SUMIFS(付款明细!G:G,付款明细!D:D,C31,付款明细!B:B,"车辆费用")</f>
        <v>535</v>
      </c>
      <c r="V31" s="439">
        <f>SUMIFS(付款明细!G:G,付款明细!B:B,"综合费用")/61</f>
        <v>397.392459016393</v>
      </c>
      <c r="W31" s="439">
        <v>2666</v>
      </c>
      <c r="X31" s="517">
        <v>3000</v>
      </c>
      <c r="Y31" s="439">
        <f>SUMIFS(磅单!P:P,磅单!E:E,B31)</f>
        <v>270</v>
      </c>
      <c r="Z31" s="439">
        <f t="shared" si="3"/>
        <v>3332.0938</v>
      </c>
      <c r="AA31" s="519">
        <v>10600</v>
      </c>
      <c r="AB31" s="439">
        <f t="shared" si="9"/>
        <v>3800</v>
      </c>
      <c r="AC31" s="438">
        <f>(管理人员工资!$D$10+管理人员工资!$E$10)/61</f>
        <v>790.16393442623</v>
      </c>
      <c r="AD31" s="517">
        <f t="shared" si="4"/>
        <v>-3783.55627129404</v>
      </c>
      <c r="AE31" s="527"/>
      <c r="AG31" s="528"/>
    </row>
    <row r="32" s="106" customFormat="1" ht="30" customHeight="1" spans="1:33">
      <c r="A32" s="344">
        <v>30</v>
      </c>
      <c r="B32" s="37" t="s">
        <v>135</v>
      </c>
      <c r="C32" s="122" t="s">
        <v>137</v>
      </c>
      <c r="D32" s="37" t="s">
        <v>136</v>
      </c>
      <c r="E32" s="515" t="s">
        <v>326</v>
      </c>
      <c r="F32" s="515">
        <f>COUNTIFS(磅单!E:E,B32)</f>
        <v>17</v>
      </c>
      <c r="G32" s="439">
        <f>SUMIFS(磅单!L:L,磅单!F:F,B32)</f>
        <v>707.89</v>
      </c>
      <c r="H32" s="439">
        <f>SUMIFS(磅单!O:O,磅单!F:F,B32)</f>
        <v>45141.65</v>
      </c>
      <c r="I32" s="439"/>
      <c r="J32" s="439">
        <f>SUMIFS(现金充电明细!L:L,现金充电明细!B:B,B32)+SUMIFS('华瑞-曙光，大水井，老水井充电站'!L:L,'华瑞-曙光，大水井，老水井充电站'!B:B,B32)+SUMIFS('银盛-青龙坪充电站'!L:L,'银盛-青龙坪充电站'!B:B,B32)+SUMIFS('砚山锦佳-砚山充电站'!K:K,'砚山锦佳-砚山充电站'!B:B,B32)+SUMIFS(中石油广西百色靖西市龙临加油充电站!K:K,中石油广西百色靖西市龙临加油充电站!B:B,B32)+SUMIFS(德保众擎充电站!L:L,德保众擎充电站!B:B,B32)+SUMIFS(南网八宝充电站!K:K,南网八宝充电站!B:B,B32)+SUMIFS(南屏充电站!K:K,南屏充电站!B:B,B32)+SUMIFS(鑫鸿充电站!K:K,鑫鸿充电站!B:B,B32)+SUMIFS('锦田-百色田东充电站'!K:K,'锦田-百色田东充电站'!B:B,B32)+37.06/47+SUMIFS(平远充电站!K:K,平远充电站!B:B,B32)</f>
        <v>14959.3720606383</v>
      </c>
      <c r="K32" s="516">
        <f t="shared" si="0"/>
        <v>0.331387356479843</v>
      </c>
      <c r="L32" s="439">
        <f t="shared" si="1"/>
        <v>879.963062390488</v>
      </c>
      <c r="M32" s="439"/>
      <c r="N32" s="439">
        <f t="shared" si="8"/>
        <v>220.881967213115</v>
      </c>
      <c r="O32" s="439">
        <f>SUMIFS(轮胎!H:H,轮胎!D:D,B32)+SUMIFS(轮胎!H:H,轮胎!D:D,C32)</f>
        <v>0</v>
      </c>
      <c r="P32" s="439">
        <v>0</v>
      </c>
      <c r="Q32" s="439">
        <f>SUMIFS(维修费!E:E,维修费!C:C,B32)+SUMIFS(维修费!E:E,维修费!C:C,C32)</f>
        <v>17300</v>
      </c>
      <c r="R32" s="439">
        <f>SUMIFS(磅单!R:R,磅单!F:F,B32)</f>
        <v>10600</v>
      </c>
      <c r="S32" s="439">
        <f>SUMIFS(司机工资表!E:E,司机工资表!B:B,D32)+SUMIFS(司机工资表!N:N,司机工资表!B:B,D32)</f>
        <v>0</v>
      </c>
      <c r="T32" s="517">
        <f>SUMIFS(付款明细!G:G,付款明细!D:D,B32,付款明细!B:B,"车队-罚款")</f>
        <v>0</v>
      </c>
      <c r="U32" s="517">
        <f>SUMIFS(付款明细!G:G,付款明细!D:D,B32,付款明细!B:B,"车辆费用")+SUMIFS(付款明细!G:G,付款明细!D:D,C32,付款明细!B:B,"车辆费用")</f>
        <v>2989</v>
      </c>
      <c r="V32" s="439">
        <f>SUMIFS(付款明细!G:G,付款明细!B:B,"综合费用")/61</f>
        <v>397.392459016393</v>
      </c>
      <c r="W32" s="439">
        <v>2666</v>
      </c>
      <c r="X32" s="517">
        <v>3000</v>
      </c>
      <c r="Y32" s="439">
        <f>SUMIFS(磅单!P:P,磅单!E:E,B32)</f>
        <v>255</v>
      </c>
      <c r="Z32" s="439">
        <f t="shared" si="3"/>
        <v>3159.9155</v>
      </c>
      <c r="AA32" s="519">
        <v>10600</v>
      </c>
      <c r="AB32" s="439">
        <f t="shared" si="9"/>
        <v>3800</v>
      </c>
      <c r="AC32" s="438">
        <f>(管理人员工资!$D$10+管理人员工资!$E$10)/61</f>
        <v>790.16393442623</v>
      </c>
      <c r="AD32" s="517">
        <f t="shared" si="4"/>
        <v>-25596.075921294</v>
      </c>
      <c r="AE32" s="527"/>
      <c r="AG32" s="528"/>
    </row>
    <row r="33" s="106" customFormat="1" ht="20" customHeight="1" spans="1:33">
      <c r="A33" s="344">
        <v>31</v>
      </c>
      <c r="B33" s="37" t="s">
        <v>138</v>
      </c>
      <c r="C33" s="122" t="s">
        <v>140</v>
      </c>
      <c r="D33" s="37" t="s">
        <v>139</v>
      </c>
      <c r="E33" s="515" t="s">
        <v>326</v>
      </c>
      <c r="F33" s="515">
        <f>COUNTIFS(磅单!E:E,B33)</f>
        <v>14</v>
      </c>
      <c r="G33" s="439">
        <f>SUMIFS(磅单!L:L,磅单!F:F,B33)</f>
        <v>608.25</v>
      </c>
      <c r="H33" s="439">
        <f>SUMIFS(磅单!O:O,磅单!F:F,B33)</f>
        <v>37988.71</v>
      </c>
      <c r="I33" s="439"/>
      <c r="J33" s="439">
        <f>SUMIFS(现金充电明细!L:L,现金充电明细!B:B,B33)+SUMIFS('华瑞-曙光，大水井，老水井充电站'!L:L,'华瑞-曙光，大水井，老水井充电站'!B:B,B33)+SUMIFS('银盛-青龙坪充电站'!L:L,'银盛-青龙坪充电站'!B:B,B33)+SUMIFS('砚山锦佳-砚山充电站'!K:K,'砚山锦佳-砚山充电站'!B:B,B33)+SUMIFS(中石油广西百色靖西市龙临加油充电站!K:K,中石油广西百色靖西市龙临加油充电站!B:B,B33)+SUMIFS(德保众擎充电站!L:L,德保众擎充电站!B:B,B33)+SUMIFS(南网八宝充电站!K:K,南网八宝充电站!B:B,B33)+SUMIFS(南屏充电站!K:K,南屏充电站!B:B,B33)+SUMIFS(鑫鸿充电站!K:K,鑫鸿充电站!B:B,B33)+SUMIFS('锦田-百色田东充电站'!K:K,'锦田-百色田东充电站'!B:B,B33)+37.06/47+SUMIFS(平远充电站!K:K,平远充电站!B:B,B33)</f>
        <v>13854.1876606383</v>
      </c>
      <c r="K33" s="516">
        <f t="shared" si="0"/>
        <v>0.364692237789551</v>
      </c>
      <c r="L33" s="439">
        <f t="shared" si="1"/>
        <v>989.584832902736</v>
      </c>
      <c r="M33" s="439"/>
      <c r="N33" s="439">
        <f t="shared" si="8"/>
        <v>220.881967213115</v>
      </c>
      <c r="O33" s="439">
        <f>SUMIFS(轮胎!H:H,轮胎!D:D,B33)+SUMIFS(轮胎!H:H,轮胎!D:D,C33)</f>
        <v>0</v>
      </c>
      <c r="P33" s="439">
        <v>0</v>
      </c>
      <c r="Q33" s="439">
        <f>SUMIFS(维修费!E:E,维修费!C:C,B33)+SUMIFS(维修费!E:E,维修费!C:C,C33)</f>
        <v>230</v>
      </c>
      <c r="R33" s="439">
        <f>SUMIFS(磅单!R:R,磅单!F:F,B33)</f>
        <v>8800</v>
      </c>
      <c r="S33" s="439">
        <f>SUMIFS(司机工资表!E:E,司机工资表!B:B,D33)+SUMIFS(司机工资表!N:N,司机工资表!B:B,D33)+400</f>
        <v>1200</v>
      </c>
      <c r="T33" s="517">
        <f>SUMIFS(付款明细!G:G,付款明细!D:D,B33,付款明细!B:B,"车队-罚款")</f>
        <v>200</v>
      </c>
      <c r="U33" s="517">
        <f>SUMIFS(付款明细!G:G,付款明细!D:D,B33,付款明细!B:B,"车辆费用")+SUMIFS(付款明细!G:G,付款明细!D:D,C33,付款明细!B:B,"车辆费用")</f>
        <v>466</v>
      </c>
      <c r="V33" s="439">
        <f>SUMIFS(付款明细!G:G,付款明细!B:B,"综合费用")/61</f>
        <v>397.392459016393</v>
      </c>
      <c r="W33" s="439">
        <v>2666</v>
      </c>
      <c r="X33" s="517">
        <v>3000</v>
      </c>
      <c r="Y33" s="439">
        <f>SUMIFS(磅单!P:P,磅单!E:E,B33)</f>
        <v>210</v>
      </c>
      <c r="Z33" s="439">
        <f t="shared" si="3"/>
        <v>2659.2097</v>
      </c>
      <c r="AA33" s="519">
        <v>10600</v>
      </c>
      <c r="AB33" s="439"/>
      <c r="AC33" s="438">
        <f>(管理人员工资!$D$10+管理人员工资!$E$10)/61</f>
        <v>790.16393442623</v>
      </c>
      <c r="AD33" s="517">
        <f t="shared" si="4"/>
        <v>-7305.12572129404</v>
      </c>
      <c r="AE33" s="529"/>
      <c r="AG33" s="528"/>
    </row>
    <row r="34" s="106" customFormat="1" ht="20" customHeight="1" spans="1:33">
      <c r="A34" s="344">
        <v>32</v>
      </c>
      <c r="B34" s="37" t="s">
        <v>141</v>
      </c>
      <c r="C34" s="122" t="s">
        <v>143</v>
      </c>
      <c r="D34" s="37" t="s">
        <v>142</v>
      </c>
      <c r="E34" s="515" t="s">
        <v>326</v>
      </c>
      <c r="F34" s="515">
        <f>COUNTIFS(磅单!E:E,B34)</f>
        <v>18</v>
      </c>
      <c r="G34" s="439">
        <f>SUMIFS(磅单!L:L,磅单!F:F,B34)</f>
        <v>769.44</v>
      </c>
      <c r="H34" s="439">
        <f>SUMIFS(磅单!O:O,磅单!F:F,B34)</f>
        <v>49469.5</v>
      </c>
      <c r="I34" s="439"/>
      <c r="J34" s="439">
        <f>SUMIFS(现金充电明细!L:L,现金充电明细!B:B,B34)+SUMIFS('华瑞-曙光，大水井，老水井充电站'!L:L,'华瑞-曙光，大水井，老水井充电站'!B:B,B34)+SUMIFS('银盛-青龙坪充电站'!L:L,'银盛-青龙坪充电站'!B:B,B34)+SUMIFS('砚山锦佳-砚山充电站'!K:K,'砚山锦佳-砚山充电站'!B:B,B34)+SUMIFS(中石油广西百色靖西市龙临加油充电站!K:K,中石油广西百色靖西市龙临加油充电站!B:B,B34)+SUMIFS(德保众擎充电站!L:L,德保众擎充电站!B:B,B34)+SUMIFS(南网八宝充电站!K:K,南网八宝充电站!B:B,B34)+SUMIFS(南屏充电站!K:K,南屏充电站!B:B,B34)+SUMIFS(鑫鸿充电站!K:K,鑫鸿充电站!B:B,B34)+SUMIFS('锦田-百色田东充电站'!K:K,'锦田-百色田东充电站'!B:B,B34)+37.06/47+SUMIFS(平远充电站!K:K,平远充电站!B:B,B34)</f>
        <v>19178.5682606383</v>
      </c>
      <c r="K34" s="516">
        <f t="shared" si="0"/>
        <v>0.387684699878477</v>
      </c>
      <c r="L34" s="439">
        <f t="shared" si="1"/>
        <v>1065.47601447991</v>
      </c>
      <c r="M34" s="439"/>
      <c r="N34" s="439">
        <f t="shared" ref="N34:N43" si="10">13473.8/61</f>
        <v>220.881967213115</v>
      </c>
      <c r="O34" s="439">
        <f>SUMIFS(轮胎!H:H,轮胎!D:D,B34)+SUMIFS(轮胎!H:H,轮胎!D:D,C34)</f>
        <v>0</v>
      </c>
      <c r="P34" s="439">
        <v>0</v>
      </c>
      <c r="Q34" s="439">
        <f>SUMIFS(维修费!E:E,维修费!C:C,B34)+SUMIFS(维修费!E:E,维修费!C:C,C34)</f>
        <v>100</v>
      </c>
      <c r="R34" s="439">
        <f>SUMIFS(磅单!R:R,磅单!F:F,B34)</f>
        <v>11200</v>
      </c>
      <c r="S34" s="439">
        <f>SUMIFS(司机工资表!E:E,司机工资表!B:B,D34)+SUMIFS(司机工资表!N:N,司机工资表!B:B,D34)</f>
        <v>0</v>
      </c>
      <c r="T34" s="517">
        <f>SUMIFS(付款明细!G:G,付款明细!D:D,B34,付款明细!B:B,"车队-罚款")</f>
        <v>220</v>
      </c>
      <c r="U34" s="517">
        <f>SUMIFS(付款明细!G:G,付款明细!D:D,B34,付款明细!B:B,"车辆费用")+SUMIFS(付款明细!G:G,付款明细!D:D,C34,付款明细!B:B,"车辆费用")</f>
        <v>424</v>
      </c>
      <c r="V34" s="439">
        <f>SUMIFS(付款明细!G:G,付款明细!B:B,"综合费用")/61</f>
        <v>397.392459016393</v>
      </c>
      <c r="W34" s="439">
        <v>2666</v>
      </c>
      <c r="X34" s="517">
        <v>3000</v>
      </c>
      <c r="Y34" s="439">
        <f>SUMIFS(磅单!P:P,磅单!E:E,B34)</f>
        <v>270</v>
      </c>
      <c r="Z34" s="439">
        <f t="shared" si="3"/>
        <v>3462.865</v>
      </c>
      <c r="AA34" s="519">
        <v>10600</v>
      </c>
      <c r="AB34" s="439"/>
      <c r="AC34" s="438">
        <f>(管理人员工资!$D$10+管理人员工资!$E$10)/61</f>
        <v>790.16393442623</v>
      </c>
      <c r="AD34" s="517">
        <f t="shared" si="4"/>
        <v>-3060.37162129404</v>
      </c>
      <c r="AE34" s="529"/>
      <c r="AG34" s="528"/>
    </row>
    <row r="35" s="106" customFormat="1" ht="20" customHeight="1" spans="1:33">
      <c r="A35" s="344">
        <v>33</v>
      </c>
      <c r="B35" s="37" t="s">
        <v>144</v>
      </c>
      <c r="C35" s="122" t="s">
        <v>147</v>
      </c>
      <c r="D35" s="37" t="s">
        <v>145</v>
      </c>
      <c r="E35" s="515" t="s">
        <v>326</v>
      </c>
      <c r="F35" s="515">
        <f>COUNTIFS(磅单!E:E,B35)</f>
        <v>17</v>
      </c>
      <c r="G35" s="439">
        <f>SUMIFS(磅单!L:L,磅单!F:F,B35)</f>
        <v>740.58</v>
      </c>
      <c r="H35" s="439">
        <f>SUMIFS(磅单!O:O,磅单!F:F,B35)</f>
        <v>48038.96</v>
      </c>
      <c r="I35" s="439"/>
      <c r="J35" s="439">
        <f>SUMIFS(现金充电明细!L:L,现金充电明细!B:B,B35)+SUMIFS('华瑞-曙光，大水井，老水井充电站'!L:L,'华瑞-曙光，大水井，老水井充电站'!B:B,B35)+SUMIFS('银盛-青龙坪充电站'!L:L,'银盛-青龙坪充电站'!B:B,B35)+SUMIFS('砚山锦佳-砚山充电站'!K:K,'砚山锦佳-砚山充电站'!B:B,B35)+SUMIFS(中石油广西百色靖西市龙临加油充电站!K:K,中石油广西百色靖西市龙临加油充电站!B:B,B35)+SUMIFS(德保众擎充电站!L:L,德保众擎充电站!B:B,B35)+SUMIFS(南网八宝充电站!K:K,南网八宝充电站!B:B,B35)+SUMIFS(南屏充电站!K:K,南屏充电站!B:B,B35)+SUMIFS(鑫鸿充电站!K:K,鑫鸿充电站!B:B,B35)+SUMIFS('锦田-百色田东充电站'!K:K,'锦田-百色田东充电站'!B:B,B35)+37.06/47+SUMIFS(平远充电站!K:K,平远充电站!B:B,B35)</f>
        <v>17792.4213106383</v>
      </c>
      <c r="K35" s="516">
        <f t="shared" si="0"/>
        <v>0.37037482307357</v>
      </c>
      <c r="L35" s="439">
        <f t="shared" si="1"/>
        <v>1046.61301827284</v>
      </c>
      <c r="M35" s="439"/>
      <c r="N35" s="439">
        <f t="shared" si="10"/>
        <v>220.881967213115</v>
      </c>
      <c r="O35" s="439">
        <f>SUMIFS(轮胎!H:H,轮胎!D:D,B35)+SUMIFS(轮胎!H:H,轮胎!D:D,C35)</f>
        <v>0</v>
      </c>
      <c r="P35" s="439">
        <v>0</v>
      </c>
      <c r="Q35" s="439">
        <f>SUMIFS(维修费!E:E,维修费!C:C,B35)+SUMIFS(维修费!E:E,维修费!C:C,C35)</f>
        <v>50</v>
      </c>
      <c r="R35" s="439">
        <f>SUMIFS(磅单!R:R,磅单!F:F,B35)</f>
        <v>10600</v>
      </c>
      <c r="S35" s="439">
        <f>SUMIFS(司机工资表!E:E,司机工资表!B:B,D35)+SUMIFS(司机工资表!N:N,司机工资表!B:B,D35)</f>
        <v>0</v>
      </c>
      <c r="T35" s="517">
        <f>SUMIFS(付款明细!G:G,付款明细!D:D,B35,付款明细!B:B,"车队-罚款")</f>
        <v>200</v>
      </c>
      <c r="U35" s="517">
        <f>SUMIFS(付款明细!G:G,付款明细!D:D,B35,付款明细!B:B,"车辆费用")+SUMIFS(付款明细!G:G,付款明细!D:D,C35,付款明细!B:B,"车辆费用")</f>
        <v>410</v>
      </c>
      <c r="V35" s="439">
        <f>SUMIFS(付款明细!G:G,付款明细!B:B,"综合费用")/61</f>
        <v>397.392459016393</v>
      </c>
      <c r="W35" s="439">
        <v>2666</v>
      </c>
      <c r="X35" s="517">
        <v>3000</v>
      </c>
      <c r="Y35" s="439">
        <f>SUMIFS(磅单!P:P,磅单!E:E,B35)</f>
        <v>255</v>
      </c>
      <c r="Z35" s="439">
        <f t="shared" si="3"/>
        <v>3362.7272</v>
      </c>
      <c r="AA35" s="519">
        <v>10600</v>
      </c>
      <c r="AB35" s="439"/>
      <c r="AC35" s="438">
        <f>(管理人员工资!$D$10+管理人员工资!$E$10)/61</f>
        <v>790.16393442623</v>
      </c>
      <c r="AD35" s="517">
        <f t="shared" si="4"/>
        <v>-2305.62687129404</v>
      </c>
      <c r="AE35" s="529"/>
      <c r="AG35" s="528"/>
    </row>
    <row r="36" s="106" customFormat="1" ht="20" customHeight="1" spans="1:33">
      <c r="A36" s="344">
        <v>34</v>
      </c>
      <c r="B36" s="37" t="s">
        <v>148</v>
      </c>
      <c r="C36" s="122" t="s">
        <v>150</v>
      </c>
      <c r="D36" s="37" t="s">
        <v>149</v>
      </c>
      <c r="E36" s="515" t="s">
        <v>326</v>
      </c>
      <c r="F36" s="515">
        <f>COUNTIFS(磅单!E:E,B36)</f>
        <v>9</v>
      </c>
      <c r="G36" s="439">
        <f>SUMIFS(磅单!L:L,磅单!F:F,B36)</f>
        <v>393.24</v>
      </c>
      <c r="H36" s="439">
        <f>SUMIFS(磅单!O:O,磅单!F:F,B36)</f>
        <v>27869.18</v>
      </c>
      <c r="I36" s="439"/>
      <c r="J36" s="439">
        <f>SUMIFS(现金充电明细!L:L,现金充电明细!B:B,B36)+SUMIFS('华瑞-曙光，大水井，老水井充电站'!L:L,'华瑞-曙光，大水井，老水井充电站'!B:B,B36)+SUMIFS('银盛-青龙坪充电站'!L:L,'银盛-青龙坪充电站'!B:B,B36)+SUMIFS('砚山锦佳-砚山充电站'!K:K,'砚山锦佳-砚山充电站'!B:B,B36)+SUMIFS(中石油广西百色靖西市龙临加油充电站!K:K,中石油广西百色靖西市龙临加油充电站!B:B,B36)+SUMIFS(德保众擎充电站!L:L,德保众擎充电站!B:B,B36)+SUMIFS(南网八宝充电站!K:K,南网八宝充电站!B:B,B36)+SUMIFS(南屏充电站!K:K,南屏充电站!B:B,B36)+SUMIFS(鑫鸿充电站!K:K,鑫鸿充电站!B:B,B36)+SUMIFS('锦田-百色田东充电站'!K:K,'锦田-百色田东充电站'!B:B,B36)+37.06/47+SUMIFS(平远充电站!K:K,平远充电站!B:B,B36)</f>
        <v>10008.9199106383</v>
      </c>
      <c r="K36" s="516">
        <f t="shared" si="0"/>
        <v>0.359139375849533</v>
      </c>
      <c r="L36" s="439">
        <f t="shared" si="1"/>
        <v>1112.10221229314</v>
      </c>
      <c r="M36" s="439"/>
      <c r="N36" s="439">
        <f t="shared" si="10"/>
        <v>220.881967213115</v>
      </c>
      <c r="O36" s="439">
        <f>SUMIFS(轮胎!H:H,轮胎!D:D,B36)+SUMIFS(轮胎!H:H,轮胎!D:D,C36)</f>
        <v>0</v>
      </c>
      <c r="P36" s="439">
        <v>0</v>
      </c>
      <c r="Q36" s="439">
        <f>SUMIFS(维修费!E:E,维修费!C:C,B36)+SUMIFS(维修费!E:E,维修费!C:C,C36)</f>
        <v>130</v>
      </c>
      <c r="R36" s="439">
        <f>SUMIFS(磅单!R:R,磅单!F:F,B36)</f>
        <v>6400</v>
      </c>
      <c r="S36" s="439">
        <f>SUMIFS(司机工资表!E:E,司机工资表!B:B,D36)+SUMIFS(司机工资表!N:N,司机工资表!B:B,D36)</f>
        <v>0</v>
      </c>
      <c r="T36" s="517">
        <f>SUMIFS(付款明细!G:G,付款明细!D:D,B36,付款明细!B:B,"车队-罚款")</f>
        <v>0</v>
      </c>
      <c r="U36" s="517">
        <f>SUMIFS(付款明细!G:G,付款明细!D:D,B36,付款明细!B:B,"车辆费用")+SUMIFS(付款明细!G:G,付款明细!D:D,C36,付款明细!B:B,"车辆费用")</f>
        <v>337</v>
      </c>
      <c r="V36" s="439">
        <f>SUMIFS(付款明细!G:G,付款明细!B:B,"综合费用")/61</f>
        <v>397.392459016393</v>
      </c>
      <c r="W36" s="439">
        <v>2666</v>
      </c>
      <c r="X36" s="517">
        <v>3100</v>
      </c>
      <c r="Y36" s="439">
        <f>SUMIFS(磅单!P:P,磅单!E:E,B36)</f>
        <v>135</v>
      </c>
      <c r="Z36" s="439">
        <f t="shared" si="3"/>
        <v>1950.8426</v>
      </c>
      <c r="AA36" s="519">
        <v>10600</v>
      </c>
      <c r="AB36" s="439"/>
      <c r="AC36" s="438">
        <f>(管理人员工资!$D$10+管理人员工资!$E$10)/61</f>
        <v>790.16393442623</v>
      </c>
      <c r="AD36" s="517">
        <f t="shared" ref="AD36:AD62" si="11">H36-I36-J36-N36-O36-R36-S36-T36-U36-V36-W36-AA36-AB36-AC36-Q36-P36-Z36-Y36-X36</f>
        <v>-8867.02087129404</v>
      </c>
      <c r="AE36" s="529"/>
      <c r="AG36" s="528"/>
    </row>
    <row r="37" s="106" customFormat="1" ht="20" customHeight="1" spans="1:33">
      <c r="A37" s="344">
        <v>35</v>
      </c>
      <c r="B37" s="37" t="s">
        <v>151</v>
      </c>
      <c r="C37" s="122" t="s">
        <v>153</v>
      </c>
      <c r="D37" s="37" t="s">
        <v>152</v>
      </c>
      <c r="E37" s="515" t="s">
        <v>326</v>
      </c>
      <c r="F37" s="515">
        <f>COUNTIFS(磅单!E:E,B37)</f>
        <v>11</v>
      </c>
      <c r="G37" s="439">
        <f>SUMIFS(磅单!L:L,磅单!F:F,B37)</f>
        <v>476.11</v>
      </c>
      <c r="H37" s="439">
        <f>SUMIFS(磅单!O:O,磅单!F:F,B37)</f>
        <v>31418.83</v>
      </c>
      <c r="I37" s="439"/>
      <c r="J37" s="439">
        <f>SUMIFS(现金充电明细!L:L,现金充电明细!B:B,B37)+SUMIFS('华瑞-曙光，大水井，老水井充电站'!L:L,'华瑞-曙光，大水井，老水井充电站'!B:B,B37)+SUMIFS('银盛-青龙坪充电站'!L:L,'银盛-青龙坪充电站'!B:B,B37)+SUMIFS('砚山锦佳-砚山充电站'!K:K,'砚山锦佳-砚山充电站'!B:B,B37)+SUMIFS(中石油广西百色靖西市龙临加油充电站!K:K,中石油广西百色靖西市龙临加油充电站!B:B,B37)+SUMIFS(德保众擎充电站!L:L,德保众擎充电站!B:B,B37)+SUMIFS(南网八宝充电站!K:K,南网八宝充电站!B:B,B37)+SUMIFS(南屏充电站!K:K,南屏充电站!B:B,B37)+SUMIFS(鑫鸿充电站!K:K,鑫鸿充电站!B:B,B37)+SUMIFS('锦田-百色田东充电站'!K:K,'锦田-百色田东充电站'!B:B,B37)+37.06/47+SUMIFS(平远充电站!K:K,平远充电站!B:B,B37)</f>
        <v>12396.2866106383</v>
      </c>
      <c r="K37" s="516">
        <f t="shared" si="0"/>
        <v>0.394549593687553</v>
      </c>
      <c r="L37" s="439">
        <f t="shared" si="1"/>
        <v>1126.93514642166</v>
      </c>
      <c r="M37" s="439"/>
      <c r="N37" s="439">
        <f t="shared" si="10"/>
        <v>220.881967213115</v>
      </c>
      <c r="O37" s="439">
        <f>SUMIFS(轮胎!H:H,轮胎!D:D,B37)+SUMIFS(轮胎!H:H,轮胎!D:D,C37)</f>
        <v>0</v>
      </c>
      <c r="P37" s="439">
        <v>0</v>
      </c>
      <c r="Q37" s="439">
        <f>SUMIFS(维修费!E:E,维修费!C:C,B37)+SUMIFS(维修费!E:E,维修费!C:C,C37)</f>
        <v>90</v>
      </c>
      <c r="R37" s="439">
        <f>SUMIFS(磅单!R:R,磅单!F:F,B37)</f>
        <v>7200</v>
      </c>
      <c r="S37" s="439">
        <f>SUMIFS(司机工资表!E:E,司机工资表!B:B,D37)+SUMIFS(司机工资表!N:N,司机工资表!B:B,D37)</f>
        <v>200</v>
      </c>
      <c r="T37" s="517">
        <f>SUMIFS(付款明细!G:G,付款明细!D:D,B37,付款明细!B:B,"车队-罚款")</f>
        <v>200</v>
      </c>
      <c r="U37" s="517">
        <f>SUMIFS(付款明细!G:G,付款明细!D:D,B37,付款明细!B:B,"车辆费用")+SUMIFS(付款明细!G:G,付款明细!D:D,C37,付款明细!B:B,"车辆费用")</f>
        <v>328</v>
      </c>
      <c r="V37" s="439">
        <f>SUMIFS(付款明细!G:G,付款明细!B:B,"综合费用")/61</f>
        <v>397.392459016393</v>
      </c>
      <c r="W37" s="439">
        <v>2666</v>
      </c>
      <c r="X37" s="517">
        <v>3100</v>
      </c>
      <c r="Y37" s="439">
        <f>SUMIFS(磅单!P:P,磅单!E:E,B37)</f>
        <v>165</v>
      </c>
      <c r="Z37" s="439">
        <f t="shared" si="3"/>
        <v>2199.3181</v>
      </c>
      <c r="AA37" s="519">
        <v>10600</v>
      </c>
      <c r="AB37" s="439"/>
      <c r="AC37" s="438">
        <f>(管理人员工资!$D$10+管理人员工资!$E$10)/61</f>
        <v>790.16393442623</v>
      </c>
      <c r="AD37" s="517">
        <f t="shared" si="11"/>
        <v>-9134.21307129404</v>
      </c>
      <c r="AE37" s="529"/>
      <c r="AG37" s="528"/>
    </row>
    <row r="38" s="106" customFormat="1" ht="20" customHeight="1" spans="1:33">
      <c r="A38" s="344">
        <v>36</v>
      </c>
      <c r="B38" s="164" t="s">
        <v>154</v>
      </c>
      <c r="C38" s="122" t="s">
        <v>156</v>
      </c>
      <c r="D38" s="37" t="s">
        <v>155</v>
      </c>
      <c r="E38" s="515" t="s">
        <v>326</v>
      </c>
      <c r="F38" s="515">
        <f>COUNTIFS(磅单!E:E,B38)</f>
        <v>13</v>
      </c>
      <c r="G38" s="439">
        <f>SUMIFS(磅单!L:L,磅单!F:F,B38)</f>
        <v>564.55</v>
      </c>
      <c r="H38" s="439">
        <f>SUMIFS(磅单!O:O,磅单!F:F,B38)</f>
        <v>40949.85</v>
      </c>
      <c r="I38" s="439"/>
      <c r="J38" s="439">
        <f>SUMIFS(现金充电明细!L:L,现金充电明细!B:B,B38)+SUMIFS('华瑞-曙光，大水井，老水井充电站'!L:L,'华瑞-曙光，大水井，老水井充电站'!B:B,B38)+SUMIFS('银盛-青龙坪充电站'!L:L,'银盛-青龙坪充电站'!B:B,B38)+SUMIFS('砚山锦佳-砚山充电站'!K:K,'砚山锦佳-砚山充电站'!B:B,B38)+SUMIFS(中石油广西百色靖西市龙临加油充电站!K:K,中石油广西百色靖西市龙临加油充电站!B:B,B38)+SUMIFS(德保众擎充电站!L:L,德保众擎充电站!B:B,B38)+SUMIFS(南网八宝充电站!K:K,南网八宝充电站!B:B,B38)+SUMIFS(南屏充电站!K:K,南屏充电站!B:B,B38)+SUMIFS(鑫鸿充电站!K:K,鑫鸿充电站!B:B,B38)+SUMIFS('锦田-百色田东充电站'!K:K,'锦田-百色田东充电站'!B:B,B38)+37.06/47+SUMIFS(平远充电站!K:K,平远充电站!B:B,B38)</f>
        <v>13245.6755106383</v>
      </c>
      <c r="K38" s="516">
        <f t="shared" si="0"/>
        <v>0.323460904267984</v>
      </c>
      <c r="L38" s="439">
        <f t="shared" si="1"/>
        <v>1018.89811620295</v>
      </c>
      <c r="M38" s="439"/>
      <c r="N38" s="439">
        <f t="shared" si="10"/>
        <v>220.881967213115</v>
      </c>
      <c r="O38" s="439">
        <f>SUMIFS(轮胎!H:H,轮胎!D:D,B38)+SUMIFS(轮胎!H:H,轮胎!D:D,C38)</f>
        <v>950</v>
      </c>
      <c r="P38" s="439">
        <v>0</v>
      </c>
      <c r="Q38" s="439">
        <f>SUMIFS(维修费!E:E,维修费!C:C,B38)+SUMIFS(维修费!E:E,维修费!C:C,C38)</f>
        <v>180</v>
      </c>
      <c r="R38" s="439">
        <f>SUMIFS(磅单!R:R,磅单!F:F,B38)</f>
        <v>9000</v>
      </c>
      <c r="S38" s="439">
        <f>SUMIFS(司机工资表!E:E,司机工资表!B:B,D38)+SUMIFS(司机工资表!N:N,司机工资表!B:B,D38)</f>
        <v>200</v>
      </c>
      <c r="T38" s="517">
        <f>SUMIFS(付款明细!G:G,付款明细!D:D,B38,付款明细!B:B,"车队-罚款")</f>
        <v>200</v>
      </c>
      <c r="U38" s="517">
        <f>SUMIFS(付款明细!G:G,付款明细!D:D,B38,付款明细!B:B,"车辆费用")+SUMIFS(付款明细!G:G,付款明细!D:D,C38,付款明细!B:B,"车辆费用")</f>
        <v>229</v>
      </c>
      <c r="V38" s="439">
        <f>SUMIFS(付款明细!G:G,付款明细!B:B,"综合费用")/61</f>
        <v>397.392459016393</v>
      </c>
      <c r="W38" s="439">
        <v>2666</v>
      </c>
      <c r="X38" s="517">
        <v>3200</v>
      </c>
      <c r="Y38" s="439">
        <f>SUMIFS(磅单!P:P,磅单!E:E,B38)</f>
        <v>195</v>
      </c>
      <c r="Z38" s="439">
        <f t="shared" si="3"/>
        <v>2866.4895</v>
      </c>
      <c r="AA38" s="519">
        <v>10600</v>
      </c>
      <c r="AB38" s="439"/>
      <c r="AC38" s="438">
        <f>(管理人员工资!$D$10+管理人员工资!$E$10)/61</f>
        <v>790.16393442623</v>
      </c>
      <c r="AD38" s="517">
        <f t="shared" si="11"/>
        <v>-3990.75337129403</v>
      </c>
      <c r="AE38" s="529"/>
      <c r="AG38" s="528"/>
    </row>
    <row r="39" s="106" customFormat="1" ht="20" customHeight="1" spans="1:33">
      <c r="A39" s="344">
        <v>37</v>
      </c>
      <c r="B39" s="344" t="s">
        <v>157</v>
      </c>
      <c r="C39" s="122" t="s">
        <v>159</v>
      </c>
      <c r="D39" s="37" t="s">
        <v>158</v>
      </c>
      <c r="E39" s="515" t="s">
        <v>326</v>
      </c>
      <c r="F39" s="515">
        <f>COUNTIFS(磅单!E:E,B39)</f>
        <v>12</v>
      </c>
      <c r="G39" s="439">
        <f>SUMIFS(磅单!L:L,磅单!F:F,B39)</f>
        <v>511.96</v>
      </c>
      <c r="H39" s="439">
        <f>SUMIFS(磅单!O:O,磅单!F:F,B39)</f>
        <v>38347.32</v>
      </c>
      <c r="I39" s="439"/>
      <c r="J39" s="439">
        <f>SUMIFS(现金充电明细!L:L,现金充电明细!B:B,B39)+SUMIFS('华瑞-曙光，大水井，老水井充电站'!L:L,'华瑞-曙光，大水井，老水井充电站'!B:B,B39)+SUMIFS('银盛-青龙坪充电站'!L:L,'银盛-青龙坪充电站'!B:B,B39)+SUMIFS('砚山锦佳-砚山充电站'!K:K,'砚山锦佳-砚山充电站'!B:B,B39)+SUMIFS(中石油广西百色靖西市龙临加油充电站!K:K,中石油广西百色靖西市龙临加油充电站!B:B,B39)+SUMIFS(德保众擎充电站!L:L,德保众擎充电站!B:B,B39)+SUMIFS(南网八宝充电站!K:K,南网八宝充电站!B:B,B39)+SUMIFS(南屏充电站!K:K,南屏充电站!B:B,B39)+SUMIFS(鑫鸿充电站!K:K,鑫鸿充电站!B:B,B39)+SUMIFS('锦田-百色田东充电站'!K:K,'锦田-百色田东充电站'!B:B,B39)+37.06/47+SUMIFS(平远充电站!K:K,平远充电站!B:B,B39)</f>
        <v>13602.1693106383</v>
      </c>
      <c r="K39" s="516">
        <f t="shared" si="0"/>
        <v>0.354709776605987</v>
      </c>
      <c r="L39" s="439">
        <f t="shared" si="1"/>
        <v>1133.51410921986</v>
      </c>
      <c r="M39" s="439"/>
      <c r="N39" s="439">
        <f t="shared" si="10"/>
        <v>220.881967213115</v>
      </c>
      <c r="O39" s="439">
        <f>SUMIFS(轮胎!H:H,轮胎!D:D,B39)+SUMIFS(轮胎!H:H,轮胎!D:D,C39)</f>
        <v>0</v>
      </c>
      <c r="P39" s="439">
        <v>0</v>
      </c>
      <c r="Q39" s="439">
        <f>SUMIFS(维修费!E:E,维修费!C:C,B39)+SUMIFS(维修费!E:E,维修费!C:C,C39)</f>
        <v>760</v>
      </c>
      <c r="R39" s="439">
        <f>SUMIFS(磅单!R:R,磅单!F:F,B39)</f>
        <v>8600</v>
      </c>
      <c r="S39" s="439">
        <f>SUMIFS(司机工资表!E:E,司机工资表!B:B,D39)+SUMIFS(司机工资表!N:N,司机工资表!B:B,D39)</f>
        <v>200</v>
      </c>
      <c r="T39" s="517">
        <f>SUMIFS(付款明细!G:G,付款明细!D:D,B39,付款明细!B:B,"车队-罚款")</f>
        <v>200</v>
      </c>
      <c r="U39" s="517">
        <f>SUMIFS(付款明细!G:G,付款明细!D:D,B39,付款明细!B:B,"车辆费用")+SUMIFS(付款明细!G:G,付款明细!D:D,C39,付款明细!B:B,"车辆费用")</f>
        <v>210</v>
      </c>
      <c r="V39" s="439">
        <f>SUMIFS(付款明细!G:G,付款明细!B:B,"综合费用")/61</f>
        <v>397.392459016393</v>
      </c>
      <c r="W39" s="439">
        <v>2666</v>
      </c>
      <c r="X39" s="517">
        <v>3200</v>
      </c>
      <c r="Y39" s="439">
        <f>SUMIFS(磅单!P:P,磅单!E:E,B39)</f>
        <v>180</v>
      </c>
      <c r="Z39" s="439">
        <f t="shared" si="3"/>
        <v>2684.3124</v>
      </c>
      <c r="AA39" s="519">
        <v>10600</v>
      </c>
      <c r="AB39" s="439"/>
      <c r="AC39" s="438">
        <f>(管理人员工资!$D$10+管理人员工资!$E$10)/61</f>
        <v>790.16393442623</v>
      </c>
      <c r="AD39" s="517">
        <f t="shared" si="11"/>
        <v>-5963.60007129404</v>
      </c>
      <c r="AE39" s="529"/>
      <c r="AG39" s="528"/>
    </row>
    <row r="40" s="106" customFormat="1" ht="20" customHeight="1" spans="1:33">
      <c r="A40" s="344">
        <v>38</v>
      </c>
      <c r="B40" s="164" t="s">
        <v>160</v>
      </c>
      <c r="C40" s="122" t="s">
        <v>162</v>
      </c>
      <c r="D40" s="37" t="s">
        <v>161</v>
      </c>
      <c r="E40" s="515" t="s">
        <v>326</v>
      </c>
      <c r="F40" s="515">
        <f>COUNTIFS(磅单!E:E,B40)</f>
        <v>11</v>
      </c>
      <c r="G40" s="439">
        <f>SUMIFS(磅单!L:L,磅单!F:F,B40)</f>
        <v>471.26</v>
      </c>
      <c r="H40" s="439">
        <f>SUMIFS(磅单!O:O,磅单!F:F,B40)</f>
        <v>34804.6</v>
      </c>
      <c r="I40" s="439"/>
      <c r="J40" s="439">
        <f>SUMIFS(现金充电明细!L:L,现金充电明细!B:B,B40)+SUMIFS('华瑞-曙光，大水井，老水井充电站'!L:L,'华瑞-曙光，大水井，老水井充电站'!B:B,B40)+SUMIFS('银盛-青龙坪充电站'!L:L,'银盛-青龙坪充电站'!B:B,B40)+SUMIFS('砚山锦佳-砚山充电站'!K:K,'砚山锦佳-砚山充电站'!B:B,B40)+SUMIFS(中石油广西百色靖西市龙临加油充电站!K:K,中石油广西百色靖西市龙临加油充电站!B:B,B40)+SUMIFS(德保众擎充电站!L:L,德保众擎充电站!B:B,B40)+SUMIFS(南网八宝充电站!K:K,南网八宝充电站!B:B,B40)+SUMIFS(南屏充电站!K:K,南屏充电站!B:B,B40)+SUMIFS(鑫鸿充电站!K:K,鑫鸿充电站!B:B,B40)+SUMIFS('锦田-百色田东充电站'!K:K,'锦田-百色田东充电站'!B:B,B40)+37.06/47+SUMIFS(平远充电站!K:K,平远充电站!B:B,B40)</f>
        <v>12537.7585106383</v>
      </c>
      <c r="K40" s="516">
        <f t="shared" si="0"/>
        <v>0.360232799993056</v>
      </c>
      <c r="L40" s="439">
        <f t="shared" si="1"/>
        <v>1139.79622823985</v>
      </c>
      <c r="M40" s="439"/>
      <c r="N40" s="439">
        <f t="shared" si="10"/>
        <v>220.881967213115</v>
      </c>
      <c r="O40" s="439">
        <f>SUMIFS(轮胎!H:H,轮胎!D:D,B40)+SUMIFS(轮胎!H:H,轮胎!D:D,C40)</f>
        <v>0</v>
      </c>
      <c r="P40" s="439">
        <v>0</v>
      </c>
      <c r="Q40" s="439">
        <f>SUMIFS(维修费!E:E,维修费!C:C,B40)+SUMIFS(维修费!E:E,维修费!C:C,C40)</f>
        <v>180</v>
      </c>
      <c r="R40" s="439">
        <f>SUMIFS(磅单!R:R,磅单!F:F,B40)</f>
        <v>7800</v>
      </c>
      <c r="S40" s="439">
        <f>SUMIFS(司机工资表!E:E,司机工资表!B:B,D40)+SUMIFS(司机工资表!N:N,司机工资表!B:B,D40)</f>
        <v>200</v>
      </c>
      <c r="T40" s="517">
        <f>SUMIFS(付款明细!G:G,付款明细!D:D,B40,付款明细!B:B,"车队-罚款")</f>
        <v>220</v>
      </c>
      <c r="U40" s="517">
        <f>SUMIFS(付款明细!G:G,付款明细!D:D,B40,付款明细!B:B,"车辆费用")+SUMIFS(付款明细!G:G,付款明细!D:D,C40,付款明细!B:B,"车辆费用")</f>
        <v>207</v>
      </c>
      <c r="V40" s="439">
        <f>SUMIFS(付款明细!G:G,付款明细!B:B,"综合费用")/61</f>
        <v>397.392459016393</v>
      </c>
      <c r="W40" s="439">
        <v>2666</v>
      </c>
      <c r="X40" s="517">
        <v>3200</v>
      </c>
      <c r="Y40" s="439">
        <f>SUMIFS(磅单!P:P,磅单!E:E,B40)</f>
        <v>165</v>
      </c>
      <c r="Z40" s="439">
        <f t="shared" si="3"/>
        <v>2436.322</v>
      </c>
      <c r="AA40" s="519">
        <v>10600</v>
      </c>
      <c r="AB40" s="439"/>
      <c r="AC40" s="438">
        <f>(管理人员工资!$D$10+管理人员工资!$E$10)/61</f>
        <v>790.16393442623</v>
      </c>
      <c r="AD40" s="517">
        <f t="shared" si="11"/>
        <v>-6815.91887129404</v>
      </c>
      <c r="AE40" s="529"/>
      <c r="AG40" s="528"/>
    </row>
    <row r="41" s="106" customFormat="1" ht="20" customHeight="1" spans="1:33">
      <c r="A41" s="344">
        <v>39</v>
      </c>
      <c r="B41" s="164" t="s">
        <v>163</v>
      </c>
      <c r="C41" s="122" t="s">
        <v>165</v>
      </c>
      <c r="D41" s="37" t="s">
        <v>164</v>
      </c>
      <c r="E41" s="515" t="s">
        <v>326</v>
      </c>
      <c r="F41" s="515">
        <f>COUNTIFS(磅单!E:E,B41)</f>
        <v>11</v>
      </c>
      <c r="G41" s="439">
        <f>SUMIFS(磅单!L:L,磅单!F:F,B41)</f>
        <v>466.22</v>
      </c>
      <c r="H41" s="439">
        <f>SUMIFS(磅单!O:O,磅单!F:F,B41)</f>
        <v>34415.52</v>
      </c>
      <c r="I41" s="439"/>
      <c r="J41" s="439">
        <f>SUMIFS(现金充电明细!L:L,现金充电明细!B:B,B41)+SUMIFS('华瑞-曙光，大水井，老水井充电站'!L:L,'华瑞-曙光，大水井，老水井充电站'!B:B,B41)+SUMIFS('银盛-青龙坪充电站'!L:L,'银盛-青龙坪充电站'!B:B,B41)+SUMIFS('砚山锦佳-砚山充电站'!K:K,'砚山锦佳-砚山充电站'!B:B,B41)+SUMIFS(中石油广西百色靖西市龙临加油充电站!K:K,中石油广西百色靖西市龙临加油充电站!B:B,B41)+SUMIFS(德保众擎充电站!L:L,德保众擎充电站!B:B,B41)+SUMIFS(南网八宝充电站!K:K,南网八宝充电站!B:B,B41)+SUMIFS(南屏充电站!K:K,南屏充电站!B:B,B41)+SUMIFS(鑫鸿充电站!K:K,鑫鸿充电站!B:B,B41)+SUMIFS('锦田-百色田东充电站'!K:K,'锦田-百色田东充电站'!B:B,B41)+37.06/47+SUMIFS(平远充电站!K:K,平远充电站!B:B,B41)</f>
        <v>12805.2585106383</v>
      </c>
      <c r="K41" s="516">
        <f t="shared" si="0"/>
        <v>0.372078019179669</v>
      </c>
      <c r="L41" s="439">
        <f t="shared" si="1"/>
        <v>1164.11441005803</v>
      </c>
      <c r="M41" s="439"/>
      <c r="N41" s="439">
        <f t="shared" si="10"/>
        <v>220.881967213115</v>
      </c>
      <c r="O41" s="439">
        <f>SUMIFS(轮胎!H:H,轮胎!D:D,B41)+SUMIFS(轮胎!H:H,轮胎!D:D,C41)</f>
        <v>0</v>
      </c>
      <c r="P41" s="439">
        <v>0</v>
      </c>
      <c r="Q41" s="439">
        <f>SUMIFS(维修费!E:E,维修费!C:C,B41)+SUMIFS(维修费!E:E,维修费!C:C,C41)</f>
        <v>70</v>
      </c>
      <c r="R41" s="439">
        <f>SUMIFS(磅单!R:R,磅单!F:F,B41)</f>
        <v>7800</v>
      </c>
      <c r="S41" s="439">
        <f>SUMIFS(司机工资表!E:E,司机工资表!B:B,D41)+SUMIFS(司机工资表!N:N,司机工资表!B:B,D41)</f>
        <v>200</v>
      </c>
      <c r="T41" s="517">
        <f>SUMIFS(付款明细!G:G,付款明细!D:D,B41,付款明细!B:B,"车队-罚款")</f>
        <v>0</v>
      </c>
      <c r="U41" s="517">
        <f>SUMIFS(付款明细!G:G,付款明细!D:D,B41,付款明细!B:B,"车辆费用")+SUMIFS(付款明细!G:G,付款明细!D:D,C41,付款明细!B:B,"车辆费用")</f>
        <v>197</v>
      </c>
      <c r="V41" s="439">
        <f>SUMIFS(付款明细!G:G,付款明细!B:B,"综合费用")/61</f>
        <v>397.392459016393</v>
      </c>
      <c r="W41" s="439">
        <v>2666</v>
      </c>
      <c r="X41" s="517">
        <v>3200</v>
      </c>
      <c r="Y41" s="439">
        <f>SUMIFS(磅单!P:P,磅单!E:E,B41)</f>
        <v>165</v>
      </c>
      <c r="Z41" s="439">
        <f t="shared" si="3"/>
        <v>2409.0864</v>
      </c>
      <c r="AA41" s="519">
        <v>10600</v>
      </c>
      <c r="AB41" s="439"/>
      <c r="AC41" s="438">
        <f>(管理人员工资!$D$10+管理人员工资!$E$10)/61</f>
        <v>790.16393442623</v>
      </c>
      <c r="AD41" s="517">
        <f t="shared" si="11"/>
        <v>-7105.26327129403</v>
      </c>
      <c r="AE41" s="529"/>
      <c r="AG41" s="528"/>
    </row>
    <row r="42" s="106" customFormat="1" ht="20" customHeight="1" spans="1:33">
      <c r="A42" s="344">
        <v>40</v>
      </c>
      <c r="B42" s="164" t="s">
        <v>166</v>
      </c>
      <c r="C42" s="122" t="s">
        <v>168</v>
      </c>
      <c r="D42" s="37" t="s">
        <v>167</v>
      </c>
      <c r="E42" s="515" t="s">
        <v>326</v>
      </c>
      <c r="F42" s="515">
        <f>COUNTIFS(磅单!E:E,B42)</f>
        <v>13</v>
      </c>
      <c r="G42" s="439">
        <f>SUMIFS(磅单!L:L,磅单!F:F,B42)</f>
        <v>565.56</v>
      </c>
      <c r="H42" s="439">
        <f>SUMIFS(磅单!O:O,磅单!F:F,B42)</f>
        <v>40860.88</v>
      </c>
      <c r="I42" s="439"/>
      <c r="J42" s="439">
        <f>SUMIFS(现金充电明细!L:L,现金充电明细!B:B,B42)+SUMIFS('华瑞-曙光，大水井，老水井充电站'!L:L,'华瑞-曙光，大水井，老水井充电站'!B:B,B42)+SUMIFS('银盛-青龙坪充电站'!L:L,'银盛-青龙坪充电站'!B:B,B42)+SUMIFS('砚山锦佳-砚山充电站'!K:K,'砚山锦佳-砚山充电站'!B:B,B42)+SUMIFS(中石油广西百色靖西市龙临加油充电站!K:K,中石油广西百色靖西市龙临加油充电站!B:B,B42)+SUMIFS(德保众擎充电站!L:L,德保众擎充电站!B:B,B42)+SUMIFS(南网八宝充电站!K:K,南网八宝充电站!B:B,B42)+SUMIFS(南屏充电站!K:K,南屏充电站!B:B,B42)+SUMIFS(鑫鸿充电站!K:K,鑫鸿充电站!B:B,B42)+SUMIFS('锦田-百色田东充电站'!K:K,'锦田-百色田东充电站'!B:B,B42)+37.06/47+SUMIFS(平远充电站!K:K,平远充电站!B:B,B42)</f>
        <v>12702.3736106383</v>
      </c>
      <c r="K42" s="516">
        <f t="shared" si="0"/>
        <v>0.310868821489853</v>
      </c>
      <c r="L42" s="439">
        <f t="shared" si="1"/>
        <v>977.105662356792</v>
      </c>
      <c r="M42" s="439"/>
      <c r="N42" s="439">
        <f t="shared" si="10"/>
        <v>220.881967213115</v>
      </c>
      <c r="O42" s="439">
        <f>SUMIFS(轮胎!H:H,轮胎!D:D,B42)+SUMIFS(轮胎!H:H,轮胎!D:D,C42)</f>
        <v>0</v>
      </c>
      <c r="P42" s="439">
        <v>0</v>
      </c>
      <c r="Q42" s="439">
        <f>SUMIFS(维修费!E:E,维修费!C:C,B42)+SUMIFS(维修费!E:E,维修费!C:C,C42)</f>
        <v>20</v>
      </c>
      <c r="R42" s="439">
        <f>SUMIFS(磅单!R:R,磅单!F:F,B42)</f>
        <v>9000</v>
      </c>
      <c r="S42" s="439">
        <f>SUMIFS(司机工资表!E:E,司机工资表!B:B,D42)+SUMIFS(司机工资表!N:N,司机工资表!B:B,D42)</f>
        <v>0</v>
      </c>
      <c r="T42" s="517">
        <f>SUMIFS(付款明细!G:G,付款明细!D:D,B42,付款明细!B:B,"车队-罚款")</f>
        <v>0</v>
      </c>
      <c r="U42" s="517">
        <f>SUMIFS(付款明细!G:G,付款明细!D:D,B42,付款明细!B:B,"车辆费用")+SUMIFS(付款明细!G:G,付款明细!D:D,C42,付款明细!B:B,"车辆费用")</f>
        <v>295</v>
      </c>
      <c r="V42" s="439">
        <f>SUMIFS(付款明细!G:G,付款明细!B:B,"综合费用")/61</f>
        <v>397.392459016393</v>
      </c>
      <c r="W42" s="439">
        <v>2666</v>
      </c>
      <c r="X42" s="517">
        <v>3200</v>
      </c>
      <c r="Y42" s="439">
        <f>SUMIFS(磅单!P:P,磅单!E:E,B42)</f>
        <v>195</v>
      </c>
      <c r="Z42" s="439">
        <f t="shared" si="3"/>
        <v>2860.2616</v>
      </c>
      <c r="AA42" s="519">
        <v>10600</v>
      </c>
      <c r="AB42" s="439"/>
      <c r="AC42" s="438">
        <f>(管理人员工资!$D$10+管理人员工资!$E$10)/61</f>
        <v>790.16393442623</v>
      </c>
      <c r="AD42" s="517">
        <f t="shared" si="11"/>
        <v>-2086.19357129404</v>
      </c>
      <c r="AE42" s="529"/>
      <c r="AG42" s="528"/>
    </row>
    <row r="43" s="106" customFormat="1" ht="20" customHeight="1" spans="1:33">
      <c r="A43" s="344">
        <v>41</v>
      </c>
      <c r="B43" s="164" t="s">
        <v>169</v>
      </c>
      <c r="C43" s="122" t="s">
        <v>171</v>
      </c>
      <c r="D43" s="37" t="s">
        <v>170</v>
      </c>
      <c r="E43" s="515" t="s">
        <v>326</v>
      </c>
      <c r="F43" s="515">
        <f>COUNTIFS(磅单!E:E,B43)</f>
        <v>10</v>
      </c>
      <c r="G43" s="439">
        <f>SUMIFS(磅单!L:L,磅单!F:F,B43)</f>
        <v>433.28</v>
      </c>
      <c r="H43" s="439">
        <f>SUMIFS(磅单!O:O,磅单!F:F,B43)</f>
        <v>30994.56</v>
      </c>
      <c r="I43" s="439"/>
      <c r="J43" s="439">
        <f>SUMIFS(现金充电明细!L:L,现金充电明细!B:B,B43)+SUMIFS('华瑞-曙光，大水井，老水井充电站'!L:L,'华瑞-曙光，大水井，老水井充电站'!B:B,B43)+SUMIFS('银盛-青龙坪充电站'!L:L,'银盛-青龙坪充电站'!B:B,B43)+SUMIFS('砚山锦佳-砚山充电站'!K:K,'砚山锦佳-砚山充电站'!B:B,B43)+SUMIFS(中石油广西百色靖西市龙临加油充电站!K:K,中石油广西百色靖西市龙临加油充电站!B:B,B43)+SUMIFS(德保众擎充电站!L:L,德保众擎充电站!B:B,B43)+SUMIFS(南网八宝充电站!K:K,南网八宝充电站!B:B,B43)+SUMIFS(南屏充电站!K:K,南屏充电站!B:B,B43)+SUMIFS(鑫鸿充电站!K:K,鑫鸿充电站!B:B,B43)+SUMIFS('锦田-百色田东充电站'!K:K,'锦田-百色田东充电站'!B:B,B43)+37.06/47+SUMIFS(平远充电站!K:K,平远充电站!B:B,B43)</f>
        <v>10634.2309106383</v>
      </c>
      <c r="K43" s="516">
        <f t="shared" si="0"/>
        <v>0.343099915296049</v>
      </c>
      <c r="L43" s="439">
        <f t="shared" si="1"/>
        <v>1063.42309106383</v>
      </c>
      <c r="M43" s="439"/>
      <c r="N43" s="439">
        <f t="shared" si="10"/>
        <v>220.881967213115</v>
      </c>
      <c r="O43" s="439">
        <f>SUMIFS(轮胎!H:H,轮胎!D:D,B43)+SUMIFS(轮胎!H:H,轮胎!D:D,C43)</f>
        <v>950</v>
      </c>
      <c r="P43" s="439">
        <v>0</v>
      </c>
      <c r="Q43" s="439">
        <f>SUMIFS(维修费!E:E,维修费!C:C,B43)+SUMIFS(维修费!E:E,维修费!C:C,C43)</f>
        <v>260</v>
      </c>
      <c r="R43" s="439">
        <f>SUMIFS(磅单!R:R,磅单!F:F,B43)</f>
        <v>7000</v>
      </c>
      <c r="S43" s="439">
        <f>SUMIFS(司机工资表!E:E,司机工资表!B:B,D43)+SUMIFS(司机工资表!N:N,司机工资表!B:B,D43)</f>
        <v>0</v>
      </c>
      <c r="T43" s="517">
        <f>SUMIFS(付款明细!G:G,付款明细!D:D,B43,付款明细!B:B,"车队-罚款")</f>
        <v>0</v>
      </c>
      <c r="U43" s="517">
        <f>SUMIFS(付款明细!G:G,付款明细!D:D,B43,付款明细!B:B,"车辆费用")+SUMIFS(付款明细!G:G,付款明细!D:D,C43,付款明细!B:B,"车辆费用")</f>
        <v>175</v>
      </c>
      <c r="V43" s="439">
        <f>SUMIFS(付款明细!G:G,付款明细!B:B,"综合费用")/61</f>
        <v>397.392459016393</v>
      </c>
      <c r="W43" s="439">
        <v>2666</v>
      </c>
      <c r="X43" s="517">
        <v>3200</v>
      </c>
      <c r="Y43" s="439">
        <f>SUMIFS(磅单!P:P,磅单!E:E,B43)</f>
        <v>150</v>
      </c>
      <c r="Z43" s="439">
        <f t="shared" si="3"/>
        <v>2169.6192</v>
      </c>
      <c r="AA43" s="519"/>
      <c r="AB43" s="439"/>
      <c r="AC43" s="438">
        <f>(管理人员工资!$D$10+管理人员工资!$E$10)/61</f>
        <v>790.16393442623</v>
      </c>
      <c r="AD43" s="517">
        <f t="shared" si="11"/>
        <v>2381.27152870596</v>
      </c>
      <c r="AE43" s="529"/>
      <c r="AG43" s="528"/>
    </row>
    <row r="44" s="106" customFormat="1" ht="20" customHeight="1" spans="1:33">
      <c r="A44" s="344">
        <v>42</v>
      </c>
      <c r="B44" s="164" t="s">
        <v>174</v>
      </c>
      <c r="C44" s="122" t="s">
        <v>176</v>
      </c>
      <c r="D44" s="10" t="s">
        <v>175</v>
      </c>
      <c r="E44" s="515" t="s">
        <v>326</v>
      </c>
      <c r="F44" s="515">
        <f>COUNTIFS(磅单!E:E,B44)</f>
        <v>10</v>
      </c>
      <c r="G44" s="439">
        <f>SUMIFS(磅单!L:L,磅单!F:F,B44)</f>
        <v>427.61</v>
      </c>
      <c r="H44" s="439">
        <f>SUMIFS(磅单!O:O,磅单!F:F,B44)</f>
        <v>31830.41</v>
      </c>
      <c r="I44" s="439"/>
      <c r="J44" s="439">
        <f>SUMIFS(现金充电明细!L:L,现金充电明细!B:B,B44)+SUMIFS('华瑞-曙光，大水井，老水井充电站'!L:L,'华瑞-曙光，大水井，老水井充电站'!B:B,B44)+SUMIFS('银盛-青龙坪充电站'!L:L,'银盛-青龙坪充电站'!B:B,B44)+SUMIFS('砚山锦佳-砚山充电站'!K:K,'砚山锦佳-砚山充电站'!B:B,B44)+SUMIFS(中石油广西百色靖西市龙临加油充电站!K:K,中石油广西百色靖西市龙临加油充电站!B:B,B44)+SUMIFS(德保众擎充电站!L:L,德保众擎充电站!B:B,B44)+SUMIFS(南网八宝充电站!K:K,南网八宝充电站!B:B,B44)+SUMIFS(南屏充电站!K:K,南屏充电站!B:B,B44)+SUMIFS(鑫鸿充电站!K:K,鑫鸿充电站!B:B,B44)+SUMIFS('锦田-百色田东充电站'!K:K,'锦田-百色田东充电站'!B:B,B44)+37.06/47+SUMIFS(平远充电站!K:K,平远充电站!B:B,B44)</f>
        <v>12209.0522106383</v>
      </c>
      <c r="K44" s="516">
        <f t="shared" si="0"/>
        <v>0.383565659714666</v>
      </c>
      <c r="L44" s="439">
        <f t="shared" si="1"/>
        <v>1220.90522106383</v>
      </c>
      <c r="M44" s="439"/>
      <c r="N44" s="439">
        <f t="shared" ref="N44:N53" si="12">13473.8/61</f>
        <v>220.881967213115</v>
      </c>
      <c r="O44" s="439">
        <f>SUMIFS(轮胎!H:H,轮胎!D:D,B44)+SUMIFS(轮胎!H:H,轮胎!D:D,C44)</f>
        <v>0</v>
      </c>
      <c r="P44" s="439">
        <v>0</v>
      </c>
      <c r="Q44" s="439">
        <f>SUMIFS(维修费!E:E,维修费!C:C,B44)+SUMIFS(维修费!E:E,维修费!C:C,C44)</f>
        <v>0</v>
      </c>
      <c r="R44" s="439">
        <f>SUMIFS(磅单!R:R,磅单!F:F,B44)</f>
        <v>7000</v>
      </c>
      <c r="S44" s="439">
        <f>SUMIFS(司机工资表!E:E,司机工资表!B:B,D44)+SUMIFS(司机工资表!N:N,司机工资表!B:B,D44)</f>
        <v>200</v>
      </c>
      <c r="T44" s="517">
        <f>SUMIFS(付款明细!G:G,付款明细!D:D,B44,付款明细!B:B,"车队-罚款")</f>
        <v>0</v>
      </c>
      <c r="U44" s="517">
        <f>SUMIFS(付款明细!G:G,付款明细!D:D,B44,付款明细!B:B,"车辆费用")+SUMIFS(付款明细!G:G,付款明细!D:D,C44,付款明细!B:B,"车辆费用")</f>
        <v>194</v>
      </c>
      <c r="V44" s="439">
        <f>SUMIFS(付款明细!G:G,付款明细!B:B,"综合费用")/61</f>
        <v>397.392459016393</v>
      </c>
      <c r="W44" s="439">
        <v>2666</v>
      </c>
      <c r="X44" s="517">
        <v>3200</v>
      </c>
      <c r="Y44" s="439">
        <f>SUMIFS(磅单!P:P,磅单!E:E,B44)</f>
        <v>150</v>
      </c>
      <c r="Z44" s="439">
        <f t="shared" si="3"/>
        <v>2228.1287</v>
      </c>
      <c r="AA44" s="519"/>
      <c r="AB44" s="439"/>
      <c r="AC44" s="438">
        <f>(管理人员工资!$D$10+管理人员工资!$E$10)/61</f>
        <v>790.16393442623</v>
      </c>
      <c r="AD44" s="517">
        <f t="shared" si="11"/>
        <v>2574.79072870596</v>
      </c>
      <c r="AE44" s="529"/>
      <c r="AG44" s="528"/>
    </row>
    <row r="45" s="106" customFormat="1" ht="20" customHeight="1" spans="1:33">
      <c r="A45" s="344">
        <v>43</v>
      </c>
      <c r="B45" s="164" t="s">
        <v>177</v>
      </c>
      <c r="C45" s="122" t="s">
        <v>179</v>
      </c>
      <c r="D45" s="10" t="s">
        <v>178</v>
      </c>
      <c r="E45" s="515" t="s">
        <v>326</v>
      </c>
      <c r="F45" s="515">
        <f>COUNTIFS(磅单!E:E,B45)</f>
        <v>11</v>
      </c>
      <c r="G45" s="439">
        <f>SUMIFS(磅单!L:L,磅单!F:F,B45)</f>
        <v>463.5</v>
      </c>
      <c r="H45" s="439">
        <f>SUMIFS(磅单!O:O,磅单!F:F,B45)</f>
        <v>34892.06</v>
      </c>
      <c r="I45" s="439"/>
      <c r="J45" s="439">
        <f>SUMIFS(现金充电明细!L:L,现金充电明细!B:B,B45)+SUMIFS('华瑞-曙光，大水井，老水井充电站'!L:L,'华瑞-曙光，大水井，老水井充电站'!B:B,B45)+SUMIFS('银盛-青龙坪充电站'!L:L,'银盛-青龙坪充电站'!B:B,B45)+SUMIFS('砚山锦佳-砚山充电站'!K:K,'砚山锦佳-砚山充电站'!B:B,B45)+SUMIFS(中石油广西百色靖西市龙临加油充电站!K:K,中石油广西百色靖西市龙临加油充电站!B:B,B45)+SUMIFS(德保众擎充电站!L:L,德保众擎充电站!B:B,B45)+SUMIFS(南网八宝充电站!K:K,南网八宝充电站!B:B,B45)+SUMIFS(南屏充电站!K:K,南屏充电站!B:B,B45)+SUMIFS(鑫鸿充电站!K:K,鑫鸿充电站!B:B,B45)+SUMIFS('锦田-百色田东充电站'!K:K,'锦田-百色田东充电站'!B:B,B45)+37.06/47+SUMIFS(平远充电站!K:K,平远充电站!B:B,B45)</f>
        <v>11158.4515106383</v>
      </c>
      <c r="K45" s="516">
        <f t="shared" si="0"/>
        <v>0.319799160916217</v>
      </c>
      <c r="L45" s="439">
        <f t="shared" si="1"/>
        <v>1014.4046827853</v>
      </c>
      <c r="M45" s="439"/>
      <c r="N45" s="439">
        <f t="shared" si="12"/>
        <v>220.881967213115</v>
      </c>
      <c r="O45" s="439">
        <f>SUMIFS(轮胎!H:H,轮胎!D:D,B45)+SUMIFS(轮胎!H:H,轮胎!D:D,C45)</f>
        <v>0</v>
      </c>
      <c r="P45" s="439">
        <v>0</v>
      </c>
      <c r="Q45" s="439">
        <f>SUMIFS(维修费!E:E,维修费!C:C,B45)+SUMIFS(维修费!E:E,维修费!C:C,C45)</f>
        <v>60</v>
      </c>
      <c r="R45" s="439">
        <f>SUMIFS(磅单!R:R,磅单!F:F,B45)</f>
        <v>7800</v>
      </c>
      <c r="S45" s="439">
        <f>SUMIFS(司机工资表!E:E,司机工资表!B:B,D45)+SUMIFS(司机工资表!N:N,司机工资表!B:B,D45)</f>
        <v>0</v>
      </c>
      <c r="T45" s="517">
        <f>SUMIFS(付款明细!G:G,付款明细!D:D,B45,付款明细!B:B,"车队-罚款")</f>
        <v>0</v>
      </c>
      <c r="U45" s="517">
        <f>SUMIFS(付款明细!G:G,付款明细!D:D,B45,付款明细!B:B,"车辆费用")+SUMIFS(付款明细!G:G,付款明细!D:D,C45,付款明细!B:B,"车辆费用")</f>
        <v>173</v>
      </c>
      <c r="V45" s="439">
        <f>SUMIFS(付款明细!G:G,付款明细!B:B,"综合费用")/61</f>
        <v>397.392459016393</v>
      </c>
      <c r="W45" s="439">
        <v>2666</v>
      </c>
      <c r="X45" s="517">
        <v>2800</v>
      </c>
      <c r="Y45" s="439">
        <f>SUMIFS(磅单!P:P,磅单!E:E,B45)</f>
        <v>150</v>
      </c>
      <c r="Z45" s="439">
        <f t="shared" si="3"/>
        <v>2442.4442</v>
      </c>
      <c r="AA45" s="519"/>
      <c r="AB45" s="439"/>
      <c r="AC45" s="438">
        <f>(管理人员工资!$D$10+管理人员工资!$E$10)/61</f>
        <v>790.16393442623</v>
      </c>
      <c r="AD45" s="517">
        <f t="shared" si="11"/>
        <v>6233.72592870596</v>
      </c>
      <c r="AE45" s="529"/>
      <c r="AG45" s="528"/>
    </row>
    <row r="46" s="106" customFormat="1" ht="20" customHeight="1" spans="1:33">
      <c r="A46" s="344">
        <v>44</v>
      </c>
      <c r="B46" s="164" t="s">
        <v>180</v>
      </c>
      <c r="C46" s="122" t="s">
        <v>182</v>
      </c>
      <c r="D46" s="502" t="s">
        <v>181</v>
      </c>
      <c r="E46" s="515" t="s">
        <v>326</v>
      </c>
      <c r="F46" s="515">
        <f>COUNTIFS(磅单!E:E,B46)</f>
        <v>12</v>
      </c>
      <c r="G46" s="439">
        <f>SUMIFS(磅单!L:L,磅单!F:F,B46)</f>
        <v>507.05</v>
      </c>
      <c r="H46" s="439">
        <f>SUMIFS(磅单!O:O,磅单!F:F,B46)</f>
        <v>38541.81</v>
      </c>
      <c r="I46" s="439"/>
      <c r="J46" s="439">
        <f>SUMIFS(现金充电明细!L:L,现金充电明细!B:B,B46)+SUMIFS('华瑞-曙光，大水井，老水井充电站'!L:L,'华瑞-曙光，大水井，老水井充电站'!B:B,B46)+SUMIFS('银盛-青龙坪充电站'!L:L,'银盛-青龙坪充电站'!B:B,B46)+SUMIFS('砚山锦佳-砚山充电站'!K:K,'砚山锦佳-砚山充电站'!B:B,B46)+SUMIFS(中石油广西百色靖西市龙临加油充电站!K:K,中石油广西百色靖西市龙临加油充电站!B:B,B46)+SUMIFS(德保众擎充电站!L:L,德保众擎充电站!B:B,B46)+SUMIFS(南网八宝充电站!K:K,南网八宝充电站!B:B,B46)+SUMIFS(南屏充电站!K:K,南屏充电站!B:B,B46)+SUMIFS(鑫鸿充电站!K:K,鑫鸿充电站!B:B,B46)+SUMIFS('锦田-百色田东充电站'!K:K,'锦田-百色田东充电站'!B:B,B46)+37.06/47+SUMIFS(平远充电站!K:K,平远充电站!B:B,B46)</f>
        <v>13784.6365106383</v>
      </c>
      <c r="K46" s="516">
        <f t="shared" si="0"/>
        <v>0.357654103702922</v>
      </c>
      <c r="L46" s="439">
        <f t="shared" si="1"/>
        <v>1148.71970921986</v>
      </c>
      <c r="M46" s="439"/>
      <c r="N46" s="439">
        <f t="shared" si="12"/>
        <v>220.881967213115</v>
      </c>
      <c r="O46" s="439">
        <f>SUMIFS(轮胎!H:H,轮胎!D:D,B46)+SUMIFS(轮胎!H:H,轮胎!D:D,C46)</f>
        <v>0</v>
      </c>
      <c r="P46" s="439">
        <v>0</v>
      </c>
      <c r="Q46" s="439">
        <f>SUMIFS(维修费!E:E,维修费!C:C,B46)+SUMIFS(维修费!E:E,维修费!C:C,C46)</f>
        <v>190</v>
      </c>
      <c r="R46" s="439">
        <f>SUMIFS(磅单!R:R,磅单!F:F,B46)</f>
        <v>8600</v>
      </c>
      <c r="S46" s="439">
        <f>SUMIFS(司机工资表!E:E,司机工资表!B:B,D46)+SUMIFS(司机工资表!N:N,司机工资表!B:B,D46)</f>
        <v>200</v>
      </c>
      <c r="T46" s="517">
        <f>SUMIFS(付款明细!G:G,付款明细!D:D,B46,付款明细!B:B,"车队-罚款")</f>
        <v>200</v>
      </c>
      <c r="U46" s="517">
        <f>SUMIFS(付款明细!G:G,付款明细!D:D,B46,付款明细!B:B,"车辆费用")+SUMIFS(付款明细!G:G,付款明细!D:D,C46,付款明细!B:B,"车辆费用")</f>
        <v>340</v>
      </c>
      <c r="V46" s="439">
        <f>SUMIFS(付款明细!G:G,付款明细!B:B,"综合费用")/61</f>
        <v>397.392459016393</v>
      </c>
      <c r="W46" s="439">
        <v>2666</v>
      </c>
      <c r="X46" s="517">
        <v>2800</v>
      </c>
      <c r="Y46" s="439">
        <f>SUMIFS(磅单!P:P,磅单!E:E,B46)</f>
        <v>180</v>
      </c>
      <c r="Z46" s="439">
        <f t="shared" si="3"/>
        <v>2697.9267</v>
      </c>
      <c r="AA46" s="519"/>
      <c r="AB46" s="439"/>
      <c r="AC46" s="438">
        <f>(管理人员工资!$D$10+管理人员工资!$E$10)/61</f>
        <v>790.16393442623</v>
      </c>
      <c r="AD46" s="517">
        <f t="shared" si="11"/>
        <v>5474.80842870596</v>
      </c>
      <c r="AE46" s="529"/>
      <c r="AG46" s="528"/>
    </row>
    <row r="47" s="106" customFormat="1" ht="20" customHeight="1" spans="1:33">
      <c r="A47" s="344">
        <v>45</v>
      </c>
      <c r="B47" s="164" t="s">
        <v>183</v>
      </c>
      <c r="C47" s="122" t="s">
        <v>185</v>
      </c>
      <c r="D47" s="42" t="s">
        <v>184</v>
      </c>
      <c r="E47" s="515" t="s">
        <v>326</v>
      </c>
      <c r="F47" s="515">
        <f>COUNTIFS(磅单!E:E,B47)</f>
        <v>7</v>
      </c>
      <c r="G47" s="439">
        <f>SUMIFS(磅单!L:L,磅单!F:F,B47)</f>
        <v>306.91</v>
      </c>
      <c r="H47" s="439">
        <f>SUMIFS(磅单!O:O,磅单!F:F,B47)</f>
        <v>22716.15</v>
      </c>
      <c r="I47" s="439"/>
      <c r="J47" s="439">
        <f>SUMIFS(现金充电明细!L:L,现金充电明细!B:B,B47)+SUMIFS('华瑞-曙光，大水井，老水井充电站'!L:L,'华瑞-曙光，大水井，老水井充电站'!B:B,B47)+SUMIFS('银盛-青龙坪充电站'!L:L,'银盛-青龙坪充电站'!B:B,B47)+SUMIFS('砚山锦佳-砚山充电站'!K:K,'砚山锦佳-砚山充电站'!B:B,B47)+SUMIFS(中石油广西百色靖西市龙临加油充电站!K:K,中石油广西百色靖西市龙临加油充电站!B:B,B47)+SUMIFS(德保众擎充电站!L:L,德保众擎充电站!B:B,B47)+SUMIFS(南网八宝充电站!K:K,南网八宝充电站!B:B,B47)+SUMIFS(南屏充电站!K:K,南屏充电站!B:B,B47)+SUMIFS(鑫鸿充电站!K:K,鑫鸿充电站!B:B,B47)+SUMIFS('锦田-百色田东充电站'!K:K,'锦田-百色田东充电站'!B:B,B47)+37.06/47+SUMIFS(平远充电站!K:K,平远充电站!B:B,B47)</f>
        <v>8633.0998106383</v>
      </c>
      <c r="K47" s="516">
        <f t="shared" si="0"/>
        <v>0.380042384411016</v>
      </c>
      <c r="L47" s="439">
        <f t="shared" si="1"/>
        <v>1233.29997294833</v>
      </c>
      <c r="M47" s="439"/>
      <c r="N47" s="439">
        <f t="shared" si="12"/>
        <v>220.881967213115</v>
      </c>
      <c r="O47" s="439">
        <f>SUMIFS(轮胎!H:H,轮胎!D:D,B47)+SUMIFS(轮胎!H:H,轮胎!D:D,C47)</f>
        <v>0</v>
      </c>
      <c r="P47" s="439">
        <v>0</v>
      </c>
      <c r="Q47" s="439">
        <f>SUMIFS(维修费!E:E,维修费!C:C,B47)+SUMIFS(维修费!E:E,维修费!C:C,C47)</f>
        <v>0</v>
      </c>
      <c r="R47" s="439">
        <f>SUMIFS(磅单!R:R,磅单!F:F,B47)</f>
        <v>5000</v>
      </c>
      <c r="S47" s="439">
        <f>SUMIFS(司机工资表!E:E,司机工资表!B:B,D47)+SUMIFS(司机工资表!N:N,司机工资表!B:B,D47)</f>
        <v>200</v>
      </c>
      <c r="T47" s="517">
        <f>SUMIFS(付款明细!G:G,付款明细!D:D,B47,付款明细!B:B,"车队-罚款")</f>
        <v>200</v>
      </c>
      <c r="U47" s="517">
        <f>SUMIFS(付款明细!G:G,付款明细!D:D,B47,付款明细!B:B,"车辆费用")+SUMIFS(付款明细!G:G,付款明细!D:D,C47,付款明细!B:B,"车辆费用")</f>
        <v>190</v>
      </c>
      <c r="V47" s="439">
        <f>SUMIFS(付款明细!G:G,付款明细!B:B,"综合费用")/61</f>
        <v>397.392459016393</v>
      </c>
      <c r="W47" s="439">
        <v>2666</v>
      </c>
      <c r="X47" s="517">
        <v>2800</v>
      </c>
      <c r="Y47" s="439">
        <f>SUMIFS(磅单!P:P,磅单!E:E,B47)</f>
        <v>105</v>
      </c>
      <c r="Z47" s="439">
        <f t="shared" si="3"/>
        <v>1590.1305</v>
      </c>
      <c r="AA47" s="519"/>
      <c r="AB47" s="439"/>
      <c r="AC47" s="438">
        <f>(管理人员工资!$D$10+管理人员工资!$E$10)/61</f>
        <v>790.16393442623</v>
      </c>
      <c r="AD47" s="517">
        <f t="shared" si="11"/>
        <v>-76.5186712940358</v>
      </c>
      <c r="AE47" s="529"/>
      <c r="AG47" s="528"/>
    </row>
    <row r="48" s="106" customFormat="1" ht="20" customHeight="1" spans="1:33">
      <c r="A48" s="344">
        <v>46</v>
      </c>
      <c r="B48" s="83" t="s">
        <v>186</v>
      </c>
      <c r="C48" s="122" t="s">
        <v>188</v>
      </c>
      <c r="D48" s="42" t="s">
        <v>187</v>
      </c>
      <c r="E48" s="515" t="s">
        <v>326</v>
      </c>
      <c r="F48" s="515">
        <f>COUNTIFS(磅单!E:E,B48)</f>
        <v>7</v>
      </c>
      <c r="G48" s="439">
        <f>SUMIFS(磅单!L:L,磅单!F:F,B48)</f>
        <v>304.92</v>
      </c>
      <c r="H48" s="439">
        <f>SUMIFS(磅单!O:O,磅单!F:F,B48)</f>
        <v>20903.86</v>
      </c>
      <c r="I48" s="439"/>
      <c r="J48" s="439">
        <f>SUMIFS(现金充电明细!L:L,现金充电明细!B:B,B48)+SUMIFS('华瑞-曙光，大水井，老水井充电站'!L:L,'华瑞-曙光，大水井，老水井充电站'!B:B,B48)+SUMIFS('银盛-青龙坪充电站'!L:L,'银盛-青龙坪充电站'!B:B,B48)+SUMIFS('砚山锦佳-砚山充电站'!K:K,'砚山锦佳-砚山充电站'!B:B,B48)+SUMIFS(中石油广西百色靖西市龙临加油充电站!K:K,中石油广西百色靖西市龙临加油充电站!B:B,B48)+SUMIFS(德保众擎充电站!L:L,德保众擎充电站!B:B,B48)+SUMIFS(南网八宝充电站!K:K,南网八宝充电站!B:B,B48)+SUMIFS(南屏充电站!K:K,南屏充电站!B:B,B48)+SUMIFS(鑫鸿充电站!K:K,鑫鸿充电站!B:B,B48)+SUMIFS('锦田-百色田东充电站'!K:K,'锦田-百色田东充电站'!B:B,B48)+37.06/47+SUMIFS(平远充电站!K:K,平远充电站!B:B,B48)</f>
        <v>7254.3167106383</v>
      </c>
      <c r="K48" s="516">
        <f t="shared" si="0"/>
        <v>0.347032400266664</v>
      </c>
      <c r="L48" s="439">
        <f t="shared" si="1"/>
        <v>1036.33095866261</v>
      </c>
      <c r="M48" s="439"/>
      <c r="N48" s="439">
        <f t="shared" si="12"/>
        <v>220.881967213115</v>
      </c>
      <c r="O48" s="439">
        <f>SUMIFS(轮胎!H:H,轮胎!D:D,B48)+SUMIFS(轮胎!H:H,轮胎!D:D,C48)</f>
        <v>0</v>
      </c>
      <c r="P48" s="439">
        <v>0</v>
      </c>
      <c r="Q48" s="439">
        <f>SUMIFS(维修费!E:E,维修费!C:C,B48)+SUMIFS(维修费!E:E,维修费!C:C,C48)</f>
        <v>0</v>
      </c>
      <c r="R48" s="439">
        <f>SUMIFS(磅单!R:R,磅单!F:F,B48)</f>
        <v>4600</v>
      </c>
      <c r="S48" s="439">
        <f>SUMIFS(司机工资表!E:E,司机工资表!B:B,D48)+SUMIFS(司机工资表!N:N,司机工资表!B:B,D48)</f>
        <v>0</v>
      </c>
      <c r="T48" s="517">
        <f>SUMIFS(付款明细!G:G,付款明细!D:D,B48,付款明细!B:B,"车队-罚款")</f>
        <v>40</v>
      </c>
      <c r="U48" s="517">
        <f>SUMIFS(付款明细!G:G,付款明细!D:D,B48,付款明细!B:B,"车辆费用")+SUMIFS(付款明细!G:G,付款明细!D:D,C48,付款明细!B:B,"车辆费用")</f>
        <v>179</v>
      </c>
      <c r="V48" s="439">
        <f>SUMIFS(付款明细!G:G,付款明细!B:B,"综合费用")/61</f>
        <v>397.392459016393</v>
      </c>
      <c r="W48" s="439">
        <v>2666</v>
      </c>
      <c r="X48" s="517">
        <v>2800</v>
      </c>
      <c r="Y48" s="439">
        <f>SUMIFS(磅单!P:P,磅单!E:E,B48)</f>
        <v>105</v>
      </c>
      <c r="Z48" s="439">
        <f t="shared" si="3"/>
        <v>1463.2702</v>
      </c>
      <c r="AA48" s="519"/>
      <c r="AB48" s="439"/>
      <c r="AC48" s="438">
        <f>(管理人员工资!$D$10+管理人员工资!$E$10)/61</f>
        <v>790.16393442623</v>
      </c>
      <c r="AD48" s="517">
        <f t="shared" si="11"/>
        <v>387.834728705962</v>
      </c>
      <c r="AE48" s="529"/>
      <c r="AG48" s="528"/>
    </row>
    <row r="49" s="106" customFormat="1" ht="20" customHeight="1" spans="1:33">
      <c r="A49" s="344">
        <v>47</v>
      </c>
      <c r="B49" s="83" t="s">
        <v>189</v>
      </c>
      <c r="C49" s="122" t="s">
        <v>191</v>
      </c>
      <c r="D49" s="42" t="s">
        <v>190</v>
      </c>
      <c r="E49" s="515" t="s">
        <v>326</v>
      </c>
      <c r="F49" s="515">
        <f>COUNTIFS(磅单!E:E,B49)</f>
        <v>6</v>
      </c>
      <c r="G49" s="439">
        <f>SUMIFS(磅单!L:L,磅单!F:F,B49)</f>
        <v>264.06</v>
      </c>
      <c r="H49" s="439">
        <f>SUMIFS(磅单!O:O,磅单!F:F,B49)</f>
        <v>18529.74</v>
      </c>
      <c r="I49" s="439"/>
      <c r="J49" s="439">
        <f>SUMIFS(现金充电明细!L:L,现金充电明细!B:B,B49)+SUMIFS('华瑞-曙光，大水井，老水井充电站'!L:L,'华瑞-曙光，大水井，老水井充电站'!B:B,B49)+SUMIFS('银盛-青龙坪充电站'!L:L,'银盛-青龙坪充电站'!B:B,B49)+SUMIFS('砚山锦佳-砚山充电站'!K:K,'砚山锦佳-砚山充电站'!B:B,B49)+SUMIFS(中石油广西百色靖西市龙临加油充电站!K:K,中石油广西百色靖西市龙临加油充电站!B:B,B49)+SUMIFS(德保众擎充电站!L:L,德保众擎充电站!B:B,B49)+SUMIFS(南网八宝充电站!K:K,南网八宝充电站!B:B,B49)+SUMIFS(南屏充电站!K:K,南屏充电站!B:B,B49)+SUMIFS(鑫鸿充电站!K:K,鑫鸿充电站!B:B,B49)+SUMIFS('锦田-百色田东充电站'!K:K,'锦田-百色田东充电站'!B:B,B49)+37.06/47+SUMIFS(平远充电站!K:K,平远充电站!B:B,B49)</f>
        <v>8196.1785106383</v>
      </c>
      <c r="K49" s="516">
        <f t="shared" si="0"/>
        <v>0.442325607949075</v>
      </c>
      <c r="L49" s="439">
        <f t="shared" si="1"/>
        <v>1366.02975177305</v>
      </c>
      <c r="M49" s="439"/>
      <c r="N49" s="439">
        <f t="shared" si="12"/>
        <v>220.881967213115</v>
      </c>
      <c r="O49" s="439">
        <f>SUMIFS(轮胎!H:H,轮胎!D:D,B49)+SUMIFS(轮胎!H:H,轮胎!D:D,C49)</f>
        <v>0</v>
      </c>
      <c r="P49" s="439">
        <v>0</v>
      </c>
      <c r="Q49" s="439">
        <f>SUMIFS(维修费!E:E,维修费!C:C,B49)+SUMIFS(维修费!E:E,维修费!C:C,C49)</f>
        <v>60</v>
      </c>
      <c r="R49" s="439">
        <f>SUMIFS(磅单!R:R,磅单!F:F,B49)</f>
        <v>4000</v>
      </c>
      <c r="S49" s="439">
        <f>SUMIFS(司机工资表!E:E,司机工资表!B:B,D49)+SUMIFS(司机工资表!N:N,司机工资表!B:B,D49)</f>
        <v>0</v>
      </c>
      <c r="T49" s="517">
        <f>SUMIFS(付款明细!G:G,付款明细!D:D,B49,付款明细!B:B,"车队-罚款")</f>
        <v>20</v>
      </c>
      <c r="U49" s="517">
        <f>SUMIFS(付款明细!G:G,付款明细!D:D,B49,付款明细!B:B,"车辆费用")+SUMIFS(付款明细!G:G,付款明细!D:D,C49,付款明细!B:B,"车辆费用")</f>
        <v>151</v>
      </c>
      <c r="V49" s="439">
        <f>SUMIFS(付款明细!G:G,付款明细!B:B,"综合费用")/61</f>
        <v>397.392459016393</v>
      </c>
      <c r="W49" s="439">
        <v>2666</v>
      </c>
      <c r="X49" s="517">
        <v>2800</v>
      </c>
      <c r="Y49" s="439">
        <f>SUMIFS(磅单!P:P,磅单!E:E,B49)</f>
        <v>90</v>
      </c>
      <c r="Z49" s="439">
        <f t="shared" si="3"/>
        <v>1297.0818</v>
      </c>
      <c r="AA49" s="519"/>
      <c r="AB49" s="439"/>
      <c r="AC49" s="438">
        <f>(管理人员工资!$D$10+管理人员工资!$E$10)/61</f>
        <v>790.16393442623</v>
      </c>
      <c r="AD49" s="517">
        <f t="shared" si="11"/>
        <v>-2158.95867129404</v>
      </c>
      <c r="AE49" s="529"/>
      <c r="AG49" s="528"/>
    </row>
    <row r="50" s="106" customFormat="1" ht="20" customHeight="1" spans="1:33">
      <c r="A50" s="344">
        <v>48</v>
      </c>
      <c r="B50" s="83" t="s">
        <v>192</v>
      </c>
      <c r="C50" s="122" t="s">
        <v>194</v>
      </c>
      <c r="D50" s="42" t="s">
        <v>193</v>
      </c>
      <c r="E50" s="515" t="s">
        <v>326</v>
      </c>
      <c r="F50" s="515">
        <f>COUNTIFS(磅单!E:E,B50)</f>
        <v>8</v>
      </c>
      <c r="G50" s="439">
        <f>SUMIFS(磅单!L:L,磅单!F:F,B50)</f>
        <v>343.69</v>
      </c>
      <c r="H50" s="439">
        <f>SUMIFS(磅单!O:O,磅单!F:F,B50)</f>
        <v>22105.89</v>
      </c>
      <c r="I50" s="439"/>
      <c r="J50" s="439">
        <f>SUMIFS(现金充电明细!L:L,现金充电明细!B:B,B50)+SUMIFS('华瑞-曙光，大水井，老水井充电站'!L:L,'华瑞-曙光，大水井，老水井充电站'!B:B,B50)+SUMIFS('银盛-青龙坪充电站'!L:L,'银盛-青龙坪充电站'!B:B,B50)+SUMIFS('砚山锦佳-砚山充电站'!K:K,'砚山锦佳-砚山充电站'!B:B,B50)+SUMIFS(中石油广西百色靖西市龙临加油充电站!K:K,中石油广西百色靖西市龙临加油充电站!B:B,B50)+SUMIFS(德保众擎充电站!L:L,德保众擎充电站!B:B,B50)+SUMIFS(南网八宝充电站!K:K,南网八宝充电站!B:B,B50)+SUMIFS(南屏充电站!K:K,南屏充电站!B:B,B50)+SUMIFS(鑫鸿充电站!K:K,鑫鸿充电站!B:B,B50)+SUMIFS('锦田-百色田东充电站'!K:K,'锦田-百色田东充电站'!B:B,B50)+37.06/47+SUMIFS(平远充电站!K:K,平远充电站!B:B,B50)</f>
        <v>7639.6485106383</v>
      </c>
      <c r="K50" s="516">
        <f t="shared" si="0"/>
        <v>0.34559334686992</v>
      </c>
      <c r="L50" s="439">
        <f t="shared" si="1"/>
        <v>954.956063829787</v>
      </c>
      <c r="M50" s="439"/>
      <c r="N50" s="439">
        <f t="shared" si="12"/>
        <v>220.881967213115</v>
      </c>
      <c r="O50" s="439">
        <f>SUMIFS(轮胎!H:H,轮胎!D:D,B50)+SUMIFS(轮胎!H:H,轮胎!D:D,C50)</f>
        <v>0</v>
      </c>
      <c r="P50" s="439">
        <v>0</v>
      </c>
      <c r="Q50" s="439">
        <f>SUMIFS(维修费!E:E,维修费!C:C,B50)+SUMIFS(维修费!E:E,维修费!C:C,C50)</f>
        <v>0</v>
      </c>
      <c r="R50" s="439">
        <f>SUMIFS(磅单!R:R,磅单!F:F,B50)</f>
        <v>5000</v>
      </c>
      <c r="S50" s="439">
        <f>SUMIFS(司机工资表!E:E,司机工资表!B:B,D50)+SUMIFS(司机工资表!N:N,司机工资表!B:B,D50)</f>
        <v>0</v>
      </c>
      <c r="T50" s="517">
        <f>SUMIFS(付款明细!G:G,付款明细!D:D,B50,付款明细!B:B,"车队-罚款")</f>
        <v>0</v>
      </c>
      <c r="U50" s="517">
        <f>SUMIFS(付款明细!G:G,付款明细!D:D,B50,付款明细!B:B,"车辆费用")+SUMIFS(付款明细!G:G,付款明细!D:D,C50,付款明细!B:B,"车辆费用")</f>
        <v>90</v>
      </c>
      <c r="V50" s="439">
        <f>SUMIFS(付款明细!G:G,付款明细!B:B,"综合费用")/61</f>
        <v>397.392459016393</v>
      </c>
      <c r="W50" s="439">
        <v>2666</v>
      </c>
      <c r="X50" s="517">
        <v>3600</v>
      </c>
      <c r="Y50" s="439">
        <f>SUMIFS(磅单!P:P,磅单!E:E,B50)</f>
        <v>120</v>
      </c>
      <c r="Z50" s="439">
        <f t="shared" si="3"/>
        <v>1547.4123</v>
      </c>
      <c r="AA50" s="519"/>
      <c r="AB50" s="439"/>
      <c r="AC50" s="438">
        <f>(管理人员工资!$D$10+管理人员工资!$E$10)/61</f>
        <v>790.16393442623</v>
      </c>
      <c r="AD50" s="517">
        <f t="shared" si="11"/>
        <v>34.3908287059612</v>
      </c>
      <c r="AE50" s="529"/>
      <c r="AG50" s="528"/>
    </row>
    <row r="51" s="106" customFormat="1" ht="20" customHeight="1" spans="1:33">
      <c r="A51" s="344">
        <v>49</v>
      </c>
      <c r="B51" s="83" t="s">
        <v>195</v>
      </c>
      <c r="C51" s="122" t="s">
        <v>197</v>
      </c>
      <c r="D51" s="42" t="s">
        <v>196</v>
      </c>
      <c r="E51" s="515" t="s">
        <v>326</v>
      </c>
      <c r="F51" s="515">
        <f>COUNTIFS(磅单!E:E,B51)</f>
        <v>7</v>
      </c>
      <c r="G51" s="439">
        <f>SUMIFS(磅单!L:L,磅单!F:F,B51)</f>
        <v>300.53</v>
      </c>
      <c r="H51" s="439">
        <f>SUMIFS(磅单!O:O,磅单!F:F,B51)</f>
        <v>22774.69</v>
      </c>
      <c r="I51" s="439"/>
      <c r="J51" s="439">
        <f>SUMIFS(现金充电明细!L:L,现金充电明细!B:B,B51)+SUMIFS('华瑞-曙光，大水井，老水井充电站'!L:L,'华瑞-曙光，大水井，老水井充电站'!B:B,B51)+SUMIFS('银盛-青龙坪充电站'!L:L,'银盛-青龙坪充电站'!B:B,B51)+SUMIFS('砚山锦佳-砚山充电站'!K:K,'砚山锦佳-砚山充电站'!B:B,B51)+SUMIFS(中石油广西百色靖西市龙临加油充电站!K:K,中石油广西百色靖西市龙临加油充电站!B:B,B51)+SUMIFS(德保众擎充电站!L:L,德保众擎充电站!B:B,B51)+SUMIFS(南网八宝充电站!K:K,南网八宝充电站!B:B,B51)+SUMIFS(南屏充电站!K:K,南屏充电站!B:B,B51)+SUMIFS(鑫鸿充电站!K:K,鑫鸿充电站!B:B,B51)+SUMIFS('锦田-百色田东充电站'!K:K,'锦田-百色田东充电站'!B:B,B51)+37.06/47+SUMIFS(平远充电站!K:K,平远充电站!B:B,B51)</f>
        <v>6947.4685106383</v>
      </c>
      <c r="K51" s="516">
        <f t="shared" si="0"/>
        <v>0.305052165831381</v>
      </c>
      <c r="L51" s="439">
        <f t="shared" si="1"/>
        <v>992.495501519757</v>
      </c>
      <c r="M51" s="439"/>
      <c r="N51" s="439">
        <f t="shared" si="12"/>
        <v>220.881967213115</v>
      </c>
      <c r="O51" s="439">
        <f>SUMIFS(轮胎!H:H,轮胎!D:D,B51)+SUMIFS(轮胎!H:H,轮胎!D:D,C51)</f>
        <v>0</v>
      </c>
      <c r="P51" s="439">
        <v>0</v>
      </c>
      <c r="Q51" s="439">
        <f>SUMIFS(维修费!E:E,维修费!C:C,B51)+SUMIFS(维修费!E:E,维修费!C:C,C51)</f>
        <v>120</v>
      </c>
      <c r="R51" s="439">
        <f>SUMIFS(磅单!R:R,磅单!F:F,B51)</f>
        <v>5000</v>
      </c>
      <c r="S51" s="439">
        <f>SUMIFS(司机工资表!E:E,司机工资表!B:B,D51)+SUMIFS(司机工资表!N:N,司机工资表!B:B,D51)</f>
        <v>0</v>
      </c>
      <c r="T51" s="517">
        <f>SUMIFS(付款明细!G:G,付款明细!D:D,B51,付款明细!B:B,"车队-罚款")</f>
        <v>0</v>
      </c>
      <c r="U51" s="517">
        <f>SUMIFS(付款明细!G:G,付款明细!D:D,B51,付款明细!B:B,"车辆费用")+SUMIFS(付款明细!G:G,付款明细!D:D,C51,付款明细!B:B,"车辆费用")</f>
        <v>105</v>
      </c>
      <c r="V51" s="439">
        <f>SUMIFS(付款明细!G:G,付款明细!B:B,"综合费用")/61</f>
        <v>397.392459016393</v>
      </c>
      <c r="W51" s="439">
        <v>2666</v>
      </c>
      <c r="X51" s="517">
        <v>3600</v>
      </c>
      <c r="Y51" s="439">
        <f>SUMIFS(磅单!P:P,磅单!E:E,B51)</f>
        <v>105</v>
      </c>
      <c r="Z51" s="439">
        <f t="shared" si="3"/>
        <v>1594.2283</v>
      </c>
      <c r="AA51" s="519"/>
      <c r="AB51" s="439"/>
      <c r="AC51" s="438">
        <f>(管理人员工资!$D$10+管理人员工资!$E$10)/61</f>
        <v>790.16393442623</v>
      </c>
      <c r="AD51" s="517">
        <f t="shared" si="11"/>
        <v>1228.55482870597</v>
      </c>
      <c r="AE51" s="529"/>
      <c r="AG51" s="528"/>
    </row>
    <row r="52" s="106" customFormat="1" ht="20" customHeight="1" spans="1:33">
      <c r="A52" s="344">
        <v>50</v>
      </c>
      <c r="B52" s="83" t="s">
        <v>198</v>
      </c>
      <c r="C52" s="122" t="s">
        <v>200</v>
      </c>
      <c r="D52" s="42" t="s">
        <v>330</v>
      </c>
      <c r="E52" s="515" t="s">
        <v>326</v>
      </c>
      <c r="F52" s="515">
        <f>COUNTIFS(磅单!E:E,B52)</f>
        <v>4</v>
      </c>
      <c r="G52" s="439">
        <f>SUMIFS(磅单!L:L,磅单!F:F,B52)</f>
        <v>172.36</v>
      </c>
      <c r="H52" s="439">
        <f>SUMIFS(磅单!O:O,磅单!F:F,B52)</f>
        <v>12133.5</v>
      </c>
      <c r="I52" s="439"/>
      <c r="J52" s="439">
        <f>SUMIFS(现金充电明细!L:L,现金充电明细!B:B,B52)+SUMIFS('华瑞-曙光，大水井，老水井充电站'!L:L,'华瑞-曙光，大水井，老水井充电站'!B:B,B52)+SUMIFS('银盛-青龙坪充电站'!L:L,'银盛-青龙坪充电站'!B:B,B52)+SUMIFS('砚山锦佳-砚山充电站'!K:K,'砚山锦佳-砚山充电站'!B:B,B52)+SUMIFS(中石油广西百色靖西市龙临加油充电站!K:K,中石油广西百色靖西市龙临加油充电站!B:B,B52)+SUMIFS(德保众擎充电站!L:L,德保众擎充电站!B:B,B52)+SUMIFS(南网八宝充电站!K:K,南网八宝充电站!B:B,B52)+SUMIFS(南屏充电站!K:K,南屏充电站!B:B,B52)+SUMIFS(鑫鸿充电站!K:K,鑫鸿充电站!B:B,B52)+SUMIFS('锦田-百色田东充电站'!K:K,'锦田-百色田东充电站'!B:B,B52)+37.06/47+SUMIFS(平远充电站!K:K,平远充电站!B:B,B52)</f>
        <v>5978.9385106383</v>
      </c>
      <c r="K52" s="516">
        <f t="shared" si="0"/>
        <v>0.49276288874919</v>
      </c>
      <c r="L52" s="439">
        <f t="shared" si="1"/>
        <v>1494.73462765957</v>
      </c>
      <c r="M52" s="439"/>
      <c r="N52" s="439">
        <f t="shared" si="12"/>
        <v>220.881967213115</v>
      </c>
      <c r="O52" s="439">
        <f>SUMIFS(轮胎!H:H,轮胎!D:D,B52)+SUMIFS(轮胎!H:H,轮胎!D:D,C52)</f>
        <v>1050</v>
      </c>
      <c r="P52" s="439">
        <v>0</v>
      </c>
      <c r="Q52" s="439">
        <f>SUMIFS(维修费!E:E,维修费!C:C,B52)+SUMIFS(维修费!E:E,维修费!C:C,C52)</f>
        <v>50</v>
      </c>
      <c r="R52" s="439">
        <f>SUMIFS(磅单!R:R,磅单!F:F,B52)</f>
        <v>2800</v>
      </c>
      <c r="S52" s="439">
        <f>SUMIFS(司机工资表!E:E,司机工资表!B:B,D52)+SUMIFS(司机工资表!N:N,司机工资表!B:B,D52)</f>
        <v>0</v>
      </c>
      <c r="T52" s="517">
        <f>SUMIFS(付款明细!G:G,付款明细!D:D,B52,付款明细!B:B,"车队-罚款")</f>
        <v>200</v>
      </c>
      <c r="U52" s="517">
        <f>SUMIFS(付款明细!G:G,付款明细!D:D,B52,付款明细!B:B,"车辆费用")+SUMIFS(付款明细!G:G,付款明细!D:D,C52,付款明细!B:B,"车辆费用")</f>
        <v>204</v>
      </c>
      <c r="V52" s="439">
        <f>SUMIFS(付款明细!G:G,付款明细!B:B,"综合费用")/61</f>
        <v>397.392459016393</v>
      </c>
      <c r="W52" s="439">
        <v>2666</v>
      </c>
      <c r="X52" s="517">
        <v>3600</v>
      </c>
      <c r="Y52" s="439">
        <f>SUMIFS(磅单!P:P,磅单!E:E,B52)</f>
        <v>60</v>
      </c>
      <c r="Z52" s="439">
        <f t="shared" si="3"/>
        <v>849.345</v>
      </c>
      <c r="AA52" s="519"/>
      <c r="AB52" s="439"/>
      <c r="AC52" s="438">
        <f>(管理人员工资!$D$10+管理人员工资!$E$10)/61</f>
        <v>790.16393442623</v>
      </c>
      <c r="AD52" s="517">
        <f t="shared" si="11"/>
        <v>-6733.22187129404</v>
      </c>
      <c r="AE52" s="529"/>
      <c r="AG52" s="528"/>
    </row>
    <row r="53" s="106" customFormat="1" ht="20" customHeight="1" spans="1:33">
      <c r="A53" s="344">
        <v>51</v>
      </c>
      <c r="B53" s="83" t="s">
        <v>201</v>
      </c>
      <c r="C53" s="122" t="s">
        <v>203</v>
      </c>
      <c r="D53" s="10" t="s">
        <v>202</v>
      </c>
      <c r="E53" s="515" t="s">
        <v>326</v>
      </c>
      <c r="F53" s="515">
        <f>COUNTIFS(磅单!E:E,B53)</f>
        <v>4</v>
      </c>
      <c r="G53" s="439">
        <f>SUMIFS(磅单!L:L,磅单!F:F,B53)</f>
        <v>179.06</v>
      </c>
      <c r="H53" s="439">
        <f>SUMIFS(磅单!O:O,磅单!F:F,B53)</f>
        <v>11225.4</v>
      </c>
      <c r="I53" s="439"/>
      <c r="J53" s="439">
        <f>SUMIFS(现金充电明细!L:L,现金充电明细!B:B,B53)+SUMIFS('华瑞-曙光，大水井，老水井充电站'!L:L,'华瑞-曙光，大水井，老水井充电站'!B:B,B53)+SUMIFS('银盛-青龙坪充电站'!L:L,'银盛-青龙坪充电站'!B:B,B53)+SUMIFS('砚山锦佳-砚山充电站'!K:K,'砚山锦佳-砚山充电站'!B:B,B53)+SUMIFS(中石油广西百色靖西市龙临加油充电站!K:K,中石油广西百色靖西市龙临加油充电站!B:B,B53)+SUMIFS(德保众擎充电站!L:L,德保众擎充电站!B:B,B53)+SUMIFS(南网八宝充电站!K:K,南网八宝充电站!B:B,B53)+SUMIFS(南屏充电站!K:K,南屏充电站!B:B,B53)+SUMIFS(鑫鸿充电站!K:K,鑫鸿充电站!B:B,B53)+SUMIFS('锦田-百色田东充电站'!K:K,'锦田-百色田东充电站'!B:B,B53)+37.06/47+SUMIFS(平远充电站!K:K,平远充电站!B:B,B53)</f>
        <v>6039.1485106383</v>
      </c>
      <c r="K53" s="516">
        <f t="shared" si="0"/>
        <v>0.537989604881634</v>
      </c>
      <c r="L53" s="439">
        <f t="shared" si="1"/>
        <v>1509.78712765957</v>
      </c>
      <c r="M53" s="439"/>
      <c r="N53" s="439">
        <f t="shared" si="12"/>
        <v>220.881967213115</v>
      </c>
      <c r="O53" s="439">
        <f>SUMIFS(轮胎!H:H,轮胎!D:D,B53)+SUMIFS(轮胎!H:H,轮胎!D:D,C53)</f>
        <v>0</v>
      </c>
      <c r="P53" s="439">
        <v>0</v>
      </c>
      <c r="Q53" s="439">
        <f>SUMIFS(维修费!E:E,维修费!C:C,B53)+SUMIFS(维修费!E:E,维修费!C:C,C53)</f>
        <v>0</v>
      </c>
      <c r="R53" s="439">
        <f>SUMIFS(磅单!R:R,磅单!F:F,B53)</f>
        <v>2600</v>
      </c>
      <c r="S53" s="439">
        <f>SUMIFS(司机工资表!E:E,司机工资表!B:B,D53)+SUMIFS(司机工资表!N:N,司机工资表!B:B,D53)</f>
        <v>0</v>
      </c>
      <c r="T53" s="517">
        <f>SUMIFS(付款明细!G:G,付款明细!D:D,B53,付款明细!B:B,"车队-罚款")</f>
        <v>0</v>
      </c>
      <c r="U53" s="517">
        <f>SUMIFS(付款明细!G:G,付款明细!D:D,B53,付款明细!B:B,"车辆费用")+SUMIFS(付款明细!G:G,付款明细!D:D,C53,付款明细!B:B,"车辆费用")</f>
        <v>183</v>
      </c>
      <c r="V53" s="439">
        <f>SUMIFS(付款明细!G:G,付款明细!B:B,"综合费用")/61</f>
        <v>397.392459016393</v>
      </c>
      <c r="W53" s="439">
        <v>2666</v>
      </c>
      <c r="X53" s="517">
        <v>3600</v>
      </c>
      <c r="Y53" s="439">
        <f>SUMIFS(磅单!P:P,磅单!E:E,B53)</f>
        <v>60</v>
      </c>
      <c r="Z53" s="439">
        <f t="shared" si="3"/>
        <v>785.778</v>
      </c>
      <c r="AA53" s="519"/>
      <c r="AB53" s="439"/>
      <c r="AC53" s="438">
        <f>(管理人员工资!$D$10+管理人员工资!$E$10)/61</f>
        <v>790.16393442623</v>
      </c>
      <c r="AD53" s="517">
        <f t="shared" si="11"/>
        <v>-6116.96487129404</v>
      </c>
      <c r="AE53" s="529"/>
      <c r="AG53" s="528"/>
    </row>
    <row r="54" s="106" customFormat="1" ht="21" customHeight="1" spans="1:33">
      <c r="A54" s="344">
        <v>52</v>
      </c>
      <c r="B54" s="83" t="s">
        <v>204</v>
      </c>
      <c r="C54" s="122" t="s">
        <v>206</v>
      </c>
      <c r="D54" s="10" t="s">
        <v>205</v>
      </c>
      <c r="E54" s="515" t="s">
        <v>326</v>
      </c>
      <c r="F54" s="515">
        <f>COUNTIFS(磅单!E:E,B54)</f>
        <v>4</v>
      </c>
      <c r="G54" s="439">
        <f>SUMIFS(磅单!L:L,磅单!F:F,B54)</f>
        <v>169.5</v>
      </c>
      <c r="H54" s="439">
        <f>SUMIFS(磅单!O:O,磅单!F:F,B54)</f>
        <v>13067.94</v>
      </c>
      <c r="I54" s="439"/>
      <c r="J54" s="439">
        <f>SUMIFS(现金充电明细!L:L,现金充电明细!B:B,B54)+SUMIFS('华瑞-曙光，大水井，老水井充电站'!L:L,'华瑞-曙光，大水井，老水井充电站'!B:B,B54)+SUMIFS('银盛-青龙坪充电站'!L:L,'银盛-青龙坪充电站'!B:B,B54)+SUMIFS('砚山锦佳-砚山充电站'!K:K,'砚山锦佳-砚山充电站'!B:B,B54)+SUMIFS(中石油广西百色靖西市龙临加油充电站!K:K,中石油广西百色靖西市龙临加油充电站!B:B,B54)+SUMIFS(德保众擎充电站!L:L,德保众擎充电站!B:B,B54)+SUMIFS(南网八宝充电站!K:K,南网八宝充电站!B:B,B54)+SUMIFS(南屏充电站!K:K,南屏充电站!B:B,B54)+SUMIFS(鑫鸿充电站!K:K,鑫鸿充电站!B:B,B54)+SUMIFS('锦田-百色田东充电站'!K:K,'锦田-百色田东充电站'!B:B,B54)+37.06/47+SUMIFS(平远充电站!K:K,平远充电站!B:B,B54)</f>
        <v>5560.7085106383</v>
      </c>
      <c r="K54" s="516">
        <f t="shared" si="0"/>
        <v>0.425522960056313</v>
      </c>
      <c r="L54" s="439">
        <f t="shared" si="1"/>
        <v>1390.17712765957</v>
      </c>
      <c r="M54" s="439"/>
      <c r="N54" s="439">
        <f t="shared" ref="N54:N62" si="13">13473.8/61</f>
        <v>220.881967213115</v>
      </c>
      <c r="O54" s="439">
        <f>SUMIFS(轮胎!H:H,轮胎!D:D,B54)+SUMIFS(轮胎!H:H,轮胎!D:D,C54)</f>
        <v>0</v>
      </c>
      <c r="P54" s="439">
        <v>0</v>
      </c>
      <c r="Q54" s="439">
        <f>SUMIFS(维修费!E:E,维修费!C:C,B54)+SUMIFS(维修费!E:E,维修费!C:C,C54)</f>
        <v>0</v>
      </c>
      <c r="R54" s="439">
        <f>SUMIFS(磅单!R:R,磅单!F:F,B54)</f>
        <v>3000</v>
      </c>
      <c r="S54" s="439">
        <f>SUMIFS(司机工资表!E:E,司机工资表!B:B,D54)+SUMIFS(司机工资表!N:N,司机工资表!B:B,D54)</f>
        <v>0</v>
      </c>
      <c r="T54" s="517">
        <f>SUMIFS(付款明细!G:G,付款明细!D:D,B54,付款明细!B:B,"车队-罚款")</f>
        <v>0</v>
      </c>
      <c r="U54" s="517">
        <f>SUMIFS(付款明细!G:G,付款明细!D:D,B54,付款明细!B:B,"车辆费用")+SUMIFS(付款明细!G:G,付款明细!D:D,C54,付款明细!B:B,"车辆费用")</f>
        <v>113</v>
      </c>
      <c r="V54" s="439">
        <f>SUMIFS(付款明细!G:G,付款明细!B:B,"综合费用")/61</f>
        <v>397.392459016393</v>
      </c>
      <c r="W54" s="439">
        <v>2666</v>
      </c>
      <c r="X54" s="517">
        <v>3600</v>
      </c>
      <c r="Y54" s="439">
        <f>SUMIFS(磅单!P:P,磅单!E:E,B54)</f>
        <v>60</v>
      </c>
      <c r="Z54" s="439">
        <f t="shared" si="3"/>
        <v>914.7558</v>
      </c>
      <c r="AA54" s="519"/>
      <c r="AB54" s="439"/>
      <c r="AC54" s="438">
        <f>(管理人员工资!$D$10+管理人员工资!$E$10)/61</f>
        <v>790.16393442623</v>
      </c>
      <c r="AD54" s="517">
        <f t="shared" si="11"/>
        <v>-4254.96267129404</v>
      </c>
      <c r="AE54" s="529"/>
      <c r="AG54" s="528"/>
    </row>
    <row r="55" s="106" customFormat="1" ht="21" customHeight="1" spans="1:33">
      <c r="A55" s="344">
        <v>53</v>
      </c>
      <c r="B55" s="83" t="s">
        <v>207</v>
      </c>
      <c r="C55" s="122" t="s">
        <v>209</v>
      </c>
      <c r="D55" s="10" t="s">
        <v>208</v>
      </c>
      <c r="E55" s="515" t="s">
        <v>326</v>
      </c>
      <c r="F55" s="515">
        <f>COUNTIFS(磅单!E:E,B55)</f>
        <v>4</v>
      </c>
      <c r="G55" s="439">
        <f>SUMIFS(磅单!L:L,磅单!F:F,B55)</f>
        <v>169.46</v>
      </c>
      <c r="H55" s="439">
        <f>SUMIFS(磅单!O:O,磅单!F:F,B55)</f>
        <v>13020.78</v>
      </c>
      <c r="I55" s="439"/>
      <c r="J55" s="439">
        <f>SUMIFS(现金充电明细!L:L,现金充电明细!B:B,B55)+SUMIFS('华瑞-曙光，大水井，老水井充电站'!L:L,'华瑞-曙光，大水井，老水井充电站'!B:B,B55)+SUMIFS('银盛-青龙坪充电站'!L:L,'银盛-青龙坪充电站'!B:B,B55)+SUMIFS('砚山锦佳-砚山充电站'!K:K,'砚山锦佳-砚山充电站'!B:B,B55)+SUMIFS(中石油广西百色靖西市龙临加油充电站!K:K,中石油广西百色靖西市龙临加油充电站!B:B,B55)+SUMIFS(德保众擎充电站!L:L,德保众擎充电站!B:B,B55)+SUMIFS(南网八宝充电站!K:K,南网八宝充电站!B:B,B55)+SUMIFS(南屏充电站!K:K,南屏充电站!B:B,B55)+SUMIFS(鑫鸿充电站!K:K,鑫鸿充电站!B:B,B55)+SUMIFS('锦田-百色田东充电站'!K:K,'锦田-百色田东充电站'!B:B,B55)+37.06/47+SUMIFS(平远充电站!K:K,平远充电站!B:B,B55)</f>
        <v>6333.0219106383</v>
      </c>
      <c r="K55" s="516">
        <f t="shared" si="0"/>
        <v>0.486378074941616</v>
      </c>
      <c r="L55" s="439">
        <f t="shared" si="1"/>
        <v>1583.25547765957</v>
      </c>
      <c r="M55" s="439"/>
      <c r="N55" s="439">
        <f t="shared" si="13"/>
        <v>220.881967213115</v>
      </c>
      <c r="O55" s="439">
        <f>SUMIFS(轮胎!H:H,轮胎!D:D,B55)+SUMIFS(轮胎!H:H,轮胎!D:D,C55)</f>
        <v>0</v>
      </c>
      <c r="P55" s="439">
        <v>0</v>
      </c>
      <c r="Q55" s="439">
        <f>SUMIFS(维修费!E:E,维修费!C:C,B55)+SUMIFS(维修费!E:E,维修费!C:C,C55)</f>
        <v>70</v>
      </c>
      <c r="R55" s="439">
        <f>SUMIFS(磅单!R:R,磅单!F:F,B55)</f>
        <v>3000</v>
      </c>
      <c r="S55" s="439">
        <f>SUMIFS(司机工资表!E:E,司机工资表!B:B,D55)+SUMIFS(司机工资表!N:N,司机工资表!B:B,D55)</f>
        <v>0</v>
      </c>
      <c r="T55" s="517">
        <f>SUMIFS(付款明细!G:G,付款明细!D:D,B55,付款明细!B:B,"车队-罚款")</f>
        <v>0</v>
      </c>
      <c r="U55" s="517">
        <f>SUMIFS(付款明细!G:G,付款明细!D:D,B55,付款明细!B:B,"车辆费用")+SUMIFS(付款明细!G:G,付款明细!D:D,C55,付款明细!B:B,"车辆费用")</f>
        <v>122</v>
      </c>
      <c r="V55" s="439">
        <f>SUMIFS(付款明细!G:G,付款明细!B:B,"综合费用")/61</f>
        <v>397.392459016393</v>
      </c>
      <c r="W55" s="439">
        <v>2666</v>
      </c>
      <c r="X55" s="517">
        <v>3600</v>
      </c>
      <c r="Y55" s="439">
        <f>SUMIFS(磅单!P:P,磅单!E:E,B55)</f>
        <v>60</v>
      </c>
      <c r="Z55" s="439">
        <f t="shared" si="3"/>
        <v>911.4546</v>
      </c>
      <c r="AA55" s="519"/>
      <c r="AB55" s="439"/>
      <c r="AC55" s="438">
        <f>(管理人员工资!$D$10+管理人员工资!$E$10)/61</f>
        <v>790.16393442623</v>
      </c>
      <c r="AD55" s="517">
        <f t="shared" si="11"/>
        <v>-5150.13487129404</v>
      </c>
      <c r="AE55" s="529"/>
      <c r="AG55" s="528"/>
    </row>
    <row r="56" s="106" customFormat="1" ht="21" customHeight="1" spans="1:33">
      <c r="A56" s="344">
        <v>54</v>
      </c>
      <c r="B56" s="189" t="s">
        <v>210</v>
      </c>
      <c r="C56" s="122" t="s">
        <v>212</v>
      </c>
      <c r="D56" s="10" t="s">
        <v>211</v>
      </c>
      <c r="E56" s="515" t="s">
        <v>326</v>
      </c>
      <c r="F56" s="515">
        <f>COUNTIFS(磅单!E:E,B56)</f>
        <v>3</v>
      </c>
      <c r="G56" s="439">
        <f>SUMIFS(磅单!L:L,磅单!F:F,B56)</f>
        <v>132.56</v>
      </c>
      <c r="H56" s="439">
        <f>SUMIFS(磅单!O:O,磅单!F:F,B56)</f>
        <v>9437.6</v>
      </c>
      <c r="I56" s="439"/>
      <c r="J56" s="439">
        <f>SUMIFS(现金充电明细!L:L,现金充电明细!B:B,B56)+SUMIFS('华瑞-曙光，大水井，老水井充电站'!L:L,'华瑞-曙光，大水井，老水井充电站'!B:B,B56)+SUMIFS('银盛-青龙坪充电站'!L:L,'银盛-青龙坪充电站'!B:B,B56)+SUMIFS('砚山锦佳-砚山充电站'!K:K,'砚山锦佳-砚山充电站'!B:B,B56)+SUMIFS(中石油广西百色靖西市龙临加油充电站!K:K,中石油广西百色靖西市龙临加油充电站!B:B,B56)+SUMIFS(德保众擎充电站!L:L,德保众擎充电站!B:B,B56)+SUMIFS(南网八宝充电站!K:K,南网八宝充电站!B:B,B56)+SUMIFS(南屏充电站!K:K,南屏充电站!B:B,B56)+SUMIFS(鑫鸿充电站!K:K,鑫鸿充电站!B:B,B56)+SUMIFS('锦田-百色田东充电站'!K:K,'锦田-百色田东充电站'!B:B,B56)+37.06/47+SUMIFS(平远充电站!K:K,平远充电站!B:B,B56)</f>
        <v>5155.1585106383</v>
      </c>
      <c r="K56" s="516">
        <f t="shared" si="0"/>
        <v>0.546236173459174</v>
      </c>
      <c r="L56" s="439">
        <f t="shared" si="1"/>
        <v>1718.38617021277</v>
      </c>
      <c r="M56" s="439"/>
      <c r="N56" s="439">
        <f t="shared" si="13"/>
        <v>220.881967213115</v>
      </c>
      <c r="O56" s="439">
        <f>SUMIFS(轮胎!H:H,轮胎!D:D,B56)+SUMIFS(轮胎!H:H,轮胎!D:D,C56)</f>
        <v>0</v>
      </c>
      <c r="P56" s="439">
        <v>0</v>
      </c>
      <c r="Q56" s="439">
        <f>SUMIFS(维修费!E:E,维修费!C:C,B56)+SUMIFS(维修费!E:E,维修费!C:C,C56)</f>
        <v>0</v>
      </c>
      <c r="R56" s="439">
        <f>SUMIFS(磅单!R:R,磅单!F:F,B56)</f>
        <v>2000</v>
      </c>
      <c r="S56" s="439">
        <f>SUMIFS(司机工资表!E:E,司机工资表!B:B,D56)+SUMIFS(司机工资表!N:N,司机工资表!B:B,D56)</f>
        <v>0</v>
      </c>
      <c r="T56" s="517">
        <f>SUMIFS(付款明细!G:G,付款明细!D:D,B56,付款明细!B:B,"车队-罚款")</f>
        <v>0</v>
      </c>
      <c r="U56" s="517">
        <f>SUMIFS(付款明细!G:G,付款明细!D:D,B56,付款明细!B:B,"车辆费用")+SUMIFS(付款明细!G:G,付款明细!D:D,C56,付款明细!B:B,"车辆费用")</f>
        <v>52</v>
      </c>
      <c r="V56" s="439">
        <f>SUMIFS(付款明细!G:G,付款明细!B:B,"综合费用")/61</f>
        <v>397.392459016393</v>
      </c>
      <c r="W56" s="439">
        <v>2666</v>
      </c>
      <c r="X56" s="517">
        <v>3600</v>
      </c>
      <c r="Y56" s="439">
        <f>SUMIFS(磅单!P:P,磅单!E:E,B56)</f>
        <v>45</v>
      </c>
      <c r="Z56" s="439">
        <f t="shared" si="3"/>
        <v>660.632</v>
      </c>
      <c r="AA56" s="519"/>
      <c r="AB56" s="439"/>
      <c r="AC56" s="438">
        <f>(管理人员工资!$D$10+管理人员工资!$E$10)/61</f>
        <v>790.16393442623</v>
      </c>
      <c r="AD56" s="517">
        <f t="shared" si="11"/>
        <v>-6149.62887129403</v>
      </c>
      <c r="AE56" s="529"/>
      <c r="AG56" s="528"/>
    </row>
    <row r="57" s="106" customFormat="1" ht="21" customHeight="1" spans="1:33">
      <c r="A57" s="344">
        <v>55</v>
      </c>
      <c r="B57" s="189" t="s">
        <v>213</v>
      </c>
      <c r="C57" s="122" t="s">
        <v>215</v>
      </c>
      <c r="D57" s="10" t="s">
        <v>214</v>
      </c>
      <c r="E57" s="515" t="s">
        <v>331</v>
      </c>
      <c r="F57" s="515">
        <f>COUNTIFS(磅单!E:E,B57)</f>
        <v>5</v>
      </c>
      <c r="G57" s="439">
        <f>SUMIFS(磅单!L:L,磅单!F:F,B57)</f>
        <v>217.46</v>
      </c>
      <c r="H57" s="439">
        <f>SUMIFS(磅单!O:O,磅单!F:F,B57)</f>
        <v>14219.62</v>
      </c>
      <c r="I57" s="439"/>
      <c r="J57" s="439">
        <f>SUMIFS(现金充电明细!L:L,现金充电明细!B:B,B57)+SUMIFS('华瑞-曙光，大水井，老水井充电站'!L:L,'华瑞-曙光，大水井，老水井充电站'!B:B,B57)+SUMIFS('银盛-青龙坪充电站'!L:L,'银盛-青龙坪充电站'!B:B,B57)+SUMIFS('砚山锦佳-砚山充电站'!K:K,'砚山锦佳-砚山充电站'!B:B,B57)+SUMIFS(中石油广西百色靖西市龙临加油充电站!K:K,中石油广西百色靖西市龙临加油充电站!B:B,B57)+SUMIFS(德保众擎充电站!L:L,德保众擎充电站!B:B,B57)+SUMIFS(南网八宝充电站!K:K,南网八宝充电站!B:B,B57)+SUMIFS(南屏充电站!K:K,南屏充电站!B:B,B57)+SUMIFS(鑫鸿充电站!K:K,鑫鸿充电站!B:B,B57)+SUMIFS('锦田-百色田东充电站'!K:K,'锦田-百色田东充电站'!B:B,B57)+37.06/47+SUMIFS(平远充电站!K:K,平远充电站!B:B,B57)</f>
        <v>4658.5885106383</v>
      </c>
      <c r="K57" s="516"/>
      <c r="L57" s="439"/>
      <c r="M57" s="439"/>
      <c r="N57" s="439">
        <f t="shared" si="13"/>
        <v>220.881967213115</v>
      </c>
      <c r="O57" s="439">
        <f>SUMIFS(轮胎!H:H,轮胎!D:D,B57)+SUMIFS(轮胎!H:H,轮胎!D:D,C57)</f>
        <v>0</v>
      </c>
      <c r="P57" s="439">
        <v>0</v>
      </c>
      <c r="Q57" s="439">
        <f>SUMIFS(维修费!E:E,维修费!C:C,B57)+SUMIFS(维修费!E:E,维修费!C:C,C57)</f>
        <v>15</v>
      </c>
      <c r="R57" s="439">
        <f>SUMIFS(磅单!R:R,磅单!F:F,B57)</f>
        <v>3200</v>
      </c>
      <c r="S57" s="439">
        <f>SUMIFS(司机工资表!E:E,司机工资表!B:B,D57)+SUMIFS(司机工资表!N:N,司机工资表!B:B,D57)</f>
        <v>0</v>
      </c>
      <c r="T57" s="517">
        <f>SUMIFS(付款明细!G:G,付款明细!D:D,B57,付款明细!B:B,"车队-罚款")</f>
        <v>0</v>
      </c>
      <c r="U57" s="517">
        <f>SUMIFS(付款明细!G:G,付款明细!D:D,B57,付款明细!B:B,"车辆费用")+SUMIFS(付款明细!G:G,付款明细!D:D,C57,付款明细!B:B,"车辆费用")</f>
        <v>111</v>
      </c>
      <c r="V57" s="439">
        <f>SUMIFS(付款明细!G:G,付款明细!B:B,"综合费用")/61</f>
        <v>397.392459016393</v>
      </c>
      <c r="W57" s="439">
        <v>2666</v>
      </c>
      <c r="X57" s="517">
        <v>3600</v>
      </c>
      <c r="Y57" s="439">
        <f>SUMIFS(磅单!P:P,磅单!E:E,B57)</f>
        <v>75</v>
      </c>
      <c r="Z57" s="439">
        <f t="shared" si="3"/>
        <v>995.3734</v>
      </c>
      <c r="AA57" s="519"/>
      <c r="AB57" s="439"/>
      <c r="AC57" s="438">
        <f>(管理人员工资!$D$10+管理人员工资!$E$10)/61</f>
        <v>790.16393442623</v>
      </c>
      <c r="AD57" s="517">
        <f t="shared" si="11"/>
        <v>-2509.78027129404</v>
      </c>
      <c r="AE57" s="529"/>
      <c r="AG57" s="528"/>
    </row>
    <row r="58" s="106" customFormat="1" ht="21" customHeight="1" spans="1:33">
      <c r="A58" s="344">
        <v>56</v>
      </c>
      <c r="B58" s="503" t="s">
        <v>216</v>
      </c>
      <c r="C58" s="122" t="s">
        <v>218</v>
      </c>
      <c r="D58" s="10" t="s">
        <v>217</v>
      </c>
      <c r="E58" s="515" t="s">
        <v>331</v>
      </c>
      <c r="F58" s="515">
        <f>COUNTIFS(磅单!E:E,B58)</f>
        <v>5</v>
      </c>
      <c r="G58" s="439">
        <f>SUMIFS(磅单!L:L,磅单!F:F,B58)</f>
        <v>213.55</v>
      </c>
      <c r="H58" s="439">
        <f>SUMIFS(磅单!O:O,磅单!F:F,B58)</f>
        <v>14014.69</v>
      </c>
      <c r="I58" s="439"/>
      <c r="J58" s="439">
        <f>SUMIFS(现金充电明细!L:L,现金充电明细!B:B,B58)+SUMIFS('华瑞-曙光，大水井，老水井充电站'!L:L,'华瑞-曙光，大水井，老水井充电站'!B:B,B58)+SUMIFS('银盛-青龙坪充电站'!L:L,'银盛-青龙坪充电站'!B:B,B58)+SUMIFS('砚山锦佳-砚山充电站'!K:K,'砚山锦佳-砚山充电站'!B:B,B58)+SUMIFS(中石油广西百色靖西市龙临加油充电站!K:K,中石油广西百色靖西市龙临加油充电站!B:B,B58)+SUMIFS(德保众擎充电站!L:L,德保众擎充电站!B:B,B58)+SUMIFS(南网八宝充电站!K:K,南网八宝充电站!B:B,B58)+SUMIFS(南屏充电站!K:K,南屏充电站!B:B,B58)+SUMIFS(鑫鸿充电站!K:K,鑫鸿充电站!B:B,B58)+SUMIFS('锦田-百色田东充电站'!K:K,'锦田-百色田东充电站'!B:B,B58)+37.06/47+SUMIFS(平远充电站!K:K,平远充电站!B:B,B58)</f>
        <v>4891.6085106383</v>
      </c>
      <c r="K58" s="516"/>
      <c r="L58" s="439"/>
      <c r="M58" s="439"/>
      <c r="N58" s="439">
        <f t="shared" si="13"/>
        <v>220.881967213115</v>
      </c>
      <c r="O58" s="439">
        <f>SUMIFS(轮胎!H:H,轮胎!D:D,B58)+SUMIFS(轮胎!H:H,轮胎!D:D,C58)</f>
        <v>0</v>
      </c>
      <c r="P58" s="439">
        <v>0</v>
      </c>
      <c r="Q58" s="439">
        <f>SUMIFS(维修费!E:E,维修费!C:C,B58)+SUMIFS(维修费!E:E,维修费!C:C,C58)</f>
        <v>10</v>
      </c>
      <c r="R58" s="439">
        <f>SUMIFS(磅单!R:R,磅单!F:F,B58)</f>
        <v>3200</v>
      </c>
      <c r="S58" s="439">
        <f>SUMIFS(司机工资表!E:E,司机工资表!B:B,D58)+SUMIFS(司机工资表!N:N,司机工资表!B:B,D58)</f>
        <v>0</v>
      </c>
      <c r="T58" s="517">
        <f>SUMIFS(付款明细!G:G,付款明细!D:D,B58,付款明细!B:B,"车队-罚款")</f>
        <v>0</v>
      </c>
      <c r="U58" s="517">
        <f>SUMIFS(付款明细!G:G,付款明细!D:D,B58,付款明细!B:B,"车辆费用")+SUMIFS(付款明细!G:G,付款明细!D:D,C58,付款明细!B:B,"车辆费用")</f>
        <v>141</v>
      </c>
      <c r="V58" s="439">
        <f>SUMIFS(付款明细!G:G,付款明细!B:B,"综合费用")/61</f>
        <v>397.392459016393</v>
      </c>
      <c r="W58" s="439">
        <v>2666</v>
      </c>
      <c r="X58" s="517">
        <v>3600</v>
      </c>
      <c r="Y58" s="439">
        <f>SUMIFS(磅单!P:P,磅单!E:E,B58)</f>
        <v>75</v>
      </c>
      <c r="Z58" s="439">
        <f t="shared" si="3"/>
        <v>981.0283</v>
      </c>
      <c r="AA58" s="519"/>
      <c r="AB58" s="439"/>
      <c r="AC58" s="438">
        <f>(管理人员工资!$D$10+管理人员工资!$E$10)/61</f>
        <v>790.16393442623</v>
      </c>
      <c r="AD58" s="517">
        <f t="shared" si="11"/>
        <v>-2958.38517129404</v>
      </c>
      <c r="AE58" s="529"/>
      <c r="AG58" s="528"/>
    </row>
    <row r="59" s="106" customFormat="1" ht="21" customHeight="1" spans="1:33">
      <c r="A59" s="344">
        <v>57</v>
      </c>
      <c r="B59" s="503" t="s">
        <v>219</v>
      </c>
      <c r="C59" s="504" t="s">
        <v>220</v>
      </c>
      <c r="D59" s="10"/>
      <c r="E59" s="515" t="s">
        <v>331</v>
      </c>
      <c r="F59" s="515">
        <f>COUNTIFS(磅单!E:E,B59)</f>
        <v>1</v>
      </c>
      <c r="G59" s="439">
        <f>SUMIFS(磅单!L:L,磅单!F:F,B59)</f>
        <v>44.38</v>
      </c>
      <c r="H59" s="439">
        <f>SUMIFS(磅单!O:O,磅单!F:F,B59)</f>
        <v>2973.46</v>
      </c>
      <c r="I59" s="439"/>
      <c r="J59" s="439">
        <f>SUMIFS(现金充电明细!L:L,现金充电明细!B:B,B59)+SUMIFS('华瑞-曙光，大水井，老水井充电站'!L:L,'华瑞-曙光，大水井，老水井充电站'!B:B,B59)+SUMIFS('银盛-青龙坪充电站'!L:L,'银盛-青龙坪充电站'!B:B,B59)+SUMIFS('砚山锦佳-砚山充电站'!K:K,'砚山锦佳-砚山充电站'!B:B,B59)+SUMIFS(中石油广西百色靖西市龙临加油充电站!K:K,中石油广西百色靖西市龙临加油充电站!B:B,B59)+SUMIFS(德保众擎充电站!L:L,德保众擎充电站!B:B,B59)+SUMIFS(南网八宝充电站!K:K,南网八宝充电站!B:B,B59)+SUMIFS(南屏充电站!K:K,南屏充电站!B:B,B59)+SUMIFS(鑫鸿充电站!K:K,鑫鸿充电站!B:B,B59)+SUMIFS('锦田-百色田东充电站'!K:K,'锦田-百色田东充电站'!B:B,B59)+37.06/47+SUMIFS(平远充电站!K:K,平远充电站!B:B,B59)</f>
        <v>1830.1877106383</v>
      </c>
      <c r="K59" s="516"/>
      <c r="L59" s="439"/>
      <c r="M59" s="439"/>
      <c r="N59" s="439">
        <f t="shared" si="13"/>
        <v>220.881967213115</v>
      </c>
      <c r="O59" s="439">
        <f>SUMIFS(轮胎!H:H,轮胎!D:D,B59)+SUMIFS(轮胎!H:H,轮胎!D:D,C59)</f>
        <v>0</v>
      </c>
      <c r="P59" s="439">
        <v>0</v>
      </c>
      <c r="Q59" s="439">
        <f>SUMIFS(维修费!E:E,维修费!C:C,B59)+SUMIFS(维修费!E:E,维修费!C:C,C59)</f>
        <v>0</v>
      </c>
      <c r="R59" s="439">
        <f>SUMIFS(磅单!R:R,磅单!F:F,B59)</f>
        <v>600</v>
      </c>
      <c r="S59" s="439">
        <f>SUMIFS(司机工资表!E:E,司机工资表!B:B,D59)+SUMIFS(司机工资表!N:N,司机工资表!B:B,D59)</f>
        <v>0</v>
      </c>
      <c r="T59" s="517">
        <f>SUMIFS(付款明细!G:G,付款明细!D:D,B59,付款明细!B:B,"车队-罚款")</f>
        <v>0</v>
      </c>
      <c r="U59" s="517">
        <f>SUMIFS(付款明细!G:G,付款明细!D:D,B59,付款明细!B:B,"车辆费用")+SUMIFS(付款明细!G:G,付款明细!D:D,C59,付款明细!B:B,"车辆费用")</f>
        <v>15</v>
      </c>
      <c r="V59" s="439">
        <f>SUMIFS(付款明细!G:G,付款明细!B:B,"综合费用")/61</f>
        <v>397.392459016393</v>
      </c>
      <c r="W59" s="439">
        <v>2666</v>
      </c>
      <c r="X59" s="517">
        <v>3600</v>
      </c>
      <c r="Y59" s="439">
        <f>SUMIFS(磅单!P:P,磅单!E:E,B59)</f>
        <v>15</v>
      </c>
      <c r="Z59" s="439">
        <f t="shared" si="3"/>
        <v>208.1422</v>
      </c>
      <c r="AA59" s="519"/>
      <c r="AB59" s="439"/>
      <c r="AC59" s="438">
        <f>(管理人员工资!$D$10+管理人员工资!$E$10)/61</f>
        <v>790.16393442623</v>
      </c>
      <c r="AD59" s="517">
        <f t="shared" si="11"/>
        <v>-7369.30827129404</v>
      </c>
      <c r="AE59" s="529"/>
      <c r="AG59" s="528"/>
    </row>
    <row r="60" s="106" customFormat="1" ht="21" customHeight="1" spans="1:33">
      <c r="A60" s="344">
        <v>58</v>
      </c>
      <c r="B60" s="503" t="s">
        <v>221</v>
      </c>
      <c r="C60" s="504" t="s">
        <v>222</v>
      </c>
      <c r="D60" s="10"/>
      <c r="E60" s="515" t="s">
        <v>331</v>
      </c>
      <c r="F60" s="515">
        <f>COUNTIFS(磅单!E:E,B60)</f>
        <v>4</v>
      </c>
      <c r="G60" s="439">
        <f>SUMIFS(磅单!L:L,磅单!F:F,B60)</f>
        <v>168.56</v>
      </c>
      <c r="H60" s="439">
        <f>SUMIFS(磅单!O:O,磅单!F:F,B60)</f>
        <v>12051.06</v>
      </c>
      <c r="I60" s="439"/>
      <c r="J60" s="439">
        <f>SUMIFS(现金充电明细!L:L,现金充电明细!B:B,B60)+SUMIFS('华瑞-曙光，大水井，老水井充电站'!L:L,'华瑞-曙光，大水井，老水井充电站'!B:B,B60)+SUMIFS('银盛-青龙坪充电站'!L:L,'银盛-青龙坪充电站'!B:B,B60)+SUMIFS('砚山锦佳-砚山充电站'!K:K,'砚山锦佳-砚山充电站'!B:B,B60)+SUMIFS(中石油广西百色靖西市龙临加油充电站!K:K,中石油广西百色靖西市龙临加油充电站!B:B,B60)+SUMIFS(德保众擎充电站!L:L,德保众擎充电站!B:B,B60)+SUMIFS(南网八宝充电站!K:K,南网八宝充电站!B:B,B60)+SUMIFS(南屏充电站!K:K,南屏充电站!B:B,B60)+SUMIFS(鑫鸿充电站!K:K,鑫鸿充电站!B:B,B60)+SUMIFS('锦田-百色田东充电站'!K:K,'锦田-百色田东充电站'!B:B,B60)+37.06/47+SUMIFS(平远充电站!K:K,平远充电站!B:B,B60)</f>
        <v>5765.5309106383</v>
      </c>
      <c r="K60" s="516"/>
      <c r="L60" s="439"/>
      <c r="M60" s="439"/>
      <c r="N60" s="439">
        <f t="shared" si="13"/>
        <v>220.881967213115</v>
      </c>
      <c r="O60" s="439">
        <f>SUMIFS(轮胎!H:H,轮胎!D:D,B60)+SUMIFS(轮胎!H:H,轮胎!D:D,C60)</f>
        <v>950</v>
      </c>
      <c r="P60" s="439">
        <v>0</v>
      </c>
      <c r="Q60" s="439">
        <f>SUMIFS(维修费!E:E,维修费!C:C,B60)+SUMIFS(维修费!E:E,维修费!C:C,C60)</f>
        <v>60</v>
      </c>
      <c r="R60" s="439">
        <f>SUMIFS(磅单!R:R,磅单!F:F,B60)</f>
        <v>2800</v>
      </c>
      <c r="S60" s="439">
        <f>SUMIFS(司机工资表!E:E,司机工资表!B:B,D60)+SUMIFS(司机工资表!N:N,司机工资表!B:B,D60)</f>
        <v>0</v>
      </c>
      <c r="T60" s="517">
        <f>SUMIFS(付款明细!G:G,付款明细!D:D,B60,付款明细!B:B,"车队-罚款")</f>
        <v>0</v>
      </c>
      <c r="U60" s="517">
        <f>SUMIFS(付款明细!G:G,付款明细!D:D,B60,付款明细!B:B,"车辆费用")+SUMIFS(付款明细!G:G,付款明细!D:D,C60,付款明细!B:B,"车辆费用")</f>
        <v>105.5</v>
      </c>
      <c r="V60" s="439">
        <f>SUMIFS(付款明细!G:G,付款明细!B:B,"综合费用")/61</f>
        <v>397.392459016393</v>
      </c>
      <c r="W60" s="439">
        <v>2666</v>
      </c>
      <c r="X60" s="517">
        <v>3600</v>
      </c>
      <c r="Y60" s="439">
        <f>SUMIFS(磅单!P:P,磅单!E:E,B60)</f>
        <v>60</v>
      </c>
      <c r="Z60" s="439">
        <f t="shared" si="3"/>
        <v>843.5742</v>
      </c>
      <c r="AA60" s="519"/>
      <c r="AB60" s="439"/>
      <c r="AC60" s="438">
        <f>(管理人员工资!$D$10+管理人员工资!$E$10)/61</f>
        <v>790.16393442623</v>
      </c>
      <c r="AD60" s="517">
        <f t="shared" si="11"/>
        <v>-6207.98347129404</v>
      </c>
      <c r="AE60" s="529"/>
      <c r="AG60" s="528"/>
    </row>
    <row r="61" s="106" customFormat="1" ht="21" customHeight="1" spans="1:33">
      <c r="A61" s="344">
        <v>59</v>
      </c>
      <c r="B61" s="503" t="s">
        <v>223</v>
      </c>
      <c r="C61" s="504" t="s">
        <v>224</v>
      </c>
      <c r="D61" s="10"/>
      <c r="E61" s="515" t="s">
        <v>331</v>
      </c>
      <c r="F61" s="515">
        <f>COUNTIFS(磅单!E:E,B61)</f>
        <v>3</v>
      </c>
      <c r="G61" s="439">
        <f>SUMIFS(磅单!L:L,磅单!F:F,B61)</f>
        <v>124.5</v>
      </c>
      <c r="H61" s="439">
        <f>SUMIFS(磅单!O:O,磅单!F:F,B61)</f>
        <v>9134.22</v>
      </c>
      <c r="I61" s="439"/>
      <c r="J61" s="439">
        <f>SUMIFS(现金充电明细!L:L,现金充电明细!B:B,B61)+SUMIFS('华瑞-曙光，大水井，老水井充电站'!L:L,'华瑞-曙光，大水井，老水井充电站'!B:B,B61)+SUMIFS('银盛-青龙坪充电站'!L:L,'银盛-青龙坪充电站'!B:B,B61)+SUMIFS('砚山锦佳-砚山充电站'!K:K,'砚山锦佳-砚山充电站'!B:B,B61)+SUMIFS(中石油广西百色靖西市龙临加油充电站!K:K,中石油广西百色靖西市龙临加油充电站!B:B,B61)+SUMIFS(德保众擎充电站!L:L,德保众擎充电站!B:B,B61)+SUMIFS(南网八宝充电站!K:K,南网八宝充电站!B:B,B61)+SUMIFS(南屏充电站!K:K,南屏充电站!B:B,B61)+SUMIFS(鑫鸿充电站!K:K,鑫鸿充电站!B:B,B61)+SUMIFS('锦田-百色田东充电站'!K:K,'锦田-百色田东充电站'!B:B,B61)+37.06/47+SUMIFS(平远充电站!K:K,平远充电站!B:B,B61)</f>
        <v>5409.4885106383</v>
      </c>
      <c r="K61" s="516"/>
      <c r="L61" s="439"/>
      <c r="M61" s="439"/>
      <c r="N61" s="439">
        <f t="shared" si="13"/>
        <v>220.881967213115</v>
      </c>
      <c r="O61" s="439">
        <f>SUMIFS(轮胎!H:H,轮胎!D:D,B61)+SUMIFS(轮胎!H:H,轮胎!D:D,C61)</f>
        <v>0</v>
      </c>
      <c r="P61" s="439">
        <v>0</v>
      </c>
      <c r="Q61" s="439">
        <f>SUMIFS(维修费!E:E,维修费!C:C,B61)+SUMIFS(维修费!E:E,维修费!C:C,C61)</f>
        <v>150</v>
      </c>
      <c r="R61" s="439">
        <f>SUMIFS(磅单!R:R,磅单!F:F,B61)</f>
        <v>2200</v>
      </c>
      <c r="S61" s="439">
        <f>SUMIFS(司机工资表!E:E,司机工资表!B:B,D61)+SUMIFS(司机工资表!N:N,司机工资表!B:B,D61)</f>
        <v>0</v>
      </c>
      <c r="T61" s="517">
        <f>SUMIFS(付款明细!G:G,付款明细!D:D,B61,付款明细!B:B,"车队-罚款")</f>
        <v>0</v>
      </c>
      <c r="U61" s="517">
        <f>SUMIFS(付款明细!G:G,付款明细!D:D,B61,付款明细!B:B,"车辆费用")+SUMIFS(付款明细!G:G,付款明细!D:D,C61,付款明细!B:B,"车辆费用")</f>
        <v>90.5</v>
      </c>
      <c r="V61" s="439">
        <f>SUMIFS(付款明细!G:G,付款明细!B:B,"综合费用")/61</f>
        <v>397.392459016393</v>
      </c>
      <c r="W61" s="439">
        <v>2666</v>
      </c>
      <c r="X61" s="517">
        <v>3600</v>
      </c>
      <c r="Y61" s="439">
        <f>SUMIFS(磅单!P:P,磅单!E:E,B61)</f>
        <v>45</v>
      </c>
      <c r="Z61" s="439">
        <f t="shared" si="3"/>
        <v>639.3954</v>
      </c>
      <c r="AA61" s="519"/>
      <c r="AB61" s="439"/>
      <c r="AC61" s="438">
        <f>(管理人员工资!$D$10+管理人员工资!$E$10)/61</f>
        <v>790.16393442623</v>
      </c>
      <c r="AD61" s="517">
        <f t="shared" si="11"/>
        <v>-7074.60227129404</v>
      </c>
      <c r="AE61" s="529"/>
      <c r="AG61" s="528"/>
    </row>
    <row r="62" s="106" customFormat="1" ht="21" customHeight="1" spans="1:33">
      <c r="A62" s="344">
        <v>60</v>
      </c>
      <c r="B62" s="296" t="s">
        <v>225</v>
      </c>
      <c r="C62" s="504"/>
      <c r="D62" s="10"/>
      <c r="E62" s="515" t="s">
        <v>331</v>
      </c>
      <c r="F62" s="515">
        <f>COUNTIFS(磅单!E:E,B62)</f>
        <v>0</v>
      </c>
      <c r="G62" s="439"/>
      <c r="H62" s="439"/>
      <c r="I62" s="439"/>
      <c r="J62" s="439">
        <f>SUMIFS(现金充电明细!L:L,现金充电明细!B:B,B62)+SUMIFS('华瑞-曙光，大水井，老水井充电站'!L:L,'华瑞-曙光，大水井，老水井充电站'!B:B,B62)+SUMIFS('银盛-青龙坪充电站'!L:L,'银盛-青龙坪充电站'!B:B,B62)+SUMIFS('砚山锦佳-砚山充电站'!K:K,'砚山锦佳-砚山充电站'!B:B,B62)+SUMIFS(中石油广西百色靖西市龙临加油充电站!K:K,中石油广西百色靖西市龙临加油充电站!B:B,B62)+SUMIFS(德保众擎充电站!L:L,德保众擎充电站!B:B,B62)+SUMIFS(南网八宝充电站!K:K,南网八宝充电站!B:B,B62)+SUMIFS(南屏充电站!K:K,南屏充电站!B:B,B62)+SUMIFS(鑫鸿充电站!K:K,鑫鸿充电站!B:B,B62)+SUMIFS('锦田-百色田东充电站'!K:K,'锦田-百色田东充电站'!B:B,B62)+37.06/47+SUMIFS(平远充电站!K:K,平远充电站!B:B,B62)</f>
        <v>800.298510638298</v>
      </c>
      <c r="K62" s="516"/>
      <c r="L62" s="439"/>
      <c r="M62" s="439"/>
      <c r="N62" s="439">
        <f t="shared" si="13"/>
        <v>220.881967213115</v>
      </c>
      <c r="O62" s="439">
        <f>SUMIFS(轮胎!H:H,轮胎!D:D,B62)+SUMIFS(轮胎!H:H,轮胎!D:D,C62)</f>
        <v>0</v>
      </c>
      <c r="P62" s="439"/>
      <c r="Q62" s="439">
        <f>SUMIFS(维修费!E:E,维修费!C:C,B62)+SUMIFS(维修费!E:E,维修费!C:C,C62)</f>
        <v>0</v>
      </c>
      <c r="R62" s="439"/>
      <c r="S62" s="439"/>
      <c r="T62" s="517"/>
      <c r="U62" s="517">
        <f>SUMIFS(付款明细!G:G,付款明细!D:D,B62,付款明细!B:B,"车辆费用")+SUMIFS(付款明细!G:G,付款明细!D:D,C62,付款明细!B:B,"车辆费用")</f>
        <v>0</v>
      </c>
      <c r="V62" s="439">
        <f>SUMIFS(付款明细!G:G,付款明细!B:B,"综合费用")/61</f>
        <v>397.392459016393</v>
      </c>
      <c r="W62" s="439"/>
      <c r="X62" s="517"/>
      <c r="Y62" s="439"/>
      <c r="Z62" s="439"/>
      <c r="AA62" s="519"/>
      <c r="AB62" s="439"/>
      <c r="AC62" s="438">
        <f>(管理人员工资!$D$10+管理人员工资!$E$10)/61</f>
        <v>790.16393442623</v>
      </c>
      <c r="AD62" s="517">
        <f t="shared" si="11"/>
        <v>-2208.73687129404</v>
      </c>
      <c r="AE62" s="529"/>
      <c r="AG62" s="528"/>
    </row>
    <row r="63" s="106" customFormat="1" ht="21" customHeight="1" spans="1:33">
      <c r="A63" s="530" t="s">
        <v>238</v>
      </c>
      <c r="B63" s="530"/>
      <c r="C63" s="530"/>
      <c r="D63" s="530"/>
      <c r="E63" s="530"/>
      <c r="F63" s="531">
        <f t="shared" ref="F63:AD63" si="14">SUM(F3:F62)</f>
        <v>766</v>
      </c>
      <c r="G63" s="531">
        <f t="shared" si="14"/>
        <v>32190.01</v>
      </c>
      <c r="H63" s="531">
        <f t="shared" si="14"/>
        <v>2102541.81</v>
      </c>
      <c r="I63" s="531">
        <f t="shared" si="14"/>
        <v>350</v>
      </c>
      <c r="J63" s="531">
        <f t="shared" si="14"/>
        <v>701940.489538298</v>
      </c>
      <c r="K63" s="531">
        <f t="shared" si="14"/>
        <v>19.052748955654</v>
      </c>
      <c r="L63" s="531">
        <f t="shared" si="14"/>
        <v>54041.7655859136</v>
      </c>
      <c r="M63" s="531">
        <f t="shared" si="14"/>
        <v>0</v>
      </c>
      <c r="N63" s="531">
        <f t="shared" si="14"/>
        <v>13252.9180327869</v>
      </c>
      <c r="O63" s="531">
        <f t="shared" si="14"/>
        <v>46150</v>
      </c>
      <c r="P63" s="531">
        <f t="shared" si="14"/>
        <v>0</v>
      </c>
      <c r="Q63" s="531">
        <f t="shared" si="14"/>
        <v>55210</v>
      </c>
      <c r="R63" s="531">
        <f t="shared" si="14"/>
        <v>490600</v>
      </c>
      <c r="S63" s="531">
        <f t="shared" si="14"/>
        <v>9780</v>
      </c>
      <c r="T63" s="531">
        <f t="shared" si="14"/>
        <v>8290</v>
      </c>
      <c r="U63" s="531">
        <f t="shared" si="14"/>
        <v>25365.7</v>
      </c>
      <c r="V63" s="531">
        <f t="shared" si="14"/>
        <v>23843.5475409836</v>
      </c>
      <c r="W63" s="531">
        <f t="shared" si="14"/>
        <v>157294</v>
      </c>
      <c r="X63" s="531">
        <f t="shared" si="14"/>
        <v>100800</v>
      </c>
      <c r="Y63" s="531">
        <f t="shared" si="14"/>
        <v>11475</v>
      </c>
      <c r="Z63" s="531">
        <f t="shared" si="14"/>
        <v>147177.9267</v>
      </c>
      <c r="AA63" s="531">
        <f t="shared" si="14"/>
        <v>424000</v>
      </c>
      <c r="AB63" s="531">
        <f t="shared" si="14"/>
        <v>114000</v>
      </c>
      <c r="AC63" s="531">
        <f t="shared" si="14"/>
        <v>47409.8360655738</v>
      </c>
      <c r="AD63" s="531">
        <f t="shared" si="14"/>
        <v>-274397.607877642</v>
      </c>
    </row>
    <row r="64" s="440" customFormat="1" ht="14.25" spans="1:33">
      <c r="B64" s="532"/>
      <c r="J64" s="388"/>
      <c r="AA64" s="533"/>
      <c r="AB64" s="90"/>
    </row>
    <row r="65" s="138" customFormat="1" ht="14.25" spans="1:34">
      <c r="B65" s="532"/>
      <c r="J65" s="534"/>
      <c r="AA65" s="509"/>
      <c r="AB65" s="106"/>
    </row>
    <row r="66" s="137" customFormat="1" ht="33" customHeight="1" spans="1:34">
      <c r="A66" s="512" t="s">
        <v>2</v>
      </c>
      <c r="B66" s="513" t="s">
        <v>3</v>
      </c>
      <c r="C66" s="513" t="s">
        <v>311</v>
      </c>
      <c r="D66" s="513" t="s">
        <v>25</v>
      </c>
      <c r="E66" s="512" t="s">
        <v>312</v>
      </c>
      <c r="F66" s="512" t="s">
        <v>313</v>
      </c>
      <c r="G66" s="513" t="s">
        <v>314</v>
      </c>
      <c r="H66" s="513" t="s">
        <v>315</v>
      </c>
      <c r="I66" s="513" t="s">
        <v>27</v>
      </c>
      <c r="J66" s="513" t="s">
        <v>317</v>
      </c>
      <c r="K66" s="514" t="s">
        <v>318</v>
      </c>
      <c r="L66" s="513" t="s">
        <v>28</v>
      </c>
      <c r="M66" s="513" t="s">
        <v>319</v>
      </c>
      <c r="N66" s="513" t="s">
        <v>246</v>
      </c>
      <c r="O66" s="513" t="s">
        <v>247</v>
      </c>
      <c r="P66" s="513" t="s">
        <v>248</v>
      </c>
      <c r="Q66" s="513" t="s">
        <v>29</v>
      </c>
      <c r="R66" s="513" t="s">
        <v>320</v>
      </c>
      <c r="S66" s="513" t="s">
        <v>321</v>
      </c>
      <c r="T66" s="513" t="s">
        <v>39</v>
      </c>
      <c r="U66" s="513" t="s">
        <v>35</v>
      </c>
      <c r="V66" s="513" t="s">
        <v>322</v>
      </c>
      <c r="W66" s="513" t="s">
        <v>323</v>
      </c>
      <c r="X66" s="513" t="s">
        <v>33</v>
      </c>
      <c r="Y66" s="513" t="s">
        <v>26</v>
      </c>
      <c r="Z66" s="513" t="s">
        <v>41</v>
      </c>
      <c r="AA66" s="512" t="s">
        <v>324</v>
      </c>
      <c r="AB66" s="513" t="s">
        <v>325</v>
      </c>
      <c r="AC66" s="513" t="s">
        <v>16</v>
      </c>
      <c r="AD66" s="513" t="s">
        <v>256</v>
      </c>
    </row>
    <row r="67" s="106" customFormat="1" ht="29" customHeight="1" spans="1:34">
      <c r="A67" s="344">
        <v>1</v>
      </c>
      <c r="B67" s="37" t="s">
        <v>172</v>
      </c>
      <c r="C67" s="122"/>
      <c r="D67" s="37"/>
      <c r="E67" s="515" t="s">
        <v>326</v>
      </c>
      <c r="F67" s="515">
        <f>COUNTIFS(磅单!E:E,B67)</f>
        <v>7</v>
      </c>
      <c r="G67" s="439">
        <f>SUMIFS(磅单!L:L,磅单!F:F,B67)</f>
        <v>288.78</v>
      </c>
      <c r="H67" s="439">
        <f>SUMIFS(磅单!O:O,磅单!F:F,B67)</f>
        <v>16681.4</v>
      </c>
      <c r="I67" s="439"/>
      <c r="J67" s="439">
        <f>SUMIFS(现金充电明细!L:L,现金充电明细!B:B,B67)+SUMIFS('华瑞-曙光，大水井，老水井充电站'!L:L,'华瑞-曙光，大水井，老水井充电站'!B:B,B67)+SUMIFS('银盛-青龙坪充电站'!L:L,'银盛-青龙坪充电站'!B:B,B67)+SUMIFS('砚山锦佳-砚山充电站'!K:K,'砚山锦佳-砚山充电站'!B:B,B67)+SUMIFS(中石油广西百色靖西市龙临加油充电站!K:K,中石油广西百色靖西市龙临加油充电站!B:B,B67)+SUMIFS(德保众擎充电站!L:L,德保众擎充电站!B:B,B67)+SUMIFS(南网八宝充电站!K:K,南网八宝充电站!B:B,B67)+SUMIFS(南屏充电站!K:K,南屏充电站!B:B,B67)+SUMIFS(鑫鸿充电站!K:K,鑫鸿充电站!B:B,B67)+SUMIFS('锦田-百色田东充电站'!K:K,'锦田-百色田东充电站'!B:B,B67)+37.06/47+SUMIFS(平远充电站!K:K,平远充电站!B:B,B67)</f>
        <v>5341.5002106383</v>
      </c>
      <c r="K67" s="516">
        <f>J67/(H67)</f>
        <v>0.320206949694768</v>
      </c>
      <c r="L67" s="439">
        <f>J67/F67</f>
        <v>763.071458662614</v>
      </c>
      <c r="M67" s="439"/>
      <c r="N67" s="439">
        <f>13473.8/61</f>
        <v>220.881967213115</v>
      </c>
      <c r="O67" s="439">
        <f>SUMIFS(轮胎!H:H,轮胎!D:D,B67)+SUMIFS(轮胎!H:H,轮胎!C:C,C67)</f>
        <v>0</v>
      </c>
      <c r="P67" s="439">
        <v>0</v>
      </c>
      <c r="Q67" s="439">
        <f>SUMIFS(维修费!E:E,维修费!C:C,B67)+SUMIFS(维修费!E:E,维修费!C:C,C67)</f>
        <v>60</v>
      </c>
      <c r="R67" s="439">
        <f>SUMIFS(磅单!R:R,磅单!F:F,B67)</f>
        <v>4200</v>
      </c>
      <c r="S67" s="439">
        <f>SUMIFS(司机工资表!E:E,司机工资表!B:B,D67)+SUMIFS(司机工资表!N:N,司机工资表!B:B,D67)</f>
        <v>0</v>
      </c>
      <c r="T67" s="517">
        <f>SUMIFS(付款明细!G:G,付款明细!D:D,B67,付款明细!B:B,"车队-罚款")</f>
        <v>0</v>
      </c>
      <c r="U67" s="517">
        <f>SUMIFS(付款明细!G:G,付款明细!D:D,B67,付款明细!B:B,"车辆费用")+SUMIFS(付款明细!G:G,付款明细!D:D,C67,付款明细!B:B,"车辆费用")</f>
        <v>855.4</v>
      </c>
      <c r="V67" s="439">
        <f>SUMIFS(付款明细!G:G,付款明细!B:B,"综合费用")/61</f>
        <v>397.392459016393</v>
      </c>
      <c r="W67" s="439"/>
      <c r="X67" s="517"/>
      <c r="Y67" s="439">
        <f>SUMIFS(磅单!P:P,磅单!E:E,B67)</f>
        <v>105</v>
      </c>
      <c r="Z67" s="439">
        <f>H67*0.07-M67</f>
        <v>1167.698</v>
      </c>
      <c r="AA67" s="519"/>
      <c r="AB67" s="439">
        <f>3800/30*18</f>
        <v>2280</v>
      </c>
      <c r="AC67" s="438">
        <f>(管理人员工资!$D$10+管理人员工资!$E$10)/61</f>
        <v>790.16393442623</v>
      </c>
      <c r="AD67" s="517">
        <f>H67+I67-J67-N67-O67-R67-S67-T67-U67-V67-W67-AA67-AB67-AC67-Q67-P67-Z67-Y67-X67-M67</f>
        <v>1263.36342870596</v>
      </c>
      <c r="AE67" s="138"/>
      <c r="AF67" s="138"/>
      <c r="AG67" s="535"/>
      <c r="AH67" s="527"/>
    </row>
    <row r="68" s="106" customFormat="1" ht="29" customHeight="1" spans="1:34">
      <c r="A68" s="530" t="s">
        <v>238</v>
      </c>
      <c r="B68" s="530"/>
      <c r="C68" s="530"/>
      <c r="D68" s="530"/>
      <c r="E68" s="530"/>
      <c r="F68" s="531">
        <f t="shared" ref="F68:AD68" si="15">SUM(F67:F67)</f>
        <v>7</v>
      </c>
      <c r="G68" s="531">
        <f t="shared" si="15"/>
        <v>288.78</v>
      </c>
      <c r="H68" s="531">
        <f t="shared" si="15"/>
        <v>16681.4</v>
      </c>
      <c r="I68" s="531">
        <f t="shared" si="15"/>
        <v>0</v>
      </c>
      <c r="J68" s="531">
        <f t="shared" si="15"/>
        <v>5341.5002106383</v>
      </c>
      <c r="K68" s="531">
        <f t="shared" si="15"/>
        <v>0.320206949694768</v>
      </c>
      <c r="L68" s="531">
        <f t="shared" si="15"/>
        <v>763.071458662614</v>
      </c>
      <c r="M68" s="531">
        <f t="shared" si="15"/>
        <v>0</v>
      </c>
      <c r="N68" s="531">
        <f t="shared" si="15"/>
        <v>220.881967213115</v>
      </c>
      <c r="O68" s="531">
        <f t="shared" si="15"/>
        <v>0</v>
      </c>
      <c r="P68" s="531">
        <f t="shared" si="15"/>
        <v>0</v>
      </c>
      <c r="Q68" s="531">
        <f t="shared" si="15"/>
        <v>60</v>
      </c>
      <c r="R68" s="531">
        <f t="shared" si="15"/>
        <v>4200</v>
      </c>
      <c r="S68" s="531">
        <f t="shared" si="15"/>
        <v>0</v>
      </c>
      <c r="T68" s="531">
        <f t="shared" si="15"/>
        <v>0</v>
      </c>
      <c r="U68" s="531">
        <f t="shared" si="15"/>
        <v>855.4</v>
      </c>
      <c r="V68" s="531">
        <f t="shared" si="15"/>
        <v>397.392459016393</v>
      </c>
      <c r="W68" s="531">
        <f t="shared" si="15"/>
        <v>0</v>
      </c>
      <c r="X68" s="531">
        <f t="shared" si="15"/>
        <v>0</v>
      </c>
      <c r="Y68" s="531">
        <f t="shared" si="15"/>
        <v>105</v>
      </c>
      <c r="Z68" s="531">
        <f t="shared" si="15"/>
        <v>1167.698</v>
      </c>
      <c r="AA68" s="531">
        <f t="shared" si="15"/>
        <v>0</v>
      </c>
      <c r="AB68" s="531">
        <f t="shared" si="15"/>
        <v>2280</v>
      </c>
      <c r="AC68" s="531">
        <f t="shared" si="15"/>
        <v>790.16393442623</v>
      </c>
      <c r="AD68" s="531">
        <f t="shared" si="15"/>
        <v>1263.36342870596</v>
      </c>
    </row>
    <row r="69" s="138" customFormat="1"/>
    <row r="70" s="138" customFormat="1" ht="18" customHeight="1" spans="1:34">
      <c r="A70" s="536" t="s">
        <v>332</v>
      </c>
      <c r="B70" s="536"/>
      <c r="C70" s="536"/>
      <c r="D70" s="536"/>
      <c r="E70" s="536"/>
      <c r="F70" s="536"/>
      <c r="G70" s="536"/>
      <c r="H70" s="536"/>
      <c r="I70" s="536"/>
      <c r="J70" s="537"/>
      <c r="K70" s="536"/>
      <c r="N70" s="440"/>
      <c r="O70" s="440"/>
      <c r="AA70" s="509"/>
      <c r="AB70" s="106"/>
    </row>
    <row r="71" s="138" customFormat="1" ht="18" customHeight="1" spans="1:34">
      <c r="A71" s="538" t="s">
        <v>2</v>
      </c>
      <c r="B71" s="539" t="s">
        <v>3</v>
      </c>
      <c r="C71" s="539" t="s">
        <v>311</v>
      </c>
      <c r="D71" s="539"/>
      <c r="E71" s="538" t="s">
        <v>312</v>
      </c>
      <c r="F71" s="538" t="s">
        <v>313</v>
      </c>
      <c r="G71" s="539" t="s">
        <v>314</v>
      </c>
      <c r="H71" s="539" t="s">
        <v>333</v>
      </c>
      <c r="I71" s="539" t="s">
        <v>334</v>
      </c>
      <c r="J71" s="540" t="s">
        <v>318</v>
      </c>
      <c r="K71" s="539" t="s">
        <v>28</v>
      </c>
      <c r="N71" s="440"/>
      <c r="O71" s="321"/>
      <c r="AA71" s="509"/>
      <c r="AB71" s="106"/>
    </row>
    <row r="72" s="138" customFormat="1" ht="18" customHeight="1" spans="1:34">
      <c r="A72" s="344">
        <v>1</v>
      </c>
      <c r="B72" s="494" t="s">
        <v>45</v>
      </c>
      <c r="C72" s="122"/>
      <c r="D72" s="122"/>
      <c r="E72" s="515" t="s">
        <v>326</v>
      </c>
      <c r="F72" s="515">
        <f t="shared" ref="F72:F97" si="16">F3</f>
        <v>1</v>
      </c>
      <c r="G72" s="439">
        <f t="shared" ref="G72:G97" si="17">G3</f>
        <v>41.74</v>
      </c>
      <c r="H72" s="439">
        <f t="shared" ref="H72:H97" si="18">I3+H3</f>
        <v>2546.14</v>
      </c>
      <c r="I72" s="439">
        <f t="shared" ref="I72:I97" si="19">J3</f>
        <v>1091.9085106383</v>
      </c>
      <c r="J72" s="516">
        <f t="shared" ref="J72:J97" si="20">I72/H72</f>
        <v>0.428848574955932</v>
      </c>
      <c r="K72" s="439">
        <f t="shared" ref="K72:K97" si="21">I72/F72</f>
        <v>1091.9085106383</v>
      </c>
      <c r="M72" s="509"/>
      <c r="N72" s="440"/>
      <c r="O72" s="321"/>
      <c r="AA72" s="509"/>
      <c r="AB72" s="106"/>
    </row>
    <row r="73" s="138" customFormat="1" ht="18" customHeight="1" spans="1:34">
      <c r="A73" s="344">
        <v>2</v>
      </c>
      <c r="B73" s="494" t="s">
        <v>51</v>
      </c>
      <c r="C73" s="122"/>
      <c r="D73" s="122"/>
      <c r="E73" s="515" t="s">
        <v>326</v>
      </c>
      <c r="F73" s="515">
        <f t="shared" si="16"/>
        <v>19</v>
      </c>
      <c r="G73" s="439">
        <f t="shared" si="17"/>
        <v>805.2</v>
      </c>
      <c r="H73" s="439">
        <f t="shared" si="18"/>
        <v>50229.42</v>
      </c>
      <c r="I73" s="439">
        <f t="shared" si="19"/>
        <v>16063.7730606383</v>
      </c>
      <c r="J73" s="516">
        <f t="shared" si="20"/>
        <v>0.319808053938076</v>
      </c>
      <c r="K73" s="439">
        <f t="shared" si="21"/>
        <v>845.461740033595</v>
      </c>
      <c r="L73" s="90"/>
      <c r="M73" s="509"/>
      <c r="N73" s="440"/>
      <c r="O73" s="541"/>
      <c r="AA73" s="509"/>
      <c r="AB73" s="106"/>
    </row>
    <row r="74" s="138" customFormat="1" ht="18" customHeight="1" spans="1:34">
      <c r="A74" s="344">
        <v>3</v>
      </c>
      <c r="B74" s="494" t="s">
        <v>54</v>
      </c>
      <c r="C74" s="122"/>
      <c r="D74" s="122"/>
      <c r="E74" s="515" t="s">
        <v>326</v>
      </c>
      <c r="F74" s="515">
        <f t="shared" si="16"/>
        <v>21</v>
      </c>
      <c r="G74" s="439">
        <f t="shared" si="17"/>
        <v>893.18</v>
      </c>
      <c r="H74" s="439">
        <f t="shared" si="18"/>
        <v>55301.38</v>
      </c>
      <c r="I74" s="439">
        <f t="shared" si="19"/>
        <v>17389.0206106383</v>
      </c>
      <c r="J74" s="516">
        <f t="shared" si="20"/>
        <v>0.314440988825926</v>
      </c>
      <c r="K74" s="439">
        <f t="shared" si="21"/>
        <v>828.048600506586</v>
      </c>
      <c r="N74" s="440"/>
      <c r="O74" s="440"/>
      <c r="AA74" s="509"/>
      <c r="AB74" s="106"/>
    </row>
    <row r="75" s="138" customFormat="1" ht="18" customHeight="1" spans="1:34">
      <c r="A75" s="344">
        <v>4</v>
      </c>
      <c r="B75" s="37" t="s">
        <v>57</v>
      </c>
      <c r="C75" s="122"/>
      <c r="D75" s="122"/>
      <c r="E75" s="515" t="s">
        <v>326</v>
      </c>
      <c r="F75" s="515">
        <f t="shared" si="16"/>
        <v>19</v>
      </c>
      <c r="G75" s="439">
        <f t="shared" si="17"/>
        <v>782.99</v>
      </c>
      <c r="H75" s="439">
        <f t="shared" si="18"/>
        <v>46796.27</v>
      </c>
      <c r="I75" s="439">
        <f t="shared" si="19"/>
        <v>15004.9035606383</v>
      </c>
      <c r="J75" s="516">
        <f t="shared" si="20"/>
        <v>0.320643152982883</v>
      </c>
      <c r="K75" s="439">
        <f t="shared" si="21"/>
        <v>789.731766349384</v>
      </c>
      <c r="N75" s="440"/>
      <c r="O75" s="440"/>
      <c r="AA75" s="509"/>
      <c r="AB75" s="106"/>
    </row>
    <row r="76" s="138" customFormat="1" ht="18" customHeight="1" spans="1:34">
      <c r="A76" s="344">
        <v>5</v>
      </c>
      <c r="B76" s="37" t="s">
        <v>60</v>
      </c>
      <c r="C76" s="74"/>
      <c r="D76" s="74"/>
      <c r="E76" s="515" t="s">
        <v>326</v>
      </c>
      <c r="F76" s="515">
        <f t="shared" si="16"/>
        <v>20</v>
      </c>
      <c r="G76" s="439">
        <f t="shared" si="17"/>
        <v>820.18</v>
      </c>
      <c r="H76" s="439">
        <f t="shared" si="18"/>
        <v>50925.58</v>
      </c>
      <c r="I76" s="439">
        <f t="shared" si="19"/>
        <v>16613.9325106383</v>
      </c>
      <c r="J76" s="516">
        <f t="shared" si="20"/>
        <v>0.326239436264414</v>
      </c>
      <c r="K76" s="439">
        <f t="shared" si="21"/>
        <v>830.696625531915</v>
      </c>
      <c r="N76" s="440"/>
      <c r="O76" s="440"/>
      <c r="AA76" s="509"/>
      <c r="AB76" s="106"/>
    </row>
    <row r="77" s="138" customFormat="1" ht="18" customHeight="1" spans="1:34">
      <c r="A77" s="344">
        <v>6</v>
      </c>
      <c r="B77" s="37" t="s">
        <v>63</v>
      </c>
      <c r="C77" s="122"/>
      <c r="D77" s="37"/>
      <c r="E77" s="515" t="s">
        <v>326</v>
      </c>
      <c r="F77" s="515">
        <f t="shared" si="16"/>
        <v>19</v>
      </c>
      <c r="G77" s="439">
        <f t="shared" si="17"/>
        <v>769.79</v>
      </c>
      <c r="H77" s="439">
        <f t="shared" si="18"/>
        <v>48095.53</v>
      </c>
      <c r="I77" s="439">
        <f t="shared" si="19"/>
        <v>14132.4886106383</v>
      </c>
      <c r="J77" s="516">
        <f t="shared" si="20"/>
        <v>0.293842039179905</v>
      </c>
      <c r="K77" s="439">
        <f t="shared" si="21"/>
        <v>743.815190033595</v>
      </c>
      <c r="AA77" s="509"/>
      <c r="AB77" s="106"/>
    </row>
    <row r="78" s="138" customFormat="1" ht="18" customHeight="1" spans="1:34">
      <c r="A78" s="344">
        <v>7</v>
      </c>
      <c r="B78" s="37" t="s">
        <v>66</v>
      </c>
      <c r="C78" s="122"/>
      <c r="D78" s="37"/>
      <c r="E78" s="515" t="s">
        <v>326</v>
      </c>
      <c r="F78" s="515">
        <f t="shared" si="16"/>
        <v>18</v>
      </c>
      <c r="G78" s="439">
        <f t="shared" si="17"/>
        <v>789.79</v>
      </c>
      <c r="H78" s="439">
        <f t="shared" si="18"/>
        <v>48659.05</v>
      </c>
      <c r="I78" s="439">
        <f t="shared" si="19"/>
        <v>15027.9501106383</v>
      </c>
      <c r="J78" s="516">
        <f t="shared" si="20"/>
        <v>0.308841831286026</v>
      </c>
      <c r="K78" s="439">
        <f t="shared" si="21"/>
        <v>834.886117257683</v>
      </c>
      <c r="AA78" s="509"/>
      <c r="AB78" s="106"/>
    </row>
    <row r="79" s="138" customFormat="1" ht="18" customHeight="1" spans="1:34">
      <c r="A79" s="344">
        <v>8</v>
      </c>
      <c r="B79" s="37" t="s">
        <v>69</v>
      </c>
      <c r="C79" s="122"/>
      <c r="D79" s="37"/>
      <c r="E79" s="515" t="s">
        <v>326</v>
      </c>
      <c r="F79" s="515">
        <f t="shared" si="16"/>
        <v>22</v>
      </c>
      <c r="G79" s="439">
        <f t="shared" si="17"/>
        <v>928.88</v>
      </c>
      <c r="H79" s="439">
        <f t="shared" si="18"/>
        <v>58792.78</v>
      </c>
      <c r="I79" s="439">
        <f t="shared" si="19"/>
        <v>16765.7484606383</v>
      </c>
      <c r="J79" s="516">
        <f t="shared" si="20"/>
        <v>0.285166791919659</v>
      </c>
      <c r="K79" s="439">
        <f t="shared" si="21"/>
        <v>762.079475483559</v>
      </c>
      <c r="AA79" s="509"/>
      <c r="AB79" s="106"/>
    </row>
    <row r="80" s="138" customFormat="1" ht="18" customHeight="1" spans="1:34">
      <c r="A80" s="344">
        <v>9</v>
      </c>
      <c r="B80" s="37" t="s">
        <v>72</v>
      </c>
      <c r="C80" s="122"/>
      <c r="D80" s="37"/>
      <c r="E80" s="515" t="s">
        <v>326</v>
      </c>
      <c r="F80" s="515">
        <f t="shared" si="16"/>
        <v>21</v>
      </c>
      <c r="G80" s="439">
        <f t="shared" si="17"/>
        <v>874.61</v>
      </c>
      <c r="H80" s="439">
        <f t="shared" si="18"/>
        <v>55429.23</v>
      </c>
      <c r="I80" s="439">
        <f t="shared" si="19"/>
        <v>14114.0895606383</v>
      </c>
      <c r="J80" s="516">
        <f t="shared" si="20"/>
        <v>0.254632611000339</v>
      </c>
      <c r="K80" s="439">
        <f t="shared" si="21"/>
        <v>672.099502887538</v>
      </c>
      <c r="AA80" s="509"/>
      <c r="AB80" s="106"/>
    </row>
    <row r="81" s="138" customFormat="1" ht="18" customHeight="1" spans="1:28">
      <c r="A81" s="344">
        <v>10</v>
      </c>
      <c r="B81" s="37" t="s">
        <v>75</v>
      </c>
      <c r="C81" s="122"/>
      <c r="D81" s="37"/>
      <c r="E81" s="515" t="s">
        <v>326</v>
      </c>
      <c r="F81" s="515">
        <f t="shared" si="16"/>
        <v>16</v>
      </c>
      <c r="G81" s="439">
        <f t="shared" si="17"/>
        <v>673.98</v>
      </c>
      <c r="H81" s="439">
        <f t="shared" si="18"/>
        <v>44638.62</v>
      </c>
      <c r="I81" s="439">
        <f t="shared" si="19"/>
        <v>15202.3654106383</v>
      </c>
      <c r="J81" s="516">
        <f t="shared" si="20"/>
        <v>0.340565308932899</v>
      </c>
      <c r="K81" s="439">
        <f t="shared" si="21"/>
        <v>950.147838164894</v>
      </c>
      <c r="AA81" s="509"/>
      <c r="AB81" s="106"/>
    </row>
    <row r="82" s="138" customFormat="1" ht="18" customHeight="1" spans="1:28">
      <c r="A82" s="344">
        <v>11</v>
      </c>
      <c r="B82" s="37" t="s">
        <v>78</v>
      </c>
      <c r="C82" s="122"/>
      <c r="D82" s="37"/>
      <c r="E82" s="515" t="s">
        <v>326</v>
      </c>
      <c r="F82" s="515">
        <f t="shared" si="16"/>
        <v>19</v>
      </c>
      <c r="G82" s="439">
        <f t="shared" si="17"/>
        <v>798.41</v>
      </c>
      <c r="H82" s="439">
        <f t="shared" si="18"/>
        <v>48640.05</v>
      </c>
      <c r="I82" s="439">
        <f t="shared" si="19"/>
        <v>14817.4250106383</v>
      </c>
      <c r="J82" s="516">
        <f t="shared" si="20"/>
        <v>0.304634247099629</v>
      </c>
      <c r="K82" s="439">
        <f t="shared" si="21"/>
        <v>779.864474244121</v>
      </c>
      <c r="AA82" s="509"/>
      <c r="AB82" s="106"/>
    </row>
    <row r="83" s="138" customFormat="1" ht="18" customHeight="1" spans="1:28">
      <c r="A83" s="344">
        <v>12</v>
      </c>
      <c r="B83" s="37" t="s">
        <v>81</v>
      </c>
      <c r="C83" s="122"/>
      <c r="D83" s="37"/>
      <c r="E83" s="515" t="s">
        <v>326</v>
      </c>
      <c r="F83" s="515">
        <f t="shared" si="16"/>
        <v>25</v>
      </c>
      <c r="G83" s="439">
        <f t="shared" si="17"/>
        <v>1015.87</v>
      </c>
      <c r="H83" s="439">
        <f t="shared" si="18"/>
        <v>64387.11</v>
      </c>
      <c r="I83" s="439">
        <f t="shared" si="19"/>
        <v>20084.7349106383</v>
      </c>
      <c r="J83" s="516">
        <f t="shared" si="20"/>
        <v>0.311937201570909</v>
      </c>
      <c r="K83" s="439">
        <f t="shared" si="21"/>
        <v>803.389396425532</v>
      </c>
      <c r="AA83" s="509"/>
      <c r="AB83" s="106"/>
    </row>
    <row r="84" s="138" customFormat="1" ht="18" customHeight="1" spans="1:28">
      <c r="A84" s="344">
        <v>13</v>
      </c>
      <c r="B84" s="37" t="s">
        <v>84</v>
      </c>
      <c r="C84" s="122"/>
      <c r="D84" s="37"/>
      <c r="E84" s="515" t="s">
        <v>326</v>
      </c>
      <c r="F84" s="515">
        <f t="shared" si="16"/>
        <v>18</v>
      </c>
      <c r="G84" s="439">
        <f t="shared" si="17"/>
        <v>736.31</v>
      </c>
      <c r="H84" s="439">
        <f t="shared" si="18"/>
        <v>45586.49</v>
      </c>
      <c r="I84" s="439">
        <f t="shared" si="19"/>
        <v>14244.5237606383</v>
      </c>
      <c r="J84" s="516">
        <f t="shared" si="20"/>
        <v>0.312472483857351</v>
      </c>
      <c r="K84" s="439">
        <f t="shared" si="21"/>
        <v>791.362431146572</v>
      </c>
      <c r="AA84" s="509"/>
      <c r="AB84" s="106"/>
    </row>
    <row r="85" s="138" customFormat="1" ht="18" customHeight="1" spans="1:28">
      <c r="A85" s="344">
        <v>14</v>
      </c>
      <c r="B85" s="37" t="s">
        <v>87</v>
      </c>
      <c r="C85" s="122"/>
      <c r="D85" s="37"/>
      <c r="E85" s="515" t="s">
        <v>326</v>
      </c>
      <c r="F85" s="515">
        <f t="shared" si="16"/>
        <v>19</v>
      </c>
      <c r="G85" s="439">
        <f t="shared" si="17"/>
        <v>799.74</v>
      </c>
      <c r="H85" s="439">
        <f t="shared" si="18"/>
        <v>52459.52</v>
      </c>
      <c r="I85" s="439">
        <f t="shared" si="19"/>
        <v>14653.4061106383</v>
      </c>
      <c r="J85" s="516">
        <f t="shared" si="20"/>
        <v>0.279327872436467</v>
      </c>
      <c r="K85" s="439">
        <f t="shared" si="21"/>
        <v>771.23190055991</v>
      </c>
      <c r="AA85" s="509"/>
      <c r="AB85" s="106"/>
    </row>
    <row r="86" s="138" customFormat="1" ht="18" customHeight="1" spans="1:28">
      <c r="A86" s="344">
        <v>15</v>
      </c>
      <c r="B86" s="521" t="s">
        <v>90</v>
      </c>
      <c r="C86" s="122"/>
      <c r="D86" s="37"/>
      <c r="E86" s="515" t="s">
        <v>326</v>
      </c>
      <c r="F86" s="515">
        <f t="shared" si="16"/>
        <v>19</v>
      </c>
      <c r="G86" s="439">
        <f t="shared" si="17"/>
        <v>776.1</v>
      </c>
      <c r="H86" s="439">
        <f t="shared" si="18"/>
        <v>48410.34</v>
      </c>
      <c r="I86" s="439">
        <f t="shared" si="19"/>
        <v>14095.5481106383</v>
      </c>
      <c r="J86" s="516">
        <f t="shared" si="20"/>
        <v>0.291168128764192</v>
      </c>
      <c r="K86" s="439">
        <f t="shared" si="21"/>
        <v>741.870953191489</v>
      </c>
      <c r="AA86" s="509"/>
      <c r="AB86" s="106"/>
    </row>
    <row r="87" s="138" customFormat="1" ht="18" customHeight="1" spans="1:28">
      <c r="A87" s="344">
        <v>16</v>
      </c>
      <c r="B87" s="501" t="s">
        <v>93</v>
      </c>
      <c r="C87" s="122"/>
      <c r="D87" s="37"/>
      <c r="E87" s="515" t="s">
        <v>326</v>
      </c>
      <c r="F87" s="515">
        <f t="shared" si="16"/>
        <v>20</v>
      </c>
      <c r="G87" s="439">
        <f t="shared" si="17"/>
        <v>821.3</v>
      </c>
      <c r="H87" s="439">
        <f t="shared" si="18"/>
        <v>51143.24</v>
      </c>
      <c r="I87" s="439">
        <f t="shared" si="19"/>
        <v>16407.3497106383</v>
      </c>
      <c r="J87" s="516">
        <f t="shared" si="20"/>
        <v>0.32081169888021</v>
      </c>
      <c r="K87" s="439">
        <f t="shared" si="21"/>
        <v>820.367485531915</v>
      </c>
      <c r="AA87" s="509"/>
      <c r="AB87" s="106"/>
    </row>
    <row r="88" s="138" customFormat="1" ht="18" customHeight="1" spans="1:28">
      <c r="A88" s="344">
        <v>17</v>
      </c>
      <c r="B88" s="501" t="s">
        <v>96</v>
      </c>
      <c r="C88" s="122"/>
      <c r="D88" s="37"/>
      <c r="E88" s="515" t="s">
        <v>326</v>
      </c>
      <c r="F88" s="515">
        <f t="shared" si="16"/>
        <v>20</v>
      </c>
      <c r="G88" s="439">
        <f t="shared" si="17"/>
        <v>814.94</v>
      </c>
      <c r="H88" s="439">
        <f t="shared" si="18"/>
        <v>50288.08</v>
      </c>
      <c r="I88" s="439">
        <f t="shared" si="19"/>
        <v>16655.4308606383</v>
      </c>
      <c r="J88" s="516">
        <f t="shared" si="20"/>
        <v>0.331200373142866</v>
      </c>
      <c r="K88" s="439">
        <f t="shared" si="21"/>
        <v>832.771543031915</v>
      </c>
      <c r="AA88" s="509"/>
      <c r="AB88" s="106"/>
    </row>
    <row r="89" s="138" customFormat="1" ht="18" customHeight="1" spans="1:28">
      <c r="A89" s="344">
        <v>18</v>
      </c>
      <c r="B89" s="37" t="s">
        <v>99</v>
      </c>
      <c r="C89" s="122"/>
      <c r="D89" s="37"/>
      <c r="E89" s="515" t="s">
        <v>326</v>
      </c>
      <c r="F89" s="515">
        <f t="shared" si="16"/>
        <v>19</v>
      </c>
      <c r="G89" s="439">
        <f t="shared" si="17"/>
        <v>779.92</v>
      </c>
      <c r="H89" s="439">
        <f t="shared" si="18"/>
        <v>47588.88</v>
      </c>
      <c r="I89" s="439">
        <f t="shared" si="19"/>
        <v>16710.5883106383</v>
      </c>
      <c r="J89" s="516">
        <f t="shared" si="20"/>
        <v>0.351144811784566</v>
      </c>
      <c r="K89" s="439">
        <f t="shared" si="21"/>
        <v>879.504647928331</v>
      </c>
      <c r="AA89" s="509"/>
      <c r="AB89" s="106"/>
    </row>
    <row r="90" s="138" customFormat="1" ht="18" customHeight="1" spans="1:28">
      <c r="A90" s="344">
        <v>19</v>
      </c>
      <c r="B90" s="37" t="s">
        <v>102</v>
      </c>
      <c r="C90" s="122"/>
      <c r="D90" s="37"/>
      <c r="E90" s="515" t="s">
        <v>326</v>
      </c>
      <c r="F90" s="515">
        <f t="shared" si="16"/>
        <v>18</v>
      </c>
      <c r="G90" s="439">
        <f t="shared" si="17"/>
        <v>745.35</v>
      </c>
      <c r="H90" s="439">
        <f t="shared" si="18"/>
        <v>45725.11</v>
      </c>
      <c r="I90" s="439">
        <f t="shared" si="19"/>
        <v>15247.8422606383</v>
      </c>
      <c r="J90" s="516">
        <f t="shared" si="20"/>
        <v>0.333467590578531</v>
      </c>
      <c r="K90" s="439">
        <f t="shared" si="21"/>
        <v>847.102347813239</v>
      </c>
      <c r="AA90" s="509"/>
      <c r="AB90" s="106"/>
    </row>
    <row r="91" s="138" customFormat="1" ht="18" customHeight="1" spans="1:28">
      <c r="A91" s="344">
        <v>20</v>
      </c>
      <c r="B91" s="37" t="s">
        <v>105</v>
      </c>
      <c r="C91" s="122"/>
      <c r="D91" s="37"/>
      <c r="E91" s="515" t="s">
        <v>326</v>
      </c>
      <c r="F91" s="515">
        <f t="shared" si="16"/>
        <v>19</v>
      </c>
      <c r="G91" s="439">
        <f t="shared" si="17"/>
        <v>786.97</v>
      </c>
      <c r="H91" s="439">
        <f t="shared" si="18"/>
        <v>50797.99</v>
      </c>
      <c r="I91" s="439">
        <f t="shared" si="19"/>
        <v>13928.0655106383</v>
      </c>
      <c r="J91" s="516">
        <f t="shared" si="20"/>
        <v>0.274185366598921</v>
      </c>
      <c r="K91" s="439">
        <f t="shared" si="21"/>
        <v>733.056079507279</v>
      </c>
      <c r="AA91" s="509"/>
      <c r="AB91" s="106"/>
    </row>
    <row r="92" s="138" customFormat="1" ht="18" customHeight="1" spans="1:28">
      <c r="A92" s="344">
        <v>21</v>
      </c>
      <c r="B92" s="37" t="s">
        <v>108</v>
      </c>
      <c r="C92" s="122"/>
      <c r="D92" s="501"/>
      <c r="E92" s="515" t="s">
        <v>326</v>
      </c>
      <c r="F92" s="515">
        <f t="shared" si="16"/>
        <v>17</v>
      </c>
      <c r="G92" s="439">
        <f t="shared" si="17"/>
        <v>722.21</v>
      </c>
      <c r="H92" s="439">
        <f t="shared" si="18"/>
        <v>47707.93</v>
      </c>
      <c r="I92" s="439">
        <f t="shared" si="19"/>
        <v>13353.9940106383</v>
      </c>
      <c r="J92" s="516">
        <f t="shared" si="20"/>
        <v>0.2799114111771</v>
      </c>
      <c r="K92" s="439">
        <f t="shared" si="21"/>
        <v>785.529059449312</v>
      </c>
      <c r="AA92" s="509"/>
      <c r="AB92" s="106"/>
    </row>
    <row r="93" s="138" customFormat="1" ht="18" customHeight="1" spans="1:28">
      <c r="A93" s="344">
        <v>22</v>
      </c>
      <c r="B93" s="37" t="s">
        <v>111</v>
      </c>
      <c r="C93" s="122"/>
      <c r="D93" s="501"/>
      <c r="E93" s="515" t="s">
        <v>326</v>
      </c>
      <c r="F93" s="515">
        <f t="shared" si="16"/>
        <v>23</v>
      </c>
      <c r="G93" s="439">
        <f t="shared" si="17"/>
        <v>949.84</v>
      </c>
      <c r="H93" s="439">
        <f t="shared" si="18"/>
        <v>59389.6</v>
      </c>
      <c r="I93" s="439">
        <f t="shared" si="19"/>
        <v>19713.9582606383</v>
      </c>
      <c r="J93" s="516">
        <f t="shared" si="20"/>
        <v>0.331942937157992</v>
      </c>
      <c r="K93" s="439">
        <f t="shared" si="21"/>
        <v>857.128620027752</v>
      </c>
      <c r="AA93" s="509"/>
      <c r="AB93" s="106"/>
    </row>
    <row r="94" s="138" customFormat="1" ht="18" customHeight="1" spans="1:28">
      <c r="A94" s="344">
        <v>23</v>
      </c>
      <c r="B94" s="37" t="s">
        <v>114</v>
      </c>
      <c r="C94" s="122"/>
      <c r="D94" s="501"/>
      <c r="E94" s="515" t="s">
        <v>326</v>
      </c>
      <c r="F94" s="515">
        <f t="shared" si="16"/>
        <v>21</v>
      </c>
      <c r="G94" s="439">
        <f t="shared" si="17"/>
        <v>888.56</v>
      </c>
      <c r="H94" s="439">
        <f t="shared" si="18"/>
        <v>57045.58</v>
      </c>
      <c r="I94" s="439">
        <f t="shared" si="19"/>
        <v>15543.1342106383</v>
      </c>
      <c r="J94" s="516">
        <f t="shared" si="20"/>
        <v>0.272468685753362</v>
      </c>
      <c r="K94" s="439">
        <f t="shared" si="21"/>
        <v>740.149248125633</v>
      </c>
      <c r="AA94" s="509"/>
      <c r="AB94" s="106"/>
    </row>
    <row r="95" s="138" customFormat="1" ht="18" customHeight="1" spans="1:28">
      <c r="A95" s="344">
        <v>24</v>
      </c>
      <c r="B95" s="37" t="s">
        <v>117</v>
      </c>
      <c r="C95" s="122"/>
      <c r="D95" s="501"/>
      <c r="E95" s="515" t="s">
        <v>326</v>
      </c>
      <c r="F95" s="515">
        <f t="shared" si="16"/>
        <v>4</v>
      </c>
      <c r="G95" s="439">
        <f t="shared" si="17"/>
        <v>167.72</v>
      </c>
      <c r="H95" s="439">
        <f t="shared" si="18"/>
        <v>11243.96</v>
      </c>
      <c r="I95" s="439">
        <f t="shared" si="19"/>
        <v>5252.5870606383</v>
      </c>
      <c r="J95" s="516">
        <f t="shared" si="20"/>
        <v>0.467147433879016</v>
      </c>
      <c r="K95" s="439">
        <f t="shared" si="21"/>
        <v>1313.14676515957</v>
      </c>
      <c r="AA95" s="509"/>
      <c r="AB95" s="106"/>
    </row>
    <row r="96" s="138" customFormat="1" ht="18" customHeight="1" spans="1:28">
      <c r="A96" s="344">
        <v>25</v>
      </c>
      <c r="B96" s="37" t="s">
        <v>121</v>
      </c>
      <c r="C96" s="122"/>
      <c r="D96" s="501"/>
      <c r="E96" s="515" t="s">
        <v>326</v>
      </c>
      <c r="F96" s="515">
        <f t="shared" si="16"/>
        <v>2</v>
      </c>
      <c r="G96" s="439">
        <f t="shared" si="17"/>
        <v>85.91</v>
      </c>
      <c r="H96" s="439">
        <f t="shared" si="18"/>
        <v>5499.59</v>
      </c>
      <c r="I96" s="439">
        <f t="shared" si="19"/>
        <v>2495.5028106383</v>
      </c>
      <c r="J96" s="516">
        <f t="shared" si="20"/>
        <v>0.453761609617862</v>
      </c>
      <c r="K96" s="439">
        <f t="shared" si="21"/>
        <v>1247.75140531915</v>
      </c>
      <c r="AA96" s="509"/>
      <c r="AB96" s="106"/>
    </row>
    <row r="97" s="138" customFormat="1" ht="18" customHeight="1" spans="1:28">
      <c r="A97" s="344">
        <v>26</v>
      </c>
      <c r="B97" s="37" t="s">
        <v>124</v>
      </c>
      <c r="C97" s="122"/>
      <c r="D97" s="501"/>
      <c r="E97" s="515" t="s">
        <v>326</v>
      </c>
      <c r="F97" s="515">
        <f t="shared" si="16"/>
        <v>17</v>
      </c>
      <c r="G97" s="439">
        <f t="shared" si="17"/>
        <v>685.49</v>
      </c>
      <c r="H97" s="439">
        <f t="shared" si="18"/>
        <v>44863.27</v>
      </c>
      <c r="I97" s="439">
        <f t="shared" si="19"/>
        <v>14525.3580106383</v>
      </c>
      <c r="J97" s="516">
        <f t="shared" si="20"/>
        <v>0.323769489175406</v>
      </c>
      <c r="K97" s="439">
        <f t="shared" si="21"/>
        <v>854.432824155194</v>
      </c>
      <c r="AA97" s="509"/>
      <c r="AB97" s="106"/>
    </row>
    <row r="98" s="138" customFormat="1" ht="18" customHeight="1" spans="1:28">
      <c r="A98" s="542" t="s">
        <v>238</v>
      </c>
      <c r="B98" s="543"/>
      <c r="C98" s="543"/>
      <c r="D98" s="543"/>
      <c r="E98" s="544"/>
      <c r="F98" s="531">
        <f>SUM(F72:F97)</f>
        <v>456</v>
      </c>
      <c r="G98" s="531">
        <f>SUM(G72:G97)</f>
        <v>18954.98</v>
      </c>
      <c r="H98" s="531">
        <f>SUM(H72:H97)</f>
        <v>1192190.74</v>
      </c>
      <c r="I98" s="531">
        <f>SUM(I72:I97)</f>
        <v>369135.629326596</v>
      </c>
      <c r="J98" s="531"/>
      <c r="K98" s="531"/>
      <c r="AA98" s="509"/>
      <c r="AB98" s="106"/>
    </row>
  </sheetData>
  <autoFilter xmlns:etc="http://www.wps.cn/officeDocument/2017/etCustomData" ref="A1:AE98" etc:filterBottomFollowUsedRange="0">
    <extLst/>
  </autoFilter>
  <mergeCells count="5">
    <mergeCell ref="A1:AD1"/>
    <mergeCell ref="A63:E63"/>
    <mergeCell ref="A68:E68"/>
    <mergeCell ref="A70:K70"/>
    <mergeCell ref="A98:E98"/>
  </mergeCells>
  <conditionalFormatting sqref="B67">
    <cfRule type="duplicateValues" dxfId="0" priority="17"/>
  </conditionalFormatting>
  <conditionalFormatting sqref="B3:B22">
    <cfRule type="duplicateValues" dxfId="0" priority="26"/>
  </conditionalFormatting>
  <conditionalFormatting sqref="B23:B30">
    <cfRule type="duplicateValues" dxfId="0" priority="21"/>
  </conditionalFormatting>
  <conditionalFormatting sqref="B31:B42">
    <cfRule type="duplicateValues" dxfId="0" priority="2"/>
  </conditionalFormatting>
  <conditionalFormatting sqref="B43:B47">
    <cfRule type="duplicateValues" dxfId="0" priority="1"/>
  </conditionalFormatting>
  <conditionalFormatting sqref="B72:B91">
    <cfRule type="duplicateValues" dxfId="0" priority="22"/>
  </conditionalFormatting>
  <conditionalFormatting sqref="B92:B97">
    <cfRule type="duplicateValues" dxfId="0" priority="15"/>
  </conditionalFormatting>
  <pageMargins left="0.7" right="0.7" top="0.75" bottom="0.75" header="0.3" footer="0.3"/>
  <pageSetup paperSize="9" scale="37" orientation="landscape"/>
  <headerFooter/>
  <ignoredErrors>
    <ignoredError sqref="S2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4"/>
  <sheetViews>
    <sheetView zoomScale="85" zoomScaleNormal="85" workbookViewId="0">
      <selection activeCell="X64" sqref="A1:X64"/>
    </sheetView>
  </sheetViews>
  <sheetFormatPr defaultColWidth="9" defaultRowHeight="14.25"/>
  <cols>
    <col min="1" max="1" width="6.75" style="484" customWidth="1"/>
    <col min="2" max="2" width="10.8916666666667" style="484" customWidth="1"/>
    <col min="3" max="6" width="9" style="484"/>
    <col min="7" max="7" width="9.45833333333333" style="484"/>
    <col min="8" max="8" width="9.55833333333333" style="484"/>
    <col min="9" max="9" width="9.45833333333333" style="484"/>
    <col min="10" max="11" width="9" style="484"/>
    <col min="12" max="12" width="9.55833333333333" style="484"/>
    <col min="13" max="13" width="9" style="484"/>
    <col min="14" max="14" width="9.38333333333333" style="484"/>
    <col min="15" max="15" width="9" style="484" customWidth="1"/>
    <col min="16" max="16" width="10.6666666666667" style="484"/>
    <col min="17" max="18" width="9" style="484"/>
    <col min="19" max="20" width="12.7583333333333" style="484" customWidth="1"/>
    <col min="21" max="21" width="11.8916666666667" style="485" customWidth="1"/>
    <col min="22" max="22" width="7.44166666666667" style="484" customWidth="1"/>
    <col min="23" max="23" width="11.8916666666667" style="484" customWidth="1"/>
    <col min="24" max="24" width="9.55833333333333" style="484"/>
    <col min="25" max="16384" width="9" style="484"/>
  </cols>
  <sheetData>
    <row r="1" s="483" customFormat="1" ht="34" customHeight="1" spans="1:25">
      <c r="A1" s="486" t="str">
        <f>YEAR(Y2)&amp;"年玉溪广西"&amp;MONTH(Y2)&amp;"月"&amp;DAY(Y2)&amp;"日报汇总表"</f>
        <v>2026年玉溪广西6月28日报汇总表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  <c r="L1" s="487"/>
      <c r="M1" s="487"/>
      <c r="N1" s="487"/>
      <c r="O1" s="487"/>
      <c r="P1" s="487"/>
      <c r="Q1" s="487"/>
      <c r="R1" s="487"/>
      <c r="S1" s="487"/>
      <c r="T1" s="487"/>
      <c r="U1" s="487"/>
      <c r="V1" s="487"/>
      <c r="W1" s="487"/>
      <c r="X1" s="487"/>
    </row>
    <row r="2" s="484" customFormat="1" ht="32" customHeight="1" spans="1:25">
      <c r="A2" s="488" t="s">
        <v>2</v>
      </c>
      <c r="B2" s="489" t="s">
        <v>3</v>
      </c>
      <c r="C2" s="489" t="s">
        <v>311</v>
      </c>
      <c r="D2" s="490" t="s">
        <v>335</v>
      </c>
      <c r="E2" s="488" t="s">
        <v>313</v>
      </c>
      <c r="F2" s="489" t="s">
        <v>314</v>
      </c>
      <c r="G2" s="489" t="s">
        <v>315</v>
      </c>
      <c r="H2" s="489" t="s">
        <v>26</v>
      </c>
      <c r="I2" s="489" t="s">
        <v>317</v>
      </c>
      <c r="J2" s="489" t="s">
        <v>246</v>
      </c>
      <c r="K2" s="489" t="s">
        <v>247</v>
      </c>
      <c r="L2" s="489" t="s">
        <v>248</v>
      </c>
      <c r="M2" s="489" t="s">
        <v>29</v>
      </c>
      <c r="N2" s="489" t="s">
        <v>320</v>
      </c>
      <c r="O2" s="489" t="s">
        <v>336</v>
      </c>
      <c r="P2" s="489" t="s">
        <v>39</v>
      </c>
      <c r="Q2" s="489" t="s">
        <v>35</v>
      </c>
      <c r="R2" s="489" t="s">
        <v>250</v>
      </c>
      <c r="S2" s="489" t="s">
        <v>323</v>
      </c>
      <c r="T2" s="489" t="s">
        <v>22</v>
      </c>
      <c r="U2" s="491" t="s">
        <v>337</v>
      </c>
      <c r="V2" s="489" t="s">
        <v>41</v>
      </c>
      <c r="W2" s="489" t="s">
        <v>16</v>
      </c>
      <c r="X2" s="489" t="s">
        <v>256</v>
      </c>
      <c r="Y2" s="492">
        <v>46201</v>
      </c>
    </row>
    <row r="3" s="484" customFormat="1" ht="24" customHeight="1" spans="1:25">
      <c r="A3" s="493">
        <v>1</v>
      </c>
      <c r="B3" s="494" t="s">
        <v>45</v>
      </c>
      <c r="C3" s="122" t="s">
        <v>49</v>
      </c>
      <c r="D3" s="361">
        <f>$Y$2</f>
        <v>46201</v>
      </c>
      <c r="E3" s="495">
        <f>COUNTIFS(磅单!E:E,B:B,磅单!B:B,D:D)</f>
        <v>0</v>
      </c>
      <c r="F3" s="496">
        <f>SUMIFS(磅单!L:L,磅单!F:F,B:B,磅单!B:B,D:D)</f>
        <v>0</v>
      </c>
      <c r="G3" s="496">
        <f>SUMIFS(磅单!O:O,磅单!F:F,B3,磅单!B:B,D3)</f>
        <v>0</v>
      </c>
      <c r="H3" s="496">
        <f>SUMIFS(磅单!P:P,磅单!F:F,B:B,磅单!B:B,D:D)</f>
        <v>0</v>
      </c>
      <c r="I3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3,平远充电站!A:A,D3)</f>
        <v>0</v>
      </c>
      <c r="J3" s="496">
        <f>SUMIFS(付款明细!G:G,付款明细!D:D,B:B,付款明细!A:A,D:D,付款明细!B:B,J2)</f>
        <v>0</v>
      </c>
      <c r="K3" s="496">
        <f>SUMIFS(轮胎!H:H,轮胎!C:C,B:B,轮胎!A:A,D:D)</f>
        <v>0</v>
      </c>
      <c r="L3" s="496">
        <v>0</v>
      </c>
      <c r="M3" s="496">
        <f>SUMIFS(维修费!E:E,维修费!C:C,B:B,维修费!A:A,D:D)</f>
        <v>0</v>
      </c>
      <c r="N3" s="496">
        <f>SUMIFS(磅单!R:R,磅单!F:F,B:B,磅单!B:B,D:D)</f>
        <v>0</v>
      </c>
      <c r="O3" s="496">
        <v>0</v>
      </c>
      <c r="P3" s="497">
        <f>SUMIFS(付款明细!G:G,付款明细!D:D,B:B,付款明细!A:A,D:D,付款明细!B:B,"车队-罚款")</f>
        <v>0</v>
      </c>
      <c r="Q3" s="497">
        <f>SUMIFS(付款明细!G:G,付款明细!D:D,B:B,付款明细!A:A,D:D,付款明细!B:B,"车辆费用")</f>
        <v>0</v>
      </c>
      <c r="R3" s="496">
        <f>SUMIFS(付款明细!G:G,付款明细!A:A,D:D,付款明细!B:B,"综合费用")/61</f>
        <v>0</v>
      </c>
      <c r="S3" s="496">
        <f>32000/12/30</f>
        <v>88.8888888888889</v>
      </c>
      <c r="T3" s="496">
        <f>3800/30</f>
        <v>126.666666666667</v>
      </c>
      <c r="U3" s="498">
        <f>10600/30</f>
        <v>353.333333333333</v>
      </c>
      <c r="V3" s="496">
        <f t="shared" ref="V3:V63" si="0">G3*0.07</f>
        <v>0</v>
      </c>
      <c r="W3" s="499">
        <f>48200/30/61</f>
        <v>26.3387978142077</v>
      </c>
      <c r="X3" s="497">
        <f t="shared" ref="X3:X63" si="1">G3-I3-J3-K3-L3-M3-N3-O3-P3-Q3-R3-S3-U3-V3-W3-T3-H3</f>
        <v>-595.227686703097</v>
      </c>
    </row>
    <row r="4" s="484" customFormat="1" ht="24" customHeight="1" spans="1:25">
      <c r="A4" s="493">
        <v>2</v>
      </c>
      <c r="B4" s="494" t="s">
        <v>51</v>
      </c>
      <c r="C4" s="122" t="s">
        <v>53</v>
      </c>
      <c r="D4" s="361">
        <f>$Y$2</f>
        <v>46201</v>
      </c>
      <c r="E4" s="495">
        <f>COUNTIFS(磅单!E:E,B:B,磅单!B:B,D:D)</f>
        <v>1</v>
      </c>
      <c r="F4" s="496">
        <f>SUMIFS(磅单!L:L,磅单!F:F,B:B,磅单!B:B,D:D)</f>
        <v>39.98</v>
      </c>
      <c r="G4" s="496">
        <f>SUMIFS(磅单!O:O,磅单!F:F,B4,磅单!B:B,D4)</f>
        <v>3018.64</v>
      </c>
      <c r="H4" s="496">
        <f>SUMIFS(磅单!P:P,磅单!F:F,B:B,磅单!B:B,D:D)</f>
        <v>15</v>
      </c>
      <c r="I4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4,平远充电站!A:A,D4)</f>
        <v>286.05</v>
      </c>
      <c r="J4" s="496">
        <f>SUMIFS(付款明细!G:G,付款明细!D:D,B:B,付款明细!A:A,D:D,付款明细!B:B,J3)</f>
        <v>0</v>
      </c>
      <c r="K4" s="496">
        <f>SUMIFS(轮胎!H:H,轮胎!C:C,B:B,轮胎!A:A,D:D)</f>
        <v>0</v>
      </c>
      <c r="L4" s="496">
        <v>0</v>
      </c>
      <c r="M4" s="496">
        <f>SUMIFS(维修费!E:E,维修费!C:C,B:B,维修费!A:A,D:D)</f>
        <v>0</v>
      </c>
      <c r="N4" s="496">
        <f>SUMIFS(磅单!R:R,磅单!F:F,B:B,磅单!B:B,D:D)</f>
        <v>800</v>
      </c>
      <c r="O4" s="496">
        <v>0</v>
      </c>
      <c r="P4" s="497">
        <f>SUMIFS(付款明细!G:G,付款明细!D:D,B:B,付款明细!A:A,D:D,付款明细!B:B,"车队-罚款")</f>
        <v>0</v>
      </c>
      <c r="Q4" s="497">
        <f>SUMIFS(付款明细!G:G,付款明细!D:D,B:B,付款明细!A:A,D:D,付款明细!B:B,"车辆费用")</f>
        <v>0</v>
      </c>
      <c r="R4" s="496">
        <f>SUMIFS(付款明细!G:G,付款明细!A:A,D:D,付款明细!B:B,"综合费用")/61</f>
        <v>0</v>
      </c>
      <c r="S4" s="496">
        <f t="shared" ref="S4:S13" si="2">32000/12/30</f>
        <v>88.8888888888889</v>
      </c>
      <c r="T4" s="496">
        <f t="shared" ref="T4:T13" si="3">3800/30</f>
        <v>126.666666666667</v>
      </c>
      <c r="U4" s="498">
        <f t="shared" ref="U4:U13" si="4">10600/30</f>
        <v>353.333333333333</v>
      </c>
      <c r="V4" s="496">
        <f t="shared" si="0"/>
        <v>211.3048</v>
      </c>
      <c r="W4" s="499">
        <f t="shared" ref="W4:W13" si="5">48200/30/61</f>
        <v>26.3387978142077</v>
      </c>
      <c r="X4" s="497">
        <f t="shared" si="1"/>
        <v>1111.0575132969</v>
      </c>
    </row>
    <row r="5" s="484" customFormat="1" ht="24" customHeight="1" spans="1:25">
      <c r="A5" s="493">
        <v>3</v>
      </c>
      <c r="B5" s="494" t="s">
        <v>54</v>
      </c>
      <c r="C5" s="122" t="s">
        <v>56</v>
      </c>
      <c r="D5" s="361">
        <f>$Y$2</f>
        <v>46201</v>
      </c>
      <c r="E5" s="495">
        <f>COUNTIFS(磅单!E:E,B:B,磅单!B:B,D:D)</f>
        <v>1</v>
      </c>
      <c r="F5" s="496">
        <f>SUMIFS(磅单!L:L,磅单!F:F,B:B,磅单!B:B,D:D)</f>
        <v>40.94</v>
      </c>
      <c r="G5" s="496">
        <f>SUMIFS(磅单!O:O,磅单!F:F,B5,磅单!B:B,D5)</f>
        <v>3042.98</v>
      </c>
      <c r="H5" s="496">
        <f>SUMIFS(磅单!P:P,磅单!F:F,B:B,磅单!B:B,D:D)</f>
        <v>15</v>
      </c>
      <c r="I5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5,平远充电站!A:A,D5)</f>
        <v>300.96</v>
      </c>
      <c r="J5" s="496">
        <f>SUMIFS(付款明细!G:G,付款明细!D:D,B:B,付款明细!A:A,D:D,付款明细!B:B,J4)</f>
        <v>0</v>
      </c>
      <c r="K5" s="496">
        <f>SUMIFS(轮胎!H:H,轮胎!C:C,B:B,轮胎!A:A,D:D)</f>
        <v>0</v>
      </c>
      <c r="L5" s="496">
        <v>0</v>
      </c>
      <c r="M5" s="496">
        <f>SUMIFS(维修费!E:E,维修费!C:C,B:B,维修费!A:A,D:D)</f>
        <v>0</v>
      </c>
      <c r="N5" s="496">
        <f>SUMIFS(磅单!R:R,磅单!F:F,B:B,磅单!B:B,D:D)</f>
        <v>800</v>
      </c>
      <c r="O5" s="496">
        <v>0</v>
      </c>
      <c r="P5" s="497">
        <f>SUMIFS(付款明细!G:G,付款明细!D:D,B:B,付款明细!A:A,D:D,付款明细!B:B,"车队-罚款")</f>
        <v>0</v>
      </c>
      <c r="Q5" s="497">
        <f>SUMIFS(付款明细!G:G,付款明细!D:D,B:B,付款明细!A:A,D:D,付款明细!B:B,"车辆费用")</f>
        <v>0</v>
      </c>
      <c r="R5" s="496">
        <f>SUMIFS(付款明细!G:G,付款明细!A:A,D:D,付款明细!B:B,"综合费用")/61</f>
        <v>0</v>
      </c>
      <c r="S5" s="496">
        <f t="shared" si="2"/>
        <v>88.8888888888889</v>
      </c>
      <c r="T5" s="496">
        <f t="shared" si="3"/>
        <v>126.666666666667</v>
      </c>
      <c r="U5" s="498">
        <f t="shared" si="4"/>
        <v>353.333333333333</v>
      </c>
      <c r="V5" s="496">
        <f t="shared" si="0"/>
        <v>213.0086</v>
      </c>
      <c r="W5" s="499">
        <f t="shared" si="5"/>
        <v>26.3387978142077</v>
      </c>
      <c r="X5" s="497">
        <f t="shared" si="1"/>
        <v>1118.7837132969</v>
      </c>
    </row>
    <row r="6" s="484" customFormat="1" ht="24" customHeight="1" spans="1:25">
      <c r="A6" s="493">
        <v>4</v>
      </c>
      <c r="B6" s="37" t="s">
        <v>57</v>
      </c>
      <c r="C6" s="122" t="s">
        <v>59</v>
      </c>
      <c r="D6" s="361">
        <f t="shared" ref="D6:D15" si="6">$Y$2</f>
        <v>46201</v>
      </c>
      <c r="E6" s="495">
        <f>COUNTIFS(磅单!E:E,B:B,磅单!B:B,D:D)</f>
        <v>0</v>
      </c>
      <c r="F6" s="496">
        <f>SUMIFS(磅单!L:L,磅单!F:F,B:B,磅单!B:B,D:D)</f>
        <v>0</v>
      </c>
      <c r="G6" s="496">
        <f>SUMIFS(磅单!O:O,磅单!F:F,B6,磅单!B:B,D6)</f>
        <v>0</v>
      </c>
      <c r="H6" s="496">
        <f>SUMIFS(磅单!P:P,磅单!F:F,B:B,磅单!B:B,D:D)</f>
        <v>0</v>
      </c>
      <c r="I6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6,平远充电站!A:A,D6)</f>
        <v>0</v>
      </c>
      <c r="J6" s="496">
        <f>SUMIFS(付款明细!G:G,付款明细!D:D,B:B,付款明细!A:A,D:D,付款明细!B:B,J5)</f>
        <v>0</v>
      </c>
      <c r="K6" s="496">
        <f>SUMIFS(轮胎!H:H,轮胎!C:C,B:B,轮胎!A:A,D:D)</f>
        <v>0</v>
      </c>
      <c r="L6" s="496">
        <v>0</v>
      </c>
      <c r="M6" s="496">
        <f>SUMIFS(维修费!E:E,维修费!C:C,B:B,维修费!A:A,D:D)</f>
        <v>0</v>
      </c>
      <c r="N6" s="496">
        <f>SUMIFS(磅单!R:R,磅单!F:F,B:B,磅单!B:B,D:D)</f>
        <v>0</v>
      </c>
      <c r="O6" s="496">
        <v>0</v>
      </c>
      <c r="P6" s="497">
        <f>SUMIFS(付款明细!G:G,付款明细!D:D,B:B,付款明细!A:A,D:D,付款明细!B:B,"车队-罚款")</f>
        <v>0</v>
      </c>
      <c r="Q6" s="497">
        <f>SUMIFS(付款明细!G:G,付款明细!D:D,B:B,付款明细!A:A,D:D,付款明细!B:B,"车辆费用")</f>
        <v>0</v>
      </c>
      <c r="R6" s="496">
        <f>SUMIFS(付款明细!G:G,付款明细!A:A,D:D,付款明细!B:B,"综合费用")/61</f>
        <v>0</v>
      </c>
      <c r="S6" s="496">
        <f t="shared" si="2"/>
        <v>88.8888888888889</v>
      </c>
      <c r="T6" s="496">
        <f t="shared" si="3"/>
        <v>126.666666666667</v>
      </c>
      <c r="U6" s="498">
        <f t="shared" si="4"/>
        <v>353.333333333333</v>
      </c>
      <c r="V6" s="496">
        <f t="shared" si="0"/>
        <v>0</v>
      </c>
      <c r="W6" s="499">
        <f t="shared" si="5"/>
        <v>26.3387978142077</v>
      </c>
      <c r="X6" s="497">
        <f t="shared" si="1"/>
        <v>-595.227686703097</v>
      </c>
    </row>
    <row r="7" s="484" customFormat="1" ht="24" customHeight="1" spans="1:25">
      <c r="A7" s="493">
        <v>5</v>
      </c>
      <c r="B7" s="37" t="s">
        <v>60</v>
      </c>
      <c r="C7" s="74" t="s">
        <v>62</v>
      </c>
      <c r="D7" s="361">
        <f t="shared" si="6"/>
        <v>46201</v>
      </c>
      <c r="E7" s="495">
        <f>COUNTIFS(磅单!E:E,B:B,磅单!B:B,D:D)</f>
        <v>0</v>
      </c>
      <c r="F7" s="496">
        <f>SUMIFS(磅单!L:L,磅单!F:F,B:B,磅单!B:B,D:D)</f>
        <v>0</v>
      </c>
      <c r="G7" s="496">
        <f>SUMIFS(磅单!O:O,磅单!F:F,B7,磅单!B:B,D7)</f>
        <v>0</v>
      </c>
      <c r="H7" s="496">
        <f>SUMIFS(磅单!P:P,磅单!F:F,B:B,磅单!B:B,D:D)</f>
        <v>0</v>
      </c>
      <c r="I7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7,平远充电站!A:A,D7)</f>
        <v>672.3</v>
      </c>
      <c r="J7" s="496">
        <f>SUMIFS(付款明细!G:G,付款明细!D:D,B:B,付款明细!A:A,D:D,付款明细!B:B,J6)</f>
        <v>0</v>
      </c>
      <c r="K7" s="496">
        <f>SUMIFS(轮胎!H:H,轮胎!C:C,B:B,轮胎!A:A,D:D)</f>
        <v>0</v>
      </c>
      <c r="L7" s="496">
        <v>0</v>
      </c>
      <c r="M7" s="496">
        <f>SUMIFS(维修费!E:E,维修费!C:C,B:B,维修费!A:A,D:D)</f>
        <v>0</v>
      </c>
      <c r="N7" s="496">
        <f>SUMIFS(磅单!R:R,磅单!F:F,B:B,磅单!B:B,D:D)</f>
        <v>0</v>
      </c>
      <c r="O7" s="496">
        <v>0</v>
      </c>
      <c r="P7" s="497">
        <f>SUMIFS(付款明细!G:G,付款明细!D:D,B:B,付款明细!A:A,D:D,付款明细!B:B,"车队-罚款")</f>
        <v>0</v>
      </c>
      <c r="Q7" s="497">
        <f>SUMIFS(付款明细!G:G,付款明细!D:D,B:B,付款明细!A:A,D:D,付款明细!B:B,"车辆费用")</f>
        <v>0</v>
      </c>
      <c r="R7" s="496">
        <f>SUMIFS(付款明细!G:G,付款明细!A:A,D:D,付款明细!B:B,"综合费用")/61</f>
        <v>0</v>
      </c>
      <c r="S7" s="496">
        <f t="shared" si="2"/>
        <v>88.8888888888889</v>
      </c>
      <c r="T7" s="496">
        <f t="shared" si="3"/>
        <v>126.666666666667</v>
      </c>
      <c r="U7" s="498">
        <f t="shared" si="4"/>
        <v>353.333333333333</v>
      </c>
      <c r="V7" s="496">
        <f t="shared" si="0"/>
        <v>0</v>
      </c>
      <c r="W7" s="499">
        <f t="shared" si="5"/>
        <v>26.3387978142077</v>
      </c>
      <c r="X7" s="497">
        <f t="shared" si="1"/>
        <v>-1267.5276867031</v>
      </c>
    </row>
    <row r="8" s="484" customFormat="1" ht="24" customHeight="1" spans="1:25">
      <c r="A8" s="493">
        <v>6</v>
      </c>
      <c r="B8" s="500" t="s">
        <v>63</v>
      </c>
      <c r="C8" s="122" t="s">
        <v>65</v>
      </c>
      <c r="D8" s="361">
        <f t="shared" si="6"/>
        <v>46201</v>
      </c>
      <c r="E8" s="495">
        <f>COUNTIFS(磅单!E:E,B:B,磅单!B:B,D:D)</f>
        <v>1</v>
      </c>
      <c r="F8" s="496">
        <f>SUMIFS(磅单!L:L,磅单!F:F,B:B,磅单!B:B,D:D)</f>
        <v>37.96</v>
      </c>
      <c r="G8" s="496">
        <f>SUMIFS(磅单!O:O,磅单!F:F,B8,磅单!B:B,D8)</f>
        <v>2881.28</v>
      </c>
      <c r="H8" s="496">
        <f>SUMIFS(磅单!P:P,磅单!F:F,B:B,磅单!B:B,D:D)</f>
        <v>15</v>
      </c>
      <c r="I8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8,平远充电站!A:A,D8)</f>
        <v>488.52</v>
      </c>
      <c r="J8" s="496">
        <f>SUMIFS(付款明细!G:G,付款明细!D:D,B:B,付款明细!A:A,D:D,付款明细!B:B,J7)</f>
        <v>0</v>
      </c>
      <c r="K8" s="496">
        <f>SUMIFS(轮胎!H:H,轮胎!C:C,B:B,轮胎!A:A,D:D)</f>
        <v>0</v>
      </c>
      <c r="L8" s="496">
        <v>0</v>
      </c>
      <c r="M8" s="496">
        <f>SUMIFS(维修费!E:E,维修费!C:C,B:B,维修费!A:A,D:D)</f>
        <v>0</v>
      </c>
      <c r="N8" s="496">
        <f>SUMIFS(磅单!R:R,磅单!F:F,B:B,磅单!B:B,D:D)</f>
        <v>800</v>
      </c>
      <c r="O8" s="496">
        <v>0</v>
      </c>
      <c r="P8" s="497">
        <f>SUMIFS(付款明细!G:G,付款明细!D:D,B:B,付款明细!A:A,D:D,付款明细!B:B,"车队-罚款")</f>
        <v>0</v>
      </c>
      <c r="Q8" s="497">
        <f>SUMIFS(付款明细!G:G,付款明细!D:D,B:B,付款明细!A:A,D:D,付款明细!B:B,"车辆费用")</f>
        <v>10</v>
      </c>
      <c r="R8" s="496">
        <f>SUMIFS(付款明细!G:G,付款明细!A:A,D:D,付款明细!B:B,"综合费用")/61</f>
        <v>0</v>
      </c>
      <c r="S8" s="496">
        <f t="shared" si="2"/>
        <v>88.8888888888889</v>
      </c>
      <c r="T8" s="496">
        <f t="shared" si="3"/>
        <v>126.666666666667</v>
      </c>
      <c r="U8" s="498">
        <f t="shared" si="4"/>
        <v>353.333333333333</v>
      </c>
      <c r="V8" s="496">
        <f t="shared" si="0"/>
        <v>201.6896</v>
      </c>
      <c r="W8" s="499">
        <f t="shared" si="5"/>
        <v>26.3387978142077</v>
      </c>
      <c r="X8" s="497">
        <f t="shared" si="1"/>
        <v>770.842713296904</v>
      </c>
    </row>
    <row r="9" s="484" customFormat="1" ht="24" customHeight="1" spans="1:25">
      <c r="A9" s="493">
        <v>7</v>
      </c>
      <c r="B9" s="500" t="s">
        <v>66</v>
      </c>
      <c r="C9" s="122" t="s">
        <v>68</v>
      </c>
      <c r="D9" s="361">
        <f t="shared" si="6"/>
        <v>46201</v>
      </c>
      <c r="E9" s="495">
        <f>COUNTIFS(磅单!E:E,B:B,磅单!B:B,D:D)</f>
        <v>0</v>
      </c>
      <c r="F9" s="496">
        <f>SUMIFS(磅单!L:L,磅单!F:F,B:B,磅单!B:B,D:D)</f>
        <v>0</v>
      </c>
      <c r="G9" s="496">
        <f>SUMIFS(磅单!O:O,磅单!F:F,B9,磅单!B:B,D9)</f>
        <v>0</v>
      </c>
      <c r="H9" s="496">
        <f>SUMIFS(磅单!P:P,磅单!F:F,B:B,磅单!B:B,D:D)</f>
        <v>0</v>
      </c>
      <c r="I9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9,平远充电站!A:A,D9)</f>
        <v>175.15</v>
      </c>
      <c r="J9" s="496">
        <f>SUMIFS(付款明细!G:G,付款明细!D:D,B:B,付款明细!A:A,D:D,付款明细!B:B,J8)</f>
        <v>0</v>
      </c>
      <c r="K9" s="496">
        <f>SUMIFS(轮胎!H:H,轮胎!C:C,B:B,轮胎!A:A,D:D)</f>
        <v>0</v>
      </c>
      <c r="L9" s="496">
        <v>0</v>
      </c>
      <c r="M9" s="496">
        <f>SUMIFS(维修费!E:E,维修费!C:C,B:B,维修费!A:A,D:D)</f>
        <v>0</v>
      </c>
      <c r="N9" s="496">
        <f>SUMIFS(磅单!R:R,磅单!F:F,B:B,磅单!B:B,D:D)</f>
        <v>0</v>
      </c>
      <c r="O9" s="496">
        <v>0</v>
      </c>
      <c r="P9" s="497">
        <f>SUMIFS(付款明细!G:G,付款明细!D:D,B:B,付款明细!A:A,D:D,付款明细!B:B,"车队-罚款")</f>
        <v>0</v>
      </c>
      <c r="Q9" s="497">
        <f>SUMIFS(付款明细!G:G,付款明细!D:D,B:B,付款明细!A:A,D:D,付款明细!B:B,"车辆费用")</f>
        <v>0</v>
      </c>
      <c r="R9" s="496">
        <f>SUMIFS(付款明细!G:G,付款明细!A:A,D:D,付款明细!B:B,"综合费用")/61</f>
        <v>0</v>
      </c>
      <c r="S9" s="496">
        <f t="shared" si="2"/>
        <v>88.8888888888889</v>
      </c>
      <c r="T9" s="496">
        <f t="shared" si="3"/>
        <v>126.666666666667</v>
      </c>
      <c r="U9" s="498">
        <f t="shared" si="4"/>
        <v>353.333333333333</v>
      </c>
      <c r="V9" s="496">
        <f t="shared" si="0"/>
        <v>0</v>
      </c>
      <c r="W9" s="499">
        <f t="shared" si="5"/>
        <v>26.3387978142077</v>
      </c>
      <c r="X9" s="497">
        <f t="shared" si="1"/>
        <v>-770.377686703097</v>
      </c>
    </row>
    <row r="10" s="484" customFormat="1" ht="24" customHeight="1" spans="1:25">
      <c r="A10" s="493">
        <v>8</v>
      </c>
      <c r="B10" s="500" t="s">
        <v>69</v>
      </c>
      <c r="C10" s="122" t="s">
        <v>71</v>
      </c>
      <c r="D10" s="361">
        <f t="shared" si="6"/>
        <v>46201</v>
      </c>
      <c r="E10" s="495">
        <f>COUNTIFS(磅单!E:E,B:B,磅单!B:B,D:D)</f>
        <v>1</v>
      </c>
      <c r="F10" s="496">
        <f>SUMIFS(磅单!L:L,磅单!F:F,B:B,磅单!B:B,D:D)</f>
        <v>40.04</v>
      </c>
      <c r="G10" s="496">
        <f>SUMIFS(磅单!O:O,磅单!F:F,B10,磅单!B:B,D10)</f>
        <v>3022.72</v>
      </c>
      <c r="H10" s="496">
        <f>SUMIFS(磅单!P:P,磅单!F:F,B:B,磅单!B:B,D:D)</f>
        <v>15</v>
      </c>
      <c r="I10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10,平远充电站!A:A,D10)</f>
        <v>649.934</v>
      </c>
      <c r="J10" s="496">
        <f>SUMIFS(付款明细!G:G,付款明细!D:D,B:B,付款明细!A:A,D:D,付款明细!B:B,J9)</f>
        <v>0</v>
      </c>
      <c r="K10" s="496">
        <f>SUMIFS(轮胎!H:H,轮胎!C:C,B:B,轮胎!A:A,D:D)</f>
        <v>0</v>
      </c>
      <c r="L10" s="496">
        <v>0</v>
      </c>
      <c r="M10" s="496">
        <f>SUMIFS(维修费!E:E,维修费!C:C,B:B,维修费!A:A,D:D)</f>
        <v>0</v>
      </c>
      <c r="N10" s="496">
        <f>SUMIFS(磅单!R:R,磅单!F:F,B:B,磅单!B:B,D:D)</f>
        <v>800</v>
      </c>
      <c r="O10" s="496">
        <v>0</v>
      </c>
      <c r="P10" s="497">
        <f>SUMIFS(付款明细!G:G,付款明细!D:D,B:B,付款明细!A:A,D:D,付款明细!B:B,"车队-罚款")</f>
        <v>0</v>
      </c>
      <c r="Q10" s="497">
        <f>SUMIFS(付款明细!G:G,付款明细!D:D,B:B,付款明细!A:A,D:D,付款明细!B:B,"车辆费用")</f>
        <v>15</v>
      </c>
      <c r="R10" s="496">
        <f>SUMIFS(付款明细!G:G,付款明细!A:A,D:D,付款明细!B:B,"综合费用")/61</f>
        <v>0</v>
      </c>
      <c r="S10" s="496">
        <f t="shared" si="2"/>
        <v>88.8888888888889</v>
      </c>
      <c r="T10" s="496">
        <f t="shared" si="3"/>
        <v>126.666666666667</v>
      </c>
      <c r="U10" s="498">
        <f t="shared" si="4"/>
        <v>353.333333333333</v>
      </c>
      <c r="V10" s="496">
        <f t="shared" si="0"/>
        <v>211.5904</v>
      </c>
      <c r="W10" s="499">
        <f t="shared" si="5"/>
        <v>26.3387978142077</v>
      </c>
      <c r="X10" s="497">
        <f t="shared" si="1"/>
        <v>735.967913296903</v>
      </c>
    </row>
    <row r="11" s="484" customFormat="1" ht="24" customHeight="1" spans="1:25">
      <c r="A11" s="493">
        <v>9</v>
      </c>
      <c r="B11" s="500" t="s">
        <v>72</v>
      </c>
      <c r="C11" s="122" t="s">
        <v>74</v>
      </c>
      <c r="D11" s="361">
        <f t="shared" si="6"/>
        <v>46201</v>
      </c>
      <c r="E11" s="495">
        <f>COUNTIFS(磅单!E:E,B:B,磅单!B:B,D:D)</f>
        <v>1</v>
      </c>
      <c r="F11" s="496">
        <f>SUMIFS(磅单!L:L,磅单!F:F,B:B,磅单!B:B,D:D)</f>
        <v>40.22</v>
      </c>
      <c r="G11" s="496">
        <f>SUMIFS(磅单!O:O,磅单!F:F,B11,磅单!B:B,D11)</f>
        <v>3034.96</v>
      </c>
      <c r="H11" s="496">
        <f>SUMIFS(磅单!P:P,磅单!F:F,B:B,磅单!B:B,D:D)</f>
        <v>15</v>
      </c>
      <c r="I11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11,平远充电站!A:A,D11)</f>
        <v>775.03</v>
      </c>
      <c r="J11" s="496">
        <f>SUMIFS(付款明细!G:G,付款明细!D:D,B:B,付款明细!A:A,D:D,付款明细!B:B,J10)</f>
        <v>0</v>
      </c>
      <c r="K11" s="496">
        <f>SUMIFS(轮胎!H:H,轮胎!C:C,B:B,轮胎!A:A,D:D)</f>
        <v>0</v>
      </c>
      <c r="L11" s="496">
        <v>0</v>
      </c>
      <c r="M11" s="496">
        <f>SUMIFS(维修费!E:E,维修费!C:C,B:B,维修费!A:A,D:D)</f>
        <v>0</v>
      </c>
      <c r="N11" s="496">
        <f>SUMIFS(磅单!R:R,磅单!F:F,B:B,磅单!B:B,D:D)</f>
        <v>800</v>
      </c>
      <c r="O11" s="496">
        <v>0</v>
      </c>
      <c r="P11" s="497">
        <f>SUMIFS(付款明细!G:G,付款明细!D:D,B:B,付款明细!A:A,D:D,付款明细!B:B,"车队-罚款")</f>
        <v>0</v>
      </c>
      <c r="Q11" s="497">
        <f>SUMIFS(付款明细!G:G,付款明细!D:D,B:B,付款明细!A:A,D:D,付款明细!B:B,"车辆费用")</f>
        <v>0</v>
      </c>
      <c r="R11" s="496">
        <f>SUMIFS(付款明细!G:G,付款明细!A:A,D:D,付款明细!B:B,"综合费用")/61</f>
        <v>0</v>
      </c>
      <c r="S11" s="496">
        <f t="shared" si="2"/>
        <v>88.8888888888889</v>
      </c>
      <c r="T11" s="496">
        <f t="shared" si="3"/>
        <v>126.666666666667</v>
      </c>
      <c r="U11" s="498">
        <f t="shared" si="4"/>
        <v>353.333333333333</v>
      </c>
      <c r="V11" s="496">
        <f t="shared" si="0"/>
        <v>212.4472</v>
      </c>
      <c r="W11" s="499">
        <f t="shared" si="5"/>
        <v>26.3387978142077</v>
      </c>
      <c r="X11" s="497">
        <f t="shared" si="1"/>
        <v>637.255113296904</v>
      </c>
    </row>
    <row r="12" s="484" customFormat="1" ht="24" customHeight="1" spans="1:25">
      <c r="A12" s="493">
        <v>10</v>
      </c>
      <c r="B12" s="500" t="s">
        <v>75</v>
      </c>
      <c r="C12" s="122" t="s">
        <v>77</v>
      </c>
      <c r="D12" s="361">
        <f t="shared" si="6"/>
        <v>46201</v>
      </c>
      <c r="E12" s="495">
        <f>COUNTIFS(磅单!E:E,B:B,磅单!B:B,D:D)</f>
        <v>0</v>
      </c>
      <c r="F12" s="496">
        <f>SUMIFS(磅单!L:L,磅单!F:F,B:B,磅单!B:B,D:D)</f>
        <v>0</v>
      </c>
      <c r="G12" s="496">
        <f>SUMIFS(磅单!O:O,磅单!F:F,B12,磅单!B:B,D12)</f>
        <v>0</v>
      </c>
      <c r="H12" s="496">
        <f>SUMIFS(磅单!P:P,磅单!F:F,B:B,磅单!B:B,D:D)</f>
        <v>0</v>
      </c>
      <c r="I12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12,平远充电站!A:A,D12)</f>
        <v>704.22</v>
      </c>
      <c r="J12" s="496">
        <f>SUMIFS(付款明细!G:G,付款明细!D:D,B:B,付款明细!A:A,D:D,付款明细!B:B,J11)</f>
        <v>0</v>
      </c>
      <c r="K12" s="496">
        <f>SUMIFS(轮胎!H:H,轮胎!C:C,B:B,轮胎!A:A,D:D)</f>
        <v>0</v>
      </c>
      <c r="L12" s="496">
        <v>0</v>
      </c>
      <c r="M12" s="496">
        <f>SUMIFS(维修费!E:E,维修费!C:C,B:B,维修费!A:A,D:D)</f>
        <v>0</v>
      </c>
      <c r="N12" s="496">
        <f>SUMIFS(磅单!R:R,磅单!F:F,B:B,磅单!B:B,D:D)</f>
        <v>0</v>
      </c>
      <c r="O12" s="496">
        <v>0</v>
      </c>
      <c r="P12" s="497">
        <f>SUMIFS(付款明细!G:G,付款明细!D:D,B:B,付款明细!A:A,D:D,付款明细!B:B,"车队-罚款")</f>
        <v>0</v>
      </c>
      <c r="Q12" s="497">
        <f>SUMIFS(付款明细!G:G,付款明细!D:D,B:B,付款明细!A:A,D:D,付款明细!B:B,"车辆费用")</f>
        <v>0</v>
      </c>
      <c r="R12" s="496">
        <f>SUMIFS(付款明细!G:G,付款明细!A:A,D:D,付款明细!B:B,"综合费用")/61</f>
        <v>0</v>
      </c>
      <c r="S12" s="496">
        <f t="shared" si="2"/>
        <v>88.8888888888889</v>
      </c>
      <c r="T12" s="496">
        <f t="shared" si="3"/>
        <v>126.666666666667</v>
      </c>
      <c r="U12" s="498">
        <f t="shared" si="4"/>
        <v>353.333333333333</v>
      </c>
      <c r="V12" s="496">
        <f t="shared" si="0"/>
        <v>0</v>
      </c>
      <c r="W12" s="499">
        <f t="shared" si="5"/>
        <v>26.3387978142077</v>
      </c>
      <c r="X12" s="497">
        <f t="shared" si="1"/>
        <v>-1299.4476867031</v>
      </c>
    </row>
    <row r="13" s="484" customFormat="1" ht="24" customHeight="1" spans="1:25">
      <c r="A13" s="493">
        <v>11</v>
      </c>
      <c r="B13" s="500" t="s">
        <v>78</v>
      </c>
      <c r="C13" s="122" t="s">
        <v>80</v>
      </c>
      <c r="D13" s="361">
        <f t="shared" si="6"/>
        <v>46201</v>
      </c>
      <c r="E13" s="495">
        <f>COUNTIFS(磅单!E:E,B:B,磅单!B:B,D:D)</f>
        <v>0</v>
      </c>
      <c r="F13" s="496">
        <f>SUMIFS(磅单!L:L,磅单!F:F,B:B,磅单!B:B,D:D)</f>
        <v>0</v>
      </c>
      <c r="G13" s="496">
        <f>SUMIFS(磅单!O:O,磅单!F:F,B13,磅单!B:B,D13)</f>
        <v>0</v>
      </c>
      <c r="H13" s="496">
        <f>SUMIFS(磅单!P:P,磅单!F:F,B:B,磅单!B:B,D:D)</f>
        <v>0</v>
      </c>
      <c r="I13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13,平远充电站!A:A,D13)</f>
        <v>451.2</v>
      </c>
      <c r="J13" s="496">
        <f>SUMIFS(付款明细!G:G,付款明细!D:D,B:B,付款明细!A:A,D:D,付款明细!B:B,J12)</f>
        <v>0</v>
      </c>
      <c r="K13" s="496">
        <f>SUMIFS(轮胎!H:H,轮胎!C:C,B:B,轮胎!A:A,D:D)</f>
        <v>0</v>
      </c>
      <c r="L13" s="496">
        <v>0</v>
      </c>
      <c r="M13" s="496">
        <f>SUMIFS(维修费!E:E,维修费!C:C,B:B,维修费!A:A,D:D)</f>
        <v>0</v>
      </c>
      <c r="N13" s="496">
        <f>SUMIFS(磅单!R:R,磅单!F:F,B:B,磅单!B:B,D:D)</f>
        <v>0</v>
      </c>
      <c r="O13" s="496">
        <v>0</v>
      </c>
      <c r="P13" s="497">
        <f>SUMIFS(付款明细!G:G,付款明细!D:D,B:B,付款明细!A:A,D:D,付款明细!B:B,"车队-罚款")</f>
        <v>0</v>
      </c>
      <c r="Q13" s="497">
        <f>SUMIFS(付款明细!G:G,付款明细!D:D,B:B,付款明细!A:A,D:D,付款明细!B:B,"车辆费用")</f>
        <v>0</v>
      </c>
      <c r="R13" s="496">
        <f>SUMIFS(付款明细!G:G,付款明细!A:A,D:D,付款明细!B:B,"综合费用")/61</f>
        <v>0</v>
      </c>
      <c r="S13" s="496">
        <f t="shared" si="2"/>
        <v>88.8888888888889</v>
      </c>
      <c r="T13" s="496">
        <f t="shared" si="3"/>
        <v>126.666666666667</v>
      </c>
      <c r="U13" s="498">
        <f t="shared" si="4"/>
        <v>353.333333333333</v>
      </c>
      <c r="V13" s="496">
        <f t="shared" si="0"/>
        <v>0</v>
      </c>
      <c r="W13" s="499">
        <f t="shared" si="5"/>
        <v>26.3387978142077</v>
      </c>
      <c r="X13" s="497">
        <f t="shared" si="1"/>
        <v>-1046.4276867031</v>
      </c>
    </row>
    <row r="14" s="484" customFormat="1" ht="24" customHeight="1" spans="1:25">
      <c r="A14" s="493">
        <v>12</v>
      </c>
      <c r="B14" s="500" t="s">
        <v>81</v>
      </c>
      <c r="C14" s="122" t="s">
        <v>83</v>
      </c>
      <c r="D14" s="361">
        <f t="shared" si="6"/>
        <v>46201</v>
      </c>
      <c r="E14" s="495">
        <f>COUNTIFS(磅单!E:E,B:B,磅单!B:B,D:D)</f>
        <v>1</v>
      </c>
      <c r="F14" s="496">
        <f>SUMIFS(磅单!L:L,磅单!F:F,B:B,磅单!B:B,D:D)</f>
        <v>40.48</v>
      </c>
      <c r="G14" s="496">
        <f>SUMIFS(磅单!O:O,磅单!F:F,B14,磅单!B:B,D14)</f>
        <v>3012.16</v>
      </c>
      <c r="H14" s="496">
        <f>SUMIFS(磅单!P:P,磅单!F:F,B:B,磅单!B:B,D:D)</f>
        <v>15</v>
      </c>
      <c r="I14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14,平远充电站!A:A,D14)</f>
        <v>849.5</v>
      </c>
      <c r="J14" s="496">
        <f>SUMIFS(付款明细!G:G,付款明细!D:D,B:B,付款明细!A:A,D:D,付款明细!B:B,J13)</f>
        <v>0</v>
      </c>
      <c r="K14" s="496">
        <f>SUMIFS(轮胎!H:H,轮胎!C:C,B:B,轮胎!A:A,D:D)</f>
        <v>0</v>
      </c>
      <c r="L14" s="496">
        <v>0</v>
      </c>
      <c r="M14" s="496">
        <f>SUMIFS(维修费!E:E,维修费!C:C,B:B,维修费!A:A,D:D)</f>
        <v>0</v>
      </c>
      <c r="N14" s="496">
        <f>SUMIFS(磅单!R:R,磅单!F:F,B:B,磅单!B:B,D:D)</f>
        <v>800</v>
      </c>
      <c r="O14" s="496">
        <v>0</v>
      </c>
      <c r="P14" s="497">
        <f>SUMIFS(付款明细!G:G,付款明细!D:D,B:B,付款明细!A:A,D:D,付款明细!B:B,"车队-罚款")</f>
        <v>0</v>
      </c>
      <c r="Q14" s="497">
        <f>SUMIFS(付款明细!G:G,付款明细!D:D,B:B,付款明细!A:A,D:D,付款明细!B:B,"车辆费用")</f>
        <v>15</v>
      </c>
      <c r="R14" s="496">
        <f>SUMIFS(付款明细!G:G,付款明细!A:A,D:D,付款明细!B:B,"综合费用")/61</f>
        <v>0</v>
      </c>
      <c r="S14" s="496">
        <f t="shared" ref="S14:S26" si="7">32000/12/30</f>
        <v>88.8888888888889</v>
      </c>
      <c r="T14" s="496">
        <f t="shared" ref="T14:T33" si="8">3800/30</f>
        <v>126.666666666667</v>
      </c>
      <c r="U14" s="498">
        <f t="shared" ref="U14:U26" si="9">10600/30</f>
        <v>353.333333333333</v>
      </c>
      <c r="V14" s="496">
        <f t="shared" si="0"/>
        <v>210.8512</v>
      </c>
      <c r="W14" s="499">
        <f t="shared" ref="W14:W23" si="10">48200/30/61</f>
        <v>26.3387978142077</v>
      </c>
      <c r="X14" s="497">
        <f t="shared" si="1"/>
        <v>526.581113296903</v>
      </c>
    </row>
    <row r="15" s="484" customFormat="1" ht="24" customHeight="1" spans="1:25">
      <c r="A15" s="493">
        <v>13</v>
      </c>
      <c r="B15" s="500" t="s">
        <v>84</v>
      </c>
      <c r="C15" s="122" t="s">
        <v>86</v>
      </c>
      <c r="D15" s="361">
        <f t="shared" si="6"/>
        <v>46201</v>
      </c>
      <c r="E15" s="495">
        <f>COUNTIFS(磅单!E:E,B:B,磅单!B:B,D:D)</f>
        <v>1</v>
      </c>
      <c r="F15" s="496">
        <f>SUMIFS(磅单!L:L,磅单!F:F,B:B,磅单!B:B,D:D)</f>
        <v>38.38</v>
      </c>
      <c r="G15" s="496">
        <f>SUMIFS(磅单!O:O,磅单!F:F,B15,磅单!B:B,D15)</f>
        <v>2871.46</v>
      </c>
      <c r="H15" s="496">
        <f>SUMIFS(磅单!P:P,磅单!F:F,B:B,磅单!B:B,D:D)</f>
        <v>15</v>
      </c>
      <c r="I15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15,平远充电站!A:A,D15)</f>
        <v>487.36</v>
      </c>
      <c r="J15" s="496">
        <f>SUMIFS(付款明细!G:G,付款明细!D:D,B:B,付款明细!A:A,D:D,付款明细!B:B,J14)</f>
        <v>0</v>
      </c>
      <c r="K15" s="496">
        <f>SUMIFS(轮胎!H:H,轮胎!C:C,B:B,轮胎!A:A,D:D)</f>
        <v>0</v>
      </c>
      <c r="L15" s="496">
        <v>0</v>
      </c>
      <c r="M15" s="496">
        <f>SUMIFS(维修费!E:E,维修费!C:C,B:B,维修费!A:A,D:D)</f>
        <v>0</v>
      </c>
      <c r="N15" s="496">
        <f>SUMIFS(磅单!R:R,磅单!F:F,B:B,磅单!B:B,D:D)</f>
        <v>800</v>
      </c>
      <c r="O15" s="496">
        <v>0</v>
      </c>
      <c r="P15" s="497">
        <f>SUMIFS(付款明细!G:G,付款明细!D:D,B:B,付款明细!A:A,D:D,付款明细!B:B,"车队-罚款")</f>
        <v>0</v>
      </c>
      <c r="Q15" s="497">
        <f>SUMIFS(付款明细!G:G,付款明细!D:D,B:B,付款明细!A:A,D:D,付款明细!B:B,"车辆费用")</f>
        <v>0</v>
      </c>
      <c r="R15" s="496">
        <f>SUMIFS(付款明细!G:G,付款明细!A:A,D:D,付款明细!B:B,"综合费用")/61</f>
        <v>0</v>
      </c>
      <c r="S15" s="496">
        <f t="shared" si="7"/>
        <v>88.8888888888889</v>
      </c>
      <c r="T15" s="496">
        <f t="shared" si="8"/>
        <v>126.666666666667</v>
      </c>
      <c r="U15" s="498">
        <f t="shared" si="9"/>
        <v>353.333333333333</v>
      </c>
      <c r="V15" s="496">
        <f t="shared" si="0"/>
        <v>201.0022</v>
      </c>
      <c r="W15" s="499">
        <f t="shared" si="10"/>
        <v>26.3387978142077</v>
      </c>
      <c r="X15" s="497">
        <f t="shared" si="1"/>
        <v>772.870113296903</v>
      </c>
    </row>
    <row r="16" s="484" customFormat="1" ht="24" customHeight="1" spans="1:25">
      <c r="A16" s="493">
        <v>14</v>
      </c>
      <c r="B16" s="37" t="s">
        <v>87</v>
      </c>
      <c r="C16" s="122" t="s">
        <v>89</v>
      </c>
      <c r="D16" s="361">
        <f t="shared" ref="D16:D25" si="11">$Y$2</f>
        <v>46201</v>
      </c>
      <c r="E16" s="495">
        <f>COUNTIFS(磅单!E:E,B:B,磅单!B:B,D:D)</f>
        <v>1</v>
      </c>
      <c r="F16" s="496">
        <f>SUMIFS(磅单!L:L,磅单!F:F,B:B,磅单!B:B,D:D)</f>
        <v>39.2</v>
      </c>
      <c r="G16" s="496">
        <f>SUMIFS(磅单!O:O,磅单!F:F,B16,磅单!B:B,D16)</f>
        <v>2926.4</v>
      </c>
      <c r="H16" s="496">
        <f>SUMIFS(磅单!P:P,磅单!F:F,B:B,磅单!B:B,D:D)</f>
        <v>15</v>
      </c>
      <c r="I16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16,平远充电站!A:A,D16)</f>
        <v>785.77</v>
      </c>
      <c r="J16" s="496">
        <f>SUMIFS(付款明细!G:G,付款明细!D:D,B:B,付款明细!A:A,D:D,付款明细!B:B,J15)</f>
        <v>0</v>
      </c>
      <c r="K16" s="496">
        <f>SUMIFS(轮胎!H:H,轮胎!C:C,B:B,轮胎!A:A,D:D)</f>
        <v>0</v>
      </c>
      <c r="L16" s="496">
        <v>0</v>
      </c>
      <c r="M16" s="496">
        <f>SUMIFS(维修费!E:E,维修费!C:C,B:B,维修费!A:A,D:D)</f>
        <v>0</v>
      </c>
      <c r="N16" s="496">
        <f>SUMIFS(磅单!R:R,磅单!F:F,B:B,磅单!B:B,D:D)</f>
        <v>800</v>
      </c>
      <c r="O16" s="496">
        <v>0</v>
      </c>
      <c r="P16" s="497">
        <f>SUMIFS(付款明细!G:G,付款明细!D:D,B:B,付款明细!A:A,D:D,付款明细!B:B,"车队-罚款")</f>
        <v>0</v>
      </c>
      <c r="Q16" s="497">
        <f>SUMIFS(付款明细!G:G,付款明细!D:D,B:B,付款明细!A:A,D:D,付款明细!B:B,"车辆费用")</f>
        <v>0</v>
      </c>
      <c r="R16" s="496">
        <f>SUMIFS(付款明细!G:G,付款明细!A:A,D:D,付款明细!B:B,"综合费用")/61</f>
        <v>0</v>
      </c>
      <c r="S16" s="496">
        <f t="shared" si="7"/>
        <v>88.8888888888889</v>
      </c>
      <c r="T16" s="496">
        <f t="shared" si="8"/>
        <v>126.666666666667</v>
      </c>
      <c r="U16" s="498">
        <f t="shared" si="9"/>
        <v>353.333333333333</v>
      </c>
      <c r="V16" s="496">
        <f t="shared" si="0"/>
        <v>204.848</v>
      </c>
      <c r="W16" s="499">
        <f t="shared" si="10"/>
        <v>26.3387978142077</v>
      </c>
      <c r="X16" s="497">
        <f t="shared" si="1"/>
        <v>525.554313296904</v>
      </c>
    </row>
    <row r="17" s="484" customFormat="1" ht="24" customHeight="1" spans="1:24">
      <c r="A17" s="493">
        <v>15</v>
      </c>
      <c r="B17" s="37" t="s">
        <v>90</v>
      </c>
      <c r="C17" s="122" t="s">
        <v>92</v>
      </c>
      <c r="D17" s="361">
        <f t="shared" si="11"/>
        <v>46201</v>
      </c>
      <c r="E17" s="495">
        <f>COUNTIFS(磅单!E:E,B:B,磅单!B:B,D:D)</f>
        <v>1</v>
      </c>
      <c r="F17" s="496">
        <f>SUMIFS(磅单!L:L,磅单!F:F,B:B,磅单!B:B,D:D)</f>
        <v>40.28</v>
      </c>
      <c r="G17" s="496">
        <f>SUMIFS(磅单!O:O,磅单!F:F,B17,磅单!B:B,D17)</f>
        <v>2998.76</v>
      </c>
      <c r="H17" s="496">
        <f>SUMIFS(磅单!P:P,磅单!F:F,B:B,磅单!B:B,D:D)</f>
        <v>15</v>
      </c>
      <c r="I17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17,平远充电站!A:A,D17)</f>
        <v>812.1</v>
      </c>
      <c r="J17" s="496">
        <f>SUMIFS(付款明细!G:G,付款明细!D:D,B:B,付款明细!A:A,D:D,付款明细!B:B,J16)</f>
        <v>0</v>
      </c>
      <c r="K17" s="496">
        <f>SUMIFS(轮胎!H:H,轮胎!C:C,B:B,轮胎!A:A,D:D)</f>
        <v>0</v>
      </c>
      <c r="L17" s="496">
        <v>0</v>
      </c>
      <c r="M17" s="496">
        <f>SUMIFS(维修费!E:E,维修费!C:C,B:B,维修费!A:A,D:D)</f>
        <v>0</v>
      </c>
      <c r="N17" s="496">
        <f>SUMIFS(磅单!R:R,磅单!F:F,B:B,磅单!B:B,D:D)</f>
        <v>800</v>
      </c>
      <c r="O17" s="496">
        <v>0</v>
      </c>
      <c r="P17" s="497">
        <f>SUMIFS(付款明细!G:G,付款明细!D:D,B:B,付款明细!A:A,D:D,付款明细!B:B,"车队-罚款")</f>
        <v>0</v>
      </c>
      <c r="Q17" s="497">
        <f>SUMIFS(付款明细!G:G,付款明细!D:D,B:B,付款明细!A:A,D:D,付款明细!B:B,"车辆费用")</f>
        <v>0</v>
      </c>
      <c r="R17" s="496">
        <f>SUMIFS(付款明细!G:G,付款明细!A:A,D:D,付款明细!B:B,"综合费用")/61</f>
        <v>0</v>
      </c>
      <c r="S17" s="496">
        <f t="shared" si="7"/>
        <v>88.8888888888889</v>
      </c>
      <c r="T17" s="496">
        <f t="shared" si="8"/>
        <v>126.666666666667</v>
      </c>
      <c r="U17" s="498">
        <f t="shared" si="9"/>
        <v>353.333333333333</v>
      </c>
      <c r="V17" s="496">
        <f t="shared" si="0"/>
        <v>209.9132</v>
      </c>
      <c r="W17" s="499">
        <f t="shared" si="10"/>
        <v>26.3387978142077</v>
      </c>
      <c r="X17" s="497">
        <f t="shared" si="1"/>
        <v>566.519113296904</v>
      </c>
    </row>
    <row r="18" s="484" customFormat="1" ht="24" customHeight="1" spans="1:24">
      <c r="A18" s="493">
        <v>16</v>
      </c>
      <c r="B18" s="501" t="s">
        <v>93</v>
      </c>
      <c r="C18" s="122" t="s">
        <v>95</v>
      </c>
      <c r="D18" s="361">
        <f t="shared" si="11"/>
        <v>46201</v>
      </c>
      <c r="E18" s="495">
        <f>COUNTIFS(磅单!E:E,B:B,磅单!B:B,D:D)</f>
        <v>0</v>
      </c>
      <c r="F18" s="496">
        <f>SUMIFS(磅单!L:L,磅单!F:F,B:B,磅单!B:B,D:D)</f>
        <v>0</v>
      </c>
      <c r="G18" s="496">
        <f>SUMIFS(磅单!O:O,磅单!F:F,B18,磅单!B:B,D18)</f>
        <v>0</v>
      </c>
      <c r="H18" s="496">
        <f>SUMIFS(磅单!P:P,磅单!F:F,B:B,磅单!B:B,D:D)</f>
        <v>0</v>
      </c>
      <c r="I18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18,平远充电站!A:A,D18)</f>
        <v>596.93</v>
      </c>
      <c r="J18" s="496">
        <f>SUMIFS(付款明细!G:G,付款明细!D:D,B:B,付款明细!A:A,D:D,付款明细!B:B,J17)</f>
        <v>0</v>
      </c>
      <c r="K18" s="496">
        <f>SUMIFS(轮胎!H:H,轮胎!C:C,B:B,轮胎!A:A,D:D)</f>
        <v>0</v>
      </c>
      <c r="L18" s="496">
        <v>0</v>
      </c>
      <c r="M18" s="496">
        <f>SUMIFS(维修费!E:E,维修费!C:C,B:B,维修费!A:A,D:D)</f>
        <v>0</v>
      </c>
      <c r="N18" s="496">
        <f>SUMIFS(磅单!R:R,磅单!F:F,B:B,磅单!B:B,D:D)</f>
        <v>0</v>
      </c>
      <c r="O18" s="496">
        <v>0</v>
      </c>
      <c r="P18" s="497">
        <f>SUMIFS(付款明细!G:G,付款明细!D:D,B:B,付款明细!A:A,D:D,付款明细!B:B,"车队-罚款")</f>
        <v>0</v>
      </c>
      <c r="Q18" s="497">
        <f>SUMIFS(付款明细!G:G,付款明细!D:D,B:B,付款明细!A:A,D:D,付款明细!B:B,"车辆费用")</f>
        <v>0</v>
      </c>
      <c r="R18" s="496">
        <f>SUMIFS(付款明细!G:G,付款明细!A:A,D:D,付款明细!B:B,"综合费用")/61</f>
        <v>0</v>
      </c>
      <c r="S18" s="496">
        <f t="shared" si="7"/>
        <v>88.8888888888889</v>
      </c>
      <c r="T18" s="496">
        <f t="shared" si="8"/>
        <v>126.666666666667</v>
      </c>
      <c r="U18" s="498">
        <f t="shared" si="9"/>
        <v>353.333333333333</v>
      </c>
      <c r="V18" s="496">
        <f t="shared" si="0"/>
        <v>0</v>
      </c>
      <c r="W18" s="499">
        <f t="shared" si="10"/>
        <v>26.3387978142077</v>
      </c>
      <c r="X18" s="497">
        <f t="shared" si="1"/>
        <v>-1192.1576867031</v>
      </c>
    </row>
    <row r="19" s="484" customFormat="1" ht="24" customHeight="1" spans="1:24">
      <c r="A19" s="493">
        <v>17</v>
      </c>
      <c r="B19" s="501" t="s">
        <v>96</v>
      </c>
      <c r="C19" s="122" t="s">
        <v>98</v>
      </c>
      <c r="D19" s="361">
        <f t="shared" si="11"/>
        <v>46201</v>
      </c>
      <c r="E19" s="495">
        <f>COUNTIFS(磅单!E:E,B:B,磅单!B:B,D:D)</f>
        <v>1</v>
      </c>
      <c r="F19" s="496">
        <f>SUMIFS(磅单!L:L,磅单!F:F,B:B,磅单!B:B,D:D)</f>
        <v>39.68</v>
      </c>
      <c r="G19" s="496">
        <f>SUMIFS(磅单!O:O,磅单!F:F,B19,磅单!B:B,D19)</f>
        <v>2998.24</v>
      </c>
      <c r="H19" s="496">
        <f>SUMIFS(磅单!P:P,磅单!F:F,B:B,磅单!B:B,D:D)</f>
        <v>15</v>
      </c>
      <c r="I19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19,平远充电站!A:A,D19)</f>
        <v>308.57</v>
      </c>
      <c r="J19" s="496">
        <f>SUMIFS(付款明细!G:G,付款明细!D:D,B:B,付款明细!A:A,D:D,付款明细!B:B,J18)</f>
        <v>0</v>
      </c>
      <c r="K19" s="496">
        <f>SUMIFS(轮胎!H:H,轮胎!C:C,B:B,轮胎!A:A,D:D)</f>
        <v>0</v>
      </c>
      <c r="L19" s="496">
        <v>0</v>
      </c>
      <c r="M19" s="496">
        <f>SUMIFS(维修费!E:E,维修费!C:C,B:B,维修费!A:A,D:D)</f>
        <v>0</v>
      </c>
      <c r="N19" s="496">
        <f>SUMIFS(磅单!R:R,磅单!F:F,B:B,磅单!B:B,D:D)</f>
        <v>800</v>
      </c>
      <c r="O19" s="496">
        <v>0</v>
      </c>
      <c r="P19" s="497">
        <f>SUMIFS(付款明细!G:G,付款明细!D:D,B:B,付款明细!A:A,D:D,付款明细!B:B,"车队-罚款")</f>
        <v>0</v>
      </c>
      <c r="Q19" s="497">
        <f>SUMIFS(付款明细!G:G,付款明细!D:D,B:B,付款明细!A:A,D:D,付款明细!B:B,"车辆费用")</f>
        <v>0</v>
      </c>
      <c r="R19" s="496">
        <f>SUMIFS(付款明细!G:G,付款明细!A:A,D:D,付款明细!B:B,"综合费用")/61</f>
        <v>0</v>
      </c>
      <c r="S19" s="496">
        <f t="shared" si="7"/>
        <v>88.8888888888889</v>
      </c>
      <c r="T19" s="496">
        <f t="shared" si="8"/>
        <v>126.666666666667</v>
      </c>
      <c r="U19" s="498">
        <f t="shared" si="9"/>
        <v>353.333333333333</v>
      </c>
      <c r="V19" s="496">
        <f t="shared" si="0"/>
        <v>209.8768</v>
      </c>
      <c r="W19" s="499">
        <f t="shared" si="10"/>
        <v>26.3387978142077</v>
      </c>
      <c r="X19" s="497">
        <f t="shared" si="1"/>
        <v>1069.5655132969</v>
      </c>
    </row>
    <row r="20" s="484" customFormat="1" ht="24" customHeight="1" spans="1:24">
      <c r="A20" s="493">
        <v>18</v>
      </c>
      <c r="B20" s="501" t="s">
        <v>99</v>
      </c>
      <c r="C20" s="122" t="s">
        <v>101</v>
      </c>
      <c r="D20" s="361">
        <f t="shared" si="11"/>
        <v>46201</v>
      </c>
      <c r="E20" s="495">
        <f>COUNTIFS(磅单!E:E,B:B,磅单!B:B,D:D)</f>
        <v>0</v>
      </c>
      <c r="F20" s="496">
        <f>SUMIFS(磅单!L:L,磅单!F:F,B:B,磅单!B:B,D:D)</f>
        <v>0</v>
      </c>
      <c r="G20" s="496">
        <f>SUMIFS(磅单!O:O,磅单!F:F,B20,磅单!B:B,D20)</f>
        <v>0</v>
      </c>
      <c r="H20" s="496">
        <f>SUMIFS(磅单!P:P,磅单!F:F,B:B,磅单!B:B,D:D)</f>
        <v>0</v>
      </c>
      <c r="I20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20,平远充电站!A:A,D20)</f>
        <v>177.4</v>
      </c>
      <c r="J20" s="496">
        <f>SUMIFS(付款明细!G:G,付款明细!D:D,B:B,付款明细!A:A,D:D,付款明细!B:B,J19)</f>
        <v>0</v>
      </c>
      <c r="K20" s="496">
        <f>SUMIFS(轮胎!H:H,轮胎!C:C,B:B,轮胎!A:A,D:D)</f>
        <v>0</v>
      </c>
      <c r="L20" s="496">
        <v>0</v>
      </c>
      <c r="M20" s="496">
        <f>SUMIFS(维修费!E:E,维修费!C:C,B:B,维修费!A:A,D:D)</f>
        <v>0</v>
      </c>
      <c r="N20" s="496">
        <f>SUMIFS(磅单!R:R,磅单!F:F,B:B,磅单!B:B,D:D)</f>
        <v>0</v>
      </c>
      <c r="O20" s="496">
        <v>0</v>
      </c>
      <c r="P20" s="497">
        <f>SUMIFS(付款明细!G:G,付款明细!D:D,B:B,付款明细!A:A,D:D,付款明细!B:B,"车队-罚款")</f>
        <v>0</v>
      </c>
      <c r="Q20" s="497">
        <f>SUMIFS(付款明细!G:G,付款明细!D:D,B:B,付款明细!A:A,D:D,付款明细!B:B,"车辆费用")</f>
        <v>0</v>
      </c>
      <c r="R20" s="496">
        <f>SUMIFS(付款明细!G:G,付款明细!A:A,D:D,付款明细!B:B,"综合费用")/61</f>
        <v>0</v>
      </c>
      <c r="S20" s="496">
        <f t="shared" si="7"/>
        <v>88.8888888888889</v>
      </c>
      <c r="T20" s="496">
        <f t="shared" si="8"/>
        <v>126.666666666667</v>
      </c>
      <c r="U20" s="498">
        <f t="shared" si="9"/>
        <v>353.333333333333</v>
      </c>
      <c r="V20" s="496">
        <f t="shared" si="0"/>
        <v>0</v>
      </c>
      <c r="W20" s="499">
        <f t="shared" si="10"/>
        <v>26.3387978142077</v>
      </c>
      <c r="X20" s="497">
        <f t="shared" si="1"/>
        <v>-772.627686703097</v>
      </c>
    </row>
    <row r="21" s="484" customFormat="1" ht="24" customHeight="1" spans="1:24">
      <c r="A21" s="493">
        <v>19</v>
      </c>
      <c r="B21" s="501" t="s">
        <v>102</v>
      </c>
      <c r="C21" s="122" t="s">
        <v>104</v>
      </c>
      <c r="D21" s="361">
        <f t="shared" si="11"/>
        <v>46201</v>
      </c>
      <c r="E21" s="495">
        <f>COUNTIFS(磅单!E:E,B:B,磅单!B:B,D:D)</f>
        <v>1</v>
      </c>
      <c r="F21" s="496">
        <f>SUMIFS(磅单!L:L,磅单!F:F,B:B,磅单!B:B,D:D)</f>
        <v>39.46</v>
      </c>
      <c r="G21" s="496">
        <f>SUMIFS(磅单!O:O,磅单!F:F,B21,磅单!B:B,D21)</f>
        <v>2943.82</v>
      </c>
      <c r="H21" s="496">
        <f>SUMIFS(磅单!P:P,磅单!F:F,B:B,磅单!B:B,D:D)</f>
        <v>15</v>
      </c>
      <c r="I21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21,平远充电站!A:A,D21)</f>
        <v>238.68</v>
      </c>
      <c r="J21" s="496">
        <f>SUMIFS(付款明细!G:G,付款明细!D:D,B:B,付款明细!A:A,D:D,付款明细!B:B,J20)</f>
        <v>0</v>
      </c>
      <c r="K21" s="496">
        <f>SUMIFS(轮胎!H:H,轮胎!C:C,B:B,轮胎!A:A,D:D)</f>
        <v>0</v>
      </c>
      <c r="L21" s="496">
        <v>0</v>
      </c>
      <c r="M21" s="496">
        <f>SUMIFS(维修费!E:E,维修费!C:C,B:B,维修费!A:A,D:D)</f>
        <v>0</v>
      </c>
      <c r="N21" s="496">
        <f>SUMIFS(磅单!R:R,磅单!F:F,B:B,磅单!B:B,D:D)</f>
        <v>800</v>
      </c>
      <c r="O21" s="496">
        <v>0</v>
      </c>
      <c r="P21" s="497">
        <f>SUMIFS(付款明细!G:G,付款明细!D:D,B:B,付款明细!A:A,D:D,付款明细!B:B,"车队-罚款")</f>
        <v>0</v>
      </c>
      <c r="Q21" s="497">
        <f>SUMIFS(付款明细!G:G,付款明细!D:D,B:B,付款明细!A:A,D:D,付款明细!B:B,"车辆费用")</f>
        <v>0</v>
      </c>
      <c r="R21" s="496">
        <f>SUMIFS(付款明细!G:G,付款明细!A:A,D:D,付款明细!B:B,"综合费用")/61</f>
        <v>0</v>
      </c>
      <c r="S21" s="496">
        <f t="shared" si="7"/>
        <v>88.8888888888889</v>
      </c>
      <c r="T21" s="496">
        <f t="shared" si="8"/>
        <v>126.666666666667</v>
      </c>
      <c r="U21" s="498">
        <f t="shared" si="9"/>
        <v>353.333333333333</v>
      </c>
      <c r="V21" s="496">
        <f t="shared" si="0"/>
        <v>206.0674</v>
      </c>
      <c r="W21" s="499">
        <f t="shared" si="10"/>
        <v>26.3387978142077</v>
      </c>
      <c r="X21" s="497">
        <f t="shared" si="1"/>
        <v>1088.8449132969</v>
      </c>
    </row>
    <row r="22" s="484" customFormat="1" ht="24" customHeight="1" spans="1:24">
      <c r="A22" s="493">
        <v>20</v>
      </c>
      <c r="B22" s="501" t="s">
        <v>105</v>
      </c>
      <c r="C22" s="122" t="s">
        <v>107</v>
      </c>
      <c r="D22" s="361">
        <f t="shared" si="11"/>
        <v>46201</v>
      </c>
      <c r="E22" s="495">
        <f>COUNTIFS(磅单!E:E,B:B,磅单!B:B,D:D)</f>
        <v>1</v>
      </c>
      <c r="F22" s="496">
        <f>SUMIFS(磅单!L:L,磅单!F:F,B:B,磅单!B:B,D:D)</f>
        <v>40.12</v>
      </c>
      <c r="G22" s="496">
        <f>SUMIFS(磅单!O:O,磅单!F:F,B22,磅单!B:B,D22)</f>
        <v>3028.16</v>
      </c>
      <c r="H22" s="496">
        <f>SUMIFS(磅单!P:P,磅单!F:F,B:B,磅单!B:B,D:D)</f>
        <v>15</v>
      </c>
      <c r="I22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22,平远充电站!A:A,D22)</f>
        <v>198.52</v>
      </c>
      <c r="J22" s="496">
        <f>SUMIFS(付款明细!G:G,付款明细!D:D,B:B,付款明细!A:A,D:D,付款明细!B:B,J21)</f>
        <v>0</v>
      </c>
      <c r="K22" s="496">
        <f>SUMIFS(轮胎!H:H,轮胎!C:C,B:B,轮胎!A:A,D:D)</f>
        <v>0</v>
      </c>
      <c r="L22" s="496">
        <v>0</v>
      </c>
      <c r="M22" s="496">
        <f>SUMIFS(维修费!E:E,维修费!C:C,B:B,维修费!A:A,D:D)</f>
        <v>0</v>
      </c>
      <c r="N22" s="496">
        <f>SUMIFS(磅单!R:R,磅单!F:F,B:B,磅单!B:B,D:D)</f>
        <v>800</v>
      </c>
      <c r="O22" s="496">
        <v>0</v>
      </c>
      <c r="P22" s="497">
        <f>SUMIFS(付款明细!G:G,付款明细!D:D,B:B,付款明细!A:A,D:D,付款明细!B:B,"车队-罚款")</f>
        <v>0</v>
      </c>
      <c r="Q22" s="497">
        <f>SUMIFS(付款明细!G:G,付款明细!D:D,B:B,付款明细!A:A,D:D,付款明细!B:B,"车辆费用")</f>
        <v>0</v>
      </c>
      <c r="R22" s="496">
        <f>SUMIFS(付款明细!G:G,付款明细!A:A,D:D,付款明细!B:B,"综合费用")/61</f>
        <v>0</v>
      </c>
      <c r="S22" s="496">
        <f t="shared" si="7"/>
        <v>88.8888888888889</v>
      </c>
      <c r="T22" s="496">
        <f t="shared" si="8"/>
        <v>126.666666666667</v>
      </c>
      <c r="U22" s="498">
        <f t="shared" si="9"/>
        <v>353.333333333333</v>
      </c>
      <c r="V22" s="496">
        <f t="shared" si="0"/>
        <v>211.9712</v>
      </c>
      <c r="W22" s="499">
        <f t="shared" si="10"/>
        <v>26.3387978142077</v>
      </c>
      <c r="X22" s="497">
        <f t="shared" si="1"/>
        <v>1207.4411132969</v>
      </c>
    </row>
    <row r="23" s="484" customFormat="1" ht="24" customHeight="1" spans="1:24">
      <c r="A23" s="493">
        <v>21</v>
      </c>
      <c r="B23" s="37" t="s">
        <v>108</v>
      </c>
      <c r="C23" s="122" t="s">
        <v>110</v>
      </c>
      <c r="D23" s="361">
        <f t="shared" si="11"/>
        <v>46201</v>
      </c>
      <c r="E23" s="495">
        <f>COUNTIFS(磅单!E:E,B:B,磅单!B:B,D:D)</f>
        <v>0</v>
      </c>
      <c r="F23" s="496">
        <f>SUMIFS(磅单!L:L,磅单!F:F,B:B,磅单!B:B,D:D)</f>
        <v>0</v>
      </c>
      <c r="G23" s="496">
        <f>SUMIFS(磅单!O:O,磅单!F:F,B23,磅单!B:B,D23)</f>
        <v>0</v>
      </c>
      <c r="H23" s="496">
        <f>SUMIFS(磅单!P:P,磅单!F:F,B:B,磅单!B:B,D:D)</f>
        <v>0</v>
      </c>
      <c r="I23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23,平远充电站!A:A,D23)</f>
        <v>0</v>
      </c>
      <c r="J23" s="496">
        <f>SUMIFS(付款明细!G:G,付款明细!D:D,B:B,付款明细!A:A,D:D,付款明细!B:B,J22)</f>
        <v>0</v>
      </c>
      <c r="K23" s="496">
        <f>SUMIFS(轮胎!H:H,轮胎!C:C,B:B,轮胎!A:A,D:D)</f>
        <v>0</v>
      </c>
      <c r="L23" s="496">
        <v>0</v>
      </c>
      <c r="M23" s="496">
        <f>SUMIFS(维修费!E:E,维修费!C:C,B:B,维修费!A:A,D:D)</f>
        <v>0</v>
      </c>
      <c r="N23" s="496">
        <f>SUMIFS(磅单!R:R,磅单!F:F,B:B,磅单!B:B,D:D)</f>
        <v>0</v>
      </c>
      <c r="O23" s="496">
        <v>0</v>
      </c>
      <c r="P23" s="497">
        <f>SUMIFS(付款明细!G:G,付款明细!D:D,B:B,付款明细!A:A,D:D,付款明细!B:B,"车队-罚款")</f>
        <v>0</v>
      </c>
      <c r="Q23" s="497">
        <f>SUMIFS(付款明细!G:G,付款明细!D:D,B:B,付款明细!A:A,D:D,付款明细!B:B,"车辆费用")</f>
        <v>0</v>
      </c>
      <c r="R23" s="496">
        <f>SUMIFS(付款明细!G:G,付款明细!A:A,D:D,付款明细!B:B,"综合费用")/61</f>
        <v>0</v>
      </c>
      <c r="S23" s="496">
        <f t="shared" si="7"/>
        <v>88.8888888888889</v>
      </c>
      <c r="T23" s="496">
        <f t="shared" si="8"/>
        <v>126.666666666667</v>
      </c>
      <c r="U23" s="498">
        <f t="shared" si="9"/>
        <v>353.333333333333</v>
      </c>
      <c r="V23" s="496">
        <f t="shared" si="0"/>
        <v>0</v>
      </c>
      <c r="W23" s="499">
        <f t="shared" si="10"/>
        <v>26.3387978142077</v>
      </c>
      <c r="X23" s="497">
        <f t="shared" si="1"/>
        <v>-595.227686703097</v>
      </c>
    </row>
    <row r="24" s="484" customFormat="1" ht="24" customHeight="1" spans="1:24">
      <c r="A24" s="493">
        <v>22</v>
      </c>
      <c r="B24" s="37" t="s">
        <v>111</v>
      </c>
      <c r="C24" s="122" t="s">
        <v>113</v>
      </c>
      <c r="D24" s="361">
        <f t="shared" si="11"/>
        <v>46201</v>
      </c>
      <c r="E24" s="495">
        <f>COUNTIFS(磅单!E:E,B:B,磅单!B:B,D:D)</f>
        <v>1</v>
      </c>
      <c r="F24" s="496">
        <f>SUMIFS(磅单!L:L,磅单!F:F,B:B,磅单!B:B,D:D)</f>
        <v>38.86</v>
      </c>
      <c r="G24" s="496">
        <f>SUMIFS(磅单!O:O,磅单!F:F,B24,磅单!B:B,D24)</f>
        <v>2903.62</v>
      </c>
      <c r="H24" s="496">
        <f>SUMIFS(磅单!P:P,磅单!F:F,B:B,磅单!B:B,D:D)</f>
        <v>15</v>
      </c>
      <c r="I24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24,平远充电站!A:A,D24)</f>
        <v>351.22</v>
      </c>
      <c r="J24" s="496">
        <f>SUMIFS(付款明细!G:G,付款明细!D:D,B:B,付款明细!A:A,D:D,付款明细!B:B,J23)</f>
        <v>0</v>
      </c>
      <c r="K24" s="496">
        <f>SUMIFS(轮胎!H:H,轮胎!C:C,B:B,轮胎!A:A,D:D)</f>
        <v>0</v>
      </c>
      <c r="L24" s="496">
        <v>0</v>
      </c>
      <c r="M24" s="496">
        <f>SUMIFS(维修费!E:E,维修费!C:C,B:B,维修费!A:A,D:D)</f>
        <v>0</v>
      </c>
      <c r="N24" s="496">
        <f>SUMIFS(磅单!R:R,磅单!F:F,B:B,磅单!B:B,D:D)</f>
        <v>800</v>
      </c>
      <c r="O24" s="496">
        <v>0</v>
      </c>
      <c r="P24" s="497">
        <f>SUMIFS(付款明细!G:G,付款明细!D:D,B:B,付款明细!A:A,D:D,付款明细!B:B,"车队-罚款")</f>
        <v>0</v>
      </c>
      <c r="Q24" s="497">
        <f>SUMIFS(付款明细!G:G,付款明细!D:D,B:B,付款明细!A:A,D:D,付款明细!B:B,"车辆费用")</f>
        <v>10</v>
      </c>
      <c r="R24" s="496">
        <f>SUMIFS(付款明细!G:G,付款明细!A:A,D:D,付款明细!B:B,"综合费用")/61</f>
        <v>0</v>
      </c>
      <c r="S24" s="496">
        <f t="shared" si="7"/>
        <v>88.8888888888889</v>
      </c>
      <c r="T24" s="496">
        <f t="shared" si="8"/>
        <v>126.666666666667</v>
      </c>
      <c r="U24" s="498">
        <f t="shared" si="9"/>
        <v>353.333333333333</v>
      </c>
      <c r="V24" s="496">
        <f t="shared" si="0"/>
        <v>203.2534</v>
      </c>
      <c r="W24" s="499">
        <f t="shared" ref="W24:W33" si="12">48200/30/61</f>
        <v>26.3387978142077</v>
      </c>
      <c r="X24" s="497">
        <f t="shared" si="1"/>
        <v>928.918913296903</v>
      </c>
    </row>
    <row r="25" s="484" customFormat="1" ht="24" customHeight="1" spans="1:24">
      <c r="A25" s="493">
        <v>23</v>
      </c>
      <c r="B25" s="37" t="s">
        <v>114</v>
      </c>
      <c r="C25" s="122" t="s">
        <v>116</v>
      </c>
      <c r="D25" s="361">
        <f t="shared" si="11"/>
        <v>46201</v>
      </c>
      <c r="E25" s="495">
        <f>COUNTIFS(磅单!E:E,B:B,磅单!B:B,D:D)</f>
        <v>1</v>
      </c>
      <c r="F25" s="496">
        <f>SUMIFS(磅单!L:L,磅单!F:F,B:B,磅单!B:B,D:D)</f>
        <v>38.72</v>
      </c>
      <c r="G25" s="496">
        <f>SUMIFS(磅单!O:O,磅单!F:F,B25,磅单!B:B,D25)</f>
        <v>2932.96</v>
      </c>
      <c r="H25" s="496">
        <f>SUMIFS(磅单!P:P,磅单!F:F,B:B,磅单!B:B,D:D)</f>
        <v>15</v>
      </c>
      <c r="I25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25,平远充电站!A:A,D25)</f>
        <v>466.02</v>
      </c>
      <c r="J25" s="496">
        <f>SUMIFS(付款明细!G:G,付款明细!D:D,B:B,付款明细!A:A,D:D,付款明细!B:B,#REF!)</f>
        <v>0</v>
      </c>
      <c r="K25" s="496">
        <f>SUMIFS(轮胎!H:H,轮胎!C:C,B:B,轮胎!A:A,D:D)</f>
        <v>0</v>
      </c>
      <c r="L25" s="496">
        <v>0</v>
      </c>
      <c r="M25" s="496">
        <f>SUMIFS(维修费!E:E,维修费!C:C,B:B,维修费!A:A,D:D)</f>
        <v>0</v>
      </c>
      <c r="N25" s="496">
        <f>SUMIFS(磅单!R:R,磅单!F:F,B:B,磅单!B:B,D:D)</f>
        <v>800</v>
      </c>
      <c r="O25" s="496">
        <v>0</v>
      </c>
      <c r="P25" s="497">
        <f>SUMIFS(付款明细!G:G,付款明细!D:D,B:B,付款明细!A:A,D:D,付款明细!B:B,"车队-罚款")</f>
        <v>0</v>
      </c>
      <c r="Q25" s="497">
        <f>SUMIFS(付款明细!G:G,付款明细!D:D,B:B,付款明细!A:A,D:D,付款明细!B:B,"车辆费用")</f>
        <v>10</v>
      </c>
      <c r="R25" s="496">
        <f>SUMIFS(付款明细!G:G,付款明细!A:A,D:D,付款明细!B:B,"综合费用")/61</f>
        <v>0</v>
      </c>
      <c r="S25" s="496">
        <f t="shared" ref="S25:S33" si="13">32000/12/30</f>
        <v>88.8888888888889</v>
      </c>
      <c r="T25" s="496">
        <f t="shared" si="8"/>
        <v>126.666666666667</v>
      </c>
      <c r="U25" s="498">
        <f t="shared" si="9"/>
        <v>353.333333333333</v>
      </c>
      <c r="V25" s="496">
        <f t="shared" si="0"/>
        <v>205.3072</v>
      </c>
      <c r="W25" s="499">
        <f t="shared" si="12"/>
        <v>26.3387978142077</v>
      </c>
      <c r="X25" s="497">
        <f t="shared" si="1"/>
        <v>841.405113296903</v>
      </c>
    </row>
    <row r="26" s="484" customFormat="1" ht="24" customHeight="1" spans="1:24">
      <c r="A26" s="493">
        <v>24</v>
      </c>
      <c r="B26" s="37" t="s">
        <v>117</v>
      </c>
      <c r="C26" s="122" t="s">
        <v>120</v>
      </c>
      <c r="D26" s="361">
        <f t="shared" ref="D26:D35" si="14">$Y$2</f>
        <v>46201</v>
      </c>
      <c r="E26" s="495">
        <f>COUNTIFS(磅单!E:E,B:B,磅单!B:B,D:D)</f>
        <v>0</v>
      </c>
      <c r="F26" s="496">
        <f>SUMIFS(磅单!L:L,磅单!F:F,B:B,磅单!B:B,D:D)</f>
        <v>0</v>
      </c>
      <c r="G26" s="496">
        <f>SUMIFS(磅单!O:O,磅单!F:F,B26,磅单!B:B,D26)</f>
        <v>0</v>
      </c>
      <c r="H26" s="496">
        <f>SUMIFS(磅单!P:P,磅单!F:F,B:B,磅单!B:B,D:D)</f>
        <v>0</v>
      </c>
      <c r="I26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26,平远充电站!A:A,D26)</f>
        <v>0</v>
      </c>
      <c r="J26" s="496">
        <f>SUMIFS(付款明细!G:G,付款明细!D:D,B:B,付款明细!A:A,D:D,付款明细!B:B,J25)</f>
        <v>0</v>
      </c>
      <c r="K26" s="496">
        <f>SUMIFS(轮胎!H:H,轮胎!C:C,B:B,轮胎!A:A,D:D)</f>
        <v>0</v>
      </c>
      <c r="L26" s="496">
        <v>0</v>
      </c>
      <c r="M26" s="496">
        <f>SUMIFS(维修费!E:E,维修费!C:C,B:B,维修费!A:A,D:D)</f>
        <v>0</v>
      </c>
      <c r="N26" s="496">
        <f>SUMIFS(磅单!R:R,磅单!F:F,B:B,磅单!B:B,D:D)</f>
        <v>0</v>
      </c>
      <c r="O26" s="496">
        <v>0</v>
      </c>
      <c r="P26" s="497">
        <f>SUMIFS(付款明细!G:G,付款明细!D:D,B:B,付款明细!A:A,D:D,付款明细!B:B,"车队-罚款")</f>
        <v>0</v>
      </c>
      <c r="Q26" s="497">
        <f>SUMIFS(付款明细!G:G,付款明细!D:D,B:B,付款明细!A:A,D:D,付款明细!B:B,"车辆费用")</f>
        <v>0</v>
      </c>
      <c r="R26" s="496">
        <f>SUMIFS(付款明细!G:G,付款明细!A:A,D:D,付款明细!B:B,"综合费用")/61</f>
        <v>0</v>
      </c>
      <c r="S26" s="496">
        <f t="shared" si="13"/>
        <v>88.8888888888889</v>
      </c>
      <c r="T26" s="496">
        <f t="shared" si="8"/>
        <v>126.666666666667</v>
      </c>
      <c r="U26" s="498">
        <f t="shared" ref="U25:U33" si="15">10600/30</f>
        <v>353.333333333333</v>
      </c>
      <c r="V26" s="496">
        <f t="shared" si="0"/>
        <v>0</v>
      </c>
      <c r="W26" s="499">
        <f t="shared" si="12"/>
        <v>26.3387978142077</v>
      </c>
      <c r="X26" s="497">
        <f t="shared" si="1"/>
        <v>-595.227686703097</v>
      </c>
    </row>
    <row r="27" s="484" customFormat="1" ht="24" customHeight="1" spans="1:24">
      <c r="A27" s="493">
        <v>25</v>
      </c>
      <c r="B27" s="37" t="s">
        <v>121</v>
      </c>
      <c r="C27" s="122" t="s">
        <v>123</v>
      </c>
      <c r="D27" s="361">
        <f t="shared" si="14"/>
        <v>46201</v>
      </c>
      <c r="E27" s="495">
        <f>COUNTIFS(磅单!E:E,B:B,磅单!B:B,D:D)</f>
        <v>0</v>
      </c>
      <c r="F27" s="496">
        <f>SUMIFS(磅单!L:L,磅单!F:F,B:B,磅单!B:B,D:D)</f>
        <v>0</v>
      </c>
      <c r="G27" s="496">
        <f>SUMIFS(磅单!O:O,磅单!F:F,B27,磅单!B:B,D27)</f>
        <v>0</v>
      </c>
      <c r="H27" s="496">
        <f>SUMIFS(磅单!P:P,磅单!F:F,B:B,磅单!B:B,D:D)</f>
        <v>0</v>
      </c>
      <c r="I27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27,平远充电站!A:A,D27)</f>
        <v>0</v>
      </c>
      <c r="J27" s="496">
        <f>SUMIFS(付款明细!G:G,付款明细!D:D,B:B,付款明细!A:A,D:D,付款明细!B:B,J26)</f>
        <v>0</v>
      </c>
      <c r="K27" s="496">
        <f>SUMIFS(轮胎!H:H,轮胎!C:C,B:B,轮胎!A:A,D:D)</f>
        <v>0</v>
      </c>
      <c r="L27" s="496">
        <v>0</v>
      </c>
      <c r="M27" s="496">
        <f>SUMIFS(维修费!E:E,维修费!C:C,B:B,维修费!A:A,D:D)</f>
        <v>0</v>
      </c>
      <c r="N27" s="496">
        <f>SUMIFS(磅单!R:R,磅单!F:F,B:B,磅单!B:B,D:D)</f>
        <v>0</v>
      </c>
      <c r="O27" s="496">
        <v>0</v>
      </c>
      <c r="P27" s="497">
        <f>SUMIFS(付款明细!G:G,付款明细!D:D,B:B,付款明细!A:A,D:D,付款明细!B:B,"车队-罚款")</f>
        <v>0</v>
      </c>
      <c r="Q27" s="497">
        <f>SUMIFS(付款明细!G:G,付款明细!D:D,B:B,付款明细!A:A,D:D,付款明细!B:B,"车辆费用")</f>
        <v>0</v>
      </c>
      <c r="R27" s="496">
        <f>SUMIFS(付款明细!G:G,付款明细!A:A,D:D,付款明细!B:B,"综合费用")/61</f>
        <v>0</v>
      </c>
      <c r="S27" s="496">
        <f t="shared" si="13"/>
        <v>88.8888888888889</v>
      </c>
      <c r="T27" s="496">
        <f t="shared" si="8"/>
        <v>126.666666666667</v>
      </c>
      <c r="U27" s="498">
        <f t="shared" si="15"/>
        <v>353.333333333333</v>
      </c>
      <c r="V27" s="496">
        <f t="shared" si="0"/>
        <v>0</v>
      </c>
      <c r="W27" s="499">
        <f t="shared" si="12"/>
        <v>26.3387978142077</v>
      </c>
      <c r="X27" s="497">
        <f t="shared" si="1"/>
        <v>-595.227686703097</v>
      </c>
    </row>
    <row r="28" s="484" customFormat="1" ht="24" customHeight="1" spans="1:24">
      <c r="A28" s="493">
        <v>26</v>
      </c>
      <c r="B28" s="37" t="s">
        <v>124</v>
      </c>
      <c r="C28" s="122" t="s">
        <v>126</v>
      </c>
      <c r="D28" s="361">
        <f t="shared" si="14"/>
        <v>46201</v>
      </c>
      <c r="E28" s="495">
        <f>COUNTIFS(磅单!E:E,B:B,磅单!B:B,D:D)</f>
        <v>1</v>
      </c>
      <c r="F28" s="496">
        <f>SUMIFS(磅单!L:L,磅单!F:F,B:B,磅单!B:B,D:D)</f>
        <v>39.66</v>
      </c>
      <c r="G28" s="496">
        <f>SUMIFS(磅单!O:O,磅单!F:F,B28,磅单!B:B,D28)</f>
        <v>2996.88</v>
      </c>
      <c r="H28" s="496">
        <f>SUMIFS(磅单!P:P,磅单!F:F,B:B,磅单!B:B,D:D)</f>
        <v>15</v>
      </c>
      <c r="I28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28,平远充电站!A:A,D28)</f>
        <v>545.06</v>
      </c>
      <c r="J28" s="496">
        <f>SUMIFS(付款明细!G:G,付款明细!D:D,B:B,付款明细!A:A,D:D,付款明细!B:B,J27)</f>
        <v>0</v>
      </c>
      <c r="K28" s="496">
        <f>SUMIFS(轮胎!H:H,轮胎!C:C,B:B,轮胎!A:A,D:D)</f>
        <v>0</v>
      </c>
      <c r="L28" s="496">
        <v>0</v>
      </c>
      <c r="M28" s="496">
        <f>SUMIFS(维修费!E:E,维修费!C:C,B:B,维修费!A:A,D:D)</f>
        <v>0</v>
      </c>
      <c r="N28" s="496">
        <f>SUMIFS(磅单!R:R,磅单!F:F,B:B,磅单!B:B,D:D)</f>
        <v>800</v>
      </c>
      <c r="O28" s="496">
        <v>0</v>
      </c>
      <c r="P28" s="497">
        <f>SUMIFS(付款明细!G:G,付款明细!D:D,B:B,付款明细!A:A,D:D,付款明细!B:B,"车队-罚款")</f>
        <v>0</v>
      </c>
      <c r="Q28" s="497">
        <f>SUMIFS(付款明细!G:G,付款明细!D:D,B:B,付款明细!A:A,D:D,付款明细!B:B,"车辆费用")</f>
        <v>0</v>
      </c>
      <c r="R28" s="496">
        <f>SUMIFS(付款明细!G:G,付款明细!A:A,D:D,付款明细!B:B,"综合费用")/61</f>
        <v>0</v>
      </c>
      <c r="S28" s="496">
        <f t="shared" si="13"/>
        <v>88.8888888888889</v>
      </c>
      <c r="T28" s="496">
        <f t="shared" si="8"/>
        <v>126.666666666667</v>
      </c>
      <c r="U28" s="498">
        <f t="shared" si="15"/>
        <v>353.333333333333</v>
      </c>
      <c r="V28" s="496">
        <f t="shared" si="0"/>
        <v>209.7816</v>
      </c>
      <c r="W28" s="499">
        <f t="shared" si="12"/>
        <v>26.3387978142077</v>
      </c>
      <c r="X28" s="497">
        <f t="shared" si="1"/>
        <v>831.810713296903</v>
      </c>
    </row>
    <row r="29" s="484" customFormat="1" ht="24" customHeight="1" spans="1:24">
      <c r="A29" s="493">
        <v>27</v>
      </c>
      <c r="B29" s="37" t="s">
        <v>127</v>
      </c>
      <c r="C29" s="122" t="s">
        <v>129</v>
      </c>
      <c r="D29" s="361">
        <f t="shared" si="14"/>
        <v>46201</v>
      </c>
      <c r="E29" s="495">
        <f>COUNTIFS(磅单!E:E,B:B,磅单!B:B,D:D)</f>
        <v>1</v>
      </c>
      <c r="F29" s="496">
        <f>SUMIFS(磅单!L:L,磅单!F:F,B:B,磅单!B:B,D:D)</f>
        <v>37.72</v>
      </c>
      <c r="G29" s="496">
        <f>SUMIFS(磅单!O:O,磅单!F:F,B29,磅单!B:B,D29)</f>
        <v>2864.96</v>
      </c>
      <c r="H29" s="496">
        <f>SUMIFS(磅单!P:P,磅单!F:F,B:B,磅单!B:B,D:D)</f>
        <v>15</v>
      </c>
      <c r="I29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29,平远充电站!A:A,D29)</f>
        <v>303.94</v>
      </c>
      <c r="J29" s="496">
        <f>SUMIFS(付款明细!G:G,付款明细!D:D,B:B,付款明细!A:A,D:D,付款明细!B:B,J28)</f>
        <v>0</v>
      </c>
      <c r="K29" s="496">
        <f>SUMIFS(轮胎!H:H,轮胎!C:C,B:B,轮胎!A:A,D:D)</f>
        <v>0</v>
      </c>
      <c r="L29" s="496">
        <v>0</v>
      </c>
      <c r="M29" s="496">
        <f>SUMIFS(维修费!E:E,维修费!C:C,B:B,维修费!A:A,D:D)</f>
        <v>0</v>
      </c>
      <c r="N29" s="496">
        <f>SUMIFS(磅单!R:R,磅单!F:F,B:B,磅单!B:B,D:D)</f>
        <v>800</v>
      </c>
      <c r="O29" s="496">
        <v>0</v>
      </c>
      <c r="P29" s="497">
        <f>SUMIFS(付款明细!G:G,付款明细!D:D,B:B,付款明细!A:A,D:D,付款明细!B:B,"车队-罚款")</f>
        <v>0</v>
      </c>
      <c r="Q29" s="497">
        <f>SUMIFS(付款明细!G:G,付款明细!D:D,B:B,付款明细!A:A,D:D,付款明细!B:B,"车辆费用")</f>
        <v>0</v>
      </c>
      <c r="R29" s="496">
        <f>SUMIFS(付款明细!G:G,付款明细!A:A,D:D,付款明细!B:B,"综合费用")/61</f>
        <v>0</v>
      </c>
      <c r="S29" s="496">
        <f t="shared" si="13"/>
        <v>88.8888888888889</v>
      </c>
      <c r="T29" s="496">
        <f t="shared" si="8"/>
        <v>126.666666666667</v>
      </c>
      <c r="U29" s="498">
        <f t="shared" si="15"/>
        <v>353.333333333333</v>
      </c>
      <c r="V29" s="496">
        <f t="shared" si="0"/>
        <v>200.5472</v>
      </c>
      <c r="W29" s="499">
        <f t="shared" si="12"/>
        <v>26.3387978142077</v>
      </c>
      <c r="X29" s="497">
        <f t="shared" si="1"/>
        <v>950.245113296903</v>
      </c>
    </row>
    <row r="30" s="484" customFormat="1" ht="24" customHeight="1" spans="1:24">
      <c r="A30" s="493">
        <v>28</v>
      </c>
      <c r="B30" s="37" t="s">
        <v>130</v>
      </c>
      <c r="C30" s="122" t="s">
        <v>131</v>
      </c>
      <c r="D30" s="361">
        <f t="shared" si="14"/>
        <v>46201</v>
      </c>
      <c r="E30" s="495">
        <f>COUNTIFS(磅单!E:E,B:B,磅单!B:B,D:D)</f>
        <v>0</v>
      </c>
      <c r="F30" s="496">
        <f>SUMIFS(磅单!L:L,磅单!F:F,B:B,磅单!B:B,D:D)</f>
        <v>0</v>
      </c>
      <c r="G30" s="496">
        <f>SUMIFS(磅单!O:O,磅单!F:F,B30,磅单!B:B,D30)</f>
        <v>0</v>
      </c>
      <c r="H30" s="496">
        <f>SUMIFS(磅单!P:P,磅单!F:F,B:B,磅单!B:B,D:D)</f>
        <v>0</v>
      </c>
      <c r="I30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30,平远充电站!A:A,D30)</f>
        <v>979.71</v>
      </c>
      <c r="J30" s="496">
        <f>SUMIFS(付款明细!G:G,付款明细!D:D,B:B,付款明细!A:A,D:D,付款明细!B:B,J29)</f>
        <v>0</v>
      </c>
      <c r="K30" s="496">
        <f>SUMIFS(轮胎!H:H,轮胎!C:C,B:B,轮胎!A:A,D:D)</f>
        <v>0</v>
      </c>
      <c r="L30" s="496">
        <v>0</v>
      </c>
      <c r="M30" s="496">
        <f>SUMIFS(维修费!E:E,维修费!C:C,B:B,维修费!A:A,D:D)</f>
        <v>0</v>
      </c>
      <c r="N30" s="496">
        <f>SUMIFS(磅单!R:R,磅单!F:F,B:B,磅单!B:B,D:D)</f>
        <v>0</v>
      </c>
      <c r="O30" s="496">
        <v>0</v>
      </c>
      <c r="P30" s="497">
        <f>SUMIFS(付款明细!G:G,付款明细!D:D,B:B,付款明细!A:A,D:D,付款明细!B:B,"车队-罚款")</f>
        <v>0</v>
      </c>
      <c r="Q30" s="497">
        <f>SUMIFS(付款明细!G:G,付款明细!D:D,B:B,付款明细!A:A,D:D,付款明细!B:B,"车辆费用")</f>
        <v>0</v>
      </c>
      <c r="R30" s="496">
        <f>SUMIFS(付款明细!G:G,付款明细!A:A,D:D,付款明细!B:B,"综合费用")/61</f>
        <v>0</v>
      </c>
      <c r="S30" s="496">
        <f t="shared" si="13"/>
        <v>88.8888888888889</v>
      </c>
      <c r="T30" s="496">
        <f t="shared" si="8"/>
        <v>126.666666666667</v>
      </c>
      <c r="U30" s="498">
        <f t="shared" si="15"/>
        <v>353.333333333333</v>
      </c>
      <c r="V30" s="496">
        <f t="shared" si="0"/>
        <v>0</v>
      </c>
      <c r="W30" s="499">
        <f t="shared" si="12"/>
        <v>26.3387978142077</v>
      </c>
      <c r="X30" s="497">
        <f t="shared" si="1"/>
        <v>-1574.9376867031</v>
      </c>
    </row>
    <row r="31" s="484" customFormat="1" ht="24" customHeight="1" spans="1:24">
      <c r="A31" s="493">
        <v>29</v>
      </c>
      <c r="B31" s="37" t="s">
        <v>132</v>
      </c>
      <c r="C31" s="122" t="s">
        <v>134</v>
      </c>
      <c r="D31" s="361">
        <f t="shared" si="14"/>
        <v>46201</v>
      </c>
      <c r="E31" s="495">
        <f>COUNTIFS(磅单!E:E,B:B,磅单!B:B,D:D)</f>
        <v>0</v>
      </c>
      <c r="F31" s="496">
        <f>SUMIFS(磅单!L:L,磅单!F:F,B:B,磅单!B:B,D:D)</f>
        <v>0</v>
      </c>
      <c r="G31" s="496">
        <f>SUMIFS(磅单!O:O,磅单!F:F,B31,磅单!B:B,D31)</f>
        <v>0</v>
      </c>
      <c r="H31" s="496">
        <f>SUMIFS(磅单!P:P,磅单!F:F,B:B,磅单!B:B,D:D)</f>
        <v>0</v>
      </c>
      <c r="I31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31,平远充电站!A:A,D31)</f>
        <v>570.18</v>
      </c>
      <c r="J31" s="496">
        <f>SUMIFS(付款明细!G:G,付款明细!D:D,B:B,付款明细!A:A,D:D,付款明细!B:B,#REF!)</f>
        <v>0</v>
      </c>
      <c r="K31" s="496">
        <f>SUMIFS(轮胎!H:H,轮胎!C:C,B:B,轮胎!A:A,D:D)</f>
        <v>0</v>
      </c>
      <c r="L31" s="496">
        <v>0</v>
      </c>
      <c r="M31" s="496">
        <f>SUMIFS(维修费!E:E,维修费!C:C,B:B,维修费!A:A,D:D)</f>
        <v>0</v>
      </c>
      <c r="N31" s="496">
        <f>SUMIFS(磅单!R:R,磅单!F:F,B:B,磅单!B:B,D:D)</f>
        <v>0</v>
      </c>
      <c r="O31" s="496">
        <v>0</v>
      </c>
      <c r="P31" s="497">
        <f>SUMIFS(付款明细!G:G,付款明细!D:D,B:B,付款明细!A:A,D:D,付款明细!B:B,"车队-罚款")</f>
        <v>0</v>
      </c>
      <c r="Q31" s="497">
        <f>SUMIFS(付款明细!G:G,付款明细!D:D,B:B,付款明细!A:A,D:D,付款明细!B:B,"车辆费用")</f>
        <v>0</v>
      </c>
      <c r="R31" s="496">
        <f>SUMIFS(付款明细!G:G,付款明细!A:A,D:D,付款明细!B:B,"综合费用")/61</f>
        <v>0</v>
      </c>
      <c r="S31" s="496">
        <f t="shared" si="13"/>
        <v>88.8888888888889</v>
      </c>
      <c r="T31" s="496">
        <f t="shared" si="8"/>
        <v>126.666666666667</v>
      </c>
      <c r="U31" s="498">
        <f t="shared" si="15"/>
        <v>353.333333333333</v>
      </c>
      <c r="V31" s="496">
        <f t="shared" si="0"/>
        <v>0</v>
      </c>
      <c r="W31" s="499">
        <f t="shared" si="12"/>
        <v>26.3387978142077</v>
      </c>
      <c r="X31" s="497">
        <f t="shared" si="1"/>
        <v>-1165.4076867031</v>
      </c>
    </row>
    <row r="32" s="484" customFormat="1" ht="24" customHeight="1" spans="1:24">
      <c r="A32" s="493">
        <v>30</v>
      </c>
      <c r="B32" s="37" t="s">
        <v>135</v>
      </c>
      <c r="C32" s="122" t="s">
        <v>137</v>
      </c>
      <c r="D32" s="361">
        <f t="shared" si="14"/>
        <v>46201</v>
      </c>
      <c r="E32" s="495">
        <f>COUNTIFS(磅单!E:E,B:B,磅单!B:B,D:D)</f>
        <v>1</v>
      </c>
      <c r="F32" s="496">
        <f>SUMIFS(磅单!L:L,磅单!F:F,B:B,磅单!B:B,D:D)</f>
        <v>38.78</v>
      </c>
      <c r="G32" s="496">
        <f>SUMIFS(磅单!O:O,磅单!F:F,B32,磅单!B:B,D32)</f>
        <v>2898.26</v>
      </c>
      <c r="H32" s="496">
        <f>SUMIFS(磅单!P:P,磅单!F:F,B:B,磅单!B:B,D:D)</f>
        <v>15</v>
      </c>
      <c r="I32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32,平远充电站!A:A,D32)</f>
        <v>178.75</v>
      </c>
      <c r="J32" s="496">
        <f>SUMIFS(付款明细!G:G,付款明细!D:D,B:B,付款明细!A:A,D:D,付款明细!B:B,J31)</f>
        <v>0</v>
      </c>
      <c r="K32" s="496">
        <f>SUMIFS(轮胎!H:H,轮胎!C:C,B:B,轮胎!A:A,D:D)</f>
        <v>0</v>
      </c>
      <c r="L32" s="496">
        <v>0</v>
      </c>
      <c r="M32" s="496">
        <f>SUMIFS(维修费!E:E,维修费!C:C,B:B,维修费!A:A,D:D)</f>
        <v>0</v>
      </c>
      <c r="N32" s="496">
        <f>SUMIFS(磅单!R:R,磅单!F:F,B:B,磅单!B:B,D:D)</f>
        <v>800</v>
      </c>
      <c r="O32" s="496">
        <v>0</v>
      </c>
      <c r="P32" s="497">
        <f>SUMIFS(付款明细!G:G,付款明细!D:D,B:B,付款明细!A:A,D:D,付款明细!B:B,"车队-罚款")</f>
        <v>0</v>
      </c>
      <c r="Q32" s="497">
        <f>SUMIFS(付款明细!G:G,付款明细!D:D,B:B,付款明细!A:A,D:D,付款明细!B:B,"车辆费用")</f>
        <v>15</v>
      </c>
      <c r="R32" s="496">
        <f>SUMIFS(付款明细!G:G,付款明细!A:A,D:D,付款明细!B:B,"综合费用")/61</f>
        <v>0</v>
      </c>
      <c r="S32" s="496">
        <f t="shared" ref="S32:S38" si="16">32000/12/30</f>
        <v>88.8888888888889</v>
      </c>
      <c r="T32" s="496">
        <f t="shared" si="8"/>
        <v>126.666666666667</v>
      </c>
      <c r="U32" s="498">
        <f t="shared" ref="U32:U38" si="17">10600/30</f>
        <v>353.333333333333</v>
      </c>
      <c r="V32" s="496">
        <f t="shared" si="0"/>
        <v>202.8782</v>
      </c>
      <c r="W32" s="499">
        <f t="shared" si="12"/>
        <v>26.3387978142077</v>
      </c>
      <c r="X32" s="497">
        <f t="shared" si="1"/>
        <v>1091.4041132969</v>
      </c>
    </row>
    <row r="33" s="484" customFormat="1" ht="24" customHeight="1" spans="1:24">
      <c r="A33" s="493">
        <v>31</v>
      </c>
      <c r="B33" s="37" t="s">
        <v>138</v>
      </c>
      <c r="C33" s="122" t="s">
        <v>140</v>
      </c>
      <c r="D33" s="361">
        <f t="shared" si="14"/>
        <v>46201</v>
      </c>
      <c r="E33" s="495">
        <f>COUNTIFS(磅单!E:E,B:B,磅单!B:B,D:D)</f>
        <v>0</v>
      </c>
      <c r="F33" s="496">
        <f>SUMIFS(磅单!L:L,磅单!F:F,B:B,磅单!B:B,D:D)</f>
        <v>0</v>
      </c>
      <c r="G33" s="496">
        <f>SUMIFS(磅单!O:O,磅单!F:F,B33,磅单!B:B,D33)</f>
        <v>0</v>
      </c>
      <c r="H33" s="496">
        <f>SUMIFS(磅单!P:P,磅单!F:F,B:B,磅单!B:B,D:D)</f>
        <v>0</v>
      </c>
      <c r="I33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33,平远充电站!A:A,D33)</f>
        <v>346.59</v>
      </c>
      <c r="J33" s="496">
        <f>SUMIFS(付款明细!G:G,付款明细!D:D,B:B,付款明细!A:A,D:D,付款明细!B:B,J32)</f>
        <v>0</v>
      </c>
      <c r="K33" s="496">
        <f>SUMIFS(轮胎!H:H,轮胎!C:C,B:B,轮胎!A:A,D:D)</f>
        <v>0</v>
      </c>
      <c r="L33" s="496">
        <v>0</v>
      </c>
      <c r="M33" s="496">
        <f>SUMIFS(维修费!E:E,维修费!C:C,B:B,维修费!A:A,D:D)</f>
        <v>0</v>
      </c>
      <c r="N33" s="496">
        <f>SUMIFS(磅单!R:R,磅单!F:F,B:B,磅单!B:B,D:D)</f>
        <v>0</v>
      </c>
      <c r="O33" s="496">
        <v>0</v>
      </c>
      <c r="P33" s="497">
        <f>SUMIFS(付款明细!G:G,付款明细!D:D,B:B,付款明细!A:A,D:D,付款明细!B:B,"车队-罚款")</f>
        <v>0</v>
      </c>
      <c r="Q33" s="497">
        <f>SUMIFS(付款明细!G:G,付款明细!D:D,B:B,付款明细!A:A,D:D,付款明细!B:B,"车辆费用")</f>
        <v>0</v>
      </c>
      <c r="R33" s="496">
        <f>SUMIFS(付款明细!G:G,付款明细!A:A,D:D,付款明细!B:B,"综合费用")/61</f>
        <v>0</v>
      </c>
      <c r="S33" s="496">
        <f t="shared" si="16"/>
        <v>88.8888888888889</v>
      </c>
      <c r="T33" s="496"/>
      <c r="U33" s="498">
        <f t="shared" si="17"/>
        <v>353.333333333333</v>
      </c>
      <c r="V33" s="496">
        <f t="shared" si="0"/>
        <v>0</v>
      </c>
      <c r="W33" s="499">
        <f t="shared" si="12"/>
        <v>26.3387978142077</v>
      </c>
      <c r="X33" s="497">
        <f t="shared" si="1"/>
        <v>-815.15102003643</v>
      </c>
    </row>
    <row r="34" s="484" customFormat="1" ht="24" customHeight="1" spans="1:24">
      <c r="A34" s="493">
        <v>32</v>
      </c>
      <c r="B34" s="37" t="s">
        <v>141</v>
      </c>
      <c r="C34" s="122" t="s">
        <v>143</v>
      </c>
      <c r="D34" s="361">
        <f t="shared" si="14"/>
        <v>46201</v>
      </c>
      <c r="E34" s="495">
        <f>COUNTIFS(磅单!E:E,B:B,磅单!B:B,D:D)</f>
        <v>0</v>
      </c>
      <c r="F34" s="496">
        <f>SUMIFS(磅单!L:L,磅单!F:F,B:B,磅单!B:B,D:D)</f>
        <v>0</v>
      </c>
      <c r="G34" s="496">
        <f>SUMIFS(磅单!O:O,磅单!F:F,B34,磅单!B:B,D34)</f>
        <v>0</v>
      </c>
      <c r="H34" s="496">
        <f>SUMIFS(磅单!P:P,磅单!F:F,B:B,磅单!B:B,D:D)</f>
        <v>0</v>
      </c>
      <c r="I34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34,平远充电站!A:A,D34)</f>
        <v>853.93</v>
      </c>
      <c r="J34" s="496">
        <f>SUMIFS(付款明细!G:G,付款明细!D:D,B:B,付款明细!A:A,D:D,付款明细!B:B,J33)</f>
        <v>0</v>
      </c>
      <c r="K34" s="496">
        <f>SUMIFS(轮胎!H:H,轮胎!C:C,B:B,轮胎!A:A,D:D)</f>
        <v>0</v>
      </c>
      <c r="L34" s="496">
        <v>0</v>
      </c>
      <c r="M34" s="496">
        <f>SUMIFS(维修费!E:E,维修费!C:C,B:B,维修费!A:A,D:D)</f>
        <v>0</v>
      </c>
      <c r="N34" s="496">
        <f>SUMIFS(磅单!R:R,磅单!F:F,B:B,磅单!B:B,D:D)</f>
        <v>0</v>
      </c>
      <c r="O34" s="496">
        <v>0</v>
      </c>
      <c r="P34" s="497">
        <f>SUMIFS(付款明细!G:G,付款明细!D:D,B:B,付款明细!A:A,D:D,付款明细!B:B,"车队-罚款")</f>
        <v>0</v>
      </c>
      <c r="Q34" s="497">
        <f>SUMIFS(付款明细!G:G,付款明细!D:D,B:B,付款明细!A:A,D:D,付款明细!B:B,"车辆费用")</f>
        <v>0</v>
      </c>
      <c r="R34" s="496">
        <f>SUMIFS(付款明细!G:G,付款明细!A:A,D:D,付款明细!B:B,"综合费用")/61</f>
        <v>0</v>
      </c>
      <c r="S34" s="496">
        <f t="shared" si="16"/>
        <v>88.8888888888889</v>
      </c>
      <c r="T34" s="496"/>
      <c r="U34" s="498">
        <f t="shared" si="17"/>
        <v>353.333333333333</v>
      </c>
      <c r="V34" s="496">
        <f t="shared" si="0"/>
        <v>0</v>
      </c>
      <c r="W34" s="499">
        <f t="shared" ref="W34:W43" si="18">48200/30/61</f>
        <v>26.3387978142077</v>
      </c>
      <c r="X34" s="497">
        <f t="shared" si="1"/>
        <v>-1322.49102003643</v>
      </c>
    </row>
    <row r="35" s="484" customFormat="1" ht="24" customHeight="1" spans="1:24">
      <c r="A35" s="493">
        <v>33</v>
      </c>
      <c r="B35" s="37" t="s">
        <v>144</v>
      </c>
      <c r="C35" s="122" t="s">
        <v>147</v>
      </c>
      <c r="D35" s="361">
        <f t="shared" si="14"/>
        <v>46201</v>
      </c>
      <c r="E35" s="495">
        <f>COUNTIFS(磅单!E:E,B:B,磅单!B:B,D:D)</f>
        <v>1</v>
      </c>
      <c r="F35" s="496">
        <f>SUMIFS(磅单!L:L,磅单!F:F,B:B,磅单!B:B,D:D)</f>
        <v>39.9</v>
      </c>
      <c r="G35" s="496">
        <f>SUMIFS(磅单!O:O,磅单!F:F,B35,磅单!B:B,D35)</f>
        <v>2673.3</v>
      </c>
      <c r="H35" s="496">
        <f>SUMIFS(磅单!P:P,磅单!F:F,B:B,磅单!B:B,D:D)</f>
        <v>15</v>
      </c>
      <c r="I35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35,平远充电站!A:A,D35)</f>
        <v>655.74</v>
      </c>
      <c r="J35" s="496">
        <f>SUMIFS(付款明细!G:G,付款明细!D:D,B:B,付款明细!A:A,D:D,付款明细!B:B,J34)</f>
        <v>0</v>
      </c>
      <c r="K35" s="496">
        <f>SUMIFS(轮胎!H:H,轮胎!C:C,B:B,轮胎!A:A,D:D)</f>
        <v>0</v>
      </c>
      <c r="L35" s="496">
        <v>0</v>
      </c>
      <c r="M35" s="496">
        <f>SUMIFS(维修费!E:E,维修费!C:C,B:B,维修费!A:A,D:D)</f>
        <v>0</v>
      </c>
      <c r="N35" s="496">
        <f>SUMIFS(磅单!R:R,磅单!F:F,B:B,磅单!B:B,D:D)</f>
        <v>600</v>
      </c>
      <c r="O35" s="496">
        <v>0</v>
      </c>
      <c r="P35" s="497">
        <f>SUMIFS(付款明细!G:G,付款明细!D:D,B:B,付款明细!A:A,D:D,付款明细!B:B,"车队-罚款")</f>
        <v>0</v>
      </c>
      <c r="Q35" s="497">
        <f>SUMIFS(付款明细!G:G,付款明细!D:D,B:B,付款明细!A:A,D:D,付款明细!B:B,"车辆费用")</f>
        <v>0</v>
      </c>
      <c r="R35" s="496">
        <f>SUMIFS(付款明细!G:G,付款明细!A:A,D:D,付款明细!B:B,"综合费用")/61</f>
        <v>0</v>
      </c>
      <c r="S35" s="496">
        <f t="shared" si="16"/>
        <v>88.8888888888889</v>
      </c>
      <c r="T35" s="496"/>
      <c r="U35" s="498">
        <f t="shared" si="17"/>
        <v>353.333333333333</v>
      </c>
      <c r="V35" s="496">
        <f t="shared" si="0"/>
        <v>187.131</v>
      </c>
      <c r="W35" s="499">
        <f t="shared" si="18"/>
        <v>26.3387978142077</v>
      </c>
      <c r="X35" s="497">
        <f t="shared" si="1"/>
        <v>746.86797996357</v>
      </c>
    </row>
    <row r="36" s="484" customFormat="1" ht="24" customHeight="1" spans="1:24">
      <c r="A36" s="493">
        <v>34</v>
      </c>
      <c r="B36" s="37" t="s">
        <v>148</v>
      </c>
      <c r="C36" s="122" t="s">
        <v>150</v>
      </c>
      <c r="D36" s="361">
        <f t="shared" ref="D36:D45" si="19">$Y$2</f>
        <v>46201</v>
      </c>
      <c r="E36" s="495">
        <f>COUNTIFS(磅单!E:E,B:B,磅单!B:B,D:D)</f>
        <v>0</v>
      </c>
      <c r="F36" s="496">
        <f>SUMIFS(磅单!L:L,磅单!F:F,B:B,磅单!B:B,D:D)</f>
        <v>0</v>
      </c>
      <c r="G36" s="496">
        <f>SUMIFS(磅单!O:O,磅单!F:F,B36,磅单!B:B,D36)</f>
        <v>0</v>
      </c>
      <c r="H36" s="496">
        <f>SUMIFS(磅单!P:P,磅单!F:F,B:B,磅单!B:B,D:D)</f>
        <v>0</v>
      </c>
      <c r="I36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36,平远充电站!A:A,D36)</f>
        <v>896.89</v>
      </c>
      <c r="J36" s="496">
        <f>SUMIFS(付款明细!G:G,付款明细!D:D,B:B,付款明细!A:A,D:D,付款明细!B:B,J35)</f>
        <v>0</v>
      </c>
      <c r="K36" s="496">
        <f>SUMIFS(轮胎!H:H,轮胎!C:C,B:B,轮胎!A:A,D:D)</f>
        <v>0</v>
      </c>
      <c r="L36" s="496">
        <v>0</v>
      </c>
      <c r="M36" s="496">
        <f>SUMIFS(维修费!E:E,维修费!C:C,B:B,维修费!A:A,D:D)</f>
        <v>0</v>
      </c>
      <c r="N36" s="496">
        <f>SUMIFS(磅单!R:R,磅单!F:F,B:B,磅单!B:B,D:D)</f>
        <v>0</v>
      </c>
      <c r="O36" s="496">
        <v>0</v>
      </c>
      <c r="P36" s="497">
        <f>SUMIFS(付款明细!G:G,付款明细!D:D,B:B,付款明细!A:A,D:D,付款明细!B:B,"车队-罚款")</f>
        <v>0</v>
      </c>
      <c r="Q36" s="497">
        <f>SUMIFS(付款明细!G:G,付款明细!D:D,B:B,付款明细!A:A,D:D,付款明细!B:B,"车辆费用")</f>
        <v>0</v>
      </c>
      <c r="R36" s="496">
        <f>SUMIFS(付款明细!G:G,付款明细!A:A,D:D,付款明细!B:B,"综合费用")/61</f>
        <v>0</v>
      </c>
      <c r="S36" s="496">
        <f t="shared" si="16"/>
        <v>88.8888888888889</v>
      </c>
      <c r="T36" s="496"/>
      <c r="U36" s="498">
        <f t="shared" si="17"/>
        <v>353.333333333333</v>
      </c>
      <c r="V36" s="496">
        <f t="shared" si="0"/>
        <v>0</v>
      </c>
      <c r="W36" s="499">
        <f t="shared" si="18"/>
        <v>26.3387978142077</v>
      </c>
      <c r="X36" s="497">
        <f t="shared" si="1"/>
        <v>-1365.45102003643</v>
      </c>
    </row>
    <row r="37" s="484" customFormat="1" ht="24" customHeight="1" spans="1:24">
      <c r="A37" s="493">
        <v>35</v>
      </c>
      <c r="B37" s="37" t="s">
        <v>151</v>
      </c>
      <c r="C37" s="122" t="s">
        <v>153</v>
      </c>
      <c r="D37" s="361">
        <f t="shared" si="19"/>
        <v>46201</v>
      </c>
      <c r="E37" s="495">
        <f>COUNTIFS(磅单!E:E,B:B,磅单!B:B,D:D)</f>
        <v>0</v>
      </c>
      <c r="F37" s="496">
        <f>SUMIFS(磅单!L:L,磅单!F:F,B:B,磅单!B:B,D:D)</f>
        <v>0</v>
      </c>
      <c r="G37" s="496">
        <f>SUMIFS(磅单!O:O,磅单!F:F,B37,磅单!B:B,D37)</f>
        <v>0</v>
      </c>
      <c r="H37" s="496">
        <f>SUMIFS(磅单!P:P,磅单!F:F,B:B,磅单!B:B,D:D)</f>
        <v>0</v>
      </c>
      <c r="I37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37,平远充电站!A:A,D37)</f>
        <v>763.11</v>
      </c>
      <c r="J37" s="496">
        <f>SUMIFS(付款明细!G:G,付款明细!D:D,B:B,付款明细!A:A,D:D,付款明细!B:B,J36)</f>
        <v>0</v>
      </c>
      <c r="K37" s="496">
        <f>SUMIFS(轮胎!H:H,轮胎!C:C,B:B,轮胎!A:A,D:D)</f>
        <v>0</v>
      </c>
      <c r="L37" s="496">
        <v>0</v>
      </c>
      <c r="M37" s="496">
        <f>SUMIFS(维修费!E:E,维修费!C:C,B:B,维修费!A:A,D:D)</f>
        <v>0</v>
      </c>
      <c r="N37" s="496">
        <f>SUMIFS(磅单!R:R,磅单!F:F,B:B,磅单!B:B,D:D)</f>
        <v>0</v>
      </c>
      <c r="O37" s="496">
        <v>0</v>
      </c>
      <c r="P37" s="497">
        <f>SUMIFS(付款明细!G:G,付款明细!D:D,B:B,付款明细!A:A,D:D,付款明细!B:B,"车队-罚款")</f>
        <v>0</v>
      </c>
      <c r="Q37" s="497">
        <f>SUMIFS(付款明细!G:G,付款明细!D:D,B:B,付款明细!A:A,D:D,付款明细!B:B,"车辆费用")</f>
        <v>0</v>
      </c>
      <c r="R37" s="496">
        <f>SUMIFS(付款明细!G:G,付款明细!A:A,D:D,付款明细!B:B,"综合费用")/61</f>
        <v>0</v>
      </c>
      <c r="S37" s="496">
        <f t="shared" si="16"/>
        <v>88.8888888888889</v>
      </c>
      <c r="T37" s="496"/>
      <c r="U37" s="498">
        <f t="shared" si="17"/>
        <v>353.333333333333</v>
      </c>
      <c r="V37" s="496">
        <f t="shared" si="0"/>
        <v>0</v>
      </c>
      <c r="W37" s="499">
        <f t="shared" si="18"/>
        <v>26.3387978142077</v>
      </c>
      <c r="X37" s="497">
        <f t="shared" si="1"/>
        <v>-1231.67102003643</v>
      </c>
    </row>
    <row r="38" s="484" customFormat="1" ht="24" customHeight="1" spans="1:24">
      <c r="A38" s="493">
        <v>36</v>
      </c>
      <c r="B38" s="37" t="s">
        <v>154</v>
      </c>
      <c r="C38" s="122" t="s">
        <v>156</v>
      </c>
      <c r="D38" s="361">
        <f t="shared" si="19"/>
        <v>46201</v>
      </c>
      <c r="E38" s="495">
        <f>COUNTIFS(磅单!E:E,B:B,磅单!B:B,D:D)</f>
        <v>1</v>
      </c>
      <c r="F38" s="496">
        <f>SUMIFS(磅单!L:L,磅单!F:F,B:B,磅单!B:B,D:D)</f>
        <v>42.02</v>
      </c>
      <c r="G38" s="496">
        <f>SUMIFS(磅单!O:O,磅单!F:F,B38,磅单!B:B,D38)</f>
        <v>2563.22</v>
      </c>
      <c r="H38" s="496">
        <f>SUMIFS(磅单!P:P,磅单!F:F,B:B,磅单!B:B,D:D)</f>
        <v>15</v>
      </c>
      <c r="I38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38,平远充电站!A:A,D38)</f>
        <v>0</v>
      </c>
      <c r="J38" s="496">
        <f>SUMIFS(付款明细!G:G,付款明细!D:D,B:B,付款明细!A:A,D:D,付款明细!B:B,J37)</f>
        <v>0</v>
      </c>
      <c r="K38" s="496">
        <f>SUMIFS(轮胎!H:H,轮胎!C:C,B:B,轮胎!A:A,D:D)</f>
        <v>0</v>
      </c>
      <c r="L38" s="496">
        <v>0</v>
      </c>
      <c r="M38" s="496">
        <f>SUMIFS(维修费!E:E,维修费!C:C,B:B,维修费!A:A,D:D)</f>
        <v>0</v>
      </c>
      <c r="N38" s="496">
        <f>SUMIFS(磅单!R:R,磅单!F:F,B:B,磅单!B:B,D:D)</f>
        <v>600</v>
      </c>
      <c r="O38" s="496">
        <v>0</v>
      </c>
      <c r="P38" s="497">
        <f>SUMIFS(付款明细!G:G,付款明细!D:D,B:B,付款明细!A:A,D:D,付款明细!B:B,"车队-罚款")</f>
        <v>0</v>
      </c>
      <c r="Q38" s="497">
        <f>SUMIFS(付款明细!G:G,付款明细!D:D,B:B,付款明细!A:A,D:D,付款明细!B:B,"车辆费用")</f>
        <v>30</v>
      </c>
      <c r="R38" s="496">
        <f>SUMIFS(付款明细!G:G,付款明细!A:A,D:D,付款明细!B:B,"综合费用")/61</f>
        <v>0</v>
      </c>
      <c r="S38" s="496">
        <f t="shared" si="16"/>
        <v>88.8888888888889</v>
      </c>
      <c r="T38" s="496"/>
      <c r="U38" s="498">
        <f t="shared" si="17"/>
        <v>353.333333333333</v>
      </c>
      <c r="V38" s="496">
        <f t="shared" si="0"/>
        <v>179.4254</v>
      </c>
      <c r="W38" s="499">
        <f t="shared" si="18"/>
        <v>26.3387978142077</v>
      </c>
      <c r="X38" s="497">
        <f t="shared" si="1"/>
        <v>1270.23357996357</v>
      </c>
    </row>
    <row r="39" s="484" customFormat="1" ht="24" customHeight="1" spans="1:24">
      <c r="A39" s="493">
        <v>37</v>
      </c>
      <c r="B39" s="37" t="s">
        <v>338</v>
      </c>
      <c r="C39" s="122" t="s">
        <v>159</v>
      </c>
      <c r="D39" s="361">
        <f t="shared" si="19"/>
        <v>46201</v>
      </c>
      <c r="E39" s="495">
        <f>COUNTIFS(磅单!E:E,B:B,磅单!B:B,D:D)</f>
        <v>0</v>
      </c>
      <c r="F39" s="496">
        <f>SUMIFS(磅单!L:L,磅单!F:F,B:B,磅单!B:B,D:D)</f>
        <v>0</v>
      </c>
      <c r="G39" s="496">
        <f>SUMIFS(磅单!O:O,磅单!F:F,B39,磅单!B:B,D39)</f>
        <v>0</v>
      </c>
      <c r="H39" s="496">
        <f>SUMIFS(磅单!P:P,磅单!F:F,B:B,磅单!B:B,D:D)</f>
        <v>0</v>
      </c>
      <c r="I39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39,平远充电站!A:A,D39)</f>
        <v>0</v>
      </c>
      <c r="J39" s="496">
        <f>SUMIFS(付款明细!G:G,付款明细!D:D,B:B,付款明细!A:A,D:D,付款明细!B:B,J38)</f>
        <v>0</v>
      </c>
      <c r="K39" s="496">
        <f>SUMIFS(轮胎!H:H,轮胎!C:C,B:B,轮胎!A:A,D:D)</f>
        <v>0</v>
      </c>
      <c r="L39" s="496">
        <v>0</v>
      </c>
      <c r="M39" s="496">
        <f>SUMIFS(维修费!E:E,维修费!C:C,B:B,维修费!A:A,D:D)</f>
        <v>0</v>
      </c>
      <c r="N39" s="496">
        <f>SUMIFS(磅单!R:R,磅单!F:F,B:B,磅单!B:B,D:D)</f>
        <v>0</v>
      </c>
      <c r="O39" s="496">
        <v>0</v>
      </c>
      <c r="P39" s="497">
        <f>SUMIFS(付款明细!G:G,付款明细!D:D,B:B,付款明细!A:A,D:D,付款明细!B:B,"车队-罚款")</f>
        <v>0</v>
      </c>
      <c r="Q39" s="497">
        <f>SUMIFS(付款明细!G:G,付款明细!D:D,B:B,付款明细!A:A,D:D,付款明细!B:B,"车辆费用")</f>
        <v>0</v>
      </c>
      <c r="R39" s="496">
        <f>SUMIFS(付款明细!G:G,付款明细!A:A,D:D,付款明细!B:B,"综合费用")/61</f>
        <v>0</v>
      </c>
      <c r="S39" s="496">
        <f t="shared" ref="S39:S47" si="20">32000/12/30</f>
        <v>88.8888888888889</v>
      </c>
      <c r="T39" s="496"/>
      <c r="U39" s="498">
        <f t="shared" ref="U39:U47" si="21">10600/30</f>
        <v>353.333333333333</v>
      </c>
      <c r="V39" s="496">
        <f t="shared" si="0"/>
        <v>0</v>
      </c>
      <c r="W39" s="499">
        <f t="shared" si="18"/>
        <v>26.3387978142077</v>
      </c>
      <c r="X39" s="497">
        <f t="shared" si="1"/>
        <v>-468.56102003643</v>
      </c>
    </row>
    <row r="40" s="484" customFormat="1" ht="24" customHeight="1" spans="1:24">
      <c r="A40" s="493">
        <v>38</v>
      </c>
      <c r="B40" s="37" t="s">
        <v>160</v>
      </c>
      <c r="C40" s="122" t="s">
        <v>162</v>
      </c>
      <c r="D40" s="361">
        <f t="shared" si="19"/>
        <v>46201</v>
      </c>
      <c r="E40" s="495">
        <f>COUNTIFS(磅单!E:E,B:B,磅单!B:B,D:D)</f>
        <v>0</v>
      </c>
      <c r="F40" s="496">
        <f>SUMIFS(磅单!L:L,磅单!F:F,B:B,磅单!B:B,D:D)</f>
        <v>0</v>
      </c>
      <c r="G40" s="496">
        <f>SUMIFS(磅单!O:O,磅单!F:F,B40,磅单!B:B,D40)</f>
        <v>0</v>
      </c>
      <c r="H40" s="496">
        <f>SUMIFS(磅单!P:P,磅单!F:F,B:B,磅单!B:B,D:D)</f>
        <v>0</v>
      </c>
      <c r="I40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40,平远充电站!A:A,D40)</f>
        <v>282.3</v>
      </c>
      <c r="J40" s="496">
        <f>SUMIFS(付款明细!G:G,付款明细!D:D,B:B,付款明细!A:A,D:D,付款明细!B:B,J39)</f>
        <v>0</v>
      </c>
      <c r="K40" s="496">
        <f>SUMIFS(轮胎!H:H,轮胎!C:C,B:B,轮胎!A:A,D:D)</f>
        <v>0</v>
      </c>
      <c r="L40" s="496">
        <v>0</v>
      </c>
      <c r="M40" s="496">
        <f>SUMIFS(维修费!E:E,维修费!C:C,B:B,维修费!A:A,D:D)</f>
        <v>0</v>
      </c>
      <c r="N40" s="496">
        <f>SUMIFS(磅单!R:R,磅单!F:F,B:B,磅单!B:B,D:D)</f>
        <v>0</v>
      </c>
      <c r="O40" s="496">
        <v>0</v>
      </c>
      <c r="P40" s="497">
        <f>SUMIFS(付款明细!G:G,付款明细!D:D,B:B,付款明细!A:A,D:D,付款明细!B:B,"车队-罚款")</f>
        <v>0</v>
      </c>
      <c r="Q40" s="497">
        <f>SUMIFS(付款明细!G:G,付款明细!D:D,B:B,付款明细!A:A,D:D,付款明细!B:B,"车辆费用")</f>
        <v>0</v>
      </c>
      <c r="R40" s="496">
        <f>SUMIFS(付款明细!G:G,付款明细!A:A,D:D,付款明细!B:B,"综合费用")/61</f>
        <v>0</v>
      </c>
      <c r="S40" s="496">
        <f t="shared" si="20"/>
        <v>88.8888888888889</v>
      </c>
      <c r="T40" s="496"/>
      <c r="U40" s="498">
        <f t="shared" si="21"/>
        <v>353.333333333333</v>
      </c>
      <c r="V40" s="496">
        <f t="shared" si="0"/>
        <v>0</v>
      </c>
      <c r="W40" s="499">
        <f t="shared" si="18"/>
        <v>26.3387978142077</v>
      </c>
      <c r="X40" s="497">
        <f t="shared" si="1"/>
        <v>-750.86102003643</v>
      </c>
    </row>
    <row r="41" s="484" customFormat="1" ht="24" customHeight="1" spans="1:24">
      <c r="A41" s="493">
        <v>39</v>
      </c>
      <c r="B41" s="37" t="s">
        <v>163</v>
      </c>
      <c r="C41" s="122" t="s">
        <v>165</v>
      </c>
      <c r="D41" s="361">
        <f t="shared" si="19"/>
        <v>46201</v>
      </c>
      <c r="E41" s="495">
        <f>COUNTIFS(磅单!E:E,B:B,磅单!B:B,D:D)</f>
        <v>0</v>
      </c>
      <c r="F41" s="496">
        <f>SUMIFS(磅单!L:L,磅单!F:F,B:B,磅单!B:B,D:D)</f>
        <v>0</v>
      </c>
      <c r="G41" s="496">
        <f>SUMIFS(磅单!O:O,磅单!F:F,B41,磅单!B:B,D41)</f>
        <v>0</v>
      </c>
      <c r="H41" s="496">
        <f>SUMIFS(磅单!P:P,磅单!F:F,B:B,磅单!B:B,D:D)</f>
        <v>0</v>
      </c>
      <c r="I41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41,平远充电站!A:A,D41)</f>
        <v>214.2</v>
      </c>
      <c r="J41" s="496">
        <f>SUMIFS(付款明细!G:G,付款明细!D:D,B:B,付款明细!A:A,D:D,付款明细!B:B,J40)</f>
        <v>0</v>
      </c>
      <c r="K41" s="496">
        <f>SUMIFS(轮胎!H:H,轮胎!C:C,B:B,轮胎!A:A,D:D)</f>
        <v>0</v>
      </c>
      <c r="L41" s="496">
        <v>0</v>
      </c>
      <c r="M41" s="496">
        <f>SUMIFS(维修费!E:E,维修费!C:C,B:B,维修费!A:A,D:D)</f>
        <v>0</v>
      </c>
      <c r="N41" s="496">
        <f>SUMIFS(磅单!R:R,磅单!F:F,B:B,磅单!B:B,D:D)</f>
        <v>0</v>
      </c>
      <c r="O41" s="496">
        <v>0</v>
      </c>
      <c r="P41" s="497">
        <f>SUMIFS(付款明细!G:G,付款明细!D:D,B:B,付款明细!A:A,D:D,付款明细!B:B,"车队-罚款")</f>
        <v>0</v>
      </c>
      <c r="Q41" s="497">
        <f>SUMIFS(付款明细!G:G,付款明细!D:D,B:B,付款明细!A:A,D:D,付款明细!B:B,"车辆费用")</f>
        <v>0</v>
      </c>
      <c r="R41" s="496">
        <f>SUMIFS(付款明细!G:G,付款明细!A:A,D:D,付款明细!B:B,"综合费用")/61</f>
        <v>0</v>
      </c>
      <c r="S41" s="496">
        <f t="shared" si="20"/>
        <v>88.8888888888889</v>
      </c>
      <c r="T41" s="496"/>
      <c r="U41" s="498">
        <f t="shared" si="21"/>
        <v>353.333333333333</v>
      </c>
      <c r="V41" s="496">
        <f t="shared" si="0"/>
        <v>0</v>
      </c>
      <c r="W41" s="499">
        <f t="shared" si="18"/>
        <v>26.3387978142077</v>
      </c>
      <c r="X41" s="497">
        <f t="shared" si="1"/>
        <v>-682.76102003643</v>
      </c>
    </row>
    <row r="42" s="484" customFormat="1" ht="24" customHeight="1" spans="1:24">
      <c r="A42" s="493">
        <v>40</v>
      </c>
      <c r="B42" s="37" t="s">
        <v>166</v>
      </c>
      <c r="C42" s="122" t="s">
        <v>168</v>
      </c>
      <c r="D42" s="361">
        <f t="shared" si="19"/>
        <v>46201</v>
      </c>
      <c r="E42" s="495">
        <f>COUNTIFS(磅单!E:E,B:B,磅单!B:B,D:D)</f>
        <v>0</v>
      </c>
      <c r="F42" s="496">
        <f>SUMIFS(磅单!L:L,磅单!F:F,B:B,磅单!B:B,D:D)</f>
        <v>0</v>
      </c>
      <c r="G42" s="496">
        <f>SUMIFS(磅单!O:O,磅单!F:F,B42,磅单!B:B,D42)</f>
        <v>0</v>
      </c>
      <c r="H42" s="496">
        <f>SUMIFS(磅单!P:P,磅单!F:F,B:B,磅单!B:B,D:D)</f>
        <v>0</v>
      </c>
      <c r="I42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42,平远充电站!A:A,D42)</f>
        <v>210.15</v>
      </c>
      <c r="J42" s="496">
        <f>SUMIFS(付款明细!G:G,付款明细!D:D,B:B,付款明细!A:A,D:D,付款明细!B:B,J41)</f>
        <v>0</v>
      </c>
      <c r="K42" s="496">
        <f>SUMIFS(轮胎!H:H,轮胎!C:C,B:B,轮胎!A:A,D:D)</f>
        <v>0</v>
      </c>
      <c r="L42" s="496">
        <v>0</v>
      </c>
      <c r="M42" s="496">
        <f>SUMIFS(维修费!E:E,维修费!C:C,B:B,维修费!A:A,D:D)</f>
        <v>0</v>
      </c>
      <c r="N42" s="496">
        <f>SUMIFS(磅单!R:R,磅单!F:F,B:B,磅单!B:B,D:D)</f>
        <v>0</v>
      </c>
      <c r="O42" s="496">
        <v>0</v>
      </c>
      <c r="P42" s="497">
        <f>SUMIFS(付款明细!G:G,付款明细!D:D,B:B,付款明细!A:A,D:D,付款明细!B:B,"车队-罚款")</f>
        <v>0</v>
      </c>
      <c r="Q42" s="497">
        <f>SUMIFS(付款明细!G:G,付款明细!D:D,B:B,付款明细!A:A,D:D,付款明细!B:B,"车辆费用")</f>
        <v>0</v>
      </c>
      <c r="R42" s="496">
        <f>SUMIFS(付款明细!G:G,付款明细!A:A,D:D,付款明细!B:B,"综合费用")/61</f>
        <v>0</v>
      </c>
      <c r="S42" s="496">
        <f t="shared" si="20"/>
        <v>88.8888888888889</v>
      </c>
      <c r="T42" s="496"/>
      <c r="U42" s="498">
        <f t="shared" si="21"/>
        <v>353.333333333333</v>
      </c>
      <c r="V42" s="496">
        <f t="shared" si="0"/>
        <v>0</v>
      </c>
      <c r="W42" s="499">
        <f t="shared" si="18"/>
        <v>26.3387978142077</v>
      </c>
      <c r="X42" s="497">
        <f t="shared" si="1"/>
        <v>-678.71102003643</v>
      </c>
    </row>
    <row r="43" s="484" customFormat="1" ht="24" customHeight="1" spans="1:24">
      <c r="A43" s="493">
        <v>41</v>
      </c>
      <c r="B43" s="37" t="s">
        <v>339</v>
      </c>
      <c r="C43" s="122" t="s">
        <v>171</v>
      </c>
      <c r="D43" s="361">
        <f t="shared" si="19"/>
        <v>46201</v>
      </c>
      <c r="E43" s="495">
        <f>COUNTIFS(磅单!E:E,B:B,磅单!B:B,D:D)</f>
        <v>1</v>
      </c>
      <c r="F43" s="496">
        <f>SUMIFS(磅单!L:L,磅单!F:F,B:B,磅单!B:B,D:D)</f>
        <v>41.76</v>
      </c>
      <c r="G43" s="496">
        <f>SUMIFS(磅单!O:O,磅单!F:F,B43,磅单!B:B,D43)</f>
        <v>2797.92</v>
      </c>
      <c r="H43" s="496">
        <f>SUMIFS(磅单!P:P,磅单!F:F,B:B,磅单!B:B,D:D)</f>
        <v>15</v>
      </c>
      <c r="I43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43,平远充电站!A:A,D43)</f>
        <v>219.75</v>
      </c>
      <c r="J43" s="496">
        <f>SUMIFS(付款明细!G:G,付款明细!D:D,B:B,付款明细!A:A,D:D,付款明细!B:B,J42)</f>
        <v>0</v>
      </c>
      <c r="K43" s="496">
        <f>SUMIFS(轮胎!H:H,轮胎!C:C,B:B,轮胎!A:A,D:D)</f>
        <v>0</v>
      </c>
      <c r="L43" s="496">
        <v>0</v>
      </c>
      <c r="M43" s="496">
        <f>SUMIFS(维修费!E:E,维修费!C:C,B:B,维修费!A:A,D:D)</f>
        <v>0</v>
      </c>
      <c r="N43" s="496">
        <f>SUMIFS(磅单!R:R,磅单!F:F,B:B,磅单!B:B,D:D)</f>
        <v>600</v>
      </c>
      <c r="O43" s="496">
        <v>0</v>
      </c>
      <c r="P43" s="497">
        <f>SUMIFS(付款明细!G:G,付款明细!D:D,B:B,付款明细!A:A,D:D,付款明细!B:B,"车队-罚款")</f>
        <v>0</v>
      </c>
      <c r="Q43" s="497">
        <f>SUMIFS(付款明细!G:G,付款明细!D:D,B:B,付款明细!A:A,D:D,付款明细!B:B,"车辆费用")</f>
        <v>0</v>
      </c>
      <c r="R43" s="496">
        <f>SUMIFS(付款明细!G:G,付款明细!A:A,D:D,付款明细!B:B,"综合费用")/61</f>
        <v>0</v>
      </c>
      <c r="S43" s="496">
        <f t="shared" si="20"/>
        <v>88.8888888888889</v>
      </c>
      <c r="T43" s="496"/>
      <c r="U43" s="498"/>
      <c r="V43" s="496">
        <f t="shared" si="0"/>
        <v>195.8544</v>
      </c>
      <c r="W43" s="499">
        <f t="shared" si="18"/>
        <v>26.3387978142077</v>
      </c>
      <c r="X43" s="497">
        <f t="shared" si="1"/>
        <v>1652.0879132969</v>
      </c>
    </row>
    <row r="44" s="484" customFormat="1" ht="24" customHeight="1" spans="1:24">
      <c r="A44" s="493">
        <v>42</v>
      </c>
      <c r="B44" s="37" t="s">
        <v>172</v>
      </c>
      <c r="C44" s="122"/>
      <c r="D44" s="361">
        <f t="shared" si="19"/>
        <v>46201</v>
      </c>
      <c r="E44" s="495">
        <f>COUNTIFS(磅单!E:E,B:B,磅单!B:B,D:D)</f>
        <v>0</v>
      </c>
      <c r="F44" s="496">
        <f>SUMIFS(磅单!L:L,磅单!F:F,B:B,磅单!B:B,D:D)</f>
        <v>0</v>
      </c>
      <c r="G44" s="496">
        <f>SUMIFS(磅单!O:O,磅单!F:F,B44,磅单!B:B,D44)</f>
        <v>0</v>
      </c>
      <c r="H44" s="496">
        <f>SUMIFS(磅单!P:P,磅单!F:F,B:B,磅单!B:B,D:D)</f>
        <v>0</v>
      </c>
      <c r="I44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44,平远充电站!A:A,D44)</f>
        <v>0</v>
      </c>
      <c r="J44" s="496">
        <f>SUMIFS(付款明细!G:G,付款明细!D:D,B:B,付款明细!A:A,D:D,付款明细!B:B,J43)</f>
        <v>0</v>
      </c>
      <c r="K44" s="496">
        <f>SUMIFS(轮胎!H:H,轮胎!C:C,B:B,轮胎!A:A,D:D)</f>
        <v>0</v>
      </c>
      <c r="L44" s="496">
        <v>0</v>
      </c>
      <c r="M44" s="496">
        <f>SUMIFS(维修费!E:E,维修费!C:C,B:B,维修费!A:A,D:D)</f>
        <v>0</v>
      </c>
      <c r="N44" s="496">
        <f>SUMIFS(磅单!R:R,磅单!F:F,B:B,磅单!B:B,D:D)</f>
        <v>0</v>
      </c>
      <c r="O44" s="496">
        <v>0</v>
      </c>
      <c r="P44" s="497">
        <f>SUMIFS(付款明细!G:G,付款明细!D:D,B:B,付款明细!A:A,D:D,付款明细!B:B,"车队-罚款")</f>
        <v>0</v>
      </c>
      <c r="Q44" s="497">
        <f>SUMIFS(付款明细!G:G,付款明细!D:D,B:B,付款明细!A:A,D:D,付款明细!B:B,"车辆费用")</f>
        <v>0</v>
      </c>
      <c r="R44" s="496">
        <f>SUMIFS(付款明细!G:G,付款明细!A:A,D:D,付款明细!B:B,"综合费用")/61</f>
        <v>0</v>
      </c>
      <c r="S44" s="496">
        <f t="shared" si="20"/>
        <v>88.8888888888889</v>
      </c>
      <c r="T44" s="496"/>
      <c r="U44" s="498"/>
      <c r="V44" s="496">
        <f t="shared" si="0"/>
        <v>0</v>
      </c>
      <c r="W44" s="499">
        <f t="shared" ref="W44:W53" si="22">48200/30/61</f>
        <v>26.3387978142077</v>
      </c>
      <c r="X44" s="497">
        <f t="shared" si="1"/>
        <v>-115.227686703097</v>
      </c>
    </row>
    <row r="45" s="484" customFormat="1" ht="24" customHeight="1" spans="1:24">
      <c r="A45" s="493">
        <v>43</v>
      </c>
      <c r="B45" s="164" t="s">
        <v>174</v>
      </c>
      <c r="C45" s="122" t="s">
        <v>176</v>
      </c>
      <c r="D45" s="361">
        <f t="shared" si="19"/>
        <v>46201</v>
      </c>
      <c r="E45" s="495">
        <f>COUNTIFS(磅单!E:E,B:B,磅单!B:B,D:D)</f>
        <v>0</v>
      </c>
      <c r="F45" s="496">
        <f>SUMIFS(磅单!L:L,磅单!F:F,B:B,磅单!B:B,D:D)</f>
        <v>0</v>
      </c>
      <c r="G45" s="496">
        <f>SUMIFS(磅单!O:O,磅单!F:F,B45,磅单!B:B,D45)</f>
        <v>0</v>
      </c>
      <c r="H45" s="496">
        <f>SUMIFS(磅单!P:P,磅单!F:F,B:B,磅单!B:B,D:D)</f>
        <v>0</v>
      </c>
      <c r="I45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45,平远充电站!A:A,D45)</f>
        <v>863.1136</v>
      </c>
      <c r="J45" s="496">
        <f>SUMIFS(付款明细!G:G,付款明细!D:D,B:B,付款明细!A:A,D:D,付款明细!B:B,J44)</f>
        <v>0</v>
      </c>
      <c r="K45" s="496">
        <f>SUMIFS(轮胎!H:H,轮胎!C:C,B:B,轮胎!A:A,D:D)</f>
        <v>0</v>
      </c>
      <c r="L45" s="496">
        <v>0</v>
      </c>
      <c r="M45" s="496">
        <f>SUMIFS(维修费!E:E,维修费!C:C,B:B,维修费!A:A,D:D)</f>
        <v>0</v>
      </c>
      <c r="N45" s="496">
        <f>SUMIFS(磅单!R:R,磅单!F:F,B:B,磅单!B:B,D:D)</f>
        <v>0</v>
      </c>
      <c r="O45" s="496">
        <v>0</v>
      </c>
      <c r="P45" s="497">
        <f>SUMIFS(付款明细!G:G,付款明细!D:D,B:B,付款明细!A:A,D:D,付款明细!B:B,"车队-罚款")</f>
        <v>0</v>
      </c>
      <c r="Q45" s="497">
        <f>SUMIFS(付款明细!G:G,付款明细!D:D,B:B,付款明细!A:A,D:D,付款明细!B:B,"车辆费用")</f>
        <v>0</v>
      </c>
      <c r="R45" s="496">
        <f>SUMIFS(付款明细!G:G,付款明细!A:A,D:D,付款明细!B:B,"综合费用")/61</f>
        <v>0</v>
      </c>
      <c r="S45" s="496">
        <f t="shared" si="20"/>
        <v>88.8888888888889</v>
      </c>
      <c r="T45" s="496"/>
      <c r="U45" s="498"/>
      <c r="V45" s="496">
        <f t="shared" si="0"/>
        <v>0</v>
      </c>
      <c r="W45" s="499">
        <f t="shared" si="22"/>
        <v>26.3387978142077</v>
      </c>
      <c r="X45" s="497">
        <f t="shared" si="1"/>
        <v>-978.341286703097</v>
      </c>
    </row>
    <row r="46" s="484" customFormat="1" ht="24" customHeight="1" spans="1:24">
      <c r="A46" s="493">
        <v>44</v>
      </c>
      <c r="B46" s="164" t="s">
        <v>177</v>
      </c>
      <c r="C46" s="122" t="s">
        <v>179</v>
      </c>
      <c r="D46" s="361">
        <f t="shared" ref="D46:D55" si="23">$Y$2</f>
        <v>46201</v>
      </c>
      <c r="E46" s="495">
        <f>COUNTIFS(磅单!E:E,B:B,磅单!B:B,D:D)</f>
        <v>0</v>
      </c>
      <c r="F46" s="496">
        <f>SUMIFS(磅单!L:L,磅单!F:F,B:B,磅单!B:B,D:D)</f>
        <v>0</v>
      </c>
      <c r="G46" s="496">
        <f>SUMIFS(磅单!O:O,磅单!F:F,B46,磅单!B:B,D46)</f>
        <v>0</v>
      </c>
      <c r="H46" s="496">
        <f>SUMIFS(磅单!P:P,磅单!F:F,B:B,磅单!B:B,D:D)</f>
        <v>0</v>
      </c>
      <c r="I46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46,平远充电站!A:A,D46)</f>
        <v>440.42</v>
      </c>
      <c r="J46" s="496">
        <f>SUMIFS(付款明细!G:G,付款明细!D:D,B:B,付款明细!A:A,D:D,付款明细!B:B,J45)</f>
        <v>0</v>
      </c>
      <c r="K46" s="496">
        <f>SUMIFS(轮胎!H:H,轮胎!C:C,B:B,轮胎!A:A,D:D)</f>
        <v>0</v>
      </c>
      <c r="L46" s="496">
        <v>0</v>
      </c>
      <c r="M46" s="496">
        <f>SUMIFS(维修费!E:E,维修费!C:C,B:B,维修费!A:A,D:D)</f>
        <v>0</v>
      </c>
      <c r="N46" s="496">
        <f>SUMIFS(磅单!R:R,磅单!F:F,B:B,磅单!B:B,D:D)</f>
        <v>0</v>
      </c>
      <c r="O46" s="496">
        <v>0</v>
      </c>
      <c r="P46" s="497">
        <f>SUMIFS(付款明细!G:G,付款明细!D:D,B:B,付款明细!A:A,D:D,付款明细!B:B,"车队-罚款")</f>
        <v>0</v>
      </c>
      <c r="Q46" s="497">
        <f>SUMIFS(付款明细!G:G,付款明细!D:D,B:B,付款明细!A:A,D:D,付款明细!B:B,"车辆费用")</f>
        <v>0</v>
      </c>
      <c r="R46" s="496">
        <f>SUMIFS(付款明细!G:G,付款明细!A:A,D:D,付款明细!B:B,"综合费用")/61</f>
        <v>0</v>
      </c>
      <c r="S46" s="496">
        <f t="shared" si="20"/>
        <v>88.8888888888889</v>
      </c>
      <c r="T46" s="496"/>
      <c r="U46" s="498"/>
      <c r="V46" s="496">
        <f t="shared" si="0"/>
        <v>0</v>
      </c>
      <c r="W46" s="499">
        <f t="shared" si="22"/>
        <v>26.3387978142077</v>
      </c>
      <c r="X46" s="497">
        <f t="shared" si="1"/>
        <v>-555.647686703097</v>
      </c>
    </row>
    <row r="47" s="484" customFormat="1" ht="24" customHeight="1" spans="1:24">
      <c r="A47" s="493">
        <v>45</v>
      </c>
      <c r="B47" s="502" t="s">
        <v>180</v>
      </c>
      <c r="C47" s="122" t="s">
        <v>182</v>
      </c>
      <c r="D47" s="361">
        <f t="shared" si="23"/>
        <v>46201</v>
      </c>
      <c r="E47" s="495">
        <f>COUNTIFS(磅单!E:E,B:B,磅单!B:B,D:D)</f>
        <v>0</v>
      </c>
      <c r="F47" s="496">
        <f>SUMIFS(磅单!L:L,磅单!F:F,B:B,磅单!B:B,D:D)</f>
        <v>0</v>
      </c>
      <c r="G47" s="496">
        <f>SUMIFS(磅单!O:O,磅单!F:F,B47,磅单!B:B,D47)</f>
        <v>0</v>
      </c>
      <c r="H47" s="496">
        <f>SUMIFS(磅单!P:P,磅单!F:F,B:B,磅单!B:B,D:D)</f>
        <v>0</v>
      </c>
      <c r="I47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47,平远充电站!A:A,D47)</f>
        <v>140.22</v>
      </c>
      <c r="J47" s="496">
        <f>SUMIFS(付款明细!G:G,付款明细!D:D,B:B,付款明细!A:A,D:D,付款明细!B:B,J46)</f>
        <v>0</v>
      </c>
      <c r="K47" s="496">
        <f>SUMIFS(轮胎!H:H,轮胎!C:C,B:B,轮胎!A:A,D:D)</f>
        <v>0</v>
      </c>
      <c r="L47" s="496">
        <v>0</v>
      </c>
      <c r="M47" s="496">
        <f>SUMIFS(维修费!E:E,维修费!C:C,B:B,维修费!A:A,D:D)</f>
        <v>0</v>
      </c>
      <c r="N47" s="496">
        <f>SUMIFS(磅单!R:R,磅单!F:F,B:B,磅单!B:B,D:D)</f>
        <v>0</v>
      </c>
      <c r="O47" s="496">
        <v>0</v>
      </c>
      <c r="P47" s="497">
        <f>SUMIFS(付款明细!G:G,付款明细!D:D,B:B,付款明细!A:A,D:D,付款明细!B:B,"车队-罚款")</f>
        <v>0</v>
      </c>
      <c r="Q47" s="497">
        <f>SUMIFS(付款明细!G:G,付款明细!D:D,B:B,付款明细!A:A,D:D,付款明细!B:B,"车辆费用")</f>
        <v>0</v>
      </c>
      <c r="R47" s="496">
        <f>SUMIFS(付款明细!G:G,付款明细!A:A,D:D,付款明细!B:B,"综合费用")/61</f>
        <v>0</v>
      </c>
      <c r="S47" s="496">
        <f t="shared" si="20"/>
        <v>88.8888888888889</v>
      </c>
      <c r="T47" s="496"/>
      <c r="U47" s="498"/>
      <c r="V47" s="496">
        <f t="shared" si="0"/>
        <v>0</v>
      </c>
      <c r="W47" s="499">
        <f t="shared" si="22"/>
        <v>26.3387978142077</v>
      </c>
      <c r="X47" s="497">
        <f t="shared" si="1"/>
        <v>-255.447686703097</v>
      </c>
    </row>
    <row r="48" s="484" customFormat="1" ht="24" customHeight="1" spans="1:24">
      <c r="A48" s="493">
        <v>46</v>
      </c>
      <c r="B48" s="164" t="s">
        <v>183</v>
      </c>
      <c r="C48" s="122" t="s">
        <v>185</v>
      </c>
      <c r="D48" s="361">
        <f t="shared" si="23"/>
        <v>46201</v>
      </c>
      <c r="E48" s="495">
        <f>COUNTIFS(磅单!E:E,B:B,磅单!B:B,D:D)</f>
        <v>0</v>
      </c>
      <c r="F48" s="496">
        <f>SUMIFS(磅单!L:L,磅单!F:F,B:B,磅单!B:B,D:D)</f>
        <v>0</v>
      </c>
      <c r="G48" s="496">
        <f>SUMIFS(磅单!O:O,磅单!F:F,B48,磅单!B:B,D48)</f>
        <v>0</v>
      </c>
      <c r="H48" s="496">
        <f>SUMIFS(磅单!P:P,磅单!F:F,B:B,磅单!B:B,D:D)</f>
        <v>0</v>
      </c>
      <c r="I48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48,平远充电站!A:A,D48)</f>
        <v>975.17</v>
      </c>
      <c r="J48" s="496">
        <f>SUMIFS(付款明细!G:G,付款明细!D:D,B:B,付款明细!A:A,D:D,付款明细!B:B,J47)</f>
        <v>0</v>
      </c>
      <c r="K48" s="496">
        <f>SUMIFS(轮胎!H:H,轮胎!C:C,B:B,轮胎!A:A,D:D)</f>
        <v>0</v>
      </c>
      <c r="L48" s="496">
        <v>0</v>
      </c>
      <c r="M48" s="496">
        <f>SUMIFS(维修费!E:E,维修费!C:C,B:B,维修费!A:A,D:D)</f>
        <v>0</v>
      </c>
      <c r="N48" s="496">
        <f>SUMIFS(磅单!R:R,磅单!F:F,B:B,磅单!B:B,D:D)</f>
        <v>0</v>
      </c>
      <c r="O48" s="496">
        <v>0</v>
      </c>
      <c r="P48" s="497">
        <f>SUMIFS(付款明细!G:G,付款明细!D:D,B:B,付款明细!A:A,D:D,付款明细!B:B,"车队-罚款")</f>
        <v>0</v>
      </c>
      <c r="Q48" s="497">
        <f>SUMIFS(付款明细!G:G,付款明细!D:D,B:B,付款明细!A:A,D:D,付款明细!B:B,"车辆费用")</f>
        <v>0</v>
      </c>
      <c r="R48" s="496">
        <f>SUMIFS(付款明细!G:G,付款明细!A:A,D:D,付款明细!B:B,"综合费用")/61</f>
        <v>0</v>
      </c>
      <c r="S48" s="496">
        <f t="shared" ref="S48:S57" si="24">32000/12/30</f>
        <v>88.8888888888889</v>
      </c>
      <c r="T48" s="496"/>
      <c r="U48" s="498"/>
      <c r="V48" s="496">
        <f t="shared" si="0"/>
        <v>0</v>
      </c>
      <c r="W48" s="499">
        <f t="shared" si="22"/>
        <v>26.3387978142077</v>
      </c>
      <c r="X48" s="497">
        <f t="shared" si="1"/>
        <v>-1090.3976867031</v>
      </c>
    </row>
    <row r="49" s="484" customFormat="1" ht="24" customHeight="1" spans="1:24">
      <c r="A49" s="493">
        <v>47</v>
      </c>
      <c r="B49" s="83" t="s">
        <v>186</v>
      </c>
      <c r="C49" s="122" t="s">
        <v>188</v>
      </c>
      <c r="D49" s="361">
        <f t="shared" si="23"/>
        <v>46201</v>
      </c>
      <c r="E49" s="495">
        <f>COUNTIFS(磅单!E:E,B:B,磅单!B:B,D:D)</f>
        <v>1</v>
      </c>
      <c r="F49" s="496">
        <f>SUMIFS(磅单!L:L,磅单!F:F,B:B,磅单!B:B,D:D)</f>
        <v>43.6</v>
      </c>
      <c r="G49" s="496">
        <f>SUMIFS(磅单!O:O,磅单!F:F,B49,磅单!B:B,D49)</f>
        <v>2921.2</v>
      </c>
      <c r="H49" s="496">
        <f>SUMIFS(磅单!P:P,磅单!F:F,B:B,磅单!B:B,D:D)</f>
        <v>15</v>
      </c>
      <c r="I49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49,平远充电站!A:A,D49)</f>
        <v>726.74</v>
      </c>
      <c r="J49" s="496">
        <f>SUMIFS(付款明细!G:G,付款明细!D:D,B:B,付款明细!A:A,D:D,付款明细!B:B,J48)</f>
        <v>0</v>
      </c>
      <c r="K49" s="496">
        <f>SUMIFS(轮胎!H:H,轮胎!C:C,B:B,轮胎!A:A,D:D)</f>
        <v>0</v>
      </c>
      <c r="L49" s="496">
        <v>0</v>
      </c>
      <c r="M49" s="496">
        <f>SUMIFS(维修费!E:E,维修费!C:C,B:B,维修费!A:A,D:D)</f>
        <v>0</v>
      </c>
      <c r="N49" s="496">
        <f>SUMIFS(磅单!R:R,磅单!F:F,B:B,磅单!B:B,D:D)</f>
        <v>600</v>
      </c>
      <c r="O49" s="496">
        <v>0</v>
      </c>
      <c r="P49" s="497">
        <f>SUMIFS(付款明细!G:G,付款明细!D:D,B:B,付款明细!A:A,D:D,付款明细!B:B,"车队-罚款")</f>
        <v>0</v>
      </c>
      <c r="Q49" s="497">
        <f>SUMIFS(付款明细!G:G,付款明细!D:D,B:B,付款明细!A:A,D:D,付款明细!B:B,"车辆费用")</f>
        <v>0</v>
      </c>
      <c r="R49" s="496">
        <f>SUMIFS(付款明细!G:G,付款明细!A:A,D:D,付款明细!B:B,"综合费用")/61</f>
        <v>0</v>
      </c>
      <c r="S49" s="496">
        <f t="shared" si="24"/>
        <v>88.8888888888889</v>
      </c>
      <c r="T49" s="496"/>
      <c r="U49" s="498"/>
      <c r="V49" s="496">
        <f t="shared" si="0"/>
        <v>204.484</v>
      </c>
      <c r="W49" s="499">
        <f t="shared" si="22"/>
        <v>26.3387978142077</v>
      </c>
      <c r="X49" s="497">
        <f t="shared" si="1"/>
        <v>1259.7483132969</v>
      </c>
    </row>
    <row r="50" s="484" customFormat="1" ht="24" customHeight="1" spans="1:24">
      <c r="A50" s="493">
        <v>48</v>
      </c>
      <c r="B50" s="83" t="s">
        <v>189</v>
      </c>
      <c r="C50" s="122" t="s">
        <v>191</v>
      </c>
      <c r="D50" s="361">
        <f t="shared" si="23"/>
        <v>46201</v>
      </c>
      <c r="E50" s="495">
        <f>COUNTIFS(磅单!E:E,B:B,磅单!B:B,D:D)</f>
        <v>0</v>
      </c>
      <c r="F50" s="496">
        <f>SUMIFS(磅单!L:L,磅单!F:F,B:B,磅单!B:B,D:D)</f>
        <v>0</v>
      </c>
      <c r="G50" s="496">
        <f>SUMIFS(磅单!O:O,磅单!F:F,B50,磅单!B:B,D50)</f>
        <v>0</v>
      </c>
      <c r="H50" s="496">
        <f>SUMIFS(磅单!P:P,磅单!F:F,B:B,磅单!B:B,D:D)</f>
        <v>0</v>
      </c>
      <c r="I50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50,平远充电站!A:A,D50)</f>
        <v>753.24</v>
      </c>
      <c r="J50" s="496">
        <f>SUMIFS(付款明细!G:G,付款明细!D:D,B:B,付款明细!A:A,D:D,付款明细!B:B,J49)</f>
        <v>0</v>
      </c>
      <c r="K50" s="496">
        <f>SUMIFS(轮胎!H:H,轮胎!C:C,B:B,轮胎!A:A,D:D)</f>
        <v>0</v>
      </c>
      <c r="L50" s="496">
        <v>0</v>
      </c>
      <c r="M50" s="496">
        <f>SUMIFS(维修费!E:E,维修费!C:C,B:B,维修费!A:A,D:D)</f>
        <v>0</v>
      </c>
      <c r="N50" s="496">
        <f>SUMIFS(磅单!R:R,磅单!F:F,B:B,磅单!B:B,D:D)</f>
        <v>0</v>
      </c>
      <c r="O50" s="496">
        <v>0</v>
      </c>
      <c r="P50" s="497">
        <f>SUMIFS(付款明细!G:G,付款明细!D:D,B:B,付款明细!A:A,D:D,付款明细!B:B,"车队-罚款")</f>
        <v>0</v>
      </c>
      <c r="Q50" s="497">
        <f>SUMIFS(付款明细!G:G,付款明细!D:D,B:B,付款明细!A:A,D:D,付款明细!B:B,"车辆费用")</f>
        <v>0</v>
      </c>
      <c r="R50" s="496">
        <f>SUMIFS(付款明细!G:G,付款明细!A:A,D:D,付款明细!B:B,"综合费用")/61</f>
        <v>0</v>
      </c>
      <c r="S50" s="496">
        <f t="shared" si="24"/>
        <v>88.8888888888889</v>
      </c>
      <c r="T50" s="496"/>
      <c r="U50" s="498"/>
      <c r="V50" s="496">
        <f t="shared" si="0"/>
        <v>0</v>
      </c>
      <c r="W50" s="499">
        <f t="shared" si="22"/>
        <v>26.3387978142077</v>
      </c>
      <c r="X50" s="497">
        <f t="shared" si="1"/>
        <v>-868.467686703097</v>
      </c>
    </row>
    <row r="51" s="484" customFormat="1" ht="24" customHeight="1" spans="1:24">
      <c r="A51" s="493">
        <v>49</v>
      </c>
      <c r="B51" s="83" t="s">
        <v>192</v>
      </c>
      <c r="C51" s="122" t="s">
        <v>194</v>
      </c>
      <c r="D51" s="361">
        <f t="shared" si="23"/>
        <v>46201</v>
      </c>
      <c r="E51" s="495">
        <f>COUNTIFS(磅单!E:E,B:B,磅单!B:B,D:D)</f>
        <v>1</v>
      </c>
      <c r="F51" s="496">
        <f>SUMIFS(磅单!L:L,磅单!F:F,B:B,磅单!B:B,D:D)</f>
        <v>43.8</v>
      </c>
      <c r="G51" s="496">
        <f>SUMIFS(磅单!O:O,磅单!F:F,B51,磅单!B:B,D51)</f>
        <v>2934.6</v>
      </c>
      <c r="H51" s="496">
        <f>SUMIFS(磅单!P:P,磅单!F:F,B:B,磅单!B:B,D:D)</f>
        <v>15</v>
      </c>
      <c r="I51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51,平远充电站!A:A,D51)</f>
        <v>448.27</v>
      </c>
      <c r="J51" s="496">
        <f>SUMIFS(付款明细!G:G,付款明细!D:D,B:B,付款明细!A:A,D:D,付款明细!B:B,J50)</f>
        <v>0</v>
      </c>
      <c r="K51" s="496">
        <f>SUMIFS(轮胎!H:H,轮胎!C:C,B:B,轮胎!A:A,D:D)</f>
        <v>0</v>
      </c>
      <c r="L51" s="496">
        <v>0</v>
      </c>
      <c r="M51" s="496">
        <f>SUMIFS(维修费!E:E,维修费!C:C,B:B,维修费!A:A,D:D)</f>
        <v>0</v>
      </c>
      <c r="N51" s="496">
        <f>SUMIFS(磅单!R:R,磅单!F:F,B:B,磅单!B:B,D:D)</f>
        <v>600</v>
      </c>
      <c r="O51" s="496">
        <v>0</v>
      </c>
      <c r="P51" s="497">
        <f>SUMIFS(付款明细!G:G,付款明细!D:D,B:B,付款明细!A:A,D:D,付款明细!B:B,"车队-罚款")</f>
        <v>0</v>
      </c>
      <c r="Q51" s="497">
        <f>SUMIFS(付款明细!G:G,付款明细!D:D,B:B,付款明细!A:A,D:D,付款明细!B:B,"车辆费用")</f>
        <v>0</v>
      </c>
      <c r="R51" s="496">
        <f>SUMIFS(付款明细!G:G,付款明细!A:A,D:D,付款明细!B:B,"综合费用")/61</f>
        <v>0</v>
      </c>
      <c r="S51" s="496">
        <f t="shared" si="24"/>
        <v>88.8888888888889</v>
      </c>
      <c r="T51" s="496"/>
      <c r="U51" s="498"/>
      <c r="V51" s="496">
        <f t="shared" si="0"/>
        <v>205.422</v>
      </c>
      <c r="W51" s="499">
        <f t="shared" si="22"/>
        <v>26.3387978142077</v>
      </c>
      <c r="X51" s="497">
        <f t="shared" si="1"/>
        <v>1550.6803132969</v>
      </c>
    </row>
    <row r="52" s="484" customFormat="1" ht="24" customHeight="1" spans="1:24">
      <c r="A52" s="493">
        <v>50</v>
      </c>
      <c r="B52" s="83" t="s">
        <v>195</v>
      </c>
      <c r="C52" s="122" t="s">
        <v>197</v>
      </c>
      <c r="D52" s="361">
        <f t="shared" si="23"/>
        <v>46201</v>
      </c>
      <c r="E52" s="495">
        <f>COUNTIFS(磅单!E:E,B:B,磅单!B:B,D:D)</f>
        <v>0</v>
      </c>
      <c r="F52" s="496">
        <f>SUMIFS(磅单!L:L,磅单!F:F,B:B,磅单!B:B,D:D)</f>
        <v>0</v>
      </c>
      <c r="G52" s="496">
        <f>SUMIFS(磅单!O:O,磅单!F:F,B52,磅单!B:B,D52)</f>
        <v>0</v>
      </c>
      <c r="H52" s="496">
        <f>SUMIFS(磅单!P:P,磅单!F:F,B:B,磅单!B:B,D:D)</f>
        <v>0</v>
      </c>
      <c r="I52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52,平远充电站!A:A,D52)</f>
        <v>0</v>
      </c>
      <c r="J52" s="496">
        <f>SUMIFS(付款明细!G:G,付款明细!D:D,B:B,付款明细!A:A,D:D,付款明细!B:B,J51)</f>
        <v>0</v>
      </c>
      <c r="K52" s="496">
        <f>SUMIFS(轮胎!H:H,轮胎!C:C,B:B,轮胎!A:A,D:D)</f>
        <v>0</v>
      </c>
      <c r="L52" s="496">
        <v>0</v>
      </c>
      <c r="M52" s="496">
        <f>SUMIFS(维修费!E:E,维修费!C:C,B:B,维修费!A:A,D:D)</f>
        <v>0</v>
      </c>
      <c r="N52" s="496">
        <f>SUMIFS(磅单!R:R,磅单!F:F,B:B,磅单!B:B,D:D)</f>
        <v>0</v>
      </c>
      <c r="O52" s="496">
        <v>0</v>
      </c>
      <c r="P52" s="497">
        <f>SUMIFS(付款明细!G:G,付款明细!D:D,B:B,付款明细!A:A,D:D,付款明细!B:B,"车队-罚款")</f>
        <v>0</v>
      </c>
      <c r="Q52" s="497">
        <f>SUMIFS(付款明细!G:G,付款明细!D:D,B:B,付款明细!A:A,D:D,付款明细!B:B,"车辆费用")</f>
        <v>0</v>
      </c>
      <c r="R52" s="496">
        <f>SUMIFS(付款明细!G:G,付款明细!A:A,D:D,付款明细!B:B,"综合费用")/61</f>
        <v>0</v>
      </c>
      <c r="S52" s="496">
        <f t="shared" si="24"/>
        <v>88.8888888888889</v>
      </c>
      <c r="T52" s="496"/>
      <c r="U52" s="498"/>
      <c r="V52" s="496">
        <f t="shared" si="0"/>
        <v>0</v>
      </c>
      <c r="W52" s="499">
        <f t="shared" si="22"/>
        <v>26.3387978142077</v>
      </c>
      <c r="X52" s="497">
        <f t="shared" si="1"/>
        <v>-115.227686703097</v>
      </c>
    </row>
    <row r="53" s="484" customFormat="1" ht="24" customHeight="1" spans="1:24">
      <c r="A53" s="493">
        <v>51</v>
      </c>
      <c r="B53" s="83" t="s">
        <v>198</v>
      </c>
      <c r="C53" s="122" t="s">
        <v>200</v>
      </c>
      <c r="D53" s="361">
        <f t="shared" si="23"/>
        <v>46201</v>
      </c>
      <c r="E53" s="495">
        <f>COUNTIFS(磅单!E:E,B:B,磅单!B:B,D:D)</f>
        <v>0</v>
      </c>
      <c r="F53" s="496">
        <f>SUMIFS(磅单!L:L,磅单!F:F,B:B,磅单!B:B,D:D)</f>
        <v>0</v>
      </c>
      <c r="G53" s="496">
        <f>SUMIFS(磅单!O:O,磅单!F:F,B53,磅单!B:B,D53)</f>
        <v>0</v>
      </c>
      <c r="H53" s="496">
        <f>SUMIFS(磅单!P:P,磅单!F:F,B:B,磅单!B:B,D:D)</f>
        <v>0</v>
      </c>
      <c r="I53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53,平远充电站!A:A,D53)</f>
        <v>1172.66</v>
      </c>
      <c r="J53" s="496">
        <f>SUMIFS(付款明细!G:G,付款明细!D:D,B:B,付款明细!A:A,D:D,付款明细!B:B,J52)</f>
        <v>0</v>
      </c>
      <c r="K53" s="496">
        <f>SUMIFS(轮胎!H:H,轮胎!C:C,B:B,轮胎!A:A,D:D)</f>
        <v>0</v>
      </c>
      <c r="L53" s="496">
        <v>0</v>
      </c>
      <c r="M53" s="496">
        <f>SUMIFS(维修费!E:E,维修费!C:C,B:B,维修费!A:A,D:D)</f>
        <v>0</v>
      </c>
      <c r="N53" s="496">
        <f>SUMIFS(磅单!R:R,磅单!F:F,B:B,磅单!B:B,D:D)</f>
        <v>0</v>
      </c>
      <c r="O53" s="496">
        <v>0</v>
      </c>
      <c r="P53" s="497">
        <f>SUMIFS(付款明细!G:G,付款明细!D:D,B:B,付款明细!A:A,D:D,付款明细!B:B,"车队-罚款")</f>
        <v>0</v>
      </c>
      <c r="Q53" s="497">
        <f>SUMIFS(付款明细!G:G,付款明细!D:D,B:B,付款明细!A:A,D:D,付款明细!B:B,"车辆费用")</f>
        <v>0</v>
      </c>
      <c r="R53" s="496">
        <f>SUMIFS(付款明细!G:G,付款明细!A:A,D:D,付款明细!B:B,"综合费用")/61</f>
        <v>0</v>
      </c>
      <c r="S53" s="496">
        <f t="shared" si="24"/>
        <v>88.8888888888889</v>
      </c>
      <c r="T53" s="496"/>
      <c r="U53" s="498"/>
      <c r="V53" s="496">
        <f t="shared" si="0"/>
        <v>0</v>
      </c>
      <c r="W53" s="499">
        <f t="shared" si="22"/>
        <v>26.3387978142077</v>
      </c>
      <c r="X53" s="497">
        <f t="shared" si="1"/>
        <v>-1287.8876867031</v>
      </c>
    </row>
    <row r="54" s="484" customFormat="1" ht="24" customHeight="1" spans="1:24">
      <c r="A54" s="493">
        <v>52</v>
      </c>
      <c r="B54" s="83" t="s">
        <v>201</v>
      </c>
      <c r="C54" s="122" t="s">
        <v>203</v>
      </c>
      <c r="D54" s="361">
        <f t="shared" si="23"/>
        <v>46201</v>
      </c>
      <c r="E54" s="495">
        <f>COUNTIFS(磅单!E:E,B:B,磅单!B:B,D:D)</f>
        <v>0</v>
      </c>
      <c r="F54" s="496">
        <f>SUMIFS(磅单!L:L,磅单!F:F,B:B,磅单!B:B,D:D)</f>
        <v>0</v>
      </c>
      <c r="G54" s="496">
        <f>SUMIFS(磅单!O:O,磅单!F:F,B54,磅单!B:B,D54)</f>
        <v>0</v>
      </c>
      <c r="H54" s="496">
        <f>SUMIFS(磅单!P:P,磅单!F:F,B:B,磅单!B:B,D:D)</f>
        <v>0</v>
      </c>
      <c r="I54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54,平远充电站!A:A,D54)</f>
        <v>935.5</v>
      </c>
      <c r="J54" s="496">
        <f>SUMIFS(付款明细!G:G,付款明细!D:D,B:B,付款明细!A:A,D:D,付款明细!B:B,J53)</f>
        <v>0</v>
      </c>
      <c r="K54" s="496">
        <f>SUMIFS(轮胎!H:H,轮胎!C:C,B:B,轮胎!A:A,D:D)</f>
        <v>0</v>
      </c>
      <c r="L54" s="496">
        <v>0</v>
      </c>
      <c r="M54" s="496">
        <f>SUMIFS(维修费!E:E,维修费!C:C,B:B,维修费!A:A,D:D)</f>
        <v>0</v>
      </c>
      <c r="N54" s="496">
        <f>SUMIFS(磅单!R:R,磅单!F:F,B:B,磅单!B:B,D:D)</f>
        <v>0</v>
      </c>
      <c r="O54" s="496">
        <v>0</v>
      </c>
      <c r="P54" s="497">
        <f>SUMIFS(付款明细!G:G,付款明细!D:D,B:B,付款明细!A:A,D:D,付款明细!B:B,"车队-罚款")</f>
        <v>0</v>
      </c>
      <c r="Q54" s="497">
        <f>SUMIFS(付款明细!G:G,付款明细!D:D,B:B,付款明细!A:A,D:D,付款明细!B:B,"车辆费用")</f>
        <v>0</v>
      </c>
      <c r="R54" s="496">
        <f>SUMIFS(付款明细!G:G,付款明细!A:A,D:D,付款明细!B:B,"综合费用")/61</f>
        <v>0</v>
      </c>
      <c r="S54" s="496">
        <f t="shared" si="24"/>
        <v>88.8888888888889</v>
      </c>
      <c r="T54" s="496"/>
      <c r="U54" s="498"/>
      <c r="V54" s="496">
        <f t="shared" si="0"/>
        <v>0</v>
      </c>
      <c r="W54" s="499">
        <f t="shared" ref="W54:W63" si="25">48200/30/61</f>
        <v>26.3387978142077</v>
      </c>
      <c r="X54" s="497">
        <f t="shared" si="1"/>
        <v>-1050.7276867031</v>
      </c>
    </row>
    <row r="55" s="484" customFormat="1" ht="24" customHeight="1" spans="1:24">
      <c r="A55" s="493">
        <v>53</v>
      </c>
      <c r="B55" s="83" t="s">
        <v>204</v>
      </c>
      <c r="C55" s="122" t="s">
        <v>206</v>
      </c>
      <c r="D55" s="361">
        <f t="shared" si="23"/>
        <v>46201</v>
      </c>
      <c r="E55" s="495">
        <f>COUNTIFS(磅单!E:E,B:B,磅单!B:B,D:D)</f>
        <v>0</v>
      </c>
      <c r="F55" s="496">
        <f>SUMIFS(磅单!L:L,磅单!F:F,B:B,磅单!B:B,D:D)</f>
        <v>0</v>
      </c>
      <c r="G55" s="496">
        <f>SUMIFS(磅单!O:O,磅单!F:F,B55,磅单!B:B,D55)</f>
        <v>0</v>
      </c>
      <c r="H55" s="496">
        <f>SUMIFS(磅单!P:P,磅单!F:F,B:B,磅单!B:B,D:D)</f>
        <v>0</v>
      </c>
      <c r="I55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55,平远充电站!A:A,D55)</f>
        <v>0</v>
      </c>
      <c r="J55" s="496">
        <f>SUMIFS(付款明细!G:G,付款明细!D:D,B:B,付款明细!A:A,D:D,付款明细!B:B,J54)</f>
        <v>0</v>
      </c>
      <c r="K55" s="496">
        <f>SUMIFS(轮胎!H:H,轮胎!C:C,B:B,轮胎!A:A,D:D)</f>
        <v>0</v>
      </c>
      <c r="L55" s="496">
        <v>0</v>
      </c>
      <c r="M55" s="496">
        <f>SUMIFS(维修费!E:E,维修费!C:C,B:B,维修费!A:A,D:D)</f>
        <v>0</v>
      </c>
      <c r="N55" s="496">
        <f>SUMIFS(磅单!R:R,磅单!F:F,B:B,磅单!B:B,D:D)</f>
        <v>0</v>
      </c>
      <c r="O55" s="496">
        <v>0</v>
      </c>
      <c r="P55" s="497">
        <f>SUMIFS(付款明细!G:G,付款明细!D:D,B:B,付款明细!A:A,D:D,付款明细!B:B,"车队-罚款")</f>
        <v>0</v>
      </c>
      <c r="Q55" s="497">
        <f>SUMIFS(付款明细!G:G,付款明细!D:D,B:B,付款明细!A:A,D:D,付款明细!B:B,"车辆费用")</f>
        <v>0</v>
      </c>
      <c r="R55" s="496">
        <f>SUMIFS(付款明细!G:G,付款明细!A:A,D:D,付款明细!B:B,"综合费用")/61</f>
        <v>0</v>
      </c>
      <c r="S55" s="496">
        <f t="shared" si="24"/>
        <v>88.8888888888889</v>
      </c>
      <c r="T55" s="496"/>
      <c r="U55" s="498"/>
      <c r="V55" s="496">
        <f t="shared" si="0"/>
        <v>0</v>
      </c>
      <c r="W55" s="499">
        <f t="shared" si="25"/>
        <v>26.3387978142077</v>
      </c>
      <c r="X55" s="497">
        <f t="shared" si="1"/>
        <v>-115.227686703097</v>
      </c>
    </row>
    <row r="56" s="484" customFormat="1" ht="24" customHeight="1" spans="1:24">
      <c r="A56" s="493">
        <v>54</v>
      </c>
      <c r="B56" s="83" t="s">
        <v>207</v>
      </c>
      <c r="C56" s="122" t="s">
        <v>209</v>
      </c>
      <c r="D56" s="361">
        <f t="shared" ref="D56:D63" si="26">$Y$2</f>
        <v>46201</v>
      </c>
      <c r="E56" s="495">
        <f>COUNTIFS(磅单!E:E,B:B,磅单!B:B,D:D)</f>
        <v>0</v>
      </c>
      <c r="F56" s="496">
        <f>SUMIFS(磅单!L:L,磅单!F:F,B:B,磅单!B:B,D:D)</f>
        <v>0</v>
      </c>
      <c r="G56" s="496">
        <f>SUMIFS(磅单!O:O,磅单!F:F,B56,磅单!B:B,D56)</f>
        <v>0</v>
      </c>
      <c r="H56" s="496">
        <f>SUMIFS(磅单!P:P,磅单!F:F,B:B,磅单!B:B,D:D)</f>
        <v>0</v>
      </c>
      <c r="I56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56,平远充电站!A:A,D56)</f>
        <v>862.47</v>
      </c>
      <c r="J56" s="496">
        <f>SUMIFS(付款明细!G:G,付款明细!D:D,B:B,付款明细!A:A,D:D,付款明细!B:B,J55)</f>
        <v>0</v>
      </c>
      <c r="K56" s="496">
        <f>SUMIFS(轮胎!H:H,轮胎!C:C,B:B,轮胎!A:A,D:D)</f>
        <v>0</v>
      </c>
      <c r="L56" s="496">
        <v>0</v>
      </c>
      <c r="M56" s="496">
        <f>SUMIFS(维修费!E:E,维修费!C:C,B:B,维修费!A:A,D:D)</f>
        <v>0</v>
      </c>
      <c r="N56" s="496">
        <f>SUMIFS(磅单!R:R,磅单!F:F,B:B,磅单!B:B,D:D)</f>
        <v>0</v>
      </c>
      <c r="O56" s="496">
        <v>0</v>
      </c>
      <c r="P56" s="497">
        <f>SUMIFS(付款明细!G:G,付款明细!D:D,B:B,付款明细!A:A,D:D,付款明细!B:B,"车队-罚款")</f>
        <v>0</v>
      </c>
      <c r="Q56" s="497">
        <f>SUMIFS(付款明细!G:G,付款明细!D:D,B:B,付款明细!A:A,D:D,付款明细!B:B,"车辆费用")</f>
        <v>0</v>
      </c>
      <c r="R56" s="496">
        <f>SUMIFS(付款明细!G:G,付款明细!A:A,D:D,付款明细!B:B,"综合费用")/61</f>
        <v>0</v>
      </c>
      <c r="S56" s="496">
        <f t="shared" si="24"/>
        <v>88.8888888888889</v>
      </c>
      <c r="T56" s="496"/>
      <c r="U56" s="498"/>
      <c r="V56" s="496">
        <f t="shared" si="0"/>
        <v>0</v>
      </c>
      <c r="W56" s="499">
        <f t="shared" si="25"/>
        <v>26.3387978142077</v>
      </c>
      <c r="X56" s="497">
        <f t="shared" si="1"/>
        <v>-977.697686703097</v>
      </c>
    </row>
    <row r="57" s="484" customFormat="1" ht="24" customHeight="1" spans="1:24">
      <c r="A57" s="493">
        <v>55</v>
      </c>
      <c r="B57" s="189" t="s">
        <v>210</v>
      </c>
      <c r="C57" s="122" t="s">
        <v>212</v>
      </c>
      <c r="D57" s="361">
        <f t="shared" si="26"/>
        <v>46201</v>
      </c>
      <c r="E57" s="495">
        <f>COUNTIFS(磅单!E:E,B:B,磅单!B:B,D:D)</f>
        <v>0</v>
      </c>
      <c r="F57" s="496">
        <f>SUMIFS(磅单!L:L,磅单!F:F,B:B,磅单!B:B,D:D)</f>
        <v>0</v>
      </c>
      <c r="G57" s="496">
        <f>SUMIFS(磅单!O:O,磅单!F:F,B57,磅单!B:B,D57)</f>
        <v>0</v>
      </c>
      <c r="H57" s="496">
        <f>SUMIFS(磅单!P:P,磅单!F:F,B:B,磅单!B:B,D:D)</f>
        <v>0</v>
      </c>
      <c r="I57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57,平远充电站!A:A,D57)</f>
        <v>588.13</v>
      </c>
      <c r="J57" s="496">
        <f>SUMIFS(付款明细!G:G,付款明细!D:D,B:B,付款明细!A:A,D:D,付款明细!B:B,J56)</f>
        <v>0</v>
      </c>
      <c r="K57" s="496">
        <f>SUMIFS(轮胎!H:H,轮胎!C:C,B:B,轮胎!A:A,D:D)</f>
        <v>0</v>
      </c>
      <c r="L57" s="496">
        <v>0</v>
      </c>
      <c r="M57" s="496">
        <f>SUMIFS(维修费!E:E,维修费!C:C,B:B,维修费!A:A,D:D)</f>
        <v>0</v>
      </c>
      <c r="N57" s="496">
        <f>SUMIFS(磅单!R:R,磅单!F:F,B:B,磅单!B:B,D:D)</f>
        <v>0</v>
      </c>
      <c r="O57" s="496">
        <v>0</v>
      </c>
      <c r="P57" s="497">
        <f>SUMIFS(付款明细!G:G,付款明细!D:D,B:B,付款明细!A:A,D:D,付款明细!B:B,"车队-罚款")</f>
        <v>0</v>
      </c>
      <c r="Q57" s="497">
        <f>SUMIFS(付款明细!G:G,付款明细!D:D,B:B,付款明细!A:A,D:D,付款明细!B:B,"车辆费用")</f>
        <v>0</v>
      </c>
      <c r="R57" s="496">
        <f>SUMIFS(付款明细!G:G,付款明细!A:A,D:D,付款明细!B:B,"综合费用")/61</f>
        <v>0</v>
      </c>
      <c r="S57" s="496">
        <f t="shared" si="24"/>
        <v>88.8888888888889</v>
      </c>
      <c r="T57" s="496"/>
      <c r="U57" s="498"/>
      <c r="V57" s="496">
        <f t="shared" si="0"/>
        <v>0</v>
      </c>
      <c r="W57" s="499">
        <f t="shared" si="25"/>
        <v>26.3387978142077</v>
      </c>
      <c r="X57" s="497">
        <f t="shared" si="1"/>
        <v>-703.357686703097</v>
      </c>
    </row>
    <row r="58" s="484" customFormat="1" ht="24" customHeight="1" spans="1:24">
      <c r="A58" s="493">
        <v>56</v>
      </c>
      <c r="B58" s="189" t="s">
        <v>213</v>
      </c>
      <c r="C58" s="122" t="s">
        <v>215</v>
      </c>
      <c r="D58" s="361">
        <f t="shared" si="26"/>
        <v>46201</v>
      </c>
      <c r="E58" s="495">
        <f>COUNTIFS(磅单!E:E,B:B,磅单!B:B,D:D)</f>
        <v>0</v>
      </c>
      <c r="F58" s="496">
        <f>SUMIFS(磅单!L:L,磅单!F:F,B:B,磅单!B:B,D:D)</f>
        <v>0</v>
      </c>
      <c r="G58" s="496">
        <f>SUMIFS(磅单!O:O,磅单!F:F,B58,磅单!B:B,D58)</f>
        <v>0</v>
      </c>
      <c r="H58" s="496">
        <f>SUMIFS(磅单!P:P,磅单!F:F,B:B,磅单!B:B,D:D)</f>
        <v>0</v>
      </c>
      <c r="I58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58,平远充电站!A:A,D58)</f>
        <v>0</v>
      </c>
      <c r="J58" s="496">
        <f>SUMIFS(付款明细!G:G,付款明细!D:D,B:B,付款明细!A:A,D:D,付款明细!B:B,J57)</f>
        <v>0</v>
      </c>
      <c r="K58" s="496">
        <f>SUMIFS(轮胎!H:H,轮胎!C:C,B:B,轮胎!A:A,D:D)</f>
        <v>0</v>
      </c>
      <c r="L58" s="496">
        <v>0</v>
      </c>
      <c r="M58" s="496">
        <f>SUMIFS(维修费!E:E,维修费!C:C,B:B,维修费!A:A,D:D)</f>
        <v>0</v>
      </c>
      <c r="N58" s="496">
        <f>SUMIFS(磅单!R:R,磅单!F:F,B:B,磅单!B:B,D:D)</f>
        <v>0</v>
      </c>
      <c r="O58" s="496">
        <v>0</v>
      </c>
      <c r="P58" s="497">
        <f>SUMIFS(付款明细!G:G,付款明细!D:D,B:B,付款明细!A:A,D:D,付款明细!B:B,"车队-罚款")</f>
        <v>0</v>
      </c>
      <c r="Q58" s="497">
        <f>SUMIFS(付款明细!G:G,付款明细!D:D,B:B,付款明细!A:A,D:D,付款明细!B:B,"车辆费用")</f>
        <v>0</v>
      </c>
      <c r="R58" s="496">
        <f>SUMIFS(付款明细!G:G,付款明细!A:A,D:D,付款明细!B:B,"综合费用")/61</f>
        <v>0</v>
      </c>
      <c r="S58" s="496">
        <f t="shared" ref="S58:S63" si="27">32000/12/30</f>
        <v>88.8888888888889</v>
      </c>
      <c r="T58" s="496"/>
      <c r="U58" s="498"/>
      <c r="V58" s="496">
        <f t="shared" si="0"/>
        <v>0</v>
      </c>
      <c r="W58" s="499">
        <f t="shared" si="25"/>
        <v>26.3387978142077</v>
      </c>
      <c r="X58" s="497">
        <f t="shared" si="1"/>
        <v>-115.227686703097</v>
      </c>
    </row>
    <row r="59" s="484" customFormat="1" ht="24" customHeight="1" spans="1:24">
      <c r="A59" s="493">
        <v>57</v>
      </c>
      <c r="B59" s="503" t="s">
        <v>216</v>
      </c>
      <c r="C59" s="122" t="s">
        <v>218</v>
      </c>
      <c r="D59" s="361">
        <f t="shared" si="26"/>
        <v>46201</v>
      </c>
      <c r="E59" s="495">
        <f>COUNTIFS(磅单!E:E,B:B,磅单!B:B,D:D)</f>
        <v>0</v>
      </c>
      <c r="F59" s="496">
        <f>SUMIFS(磅单!L:L,磅单!F:F,B:B,磅单!B:B,D:D)</f>
        <v>0</v>
      </c>
      <c r="G59" s="496">
        <f>SUMIFS(磅单!O:O,磅单!F:F,B59,磅单!B:B,D59)</f>
        <v>0</v>
      </c>
      <c r="H59" s="496">
        <f>SUMIFS(磅单!P:P,磅单!F:F,B:B,磅单!B:B,D:D)</f>
        <v>0</v>
      </c>
      <c r="I59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59,平远充电站!A:A,D59)</f>
        <v>0</v>
      </c>
      <c r="J59" s="496">
        <f>SUMIFS(付款明细!G:G,付款明细!D:D,B:B,付款明细!A:A,D:D,付款明细!B:B,J58)</f>
        <v>0</v>
      </c>
      <c r="K59" s="496">
        <f>SUMIFS(轮胎!H:H,轮胎!C:C,B:B,轮胎!A:A,D:D)</f>
        <v>0</v>
      </c>
      <c r="L59" s="496">
        <v>0</v>
      </c>
      <c r="M59" s="496">
        <f>SUMIFS(维修费!E:E,维修费!C:C,B:B,维修费!A:A,D:D)</f>
        <v>0</v>
      </c>
      <c r="N59" s="496">
        <f>SUMIFS(磅单!R:R,磅单!F:F,B:B,磅单!B:B,D:D)</f>
        <v>0</v>
      </c>
      <c r="O59" s="496">
        <v>0</v>
      </c>
      <c r="P59" s="497">
        <f>SUMIFS(付款明细!G:G,付款明细!D:D,B:B,付款明细!A:A,D:D,付款明细!B:B,"车队-罚款")</f>
        <v>0</v>
      </c>
      <c r="Q59" s="497">
        <f>SUMIFS(付款明细!G:G,付款明细!D:D,B:B,付款明细!A:A,D:D,付款明细!B:B,"车辆费用")</f>
        <v>20</v>
      </c>
      <c r="R59" s="496">
        <f>SUMIFS(付款明细!G:G,付款明细!A:A,D:D,付款明细!B:B,"综合费用")/61</f>
        <v>0</v>
      </c>
      <c r="S59" s="496">
        <f t="shared" si="27"/>
        <v>88.8888888888889</v>
      </c>
      <c r="T59" s="496"/>
      <c r="U59" s="498"/>
      <c r="V59" s="496">
        <f t="shared" si="0"/>
        <v>0</v>
      </c>
      <c r="W59" s="499">
        <f t="shared" si="25"/>
        <v>26.3387978142077</v>
      </c>
      <c r="X59" s="497">
        <f t="shared" si="1"/>
        <v>-135.227686703097</v>
      </c>
    </row>
    <row r="60" s="484" customFormat="1" ht="24" customHeight="1" spans="1:24">
      <c r="A60" s="493">
        <v>58</v>
      </c>
      <c r="B60" s="503" t="s">
        <v>219</v>
      </c>
      <c r="C60" s="504" t="s">
        <v>220</v>
      </c>
      <c r="D60" s="361">
        <f t="shared" si="26"/>
        <v>46201</v>
      </c>
      <c r="E60" s="495">
        <f>COUNTIFS(磅单!E:E,B:B,磅单!B:B,D:D)</f>
        <v>0</v>
      </c>
      <c r="F60" s="496">
        <f>SUMIFS(磅单!L:L,磅单!F:F,B:B,磅单!B:B,D:D)</f>
        <v>0</v>
      </c>
      <c r="G60" s="496">
        <f>SUMIFS(磅单!O:O,磅单!F:F,B60,磅单!B:B,D60)</f>
        <v>0</v>
      </c>
      <c r="H60" s="496">
        <f>SUMIFS(磅单!P:P,磅单!F:F,B:B,磅单!B:B,D:D)</f>
        <v>0</v>
      </c>
      <c r="I60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60,平远充电站!A:A,D60)</f>
        <v>57.7524</v>
      </c>
      <c r="J60" s="496">
        <f>SUMIFS(付款明细!G:G,付款明细!D:D,B:B,付款明细!A:A,D:D,付款明细!B:B,J59)</f>
        <v>0</v>
      </c>
      <c r="K60" s="496">
        <f>SUMIFS(轮胎!H:H,轮胎!C:C,B:B,轮胎!A:A,D:D)</f>
        <v>0</v>
      </c>
      <c r="L60" s="496">
        <v>0</v>
      </c>
      <c r="M60" s="496">
        <f>SUMIFS(维修费!E:E,维修费!C:C,B:B,维修费!A:A,D:D)</f>
        <v>0</v>
      </c>
      <c r="N60" s="496">
        <f>SUMIFS(磅单!R:R,磅单!F:F,B:B,磅单!B:B,D:D)</f>
        <v>0</v>
      </c>
      <c r="O60" s="496">
        <v>0</v>
      </c>
      <c r="P60" s="497">
        <f>SUMIFS(付款明细!G:G,付款明细!D:D,B:B,付款明细!A:A,D:D,付款明细!B:B,"车队-罚款")</f>
        <v>0</v>
      </c>
      <c r="Q60" s="497">
        <f>SUMIFS(付款明细!G:G,付款明细!D:D,B:B,付款明细!A:A,D:D,付款明细!B:B,"车辆费用")</f>
        <v>0</v>
      </c>
      <c r="R60" s="496">
        <f>SUMIFS(付款明细!G:G,付款明细!A:A,D:D,付款明细!B:B,"综合费用")/61</f>
        <v>0</v>
      </c>
      <c r="S60" s="496">
        <f t="shared" si="27"/>
        <v>88.8888888888889</v>
      </c>
      <c r="T60" s="496"/>
      <c r="U60" s="498"/>
      <c r="V60" s="496">
        <f t="shared" si="0"/>
        <v>0</v>
      </c>
      <c r="W60" s="499">
        <f t="shared" si="25"/>
        <v>26.3387978142077</v>
      </c>
      <c r="X60" s="497">
        <f t="shared" si="1"/>
        <v>-172.980086703097</v>
      </c>
    </row>
    <row r="61" s="484" customFormat="1" ht="24" customHeight="1" spans="1:24">
      <c r="A61" s="493">
        <v>59</v>
      </c>
      <c r="B61" s="503" t="s">
        <v>221</v>
      </c>
      <c r="C61" s="504" t="s">
        <v>222</v>
      </c>
      <c r="D61" s="361">
        <f t="shared" si="26"/>
        <v>46201</v>
      </c>
      <c r="E61" s="495">
        <f>COUNTIFS(磅单!E:E,B:B,磅单!B:B,D:D)</f>
        <v>0</v>
      </c>
      <c r="F61" s="496">
        <f>SUMIFS(磅单!L:L,磅单!F:F,B:B,磅单!B:B,D:D)</f>
        <v>0</v>
      </c>
      <c r="G61" s="496">
        <f>SUMIFS(磅单!O:O,磅单!F:F,B61,磅单!B:B,D61)</f>
        <v>0</v>
      </c>
      <c r="H61" s="496">
        <f>SUMIFS(磅单!P:P,磅单!F:F,B:B,磅单!B:B,D:D)</f>
        <v>0</v>
      </c>
      <c r="I61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61,平远充电站!A:A,D61)</f>
        <v>244.04</v>
      </c>
      <c r="J61" s="496">
        <f>SUMIFS(付款明细!G:G,付款明细!D:D,B:B,付款明细!A:A,D:D,付款明细!B:B,J60)</f>
        <v>0</v>
      </c>
      <c r="K61" s="496">
        <f>SUMIFS(轮胎!H:H,轮胎!C:C,B:B,轮胎!A:A,D:D)</f>
        <v>0</v>
      </c>
      <c r="L61" s="496">
        <v>0</v>
      </c>
      <c r="M61" s="496">
        <f>SUMIFS(维修费!E:E,维修费!C:C,B:B,维修费!A:A,D:D)</f>
        <v>0</v>
      </c>
      <c r="N61" s="496">
        <f>SUMIFS(磅单!R:R,磅单!F:F,B:B,磅单!B:B,D:D)</f>
        <v>0</v>
      </c>
      <c r="O61" s="496">
        <v>0</v>
      </c>
      <c r="P61" s="497">
        <f>SUMIFS(付款明细!G:G,付款明细!D:D,B:B,付款明细!A:A,D:D,付款明细!B:B,"车队-罚款")</f>
        <v>0</v>
      </c>
      <c r="Q61" s="497">
        <f>SUMIFS(付款明细!G:G,付款明细!D:D,B:B,付款明细!A:A,D:D,付款明细!B:B,"车辆费用")</f>
        <v>0</v>
      </c>
      <c r="R61" s="496">
        <f>SUMIFS(付款明细!G:G,付款明细!A:A,D:D,付款明细!B:B,"综合费用")/61</f>
        <v>0</v>
      </c>
      <c r="S61" s="496">
        <f t="shared" si="27"/>
        <v>88.8888888888889</v>
      </c>
      <c r="T61" s="496"/>
      <c r="U61" s="498"/>
      <c r="V61" s="496">
        <f t="shared" si="0"/>
        <v>0</v>
      </c>
      <c r="W61" s="499">
        <f t="shared" si="25"/>
        <v>26.3387978142077</v>
      </c>
      <c r="X61" s="497">
        <f t="shared" si="1"/>
        <v>-359.267686703097</v>
      </c>
    </row>
    <row r="62" s="484" customFormat="1" ht="24" customHeight="1" spans="1:24">
      <c r="A62" s="493">
        <v>60</v>
      </c>
      <c r="B62" s="503" t="s">
        <v>223</v>
      </c>
      <c r="C62" s="504" t="s">
        <v>224</v>
      </c>
      <c r="D62" s="361">
        <f t="shared" si="26"/>
        <v>46201</v>
      </c>
      <c r="E62" s="495">
        <f>COUNTIFS(磅单!E:E,B:B,磅单!B:B,D:D)</f>
        <v>0</v>
      </c>
      <c r="F62" s="496">
        <f>SUMIFS(磅单!L:L,磅单!F:F,B:B,磅单!B:B,D:D)</f>
        <v>0</v>
      </c>
      <c r="G62" s="496">
        <f>SUMIFS(磅单!O:O,磅单!F:F,B62,磅单!B:B,D62)</f>
        <v>0</v>
      </c>
      <c r="H62" s="496">
        <f>SUMIFS(磅单!P:P,磅单!F:F,B:B,磅单!B:B,D:D)</f>
        <v>0</v>
      </c>
      <c r="I62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62,平远充电站!A:A,D62)</f>
        <v>0</v>
      </c>
      <c r="J62" s="496">
        <f>SUMIFS(付款明细!G:G,付款明细!D:D,B:B,付款明细!A:A,D:D,付款明细!B:B,J61)</f>
        <v>0</v>
      </c>
      <c r="K62" s="496">
        <f>SUMIFS(轮胎!H:H,轮胎!C:C,B:B,轮胎!A:A,D:D)</f>
        <v>0</v>
      </c>
      <c r="L62" s="496">
        <v>0</v>
      </c>
      <c r="M62" s="496">
        <f>SUMIFS(维修费!E:E,维修费!C:C,B:B,维修费!A:A,D:D)</f>
        <v>0</v>
      </c>
      <c r="N62" s="496">
        <f>SUMIFS(磅单!R:R,磅单!F:F,B:B,磅单!B:B,D:D)</f>
        <v>0</v>
      </c>
      <c r="O62" s="496">
        <v>0</v>
      </c>
      <c r="P62" s="497">
        <f>SUMIFS(付款明细!G:G,付款明细!D:D,B:B,付款明细!A:A,D:D,付款明细!B:B,"车队-罚款")</f>
        <v>0</v>
      </c>
      <c r="Q62" s="497">
        <f>SUMIFS(付款明细!G:G,付款明细!D:D,B:B,付款明细!A:A,D:D,付款明细!B:B,"车辆费用")</f>
        <v>0</v>
      </c>
      <c r="R62" s="496">
        <f>SUMIFS(付款明细!G:G,付款明细!A:A,D:D,付款明细!B:B,"综合费用")/61</f>
        <v>0</v>
      </c>
      <c r="S62" s="496">
        <f t="shared" si="27"/>
        <v>88.8888888888889</v>
      </c>
      <c r="T62" s="496"/>
      <c r="U62" s="498"/>
      <c r="V62" s="496">
        <f t="shared" si="0"/>
        <v>0</v>
      </c>
      <c r="W62" s="499">
        <f t="shared" si="25"/>
        <v>26.3387978142077</v>
      </c>
      <c r="X62" s="497">
        <f t="shared" si="1"/>
        <v>-115.227686703097</v>
      </c>
    </row>
    <row r="63" s="484" customFormat="1" ht="24" customHeight="1" spans="1:24">
      <c r="A63" s="493">
        <v>61</v>
      </c>
      <c r="B63" s="296" t="s">
        <v>225</v>
      </c>
      <c r="C63" s="504"/>
      <c r="D63" s="361">
        <f t="shared" si="26"/>
        <v>46201</v>
      </c>
      <c r="E63" s="495">
        <f>COUNTIFS(磅单!E:E,B:B,磅单!B:B,D:D)</f>
        <v>0</v>
      </c>
      <c r="F63" s="496">
        <f>SUMIFS(磅单!L:L,磅单!F:F,B:B,磅单!B:B,D:D)</f>
        <v>0</v>
      </c>
      <c r="G63" s="496">
        <f>SUMIFS(磅单!O:O,磅单!F:F,B63,磅单!B:B,D63)</f>
        <v>0</v>
      </c>
      <c r="H63" s="496">
        <f>SUMIFS(磅单!P:P,磅单!F:F,B:B,磅单!B:B,D:D)</f>
        <v>0</v>
      </c>
      <c r="I63" s="496">
        <f>SUMIFS(现金充电明细!L:L,现金充电明细!B:B,B:B,现金充电明细!A:A,D:D)+SUMIFS('华瑞-曙光，大水井，老水井充电站'!L:L,'华瑞-曙光，大水井，老水井充电站'!B:B,B:B,'华瑞-曙光，大水井，老水井充电站'!A:A,D:D)+SUMIFS('银盛-青龙坪充电站'!L:L,'银盛-青龙坪充电站'!B:B,B:B,'银盛-青龙坪充电站'!A:A,D:D)+SUMIFS('砚山锦佳-砚山充电站'!K:K,'砚山锦佳-砚山充电站'!B:B,B:B,'砚山锦佳-砚山充电站'!A:A,D:D)+SUMIFS(中石油广西百色靖西市龙临加油充电站!K:K,中石油广西百色靖西市龙临加油充电站!B:B,B:B,中石油广西百色靖西市龙临加油充电站!A:A,D:D)+SUMIFS(德保众擎充电站!L:L,德保众擎充电站!B:B,B:B,德保众擎充电站!A:A,D:D)+SUMIFS(南网八宝充电站!K:K,南网八宝充电站!B:B,B:B,南网八宝充电站!A:A,D:D)+SUMIFS(南屏充电站!K:K,南屏充电站!B:B,B:B,南屏充电站!A:A,D:D)+SUMIFS(鑫鸿充电站!K:K,鑫鸿充电站!B:B,B:B,鑫鸿充电站!A:A,D:D)+SUMIFS('锦田-百色田东充电站'!K:K,'锦田-百色田东充电站'!B:B,C:C,'锦田-百色田东充电站'!A:A,D:D)+SUMIFS(平远充电站!K:K,平远充电站!B:B,B63,平远充电站!A:A,D63)</f>
        <v>0</v>
      </c>
      <c r="J63" s="496">
        <f>SUMIFS(付款明细!G:G,付款明细!D:D,B:B,付款明细!A:A,D:D,付款明细!B:B,J62)</f>
        <v>0</v>
      </c>
      <c r="K63" s="496">
        <f>SUMIFS(轮胎!H:H,轮胎!C:C,B:B,轮胎!A:A,D:D)</f>
        <v>0</v>
      </c>
      <c r="L63" s="496">
        <v>0</v>
      </c>
      <c r="M63" s="496">
        <f>SUMIFS(维修费!E:E,维修费!C:C,B:B,维修费!A:A,D:D)</f>
        <v>0</v>
      </c>
      <c r="N63" s="496">
        <f>SUMIFS(磅单!R:R,磅单!F:F,B:B,磅单!B:B,D:D)</f>
        <v>0</v>
      </c>
      <c r="O63" s="496">
        <v>0</v>
      </c>
      <c r="P63" s="497">
        <f>SUMIFS(付款明细!G:G,付款明细!D:D,B:B,付款明细!A:A,D:D,付款明细!B:B,"车队-罚款")</f>
        <v>0</v>
      </c>
      <c r="Q63" s="497">
        <f>SUMIFS(付款明细!G:G,付款明细!D:D,B:B,付款明细!A:A,D:D,付款明细!B:B,"车辆费用")</f>
        <v>0</v>
      </c>
      <c r="R63" s="496">
        <f>SUMIFS(付款明细!G:G,付款明细!A:A,D:D,付款明细!B:B,"综合费用")/61</f>
        <v>0</v>
      </c>
      <c r="S63" s="496">
        <f t="shared" si="27"/>
        <v>88.8888888888889</v>
      </c>
      <c r="T63" s="496"/>
      <c r="U63" s="498"/>
      <c r="V63" s="496">
        <f t="shared" si="0"/>
        <v>0</v>
      </c>
      <c r="W63" s="499">
        <f t="shared" si="25"/>
        <v>26.3387978142077</v>
      </c>
      <c r="X63" s="497">
        <f t="shared" si="1"/>
        <v>-115.227686703097</v>
      </c>
    </row>
    <row r="64" s="484" customFormat="1" ht="24" customHeight="1" spans="1:24">
      <c r="A64" s="505" t="s">
        <v>238</v>
      </c>
      <c r="B64" s="505"/>
      <c r="C64" s="505"/>
      <c r="D64" s="506"/>
      <c r="E64" s="507">
        <f t="shared" ref="E64:X64" si="28">SUM(E3:E63)</f>
        <v>22</v>
      </c>
      <c r="F64" s="507">
        <f t="shared" si="28"/>
        <v>881.56</v>
      </c>
      <c r="G64" s="507">
        <f t="shared" si="28"/>
        <v>64266.5</v>
      </c>
      <c r="H64" s="507">
        <f t="shared" si="28"/>
        <v>330</v>
      </c>
      <c r="I64" s="507">
        <f t="shared" si="28"/>
        <v>25003.46</v>
      </c>
      <c r="J64" s="507">
        <f t="shared" si="28"/>
        <v>0</v>
      </c>
      <c r="K64" s="507">
        <f t="shared" si="28"/>
        <v>0</v>
      </c>
      <c r="L64" s="507">
        <f t="shared" si="28"/>
        <v>0</v>
      </c>
      <c r="M64" s="507">
        <f t="shared" si="28"/>
        <v>0</v>
      </c>
      <c r="N64" s="507">
        <f t="shared" si="28"/>
        <v>16600</v>
      </c>
      <c r="O64" s="507">
        <f t="shared" si="28"/>
        <v>0</v>
      </c>
      <c r="P64" s="507">
        <f t="shared" si="28"/>
        <v>0</v>
      </c>
      <c r="Q64" s="507">
        <f t="shared" si="28"/>
        <v>125</v>
      </c>
      <c r="R64" s="507">
        <f t="shared" si="28"/>
        <v>0</v>
      </c>
      <c r="S64" s="507">
        <f t="shared" si="28"/>
        <v>5422.22222222222</v>
      </c>
      <c r="T64" s="507">
        <f t="shared" si="28"/>
        <v>3800.00000000001</v>
      </c>
      <c r="U64" s="507">
        <f t="shared" si="28"/>
        <v>14133.3333333333</v>
      </c>
      <c r="V64" s="507">
        <f t="shared" si="28"/>
        <v>4498.655</v>
      </c>
      <c r="W64" s="507">
        <f t="shared" si="28"/>
        <v>1606.66666666667</v>
      </c>
      <c r="X64" s="507">
        <f t="shared" si="28"/>
        <v>-7252.83722222223</v>
      </c>
    </row>
  </sheetData>
  <autoFilter xmlns:etc="http://www.wps.cn/officeDocument/2017/etCustomData" ref="A2:X64" etc:filterBottomFollowUsedRange="0">
    <extLst/>
  </autoFilter>
  <mergeCells count="2">
    <mergeCell ref="A1:X1"/>
    <mergeCell ref="A64:C64"/>
  </mergeCells>
  <conditionalFormatting sqref="B23">
    <cfRule type="duplicateValues" dxfId="0" priority="11"/>
  </conditionalFormatting>
  <conditionalFormatting sqref="B24">
    <cfRule type="duplicateValues" dxfId="0" priority="10"/>
  </conditionalFormatting>
  <conditionalFormatting sqref="B30">
    <cfRule type="duplicateValues" dxfId="0" priority="7"/>
  </conditionalFormatting>
  <conditionalFormatting sqref="B31">
    <cfRule type="duplicateValues" dxfId="0" priority="6"/>
  </conditionalFormatting>
  <conditionalFormatting sqref="B47">
    <cfRule type="duplicateValues" dxfId="0" priority="2"/>
  </conditionalFormatting>
  <conditionalFormatting sqref="B48">
    <cfRule type="duplicateValues" dxfId="0" priority="1"/>
  </conditionalFormatting>
  <conditionalFormatting sqref="B18:B22">
    <cfRule type="duplicateValues" dxfId="0" priority="12"/>
  </conditionalFormatting>
  <conditionalFormatting sqref="B25:B29">
    <cfRule type="duplicateValues" dxfId="0" priority="8"/>
  </conditionalFormatting>
  <conditionalFormatting sqref="B32:B36">
    <cfRule type="duplicateValues" dxfId="0" priority="5"/>
  </conditionalFormatting>
  <conditionalFormatting sqref="B37:B44">
    <cfRule type="duplicateValues" dxfId="0" priority="4"/>
  </conditionalFormatting>
  <conditionalFormatting sqref="B45:B46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98"/>
  <sheetViews>
    <sheetView workbookViewId="0">
      <pane ySplit="1" topLeftCell="A2" activePane="bottomLeft" state="frozen"/>
      <selection/>
      <selection pane="bottomLeft" activeCell="O743" sqref="O743"/>
    </sheetView>
  </sheetViews>
  <sheetFormatPr defaultColWidth="8.89166666666667" defaultRowHeight="12"/>
  <cols>
    <col min="1" max="1" width="8.89166666666667" style="414"/>
    <col min="2" max="2" width="8.75833333333333" style="414" customWidth="1"/>
    <col min="3" max="3" width="19.875" style="414" customWidth="1"/>
    <col min="4" max="4" width="30" style="414" customWidth="1"/>
    <col min="5" max="5" width="11" style="414" customWidth="1"/>
    <col min="6" max="6" width="10.775" style="414" customWidth="1"/>
    <col min="7" max="7" width="8.89166666666667" style="414"/>
    <col min="8" max="8" width="11.225" style="414" customWidth="1"/>
    <col min="9" max="10" width="8.89166666666667" style="414"/>
    <col min="11" max="11" width="13.4416666666667" style="414" customWidth="1"/>
    <col min="12" max="12" width="8.89166666666667" style="414"/>
    <col min="13" max="13" width="9.125" style="414" customWidth="1"/>
    <col min="14" max="14" width="8.08333333333333" style="414" customWidth="1"/>
    <col min="15" max="15" width="10" style="414" customWidth="1"/>
    <col min="16" max="16" width="11.5" style="414" customWidth="1"/>
    <col min="17" max="17" width="11.875" style="414" customWidth="1"/>
    <col min="18" max="18" width="13" style="422"/>
    <col min="19" max="19" width="12.3166666666667" style="414" customWidth="1"/>
    <col min="20" max="20" width="9.66666666666667" style="422" hidden="1" customWidth="1"/>
    <col min="21" max="23" width="8.89166666666667" style="414" hidden="1" customWidth="1"/>
    <col min="24" max="16384" width="8.89166666666667" style="414"/>
  </cols>
  <sheetData>
    <row r="1" s="414" customFormat="1" ht="30" customHeight="1" spans="1:23">
      <c r="A1" s="423" t="s">
        <v>340</v>
      </c>
      <c r="B1" s="424" t="s">
        <v>341</v>
      </c>
      <c r="C1" s="425" t="s">
        <v>342</v>
      </c>
      <c r="D1" s="426" t="s">
        <v>228</v>
      </c>
      <c r="E1" s="426" t="s">
        <v>3</v>
      </c>
      <c r="F1" s="427" t="s">
        <v>3</v>
      </c>
      <c r="G1" s="427" t="s">
        <v>25</v>
      </c>
      <c r="H1" s="426" t="s">
        <v>343</v>
      </c>
      <c r="I1" s="426" t="s">
        <v>344</v>
      </c>
      <c r="J1" s="428" t="s">
        <v>345</v>
      </c>
      <c r="K1" s="428" t="s">
        <v>346</v>
      </c>
      <c r="L1" s="429" t="s">
        <v>314</v>
      </c>
      <c r="M1" s="428" t="s">
        <v>347</v>
      </c>
      <c r="N1" s="428" t="s">
        <v>348</v>
      </c>
      <c r="O1" s="430" t="s">
        <v>315</v>
      </c>
      <c r="P1" s="431" t="s">
        <v>26</v>
      </c>
      <c r="Q1" s="431" t="s">
        <v>41</v>
      </c>
      <c r="R1" s="432" t="s">
        <v>349</v>
      </c>
      <c r="S1" s="432" t="s">
        <v>256</v>
      </c>
      <c r="T1" s="433" t="s">
        <v>350</v>
      </c>
      <c r="U1" s="434" t="s">
        <v>351</v>
      </c>
      <c r="V1" s="434" t="s">
        <v>352</v>
      </c>
    </row>
    <row r="2" s="415" customFormat="1" ht="16" customHeight="1" spans="1:23">
      <c r="A2" s="435">
        <v>46173</v>
      </c>
      <c r="B2" s="435">
        <v>46174</v>
      </c>
      <c r="C2" s="6" t="s">
        <v>353</v>
      </c>
      <c r="D2" s="6" t="s">
        <v>233</v>
      </c>
      <c r="E2" s="6" t="s">
        <v>93</v>
      </c>
      <c r="F2" s="6" t="s">
        <v>93</v>
      </c>
      <c r="G2" s="6" t="s">
        <v>94</v>
      </c>
      <c r="H2" s="6" t="s">
        <v>354</v>
      </c>
      <c r="I2" s="6" t="s">
        <v>355</v>
      </c>
      <c r="J2" s="436">
        <v>39.82</v>
      </c>
      <c r="K2" s="436" t="s">
        <v>356</v>
      </c>
      <c r="L2" s="436">
        <v>39.82</v>
      </c>
      <c r="M2" s="6">
        <v>67</v>
      </c>
      <c r="N2" s="437"/>
      <c r="O2" s="438">
        <f t="shared" ref="O2:O65" si="0">L2*M2</f>
        <v>2667.94</v>
      </c>
      <c r="P2" s="438">
        <v>15</v>
      </c>
      <c r="Q2" s="438">
        <f t="shared" ref="Q2:Q65" si="1">O2*0.07</f>
        <v>186.7558</v>
      </c>
      <c r="R2" s="438">
        <v>600</v>
      </c>
      <c r="S2" s="439">
        <f t="shared" ref="S2:S65" si="2">O2-P2-R2-Q2</f>
        <v>1866.1842</v>
      </c>
      <c r="T2" s="439"/>
      <c r="U2" s="437"/>
      <c r="V2" s="437"/>
      <c r="W2" s="440">
        <v>1</v>
      </c>
    </row>
    <row r="3" s="415" customFormat="1" ht="16" customHeight="1" spans="1:23">
      <c r="A3" s="435">
        <v>46173</v>
      </c>
      <c r="B3" s="435">
        <v>46174</v>
      </c>
      <c r="C3" s="6" t="s">
        <v>357</v>
      </c>
      <c r="D3" s="6" t="s">
        <v>233</v>
      </c>
      <c r="E3" s="6" t="s">
        <v>90</v>
      </c>
      <c r="F3" s="6" t="s">
        <v>90</v>
      </c>
      <c r="G3" s="6" t="s">
        <v>91</v>
      </c>
      <c r="H3" s="6" t="s">
        <v>354</v>
      </c>
      <c r="I3" s="6" t="s">
        <v>355</v>
      </c>
      <c r="J3" s="436">
        <v>39</v>
      </c>
      <c r="K3" s="436" t="s">
        <v>356</v>
      </c>
      <c r="L3" s="436">
        <v>39</v>
      </c>
      <c r="M3" s="6">
        <v>67</v>
      </c>
      <c r="N3" s="437"/>
      <c r="O3" s="438">
        <f t="shared" si="0"/>
        <v>2613</v>
      </c>
      <c r="P3" s="438">
        <v>15</v>
      </c>
      <c r="Q3" s="438">
        <f t="shared" si="1"/>
        <v>182.91</v>
      </c>
      <c r="R3" s="438">
        <v>600</v>
      </c>
      <c r="S3" s="439">
        <f t="shared" si="2"/>
        <v>1815.09</v>
      </c>
      <c r="T3" s="439"/>
      <c r="U3" s="437"/>
      <c r="V3" s="437"/>
      <c r="W3" s="440">
        <v>1</v>
      </c>
    </row>
    <row r="4" s="415" customFormat="1" ht="16" customHeight="1" spans="1:23">
      <c r="A4" s="435">
        <v>46173</v>
      </c>
      <c r="B4" s="435">
        <v>46174</v>
      </c>
      <c r="C4" s="6" t="s">
        <v>358</v>
      </c>
      <c r="D4" s="6" t="s">
        <v>233</v>
      </c>
      <c r="E4" s="6" t="s">
        <v>54</v>
      </c>
      <c r="F4" s="6" t="s">
        <v>54</v>
      </c>
      <c r="G4" s="6" t="s">
        <v>55</v>
      </c>
      <c r="H4" s="6" t="s">
        <v>354</v>
      </c>
      <c r="I4" s="6" t="s">
        <v>355</v>
      </c>
      <c r="J4" s="436">
        <v>42.4</v>
      </c>
      <c r="K4" s="436" t="s">
        <v>356</v>
      </c>
      <c r="L4" s="436">
        <v>42.34</v>
      </c>
      <c r="M4" s="6">
        <v>67</v>
      </c>
      <c r="N4" s="437"/>
      <c r="O4" s="438">
        <f t="shared" si="0"/>
        <v>2836.78</v>
      </c>
      <c r="P4" s="438">
        <v>15</v>
      </c>
      <c r="Q4" s="438">
        <f t="shared" si="1"/>
        <v>198.5746</v>
      </c>
      <c r="R4" s="438">
        <v>600</v>
      </c>
      <c r="S4" s="439">
        <f t="shared" si="2"/>
        <v>2023.2054</v>
      </c>
      <c r="T4" s="439"/>
      <c r="U4" s="437"/>
      <c r="V4" s="437"/>
      <c r="W4" s="440">
        <v>1</v>
      </c>
    </row>
    <row r="5" s="415" customFormat="1" ht="16" customHeight="1" spans="1:23">
      <c r="A5" s="435">
        <v>46173</v>
      </c>
      <c r="B5" s="435">
        <v>46174</v>
      </c>
      <c r="C5" s="6" t="s">
        <v>359</v>
      </c>
      <c r="D5" s="6" t="s">
        <v>233</v>
      </c>
      <c r="E5" s="6" t="s">
        <v>72</v>
      </c>
      <c r="F5" s="6" t="s">
        <v>72</v>
      </c>
      <c r="G5" s="6" t="s">
        <v>73</v>
      </c>
      <c r="H5" s="6" t="s">
        <v>354</v>
      </c>
      <c r="I5" s="6" t="s">
        <v>355</v>
      </c>
      <c r="J5" s="436">
        <v>41.54</v>
      </c>
      <c r="K5" s="436" t="s">
        <v>356</v>
      </c>
      <c r="L5" s="436">
        <v>41.54</v>
      </c>
      <c r="M5" s="6">
        <v>67</v>
      </c>
      <c r="N5" s="437"/>
      <c r="O5" s="438">
        <f t="shared" si="0"/>
        <v>2783.18</v>
      </c>
      <c r="P5" s="438">
        <v>15</v>
      </c>
      <c r="Q5" s="438">
        <f t="shared" si="1"/>
        <v>194.8226</v>
      </c>
      <c r="R5" s="438">
        <v>600</v>
      </c>
      <c r="S5" s="439">
        <f t="shared" si="2"/>
        <v>1973.3574</v>
      </c>
      <c r="T5" s="439"/>
      <c r="U5" s="437"/>
      <c r="V5" s="437"/>
      <c r="W5" s="440">
        <v>1</v>
      </c>
    </row>
    <row r="6" s="415" customFormat="1" ht="16" customHeight="1" spans="1:23">
      <c r="A6" s="435">
        <v>46173</v>
      </c>
      <c r="B6" s="435">
        <v>46174</v>
      </c>
      <c r="C6" s="6" t="s">
        <v>360</v>
      </c>
      <c r="D6" s="6" t="s">
        <v>233</v>
      </c>
      <c r="E6" s="6" t="s">
        <v>111</v>
      </c>
      <c r="F6" s="6" t="s">
        <v>111</v>
      </c>
      <c r="G6" s="6" t="s">
        <v>112</v>
      </c>
      <c r="H6" s="6" t="s">
        <v>354</v>
      </c>
      <c r="I6" s="6" t="s">
        <v>355</v>
      </c>
      <c r="J6" s="436">
        <v>39.66</v>
      </c>
      <c r="K6" s="436" t="s">
        <v>356</v>
      </c>
      <c r="L6" s="436">
        <v>39.64</v>
      </c>
      <c r="M6" s="6">
        <v>67</v>
      </c>
      <c r="N6" s="437"/>
      <c r="O6" s="438">
        <f t="shared" si="0"/>
        <v>2655.88</v>
      </c>
      <c r="P6" s="438">
        <v>15</v>
      </c>
      <c r="Q6" s="438">
        <f t="shared" si="1"/>
        <v>185.9116</v>
      </c>
      <c r="R6" s="438">
        <v>600</v>
      </c>
      <c r="S6" s="439">
        <f t="shared" si="2"/>
        <v>1854.9684</v>
      </c>
      <c r="T6" s="439"/>
      <c r="U6" s="437"/>
      <c r="V6" s="437"/>
      <c r="W6" s="440">
        <v>1</v>
      </c>
    </row>
    <row r="7" s="415" customFormat="1" ht="16" customHeight="1" spans="1:23">
      <c r="A7" s="435">
        <v>46174</v>
      </c>
      <c r="B7" s="435">
        <v>46174</v>
      </c>
      <c r="C7" s="6" t="s">
        <v>361</v>
      </c>
      <c r="D7" s="6" t="s">
        <v>233</v>
      </c>
      <c r="E7" s="6" t="s">
        <v>63</v>
      </c>
      <c r="F7" s="6" t="s">
        <v>63</v>
      </c>
      <c r="G7" s="6" t="s">
        <v>64</v>
      </c>
      <c r="H7" s="6" t="s">
        <v>354</v>
      </c>
      <c r="I7" s="6" t="s">
        <v>355</v>
      </c>
      <c r="J7" s="436">
        <v>39</v>
      </c>
      <c r="K7" s="436" t="s">
        <v>356</v>
      </c>
      <c r="L7" s="436">
        <v>38.98</v>
      </c>
      <c r="M7" s="6">
        <v>67</v>
      </c>
      <c r="N7" s="437"/>
      <c r="O7" s="438">
        <f t="shared" si="0"/>
        <v>2611.66</v>
      </c>
      <c r="P7" s="438">
        <v>15</v>
      </c>
      <c r="Q7" s="438">
        <f t="shared" si="1"/>
        <v>182.8162</v>
      </c>
      <c r="R7" s="438">
        <v>600</v>
      </c>
      <c r="S7" s="439">
        <f t="shared" si="2"/>
        <v>1813.8438</v>
      </c>
      <c r="U7" s="437"/>
      <c r="V7" s="437"/>
      <c r="W7" s="440">
        <v>1</v>
      </c>
    </row>
    <row r="8" s="415" customFormat="1" ht="16" customHeight="1" spans="1:23">
      <c r="A8" s="435">
        <v>46174</v>
      </c>
      <c r="B8" s="441">
        <v>46175</v>
      </c>
      <c r="C8" s="6" t="s">
        <v>362</v>
      </c>
      <c r="D8" s="6" t="s">
        <v>233</v>
      </c>
      <c r="E8" s="6" t="s">
        <v>108</v>
      </c>
      <c r="F8" s="6" t="s">
        <v>108</v>
      </c>
      <c r="G8" s="6" t="s">
        <v>109</v>
      </c>
      <c r="H8" s="6" t="s">
        <v>354</v>
      </c>
      <c r="I8" s="6" t="s">
        <v>355</v>
      </c>
      <c r="J8" s="436">
        <v>40.8</v>
      </c>
      <c r="K8" s="436" t="s">
        <v>356</v>
      </c>
      <c r="L8" s="442">
        <v>40.78</v>
      </c>
      <c r="M8" s="6">
        <v>67</v>
      </c>
      <c r="N8" s="437"/>
      <c r="O8" s="438">
        <f t="shared" si="0"/>
        <v>2732.26</v>
      </c>
      <c r="P8" s="438">
        <v>15</v>
      </c>
      <c r="Q8" s="438">
        <f t="shared" si="1"/>
        <v>191.2582</v>
      </c>
      <c r="R8" s="438">
        <v>600</v>
      </c>
      <c r="S8" s="439">
        <f t="shared" si="2"/>
        <v>1926.0018</v>
      </c>
      <c r="T8" s="439"/>
      <c r="U8" s="437"/>
      <c r="V8" s="437"/>
      <c r="W8" s="440">
        <v>1</v>
      </c>
    </row>
    <row r="9" s="415" customFormat="1" ht="16" customHeight="1" spans="1:23">
      <c r="A9" s="435">
        <v>46174</v>
      </c>
      <c r="B9" s="441">
        <v>46175</v>
      </c>
      <c r="C9" s="6" t="s">
        <v>363</v>
      </c>
      <c r="D9" s="6" t="s">
        <v>233</v>
      </c>
      <c r="E9" s="6" t="s">
        <v>57</v>
      </c>
      <c r="F9" s="6" t="s">
        <v>57</v>
      </c>
      <c r="G9" s="6" t="s">
        <v>58</v>
      </c>
      <c r="H9" s="6" t="s">
        <v>354</v>
      </c>
      <c r="I9" s="6" t="s">
        <v>355</v>
      </c>
      <c r="J9" s="436">
        <v>41.1</v>
      </c>
      <c r="K9" s="436" t="s">
        <v>356</v>
      </c>
      <c r="L9" s="442">
        <v>41.08</v>
      </c>
      <c r="M9" s="6">
        <v>67</v>
      </c>
      <c r="N9" s="437"/>
      <c r="O9" s="438">
        <f t="shared" si="0"/>
        <v>2752.36</v>
      </c>
      <c r="P9" s="438">
        <v>15</v>
      </c>
      <c r="Q9" s="438">
        <f t="shared" si="1"/>
        <v>192.6652</v>
      </c>
      <c r="R9" s="438">
        <v>600</v>
      </c>
      <c r="S9" s="439">
        <f t="shared" si="2"/>
        <v>1944.6948</v>
      </c>
      <c r="T9" s="439"/>
      <c r="U9" s="437"/>
      <c r="V9" s="437"/>
      <c r="W9" s="440">
        <v>1</v>
      </c>
    </row>
    <row r="10" s="415" customFormat="1" ht="16" customHeight="1" spans="1:23">
      <c r="A10" s="435">
        <v>46174</v>
      </c>
      <c r="B10" s="441">
        <v>46175</v>
      </c>
      <c r="C10" s="6" t="s">
        <v>364</v>
      </c>
      <c r="D10" s="6" t="s">
        <v>233</v>
      </c>
      <c r="E10" s="6" t="s">
        <v>105</v>
      </c>
      <c r="F10" s="6" t="s">
        <v>105</v>
      </c>
      <c r="G10" s="6" t="s">
        <v>106</v>
      </c>
      <c r="H10" s="6" t="s">
        <v>354</v>
      </c>
      <c r="I10" s="6" t="s">
        <v>355</v>
      </c>
      <c r="J10" s="436">
        <v>41.34</v>
      </c>
      <c r="K10" s="436" t="s">
        <v>356</v>
      </c>
      <c r="L10" s="442">
        <v>41.34</v>
      </c>
      <c r="M10" s="6">
        <v>67</v>
      </c>
      <c r="N10" s="437"/>
      <c r="O10" s="438">
        <f t="shared" si="0"/>
        <v>2769.78</v>
      </c>
      <c r="P10" s="438">
        <v>15</v>
      </c>
      <c r="Q10" s="438">
        <f t="shared" si="1"/>
        <v>193.8846</v>
      </c>
      <c r="R10" s="438">
        <v>600</v>
      </c>
      <c r="S10" s="439">
        <f t="shared" si="2"/>
        <v>1960.8954</v>
      </c>
      <c r="T10" s="439"/>
      <c r="U10" s="437"/>
      <c r="V10" s="437"/>
      <c r="W10" s="440">
        <v>1</v>
      </c>
    </row>
    <row r="11" s="415" customFormat="1" ht="16" customHeight="1" spans="1:23">
      <c r="A11" s="435">
        <v>46174</v>
      </c>
      <c r="B11" s="441">
        <v>46175</v>
      </c>
      <c r="C11" s="6" t="s">
        <v>365</v>
      </c>
      <c r="D11" s="6" t="s">
        <v>233</v>
      </c>
      <c r="E11" s="6" t="s">
        <v>84</v>
      </c>
      <c r="F11" s="6" t="s">
        <v>84</v>
      </c>
      <c r="G11" s="6" t="s">
        <v>85</v>
      </c>
      <c r="H11" s="6" t="s">
        <v>354</v>
      </c>
      <c r="I11" s="6" t="s">
        <v>355</v>
      </c>
      <c r="J11" s="436">
        <v>40.16</v>
      </c>
      <c r="K11" s="436" t="s">
        <v>356</v>
      </c>
      <c r="L11" s="442">
        <v>40.14</v>
      </c>
      <c r="M11" s="6">
        <v>67</v>
      </c>
      <c r="N11" s="437"/>
      <c r="O11" s="438">
        <f t="shared" si="0"/>
        <v>2689.38</v>
      </c>
      <c r="P11" s="438">
        <v>15</v>
      </c>
      <c r="Q11" s="438">
        <f t="shared" si="1"/>
        <v>188.2566</v>
      </c>
      <c r="R11" s="438">
        <v>600</v>
      </c>
      <c r="S11" s="439">
        <f t="shared" si="2"/>
        <v>1886.1234</v>
      </c>
      <c r="T11" s="439"/>
      <c r="U11" s="437"/>
      <c r="V11" s="437"/>
      <c r="W11" s="440">
        <v>1</v>
      </c>
    </row>
    <row r="12" s="415" customFormat="1" ht="16" customHeight="1" spans="1:23">
      <c r="A12" s="435">
        <v>46174</v>
      </c>
      <c r="B12" s="441">
        <v>46175</v>
      </c>
      <c r="C12" s="6" t="s">
        <v>366</v>
      </c>
      <c r="D12" s="6" t="s">
        <v>233</v>
      </c>
      <c r="E12" s="6" t="s">
        <v>114</v>
      </c>
      <c r="F12" s="6" t="s">
        <v>114</v>
      </c>
      <c r="G12" s="6" t="s">
        <v>115</v>
      </c>
      <c r="H12" s="6" t="s">
        <v>354</v>
      </c>
      <c r="I12" s="6" t="s">
        <v>355</v>
      </c>
      <c r="J12" s="436">
        <v>42.94</v>
      </c>
      <c r="K12" s="436" t="s">
        <v>356</v>
      </c>
      <c r="L12" s="442">
        <v>42.9</v>
      </c>
      <c r="M12" s="6">
        <v>67</v>
      </c>
      <c r="N12" s="437"/>
      <c r="O12" s="438">
        <f t="shared" si="0"/>
        <v>2874.3</v>
      </c>
      <c r="P12" s="438">
        <v>15</v>
      </c>
      <c r="Q12" s="438">
        <f t="shared" si="1"/>
        <v>201.201</v>
      </c>
      <c r="R12" s="438">
        <v>600</v>
      </c>
      <c r="S12" s="439">
        <f t="shared" si="2"/>
        <v>2058.099</v>
      </c>
      <c r="T12" s="439"/>
      <c r="U12" s="437"/>
      <c r="V12" s="437"/>
      <c r="W12" s="440">
        <v>1</v>
      </c>
    </row>
    <row r="13" s="415" customFormat="1" ht="16" customHeight="1" spans="1:23">
      <c r="A13" s="435">
        <v>46174</v>
      </c>
      <c r="B13" s="441">
        <v>46175</v>
      </c>
      <c r="C13" s="6" t="s">
        <v>367</v>
      </c>
      <c r="D13" s="6" t="s">
        <v>233</v>
      </c>
      <c r="E13" s="6" t="s">
        <v>132</v>
      </c>
      <c r="F13" s="6" t="s">
        <v>132</v>
      </c>
      <c r="G13" s="6" t="s">
        <v>133</v>
      </c>
      <c r="H13" s="6" t="s">
        <v>354</v>
      </c>
      <c r="I13" s="6" t="s">
        <v>355</v>
      </c>
      <c r="J13" s="436">
        <v>42.02</v>
      </c>
      <c r="K13" s="436" t="s">
        <v>356</v>
      </c>
      <c r="L13" s="442">
        <v>42</v>
      </c>
      <c r="M13" s="6">
        <v>67</v>
      </c>
      <c r="N13" s="437"/>
      <c r="O13" s="438">
        <f t="shared" si="0"/>
        <v>2814</v>
      </c>
      <c r="P13" s="438">
        <v>15</v>
      </c>
      <c r="Q13" s="438">
        <f t="shared" si="1"/>
        <v>196.98</v>
      </c>
      <c r="R13" s="438">
        <v>600</v>
      </c>
      <c r="S13" s="439">
        <f t="shared" si="2"/>
        <v>2002.02</v>
      </c>
      <c r="T13" s="439"/>
      <c r="U13" s="437"/>
      <c r="V13" s="437"/>
      <c r="W13" s="440">
        <v>1</v>
      </c>
    </row>
    <row r="14" s="415" customFormat="1" ht="16" customHeight="1" spans="1:23">
      <c r="A14" s="435">
        <v>46174</v>
      </c>
      <c r="B14" s="435">
        <v>46174</v>
      </c>
      <c r="C14" s="6"/>
      <c r="D14" s="6" t="s">
        <v>235</v>
      </c>
      <c r="E14" s="6" t="s">
        <v>78</v>
      </c>
      <c r="F14" s="6" t="s">
        <v>78</v>
      </c>
      <c r="G14" s="6" t="s">
        <v>79</v>
      </c>
      <c r="H14" s="6" t="s">
        <v>368</v>
      </c>
      <c r="I14" s="6" t="s">
        <v>356</v>
      </c>
      <c r="J14" s="436">
        <v>44.6</v>
      </c>
      <c r="K14" s="436" t="s">
        <v>369</v>
      </c>
      <c r="L14" s="436">
        <v>44.56</v>
      </c>
      <c r="M14" s="436">
        <v>48</v>
      </c>
      <c r="N14" s="437"/>
      <c r="O14" s="438">
        <f t="shared" si="0"/>
        <v>2138.88</v>
      </c>
      <c r="P14" s="438">
        <v>15</v>
      </c>
      <c r="Q14" s="438">
        <f t="shared" si="1"/>
        <v>149.7216</v>
      </c>
      <c r="R14" s="438">
        <v>600</v>
      </c>
      <c r="S14" s="439">
        <f t="shared" si="2"/>
        <v>1374.1584</v>
      </c>
      <c r="T14" s="437"/>
      <c r="U14" s="437"/>
      <c r="V14" s="437"/>
      <c r="W14" s="440">
        <v>1</v>
      </c>
    </row>
    <row r="15" s="415" customFormat="1" ht="15" customHeight="1" spans="1:23">
      <c r="A15" s="435">
        <v>46174</v>
      </c>
      <c r="B15" s="435">
        <v>46174</v>
      </c>
      <c r="C15" s="6"/>
      <c r="D15" s="6" t="s">
        <v>235</v>
      </c>
      <c r="E15" s="6" t="s">
        <v>87</v>
      </c>
      <c r="F15" s="6" t="s">
        <v>87</v>
      </c>
      <c r="G15" s="6" t="s">
        <v>88</v>
      </c>
      <c r="H15" s="6" t="s">
        <v>368</v>
      </c>
      <c r="I15" s="6" t="s">
        <v>356</v>
      </c>
      <c r="J15" s="436">
        <v>43.2</v>
      </c>
      <c r="K15" s="436" t="s">
        <v>369</v>
      </c>
      <c r="L15" s="436">
        <v>43.44</v>
      </c>
      <c r="M15" s="6">
        <v>48</v>
      </c>
      <c r="N15" s="437"/>
      <c r="O15" s="438">
        <f t="shared" si="0"/>
        <v>2085.12</v>
      </c>
      <c r="P15" s="438">
        <v>15</v>
      </c>
      <c r="Q15" s="438">
        <f t="shared" si="1"/>
        <v>145.9584</v>
      </c>
      <c r="R15" s="438">
        <v>600</v>
      </c>
      <c r="S15" s="439">
        <f t="shared" si="2"/>
        <v>1324.1616</v>
      </c>
      <c r="T15" s="437"/>
      <c r="U15" s="437"/>
      <c r="V15" s="437"/>
      <c r="W15" s="440">
        <v>1</v>
      </c>
    </row>
    <row r="16" s="415" customFormat="1" ht="16" customHeight="1" spans="1:23">
      <c r="A16" s="435">
        <v>46174</v>
      </c>
      <c r="B16" s="441">
        <v>46174</v>
      </c>
      <c r="C16" s="6"/>
      <c r="D16" s="6" t="s">
        <v>235</v>
      </c>
      <c r="E16" s="6" t="s">
        <v>172</v>
      </c>
      <c r="F16" s="6" t="s">
        <v>172</v>
      </c>
      <c r="G16" s="6" t="s">
        <v>370</v>
      </c>
      <c r="H16" s="6" t="s">
        <v>368</v>
      </c>
      <c r="I16" s="6" t="s">
        <v>356</v>
      </c>
      <c r="J16" s="436">
        <v>44.06</v>
      </c>
      <c r="K16" s="442" t="s">
        <v>369</v>
      </c>
      <c r="L16" s="442">
        <v>44.08</v>
      </c>
      <c r="M16" s="6">
        <v>48</v>
      </c>
      <c r="N16" s="437"/>
      <c r="O16" s="438">
        <f t="shared" si="0"/>
        <v>2115.84</v>
      </c>
      <c r="P16" s="438">
        <v>15</v>
      </c>
      <c r="Q16" s="438">
        <f t="shared" si="1"/>
        <v>148.1088</v>
      </c>
      <c r="R16" s="438">
        <v>600</v>
      </c>
      <c r="S16" s="439">
        <f t="shared" si="2"/>
        <v>1352.7312</v>
      </c>
      <c r="T16" s="439"/>
      <c r="U16" s="437"/>
      <c r="V16" s="437"/>
      <c r="W16" s="440">
        <v>1</v>
      </c>
    </row>
    <row r="17" s="415" customFormat="1" ht="16" customHeight="1" spans="1:23">
      <c r="A17" s="435">
        <v>46174</v>
      </c>
      <c r="B17" s="441">
        <v>46175</v>
      </c>
      <c r="C17" s="6"/>
      <c r="D17" s="6" t="s">
        <v>235</v>
      </c>
      <c r="E17" s="6" t="s">
        <v>66</v>
      </c>
      <c r="F17" s="6" t="s">
        <v>66</v>
      </c>
      <c r="G17" s="6" t="s">
        <v>67</v>
      </c>
      <c r="H17" s="6" t="s">
        <v>368</v>
      </c>
      <c r="I17" s="6" t="s">
        <v>356</v>
      </c>
      <c r="J17" s="436">
        <v>45.14</v>
      </c>
      <c r="K17" s="436" t="s">
        <v>371</v>
      </c>
      <c r="L17" s="442">
        <v>44.85</v>
      </c>
      <c r="M17" s="6">
        <v>61</v>
      </c>
      <c r="N17" s="437"/>
      <c r="O17" s="438">
        <f t="shared" si="0"/>
        <v>2735.85</v>
      </c>
      <c r="P17" s="438">
        <v>15</v>
      </c>
      <c r="Q17" s="438">
        <f t="shared" si="1"/>
        <v>191.5095</v>
      </c>
      <c r="R17" s="438">
        <v>600</v>
      </c>
      <c r="S17" s="439">
        <f t="shared" si="2"/>
        <v>1929.3405</v>
      </c>
      <c r="T17" s="439"/>
      <c r="U17" s="437"/>
      <c r="V17" s="437"/>
      <c r="W17" s="440">
        <v>1</v>
      </c>
    </row>
    <row r="18" s="415" customFormat="1" ht="16" customHeight="1" spans="1:23">
      <c r="A18" s="435">
        <v>46174</v>
      </c>
      <c r="B18" s="441">
        <v>46175</v>
      </c>
      <c r="C18" s="6"/>
      <c r="D18" s="6" t="s">
        <v>235</v>
      </c>
      <c r="E18" s="6" t="s">
        <v>75</v>
      </c>
      <c r="F18" s="6" t="s">
        <v>75</v>
      </c>
      <c r="G18" s="6" t="s">
        <v>76</v>
      </c>
      <c r="H18" s="6" t="s">
        <v>368</v>
      </c>
      <c r="I18" s="6" t="s">
        <v>356</v>
      </c>
      <c r="J18" s="436">
        <v>43.96</v>
      </c>
      <c r="K18" s="436" t="s">
        <v>371</v>
      </c>
      <c r="L18" s="442">
        <v>43.73</v>
      </c>
      <c r="M18" s="6">
        <v>61</v>
      </c>
      <c r="N18" s="437"/>
      <c r="O18" s="438">
        <f t="shared" si="0"/>
        <v>2667.53</v>
      </c>
      <c r="P18" s="438">
        <v>15</v>
      </c>
      <c r="Q18" s="438">
        <f t="shared" si="1"/>
        <v>186.7271</v>
      </c>
      <c r="R18" s="438">
        <v>600</v>
      </c>
      <c r="S18" s="439">
        <f t="shared" si="2"/>
        <v>1865.8029</v>
      </c>
      <c r="T18" s="439"/>
      <c r="U18" s="437"/>
      <c r="V18" s="437"/>
      <c r="W18" s="440">
        <v>1</v>
      </c>
    </row>
    <row r="19" s="415" customFormat="1" ht="16" customHeight="1" spans="1:23">
      <c r="A19" s="435">
        <v>46174</v>
      </c>
      <c r="B19" s="441">
        <v>46175</v>
      </c>
      <c r="C19" s="6"/>
      <c r="D19" s="6" t="s">
        <v>235</v>
      </c>
      <c r="E19" s="6" t="s">
        <v>130</v>
      </c>
      <c r="F19" s="6" t="s">
        <v>130</v>
      </c>
      <c r="G19" s="6" t="s">
        <v>139</v>
      </c>
      <c r="H19" s="6" t="s">
        <v>368</v>
      </c>
      <c r="I19" s="6" t="s">
        <v>356</v>
      </c>
      <c r="J19" s="436">
        <v>45.12</v>
      </c>
      <c r="K19" s="436" t="s">
        <v>371</v>
      </c>
      <c r="L19" s="442">
        <v>44.7</v>
      </c>
      <c r="M19" s="6">
        <v>61</v>
      </c>
      <c r="N19" s="437"/>
      <c r="O19" s="438">
        <f t="shared" si="0"/>
        <v>2726.7</v>
      </c>
      <c r="P19" s="438">
        <v>15</v>
      </c>
      <c r="Q19" s="438">
        <f t="shared" si="1"/>
        <v>190.869</v>
      </c>
      <c r="R19" s="438">
        <v>600</v>
      </c>
      <c r="S19" s="439">
        <f t="shared" si="2"/>
        <v>1920.831</v>
      </c>
      <c r="T19" s="439"/>
      <c r="U19" s="437"/>
      <c r="V19" s="437"/>
      <c r="W19" s="440">
        <v>1</v>
      </c>
    </row>
    <row r="20" s="415" customFormat="1" ht="16" customHeight="1" spans="1:23">
      <c r="A20" s="435">
        <v>46174</v>
      </c>
      <c r="B20" s="441">
        <v>46175</v>
      </c>
      <c r="C20" s="6"/>
      <c r="D20" s="6" t="s">
        <v>235</v>
      </c>
      <c r="E20" s="6" t="s">
        <v>93</v>
      </c>
      <c r="F20" s="6" t="s">
        <v>93</v>
      </c>
      <c r="G20" s="6" t="s">
        <v>94</v>
      </c>
      <c r="H20" s="6" t="s">
        <v>368</v>
      </c>
      <c r="I20" s="6" t="s">
        <v>356</v>
      </c>
      <c r="J20" s="436">
        <v>44.28</v>
      </c>
      <c r="K20" s="436" t="s">
        <v>371</v>
      </c>
      <c r="L20" s="442">
        <v>44.05</v>
      </c>
      <c r="M20" s="6">
        <v>61</v>
      </c>
      <c r="N20" s="437"/>
      <c r="O20" s="438">
        <f t="shared" si="0"/>
        <v>2687.05</v>
      </c>
      <c r="P20" s="438">
        <v>15</v>
      </c>
      <c r="Q20" s="438">
        <f t="shared" si="1"/>
        <v>188.0935</v>
      </c>
      <c r="R20" s="438">
        <v>600</v>
      </c>
      <c r="S20" s="439">
        <f t="shared" si="2"/>
        <v>1883.9565</v>
      </c>
      <c r="T20" s="439"/>
      <c r="U20" s="437"/>
      <c r="V20" s="437"/>
      <c r="W20" s="440">
        <v>1</v>
      </c>
    </row>
    <row r="21" s="415" customFormat="1" ht="16" customHeight="1" spans="1:23">
      <c r="A21" s="435">
        <v>46174</v>
      </c>
      <c r="B21" s="441">
        <v>46175</v>
      </c>
      <c r="C21" s="6"/>
      <c r="D21" s="6" t="s">
        <v>235</v>
      </c>
      <c r="E21" s="6" t="s">
        <v>102</v>
      </c>
      <c r="F21" s="6" t="s">
        <v>102</v>
      </c>
      <c r="G21" s="6" t="s">
        <v>372</v>
      </c>
      <c r="H21" s="6" t="s">
        <v>368</v>
      </c>
      <c r="I21" s="6" t="s">
        <v>356</v>
      </c>
      <c r="J21" s="436">
        <v>44.66</v>
      </c>
      <c r="K21" s="436" t="s">
        <v>371</v>
      </c>
      <c r="L21" s="442">
        <v>44.43</v>
      </c>
      <c r="M21" s="6">
        <v>61</v>
      </c>
      <c r="N21" s="437"/>
      <c r="O21" s="438">
        <f t="shared" si="0"/>
        <v>2710.23</v>
      </c>
      <c r="P21" s="438">
        <v>15</v>
      </c>
      <c r="Q21" s="438">
        <f t="shared" si="1"/>
        <v>189.7161</v>
      </c>
      <c r="R21" s="438">
        <v>600</v>
      </c>
      <c r="S21" s="439">
        <f t="shared" si="2"/>
        <v>1905.5139</v>
      </c>
      <c r="T21" s="439"/>
      <c r="U21" s="437"/>
      <c r="V21" s="437"/>
      <c r="W21" s="440">
        <v>1</v>
      </c>
    </row>
    <row r="22" s="415" customFormat="1" ht="16" customHeight="1" spans="1:23">
      <c r="A22" s="435">
        <v>46174</v>
      </c>
      <c r="B22" s="441">
        <v>46175</v>
      </c>
      <c r="C22" s="6"/>
      <c r="D22" s="6" t="s">
        <v>235</v>
      </c>
      <c r="E22" s="6" t="s">
        <v>54</v>
      </c>
      <c r="F22" s="6" t="s">
        <v>54</v>
      </c>
      <c r="G22" s="6" t="s">
        <v>55</v>
      </c>
      <c r="H22" s="6" t="s">
        <v>368</v>
      </c>
      <c r="I22" s="6" t="s">
        <v>356</v>
      </c>
      <c r="J22" s="436">
        <v>45.4</v>
      </c>
      <c r="K22" s="436" t="s">
        <v>371</v>
      </c>
      <c r="L22" s="442">
        <v>45.07</v>
      </c>
      <c r="M22" s="6">
        <v>61</v>
      </c>
      <c r="N22" s="437"/>
      <c r="O22" s="438">
        <f t="shared" si="0"/>
        <v>2749.27</v>
      </c>
      <c r="P22" s="438">
        <v>15</v>
      </c>
      <c r="Q22" s="438">
        <f t="shared" si="1"/>
        <v>192.4489</v>
      </c>
      <c r="R22" s="438">
        <v>600</v>
      </c>
      <c r="S22" s="439">
        <f t="shared" si="2"/>
        <v>1941.8211</v>
      </c>
      <c r="T22" s="439"/>
      <c r="U22" s="437"/>
      <c r="V22" s="437"/>
      <c r="W22" s="440">
        <v>1</v>
      </c>
    </row>
    <row r="23" s="415" customFormat="1" ht="16" customHeight="1" spans="1:23">
      <c r="A23" s="435">
        <v>46174</v>
      </c>
      <c r="B23" s="441">
        <v>46175</v>
      </c>
      <c r="C23" s="6"/>
      <c r="D23" s="6" t="s">
        <v>235</v>
      </c>
      <c r="E23" s="6" t="s">
        <v>90</v>
      </c>
      <c r="F23" s="6" t="s">
        <v>90</v>
      </c>
      <c r="G23" s="6" t="s">
        <v>91</v>
      </c>
      <c r="H23" s="6" t="s">
        <v>368</v>
      </c>
      <c r="I23" s="6" t="s">
        <v>356</v>
      </c>
      <c r="J23" s="436">
        <v>40.76</v>
      </c>
      <c r="K23" s="436" t="s">
        <v>371</v>
      </c>
      <c r="L23" s="442">
        <v>40.54</v>
      </c>
      <c r="M23" s="6">
        <v>61</v>
      </c>
      <c r="N23" s="437"/>
      <c r="O23" s="438">
        <f t="shared" si="0"/>
        <v>2472.94</v>
      </c>
      <c r="P23" s="438">
        <v>15</v>
      </c>
      <c r="Q23" s="438">
        <f t="shared" si="1"/>
        <v>173.1058</v>
      </c>
      <c r="R23" s="438">
        <v>600</v>
      </c>
      <c r="S23" s="439">
        <f t="shared" si="2"/>
        <v>1684.8342</v>
      </c>
      <c r="T23" s="439"/>
      <c r="U23" s="437"/>
      <c r="V23" s="437"/>
      <c r="W23" s="440">
        <v>1</v>
      </c>
    </row>
    <row r="24" s="415" customFormat="1" ht="16" customHeight="1" spans="1:23">
      <c r="A24" s="435">
        <v>46174</v>
      </c>
      <c r="B24" s="441">
        <v>46175</v>
      </c>
      <c r="C24" s="6"/>
      <c r="D24" s="6" t="s">
        <v>235</v>
      </c>
      <c r="E24" s="6" t="s">
        <v>99</v>
      </c>
      <c r="F24" s="6" t="s">
        <v>99</v>
      </c>
      <c r="G24" s="6" t="s">
        <v>100</v>
      </c>
      <c r="H24" s="6" t="s">
        <v>368</v>
      </c>
      <c r="I24" s="6" t="s">
        <v>356</v>
      </c>
      <c r="J24" s="436">
        <v>42.68</v>
      </c>
      <c r="K24" s="436" t="s">
        <v>371</v>
      </c>
      <c r="L24" s="442">
        <v>42.49</v>
      </c>
      <c r="M24" s="6">
        <v>61</v>
      </c>
      <c r="N24" s="437"/>
      <c r="O24" s="438">
        <f t="shared" si="0"/>
        <v>2591.89</v>
      </c>
      <c r="P24" s="438">
        <v>15</v>
      </c>
      <c r="Q24" s="438">
        <f t="shared" si="1"/>
        <v>181.4323</v>
      </c>
      <c r="R24" s="438">
        <v>600</v>
      </c>
      <c r="S24" s="439">
        <f t="shared" si="2"/>
        <v>1795.4577</v>
      </c>
      <c r="T24" s="439"/>
      <c r="U24" s="437"/>
      <c r="V24" s="437"/>
      <c r="W24" s="440">
        <v>1</v>
      </c>
    </row>
    <row r="25" s="415" customFormat="1" ht="16" customHeight="1" spans="1:23">
      <c r="A25" s="435">
        <v>46174</v>
      </c>
      <c r="B25" s="441">
        <v>46175</v>
      </c>
      <c r="C25" s="6"/>
      <c r="D25" s="6" t="s">
        <v>235</v>
      </c>
      <c r="E25" s="6" t="s">
        <v>111</v>
      </c>
      <c r="F25" s="6" t="s">
        <v>111</v>
      </c>
      <c r="G25" s="6" t="s">
        <v>112</v>
      </c>
      <c r="H25" s="6" t="s">
        <v>368</v>
      </c>
      <c r="I25" s="6" t="s">
        <v>356</v>
      </c>
      <c r="J25" s="436">
        <v>44.1</v>
      </c>
      <c r="K25" s="436" t="s">
        <v>371</v>
      </c>
      <c r="L25" s="442">
        <v>43.88</v>
      </c>
      <c r="M25" s="6">
        <v>61</v>
      </c>
      <c r="N25" s="437"/>
      <c r="O25" s="438">
        <f t="shared" si="0"/>
        <v>2676.68</v>
      </c>
      <c r="P25" s="438">
        <v>15</v>
      </c>
      <c r="Q25" s="438">
        <f t="shared" si="1"/>
        <v>187.3676</v>
      </c>
      <c r="R25" s="438">
        <v>600</v>
      </c>
      <c r="S25" s="439">
        <f t="shared" si="2"/>
        <v>1874.3124</v>
      </c>
      <c r="T25" s="439"/>
      <c r="U25" s="437"/>
      <c r="V25" s="437"/>
      <c r="W25" s="440">
        <v>1</v>
      </c>
    </row>
    <row r="26" s="415" customFormat="1" ht="16" customHeight="1" spans="1:23">
      <c r="A26" s="435">
        <v>46174</v>
      </c>
      <c r="B26" s="441">
        <v>46175</v>
      </c>
      <c r="C26" s="6"/>
      <c r="D26" s="6" t="s">
        <v>235</v>
      </c>
      <c r="E26" s="6" t="s">
        <v>72</v>
      </c>
      <c r="F26" s="6" t="s">
        <v>72</v>
      </c>
      <c r="G26" s="6" t="s">
        <v>73</v>
      </c>
      <c r="H26" s="6" t="s">
        <v>368</v>
      </c>
      <c r="I26" s="6" t="s">
        <v>356</v>
      </c>
      <c r="J26" s="436">
        <v>43.24</v>
      </c>
      <c r="K26" s="436" t="s">
        <v>371</v>
      </c>
      <c r="L26" s="442">
        <v>43.06</v>
      </c>
      <c r="M26" s="6">
        <v>61</v>
      </c>
      <c r="N26" s="437"/>
      <c r="O26" s="438">
        <f t="shared" si="0"/>
        <v>2626.66</v>
      </c>
      <c r="P26" s="438">
        <v>15</v>
      </c>
      <c r="Q26" s="438">
        <f t="shared" si="1"/>
        <v>183.8662</v>
      </c>
      <c r="R26" s="438">
        <v>600</v>
      </c>
      <c r="S26" s="439">
        <f t="shared" si="2"/>
        <v>1827.7938</v>
      </c>
      <c r="T26" s="439"/>
      <c r="U26" s="437"/>
      <c r="V26" s="437"/>
      <c r="W26" s="440">
        <v>1</v>
      </c>
    </row>
    <row r="27" s="416" customFormat="1" ht="16" customHeight="1" spans="1:23">
      <c r="A27" s="443">
        <v>46174</v>
      </c>
      <c r="B27" s="443">
        <v>46177</v>
      </c>
      <c r="C27" s="444"/>
      <c r="D27" s="444" t="s">
        <v>235</v>
      </c>
      <c r="E27" s="444" t="s">
        <v>166</v>
      </c>
      <c r="F27" s="444" t="s">
        <v>166</v>
      </c>
      <c r="G27" s="444" t="s">
        <v>167</v>
      </c>
      <c r="H27" s="444" t="s">
        <v>368</v>
      </c>
      <c r="I27" s="444" t="s">
        <v>356</v>
      </c>
      <c r="J27" s="436">
        <v>44.98</v>
      </c>
      <c r="K27" s="436" t="s">
        <v>371</v>
      </c>
      <c r="L27" s="442">
        <v>44.68</v>
      </c>
      <c r="M27" s="444">
        <v>61</v>
      </c>
      <c r="N27" s="445"/>
      <c r="O27" s="438">
        <f t="shared" si="0"/>
        <v>2725.48</v>
      </c>
      <c r="P27" s="446">
        <v>15</v>
      </c>
      <c r="Q27" s="446">
        <f t="shared" si="1"/>
        <v>190.7836</v>
      </c>
      <c r="R27" s="446">
        <v>600</v>
      </c>
      <c r="S27" s="447">
        <f t="shared" si="2"/>
        <v>1919.6964</v>
      </c>
      <c r="T27" s="447"/>
      <c r="U27" s="445"/>
      <c r="V27" s="445"/>
      <c r="W27" s="448">
        <v>1</v>
      </c>
    </row>
    <row r="28" s="415" customFormat="1" ht="16" customHeight="1" spans="1:23">
      <c r="A28" s="435">
        <v>46174</v>
      </c>
      <c r="B28" s="435">
        <v>46174</v>
      </c>
      <c r="C28" s="6" t="s">
        <v>373</v>
      </c>
      <c r="D28" s="6" t="s">
        <v>236</v>
      </c>
      <c r="E28" s="6" t="s">
        <v>81</v>
      </c>
      <c r="F28" s="6" t="s">
        <v>81</v>
      </c>
      <c r="G28" s="6" t="s">
        <v>82</v>
      </c>
      <c r="H28" s="6" t="s">
        <v>354</v>
      </c>
      <c r="I28" s="6" t="s">
        <v>369</v>
      </c>
      <c r="J28" s="436">
        <v>38</v>
      </c>
      <c r="K28" s="436" t="s">
        <v>356</v>
      </c>
      <c r="L28" s="436">
        <v>38</v>
      </c>
      <c r="M28" s="6">
        <v>68</v>
      </c>
      <c r="N28" s="437"/>
      <c r="O28" s="438">
        <f t="shared" si="0"/>
        <v>2584</v>
      </c>
      <c r="P28" s="438">
        <v>15</v>
      </c>
      <c r="Q28" s="438">
        <f t="shared" si="1"/>
        <v>180.88</v>
      </c>
      <c r="R28" s="438">
        <v>600</v>
      </c>
      <c r="S28" s="439">
        <f t="shared" si="2"/>
        <v>1788.12</v>
      </c>
      <c r="T28" s="439"/>
      <c r="U28" s="437"/>
      <c r="V28" s="437"/>
      <c r="W28" s="440">
        <v>1</v>
      </c>
    </row>
    <row r="29" s="138" customFormat="1" ht="16" customHeight="1" spans="1:23">
      <c r="A29" s="449">
        <v>46175</v>
      </c>
      <c r="B29" s="449">
        <v>46176</v>
      </c>
      <c r="C29" s="7" t="s">
        <v>374</v>
      </c>
      <c r="D29" s="7" t="s">
        <v>236</v>
      </c>
      <c r="E29" s="7" t="s">
        <v>127</v>
      </c>
      <c r="F29" s="7" t="s">
        <v>127</v>
      </c>
      <c r="G29" s="7" t="s">
        <v>128</v>
      </c>
      <c r="H29" s="7" t="s">
        <v>354</v>
      </c>
      <c r="I29" s="7" t="s">
        <v>369</v>
      </c>
      <c r="J29" s="74">
        <v>37.06</v>
      </c>
      <c r="K29" s="74" t="s">
        <v>356</v>
      </c>
      <c r="L29" s="74">
        <v>37.02</v>
      </c>
      <c r="M29" s="7">
        <v>68</v>
      </c>
      <c r="N29" s="7"/>
      <c r="O29" s="438">
        <f t="shared" si="0"/>
        <v>2517.36</v>
      </c>
      <c r="P29" s="438">
        <v>15</v>
      </c>
      <c r="Q29" s="438">
        <f t="shared" si="1"/>
        <v>176.2152</v>
      </c>
      <c r="R29" s="438">
        <v>600</v>
      </c>
      <c r="S29" s="439">
        <f t="shared" si="2"/>
        <v>1726.1448</v>
      </c>
      <c r="T29" s="7"/>
      <c r="U29" s="7"/>
      <c r="V29" s="7"/>
      <c r="W29" s="138">
        <v>1</v>
      </c>
    </row>
    <row r="30" s="138" customFormat="1" ht="16" customHeight="1" spans="1:23">
      <c r="A30" s="449">
        <v>46175</v>
      </c>
      <c r="B30" s="449">
        <v>46176</v>
      </c>
      <c r="C30" s="7" t="s">
        <v>375</v>
      </c>
      <c r="D30" s="7" t="s">
        <v>236</v>
      </c>
      <c r="E30" s="7" t="s">
        <v>96</v>
      </c>
      <c r="F30" s="7" t="s">
        <v>96</v>
      </c>
      <c r="G30" s="7" t="s">
        <v>97</v>
      </c>
      <c r="H30" s="7" t="s">
        <v>354</v>
      </c>
      <c r="I30" s="7" t="s">
        <v>369</v>
      </c>
      <c r="J30" s="74">
        <v>36.78</v>
      </c>
      <c r="K30" s="74" t="s">
        <v>356</v>
      </c>
      <c r="L30" s="74">
        <v>36.78</v>
      </c>
      <c r="M30" s="7">
        <v>68</v>
      </c>
      <c r="N30" s="7"/>
      <c r="O30" s="438">
        <f t="shared" si="0"/>
        <v>2501.04</v>
      </c>
      <c r="P30" s="438">
        <v>15</v>
      </c>
      <c r="Q30" s="438">
        <f t="shared" si="1"/>
        <v>175.0728</v>
      </c>
      <c r="R30" s="438">
        <v>600</v>
      </c>
      <c r="S30" s="439">
        <f t="shared" si="2"/>
        <v>1710.9672</v>
      </c>
      <c r="T30" s="7"/>
      <c r="U30" s="7"/>
      <c r="V30" s="7"/>
      <c r="W30" s="138">
        <v>1</v>
      </c>
    </row>
    <row r="31" s="138" customFormat="1" ht="16" customHeight="1" spans="1:23">
      <c r="A31" s="449">
        <v>46174</v>
      </c>
      <c r="B31" s="449">
        <v>46175</v>
      </c>
      <c r="C31" s="442" t="s">
        <v>376</v>
      </c>
      <c r="D31" s="7" t="s">
        <v>233</v>
      </c>
      <c r="E31" s="442" t="s">
        <v>69</v>
      </c>
      <c r="F31" s="442" t="s">
        <v>69</v>
      </c>
      <c r="G31" s="7" t="s">
        <v>70</v>
      </c>
      <c r="H31" s="7" t="s">
        <v>354</v>
      </c>
      <c r="I31" s="7" t="s">
        <v>355</v>
      </c>
      <c r="J31" s="74">
        <v>41.56</v>
      </c>
      <c r="K31" s="74" t="s">
        <v>356</v>
      </c>
      <c r="L31" s="74">
        <v>41.56</v>
      </c>
      <c r="M31" s="442">
        <v>67</v>
      </c>
      <c r="N31" s="7"/>
      <c r="O31" s="438">
        <f t="shared" si="0"/>
        <v>2784.52</v>
      </c>
      <c r="P31" s="438">
        <v>15</v>
      </c>
      <c r="Q31" s="438">
        <f t="shared" si="1"/>
        <v>194.9164</v>
      </c>
      <c r="R31" s="438">
        <v>600</v>
      </c>
      <c r="S31" s="439">
        <f t="shared" si="2"/>
        <v>1974.6036</v>
      </c>
      <c r="T31" s="7"/>
      <c r="U31" s="7"/>
      <c r="V31" s="7"/>
      <c r="W31" s="138">
        <v>1</v>
      </c>
    </row>
    <row r="32" s="138" customFormat="1" ht="16" customHeight="1" spans="1:23">
      <c r="A32" s="450">
        <v>46174</v>
      </c>
      <c r="B32" s="449">
        <v>46175</v>
      </c>
      <c r="C32" s="442" t="s">
        <v>377</v>
      </c>
      <c r="D32" s="7" t="s">
        <v>233</v>
      </c>
      <c r="E32" s="442" t="s">
        <v>121</v>
      </c>
      <c r="F32" s="442" t="s">
        <v>121</v>
      </c>
      <c r="G32" s="7" t="s">
        <v>122</v>
      </c>
      <c r="H32" s="7" t="s">
        <v>354</v>
      </c>
      <c r="I32" s="7" t="s">
        <v>355</v>
      </c>
      <c r="J32" s="74">
        <v>43.18</v>
      </c>
      <c r="K32" s="74" t="s">
        <v>356</v>
      </c>
      <c r="L32" s="74">
        <v>43.18</v>
      </c>
      <c r="M32" s="442">
        <v>67</v>
      </c>
      <c r="N32" s="7"/>
      <c r="O32" s="438">
        <f t="shared" si="0"/>
        <v>2893.06</v>
      </c>
      <c r="P32" s="438">
        <v>15</v>
      </c>
      <c r="Q32" s="438">
        <f t="shared" si="1"/>
        <v>202.5142</v>
      </c>
      <c r="R32" s="438">
        <v>600</v>
      </c>
      <c r="S32" s="439">
        <f t="shared" si="2"/>
        <v>2075.5458</v>
      </c>
      <c r="T32" s="7"/>
      <c r="U32" s="7"/>
      <c r="V32" s="7"/>
      <c r="W32" s="138">
        <v>1</v>
      </c>
    </row>
    <row r="33" s="138" customFormat="1" ht="16" customHeight="1" spans="1:23">
      <c r="A33" s="449">
        <v>46174</v>
      </c>
      <c r="B33" s="449">
        <v>46175</v>
      </c>
      <c r="C33" s="442" t="s">
        <v>378</v>
      </c>
      <c r="D33" s="7" t="s">
        <v>233</v>
      </c>
      <c r="E33" s="442" t="s">
        <v>124</v>
      </c>
      <c r="F33" s="442" t="s">
        <v>124</v>
      </c>
      <c r="G33" s="7" t="s">
        <v>125</v>
      </c>
      <c r="H33" s="7" t="s">
        <v>354</v>
      </c>
      <c r="I33" s="7" t="s">
        <v>355</v>
      </c>
      <c r="J33" s="74">
        <v>41.58</v>
      </c>
      <c r="K33" s="74" t="s">
        <v>356</v>
      </c>
      <c r="L33" s="74">
        <v>41.58</v>
      </c>
      <c r="M33" s="442">
        <v>67</v>
      </c>
      <c r="N33" s="7"/>
      <c r="O33" s="438">
        <f t="shared" si="0"/>
        <v>2785.86</v>
      </c>
      <c r="P33" s="438">
        <v>15</v>
      </c>
      <c r="Q33" s="438">
        <f t="shared" si="1"/>
        <v>195.0102</v>
      </c>
      <c r="R33" s="438">
        <v>600</v>
      </c>
      <c r="S33" s="439">
        <f t="shared" si="2"/>
        <v>1975.8498</v>
      </c>
      <c r="T33" s="7"/>
      <c r="U33" s="7"/>
      <c r="V33" s="7"/>
      <c r="W33" s="138">
        <v>1</v>
      </c>
    </row>
    <row r="34" s="138" customFormat="1" ht="16" customHeight="1" spans="1:23">
      <c r="A34" s="449">
        <v>46174</v>
      </c>
      <c r="B34" s="449">
        <v>46175</v>
      </c>
      <c r="C34" s="442" t="s">
        <v>379</v>
      </c>
      <c r="D34" s="7" t="s">
        <v>233</v>
      </c>
      <c r="E34" s="7" t="s">
        <v>135</v>
      </c>
      <c r="F34" s="7" t="s">
        <v>135</v>
      </c>
      <c r="G34" s="7" t="s">
        <v>136</v>
      </c>
      <c r="H34" s="7" t="s">
        <v>354</v>
      </c>
      <c r="I34" s="7" t="s">
        <v>355</v>
      </c>
      <c r="J34" s="74">
        <v>44.04</v>
      </c>
      <c r="K34" s="74" t="s">
        <v>356</v>
      </c>
      <c r="L34" s="74">
        <v>44</v>
      </c>
      <c r="M34" s="442">
        <v>67</v>
      </c>
      <c r="N34" s="7"/>
      <c r="O34" s="438">
        <f t="shared" si="0"/>
        <v>2948</v>
      </c>
      <c r="P34" s="438">
        <v>15</v>
      </c>
      <c r="Q34" s="438">
        <f t="shared" si="1"/>
        <v>206.36</v>
      </c>
      <c r="R34" s="438">
        <v>600</v>
      </c>
      <c r="S34" s="439">
        <f t="shared" si="2"/>
        <v>2126.64</v>
      </c>
      <c r="T34" s="7"/>
      <c r="U34" s="7"/>
      <c r="V34" s="7"/>
      <c r="W34" s="138">
        <v>1</v>
      </c>
    </row>
    <row r="35" s="138" customFormat="1" ht="16" customHeight="1" spans="1:23">
      <c r="A35" s="449">
        <v>46174</v>
      </c>
      <c r="B35" s="449">
        <v>46175</v>
      </c>
      <c r="C35" s="442" t="s">
        <v>380</v>
      </c>
      <c r="D35" s="7" t="s">
        <v>233</v>
      </c>
      <c r="E35" s="442" t="s">
        <v>60</v>
      </c>
      <c r="F35" s="442" t="s">
        <v>60</v>
      </c>
      <c r="G35" s="7" t="s">
        <v>61</v>
      </c>
      <c r="H35" s="7" t="s">
        <v>354</v>
      </c>
      <c r="I35" s="7" t="s">
        <v>355</v>
      </c>
      <c r="J35" s="74">
        <v>42.42</v>
      </c>
      <c r="K35" s="74" t="s">
        <v>356</v>
      </c>
      <c r="L35" s="74">
        <v>42.38</v>
      </c>
      <c r="M35" s="442">
        <v>67</v>
      </c>
      <c r="N35" s="7"/>
      <c r="O35" s="438">
        <f t="shared" si="0"/>
        <v>2839.46</v>
      </c>
      <c r="P35" s="438">
        <v>15</v>
      </c>
      <c r="Q35" s="438">
        <f t="shared" si="1"/>
        <v>198.7622</v>
      </c>
      <c r="R35" s="438">
        <v>600</v>
      </c>
      <c r="S35" s="439">
        <f t="shared" si="2"/>
        <v>2025.6978</v>
      </c>
      <c r="T35" s="7"/>
      <c r="U35" s="7"/>
      <c r="V35" s="7"/>
      <c r="W35" s="138">
        <v>1</v>
      </c>
    </row>
    <row r="36" s="138" customFormat="1" ht="16" customHeight="1" spans="1:23">
      <c r="A36" s="449">
        <v>46174</v>
      </c>
      <c r="B36" s="449">
        <v>46175</v>
      </c>
      <c r="C36" s="442" t="s">
        <v>381</v>
      </c>
      <c r="D36" s="7" t="s">
        <v>233</v>
      </c>
      <c r="E36" s="442" t="s">
        <v>51</v>
      </c>
      <c r="F36" s="442" t="s">
        <v>51</v>
      </c>
      <c r="G36" s="7" t="s">
        <v>52</v>
      </c>
      <c r="H36" s="7" t="s">
        <v>354</v>
      </c>
      <c r="I36" s="7" t="s">
        <v>355</v>
      </c>
      <c r="J36" s="74">
        <v>43.02</v>
      </c>
      <c r="K36" s="74" t="s">
        <v>356</v>
      </c>
      <c r="L36" s="74">
        <v>43</v>
      </c>
      <c r="M36" s="442">
        <v>67</v>
      </c>
      <c r="N36" s="7"/>
      <c r="O36" s="438">
        <f t="shared" si="0"/>
        <v>2881</v>
      </c>
      <c r="P36" s="438">
        <v>15</v>
      </c>
      <c r="Q36" s="438">
        <f t="shared" si="1"/>
        <v>201.67</v>
      </c>
      <c r="R36" s="438">
        <v>600</v>
      </c>
      <c r="S36" s="439">
        <f t="shared" si="2"/>
        <v>2064.33</v>
      </c>
      <c r="T36" s="7"/>
      <c r="U36" s="7"/>
      <c r="V36" s="7"/>
      <c r="W36" s="138">
        <v>1</v>
      </c>
    </row>
    <row r="37" s="138" customFormat="1" ht="16" customHeight="1" spans="1:23">
      <c r="A37" s="449">
        <v>46175</v>
      </c>
      <c r="B37" s="449">
        <v>46176</v>
      </c>
      <c r="C37" s="442" t="s">
        <v>382</v>
      </c>
      <c r="D37" s="7" t="s">
        <v>233</v>
      </c>
      <c r="E37" s="7" t="s">
        <v>87</v>
      </c>
      <c r="F37" s="7" t="s">
        <v>87</v>
      </c>
      <c r="G37" s="7" t="s">
        <v>88</v>
      </c>
      <c r="H37" s="7" t="s">
        <v>354</v>
      </c>
      <c r="I37" s="7" t="s">
        <v>355</v>
      </c>
      <c r="J37" s="74">
        <v>40.72</v>
      </c>
      <c r="K37" s="74" t="s">
        <v>356</v>
      </c>
      <c r="L37" s="74">
        <v>40.72</v>
      </c>
      <c r="M37" s="442">
        <v>67</v>
      </c>
      <c r="N37" s="7"/>
      <c r="O37" s="438">
        <f t="shared" si="0"/>
        <v>2728.24</v>
      </c>
      <c r="P37" s="438">
        <v>15</v>
      </c>
      <c r="Q37" s="438">
        <f t="shared" si="1"/>
        <v>190.9768</v>
      </c>
      <c r="R37" s="438">
        <v>600</v>
      </c>
      <c r="S37" s="439">
        <f t="shared" si="2"/>
        <v>1922.2632</v>
      </c>
      <c r="T37" s="7"/>
      <c r="U37" s="7"/>
      <c r="V37" s="7"/>
      <c r="W37" s="138">
        <v>1</v>
      </c>
    </row>
    <row r="38" s="138" customFormat="1" ht="16" customHeight="1" spans="1:23">
      <c r="A38" s="449">
        <v>46175</v>
      </c>
      <c r="B38" s="449">
        <v>46176</v>
      </c>
      <c r="C38" s="442" t="s">
        <v>383</v>
      </c>
      <c r="D38" s="7" t="s">
        <v>233</v>
      </c>
      <c r="E38" s="7" t="s">
        <v>78</v>
      </c>
      <c r="F38" s="7" t="s">
        <v>78</v>
      </c>
      <c r="G38" s="7" t="s">
        <v>79</v>
      </c>
      <c r="H38" s="7" t="s">
        <v>354</v>
      </c>
      <c r="I38" s="7" t="s">
        <v>355</v>
      </c>
      <c r="J38" s="74">
        <v>40.98</v>
      </c>
      <c r="K38" s="74" t="s">
        <v>356</v>
      </c>
      <c r="L38" s="74">
        <v>40.98</v>
      </c>
      <c r="M38" s="442">
        <v>67</v>
      </c>
      <c r="N38" s="7"/>
      <c r="O38" s="438">
        <f t="shared" si="0"/>
        <v>2745.66</v>
      </c>
      <c r="P38" s="438">
        <v>15</v>
      </c>
      <c r="Q38" s="438">
        <f t="shared" si="1"/>
        <v>192.1962</v>
      </c>
      <c r="R38" s="438">
        <v>600</v>
      </c>
      <c r="S38" s="439">
        <f t="shared" si="2"/>
        <v>1938.4638</v>
      </c>
      <c r="T38" s="7"/>
      <c r="U38" s="7"/>
      <c r="V38" s="7"/>
      <c r="W38" s="138">
        <v>1</v>
      </c>
    </row>
    <row r="39" s="138" customFormat="1" ht="16" customHeight="1" spans="1:23">
      <c r="A39" s="449">
        <v>46175</v>
      </c>
      <c r="B39" s="449">
        <v>46176</v>
      </c>
      <c r="C39" s="7"/>
      <c r="D39" s="7" t="s">
        <v>235</v>
      </c>
      <c r="E39" s="7" t="s">
        <v>63</v>
      </c>
      <c r="F39" s="7" t="s">
        <v>63</v>
      </c>
      <c r="G39" s="7" t="s">
        <v>64</v>
      </c>
      <c r="H39" s="7" t="s">
        <v>368</v>
      </c>
      <c r="I39" s="7" t="s">
        <v>356</v>
      </c>
      <c r="J39" s="74">
        <v>43.32</v>
      </c>
      <c r="K39" s="74" t="s">
        <v>371</v>
      </c>
      <c r="L39" s="74">
        <v>43.17</v>
      </c>
      <c r="M39" s="442">
        <v>61</v>
      </c>
      <c r="N39" s="7"/>
      <c r="O39" s="438">
        <f t="shared" si="0"/>
        <v>2633.37</v>
      </c>
      <c r="P39" s="438">
        <v>15</v>
      </c>
      <c r="Q39" s="438">
        <f t="shared" si="1"/>
        <v>184.3359</v>
      </c>
      <c r="R39" s="438">
        <v>600</v>
      </c>
      <c r="S39" s="439">
        <f t="shared" si="2"/>
        <v>1834.0341</v>
      </c>
      <c r="T39" s="7"/>
      <c r="U39" s="7"/>
      <c r="V39" s="7"/>
      <c r="W39" s="138">
        <v>1</v>
      </c>
    </row>
    <row r="40" s="138" customFormat="1" ht="16" customHeight="1" spans="1:23">
      <c r="A40" s="449">
        <v>46175</v>
      </c>
      <c r="B40" s="449">
        <v>46176</v>
      </c>
      <c r="C40" s="7"/>
      <c r="D40" s="7" t="s">
        <v>235</v>
      </c>
      <c r="E40" s="7" t="s">
        <v>81</v>
      </c>
      <c r="F40" s="7" t="s">
        <v>81</v>
      </c>
      <c r="G40" s="7" t="s">
        <v>82</v>
      </c>
      <c r="H40" s="7" t="s">
        <v>368</v>
      </c>
      <c r="I40" s="7" t="s">
        <v>356</v>
      </c>
      <c r="J40" s="74">
        <v>40.6</v>
      </c>
      <c r="K40" s="74" t="s">
        <v>371</v>
      </c>
      <c r="L40" s="74">
        <v>40.42</v>
      </c>
      <c r="M40" s="442">
        <v>61</v>
      </c>
      <c r="N40" s="7"/>
      <c r="O40" s="438">
        <f t="shared" si="0"/>
        <v>2465.62</v>
      </c>
      <c r="P40" s="438">
        <v>15</v>
      </c>
      <c r="Q40" s="438">
        <f t="shared" si="1"/>
        <v>172.5934</v>
      </c>
      <c r="R40" s="438">
        <v>600</v>
      </c>
      <c r="S40" s="439">
        <f t="shared" si="2"/>
        <v>1678.0266</v>
      </c>
      <c r="T40" s="7"/>
      <c r="U40" s="7"/>
      <c r="V40" s="7"/>
      <c r="W40" s="138">
        <v>1</v>
      </c>
    </row>
    <row r="41" s="138" customFormat="1" ht="16" customHeight="1" spans="1:23">
      <c r="A41" s="449">
        <v>46175</v>
      </c>
      <c r="B41" s="449">
        <v>46176</v>
      </c>
      <c r="C41" s="7"/>
      <c r="D41" s="7" t="s">
        <v>235</v>
      </c>
      <c r="E41" s="7" t="s">
        <v>108</v>
      </c>
      <c r="F41" s="7" t="s">
        <v>108</v>
      </c>
      <c r="G41" s="7" t="s">
        <v>109</v>
      </c>
      <c r="H41" s="7" t="s">
        <v>368</v>
      </c>
      <c r="I41" s="7" t="s">
        <v>356</v>
      </c>
      <c r="J41" s="74">
        <v>41.86</v>
      </c>
      <c r="K41" s="74" t="s">
        <v>371</v>
      </c>
      <c r="L41" s="74">
        <v>41.68</v>
      </c>
      <c r="M41" s="442">
        <v>61</v>
      </c>
      <c r="N41" s="7"/>
      <c r="O41" s="438">
        <f t="shared" si="0"/>
        <v>2542.48</v>
      </c>
      <c r="P41" s="438">
        <v>15</v>
      </c>
      <c r="Q41" s="438">
        <f t="shared" si="1"/>
        <v>177.9736</v>
      </c>
      <c r="R41" s="438">
        <v>600</v>
      </c>
      <c r="S41" s="439">
        <f t="shared" si="2"/>
        <v>1749.5064</v>
      </c>
      <c r="T41" s="7"/>
      <c r="U41" s="7"/>
      <c r="V41" s="7"/>
      <c r="W41" s="138">
        <v>1</v>
      </c>
    </row>
    <row r="42" s="138" customFormat="1" ht="16" customHeight="1" spans="1:23">
      <c r="A42" s="449">
        <v>46175</v>
      </c>
      <c r="B42" s="449">
        <v>46176</v>
      </c>
      <c r="C42" s="7"/>
      <c r="D42" s="7" t="s">
        <v>235</v>
      </c>
      <c r="E42" s="7" t="s">
        <v>57</v>
      </c>
      <c r="F42" s="7" t="s">
        <v>57</v>
      </c>
      <c r="G42" s="7" t="s">
        <v>58</v>
      </c>
      <c r="H42" s="7" t="s">
        <v>368</v>
      </c>
      <c r="I42" s="7" t="s">
        <v>356</v>
      </c>
      <c r="J42" s="74">
        <v>41.12</v>
      </c>
      <c r="K42" s="74" t="s">
        <v>371</v>
      </c>
      <c r="L42" s="74">
        <v>40.9</v>
      </c>
      <c r="M42" s="442">
        <v>61</v>
      </c>
      <c r="N42" s="7"/>
      <c r="O42" s="438">
        <f t="shared" si="0"/>
        <v>2494.9</v>
      </c>
      <c r="P42" s="438">
        <v>15</v>
      </c>
      <c r="Q42" s="438">
        <f t="shared" si="1"/>
        <v>174.643</v>
      </c>
      <c r="R42" s="438">
        <v>600</v>
      </c>
      <c r="S42" s="439">
        <f t="shared" si="2"/>
        <v>1705.257</v>
      </c>
      <c r="T42" s="7"/>
      <c r="U42" s="7"/>
      <c r="V42" s="7"/>
      <c r="W42" s="138">
        <v>1</v>
      </c>
    </row>
    <row r="43" s="138" customFormat="1" ht="16" customHeight="1" spans="1:23">
      <c r="A43" s="449">
        <v>46175</v>
      </c>
      <c r="B43" s="449">
        <v>46176</v>
      </c>
      <c r="C43" s="7"/>
      <c r="D43" s="7" t="s">
        <v>235</v>
      </c>
      <c r="E43" s="7" t="s">
        <v>69</v>
      </c>
      <c r="F43" s="7" t="s">
        <v>69</v>
      </c>
      <c r="G43" s="7" t="s">
        <v>70</v>
      </c>
      <c r="H43" s="7" t="s">
        <v>384</v>
      </c>
      <c r="I43" s="7" t="s">
        <v>356</v>
      </c>
      <c r="J43" s="74">
        <v>42.14</v>
      </c>
      <c r="K43" s="74" t="s">
        <v>371</v>
      </c>
      <c r="L43" s="74">
        <v>41.83</v>
      </c>
      <c r="M43" s="442">
        <v>61</v>
      </c>
      <c r="N43" s="7"/>
      <c r="O43" s="438">
        <f t="shared" si="0"/>
        <v>2551.63</v>
      </c>
      <c r="P43" s="438">
        <v>15</v>
      </c>
      <c r="Q43" s="438">
        <f t="shared" si="1"/>
        <v>178.6141</v>
      </c>
      <c r="R43" s="438">
        <v>600</v>
      </c>
      <c r="S43" s="439">
        <f t="shared" si="2"/>
        <v>1758.0159</v>
      </c>
      <c r="T43" s="7"/>
      <c r="U43" s="7"/>
      <c r="V43" s="7"/>
      <c r="W43" s="138">
        <v>1</v>
      </c>
    </row>
    <row r="44" s="138" customFormat="1" ht="16" customHeight="1" spans="1:23">
      <c r="A44" s="449">
        <v>46175</v>
      </c>
      <c r="B44" s="449">
        <v>46176</v>
      </c>
      <c r="C44" s="7"/>
      <c r="D44" s="7" t="s">
        <v>235</v>
      </c>
      <c r="E44" s="7" t="s">
        <v>114</v>
      </c>
      <c r="F44" s="7" t="s">
        <v>114</v>
      </c>
      <c r="G44" s="7" t="s">
        <v>115</v>
      </c>
      <c r="H44" s="7" t="s">
        <v>384</v>
      </c>
      <c r="I44" s="7" t="s">
        <v>356</v>
      </c>
      <c r="J44" s="74">
        <v>41.48</v>
      </c>
      <c r="K44" s="74" t="s">
        <v>371</v>
      </c>
      <c r="L44" s="74">
        <v>41.22</v>
      </c>
      <c r="M44" s="7">
        <v>61</v>
      </c>
      <c r="N44" s="7"/>
      <c r="O44" s="438">
        <f t="shared" si="0"/>
        <v>2514.42</v>
      </c>
      <c r="P44" s="438">
        <v>15</v>
      </c>
      <c r="Q44" s="438">
        <f t="shared" si="1"/>
        <v>176.0094</v>
      </c>
      <c r="R44" s="438">
        <v>600</v>
      </c>
      <c r="S44" s="439">
        <f t="shared" si="2"/>
        <v>1723.4106</v>
      </c>
      <c r="T44" s="7"/>
      <c r="U44" s="7"/>
      <c r="V44" s="7"/>
      <c r="W44" s="138">
        <v>1</v>
      </c>
    </row>
    <row r="45" s="138" customFormat="1" ht="16" customHeight="1" spans="1:23">
      <c r="A45" s="449">
        <v>46175</v>
      </c>
      <c r="B45" s="449">
        <v>46176</v>
      </c>
      <c r="C45" s="7"/>
      <c r="D45" s="7" t="s">
        <v>235</v>
      </c>
      <c r="E45" s="7" t="s">
        <v>105</v>
      </c>
      <c r="F45" s="7" t="s">
        <v>105</v>
      </c>
      <c r="G45" s="7" t="s">
        <v>106</v>
      </c>
      <c r="H45" s="7" t="s">
        <v>384</v>
      </c>
      <c r="I45" s="7" t="s">
        <v>356</v>
      </c>
      <c r="J45" s="74">
        <v>43.06</v>
      </c>
      <c r="K45" s="74" t="s">
        <v>371</v>
      </c>
      <c r="L45" s="74">
        <v>42.67</v>
      </c>
      <c r="M45" s="7">
        <v>61</v>
      </c>
      <c r="N45" s="7"/>
      <c r="O45" s="438">
        <f t="shared" si="0"/>
        <v>2602.87</v>
      </c>
      <c r="P45" s="438">
        <v>15</v>
      </c>
      <c r="Q45" s="438">
        <f t="shared" si="1"/>
        <v>182.2009</v>
      </c>
      <c r="R45" s="438">
        <v>600</v>
      </c>
      <c r="S45" s="439">
        <f t="shared" si="2"/>
        <v>1805.6691</v>
      </c>
      <c r="T45" s="7"/>
      <c r="U45" s="7"/>
      <c r="V45" s="7"/>
      <c r="W45" s="138">
        <v>1</v>
      </c>
    </row>
    <row r="46" s="138" customFormat="1" ht="16" customHeight="1" spans="1:23">
      <c r="A46" s="449">
        <v>46176</v>
      </c>
      <c r="B46" s="449">
        <v>46176</v>
      </c>
      <c r="C46" s="7" t="s">
        <v>385</v>
      </c>
      <c r="D46" s="7" t="s">
        <v>236</v>
      </c>
      <c r="E46" s="7" t="s">
        <v>63</v>
      </c>
      <c r="F46" s="7" t="s">
        <v>63</v>
      </c>
      <c r="G46" s="7" t="s">
        <v>64</v>
      </c>
      <c r="H46" s="7" t="s">
        <v>354</v>
      </c>
      <c r="I46" s="7" t="s">
        <v>369</v>
      </c>
      <c r="J46" s="74">
        <v>37.3</v>
      </c>
      <c r="K46" s="74" t="s">
        <v>356</v>
      </c>
      <c r="L46" s="74">
        <v>37.3</v>
      </c>
      <c r="M46" s="7">
        <v>68</v>
      </c>
      <c r="N46" s="7"/>
      <c r="O46" s="438">
        <f t="shared" si="0"/>
        <v>2536.4</v>
      </c>
      <c r="P46" s="438">
        <v>15</v>
      </c>
      <c r="Q46" s="438">
        <f t="shared" si="1"/>
        <v>177.548</v>
      </c>
      <c r="R46" s="438">
        <v>600</v>
      </c>
      <c r="S46" s="439">
        <f t="shared" si="2"/>
        <v>1743.852</v>
      </c>
      <c r="T46" s="7"/>
      <c r="U46" s="7"/>
      <c r="V46" s="7"/>
      <c r="W46" s="138">
        <v>1</v>
      </c>
    </row>
    <row r="47" s="138" customFormat="1" ht="16" customHeight="1" spans="1:23">
      <c r="A47" s="449">
        <v>46176</v>
      </c>
      <c r="B47" s="449">
        <v>46176</v>
      </c>
      <c r="C47" s="7" t="s">
        <v>386</v>
      </c>
      <c r="D47" s="7" t="s">
        <v>236</v>
      </c>
      <c r="E47" s="7" t="s">
        <v>81</v>
      </c>
      <c r="F47" s="7" t="s">
        <v>81</v>
      </c>
      <c r="G47" s="7" t="s">
        <v>82</v>
      </c>
      <c r="H47" s="7" t="s">
        <v>354</v>
      </c>
      <c r="I47" s="7" t="s">
        <v>369</v>
      </c>
      <c r="J47" s="74">
        <v>37.7</v>
      </c>
      <c r="K47" s="74" t="s">
        <v>356</v>
      </c>
      <c r="L47" s="74">
        <v>37.64</v>
      </c>
      <c r="M47" s="7">
        <v>68</v>
      </c>
      <c r="N47" s="7"/>
      <c r="O47" s="438">
        <f t="shared" si="0"/>
        <v>2559.52</v>
      </c>
      <c r="P47" s="438">
        <v>15</v>
      </c>
      <c r="Q47" s="438">
        <f t="shared" si="1"/>
        <v>179.1664</v>
      </c>
      <c r="R47" s="438">
        <v>600</v>
      </c>
      <c r="S47" s="439">
        <f t="shared" si="2"/>
        <v>1765.3536</v>
      </c>
      <c r="T47" s="7"/>
      <c r="U47" s="7"/>
      <c r="V47" s="7"/>
      <c r="W47" s="138">
        <v>1</v>
      </c>
    </row>
    <row r="48" s="138" customFormat="1" ht="16" customHeight="1" spans="1:23">
      <c r="A48" s="449">
        <v>46175</v>
      </c>
      <c r="B48" s="449">
        <v>46176</v>
      </c>
      <c r="C48" s="442" t="s">
        <v>387</v>
      </c>
      <c r="D48" s="7" t="s">
        <v>233</v>
      </c>
      <c r="E48" s="7" t="s">
        <v>54</v>
      </c>
      <c r="F48" s="7" t="s">
        <v>54</v>
      </c>
      <c r="G48" s="7" t="s">
        <v>55</v>
      </c>
      <c r="H48" s="7" t="s">
        <v>354</v>
      </c>
      <c r="I48" s="7" t="s">
        <v>355</v>
      </c>
      <c r="J48" s="74">
        <v>42.14</v>
      </c>
      <c r="K48" s="74" t="s">
        <v>356</v>
      </c>
      <c r="L48" s="74">
        <v>42.1</v>
      </c>
      <c r="M48" s="442">
        <v>67</v>
      </c>
      <c r="N48" s="7"/>
      <c r="O48" s="438">
        <f t="shared" si="0"/>
        <v>2820.7</v>
      </c>
      <c r="P48" s="438">
        <v>15</v>
      </c>
      <c r="Q48" s="438">
        <f t="shared" si="1"/>
        <v>197.449</v>
      </c>
      <c r="R48" s="438">
        <v>600</v>
      </c>
      <c r="S48" s="439">
        <f t="shared" si="2"/>
        <v>2008.251</v>
      </c>
      <c r="T48" s="7"/>
      <c r="U48" s="7"/>
      <c r="V48" s="7"/>
      <c r="W48" s="138">
        <v>1</v>
      </c>
    </row>
    <row r="49" s="138" customFormat="1" ht="16" customHeight="1" spans="1:23">
      <c r="A49" s="449">
        <v>46175</v>
      </c>
      <c r="B49" s="449">
        <v>46176</v>
      </c>
      <c r="C49" s="442" t="s">
        <v>388</v>
      </c>
      <c r="D49" s="7" t="s">
        <v>233</v>
      </c>
      <c r="E49" s="7" t="s">
        <v>130</v>
      </c>
      <c r="F49" s="7" t="s">
        <v>130</v>
      </c>
      <c r="G49" s="7" t="s">
        <v>139</v>
      </c>
      <c r="H49" s="7" t="s">
        <v>354</v>
      </c>
      <c r="I49" s="7" t="s">
        <v>355</v>
      </c>
      <c r="J49" s="74">
        <v>39.66</v>
      </c>
      <c r="K49" s="74" t="s">
        <v>356</v>
      </c>
      <c r="L49" s="74">
        <v>39.66</v>
      </c>
      <c r="M49" s="442">
        <v>67</v>
      </c>
      <c r="N49" s="7"/>
      <c r="O49" s="438">
        <f t="shared" si="0"/>
        <v>2657.22</v>
      </c>
      <c r="P49" s="438">
        <v>15</v>
      </c>
      <c r="Q49" s="438">
        <f t="shared" si="1"/>
        <v>186.0054</v>
      </c>
      <c r="R49" s="438">
        <v>600</v>
      </c>
      <c r="S49" s="439">
        <f t="shared" si="2"/>
        <v>1856.2146</v>
      </c>
      <c r="T49" s="7"/>
      <c r="U49" s="7"/>
      <c r="V49" s="7"/>
      <c r="W49" s="138">
        <v>1</v>
      </c>
    </row>
    <row r="50" s="138" customFormat="1" ht="16" customHeight="1" spans="1:23">
      <c r="A50" s="449">
        <v>46175</v>
      </c>
      <c r="B50" s="449">
        <v>46176</v>
      </c>
      <c r="C50" s="442" t="s">
        <v>389</v>
      </c>
      <c r="D50" s="7" t="s">
        <v>233</v>
      </c>
      <c r="E50" s="7" t="s">
        <v>66</v>
      </c>
      <c r="F50" s="7" t="s">
        <v>66</v>
      </c>
      <c r="G50" s="7" t="s">
        <v>67</v>
      </c>
      <c r="H50" s="7" t="s">
        <v>354</v>
      </c>
      <c r="I50" s="7" t="s">
        <v>355</v>
      </c>
      <c r="J50" s="74">
        <v>40.94</v>
      </c>
      <c r="K50" s="74" t="s">
        <v>356</v>
      </c>
      <c r="L50" s="74">
        <v>40.94</v>
      </c>
      <c r="M50" s="442">
        <v>67</v>
      </c>
      <c r="N50" s="7"/>
      <c r="O50" s="438">
        <f t="shared" si="0"/>
        <v>2742.98</v>
      </c>
      <c r="P50" s="438">
        <v>15</v>
      </c>
      <c r="Q50" s="438">
        <f t="shared" si="1"/>
        <v>192.0086</v>
      </c>
      <c r="R50" s="438">
        <v>600</v>
      </c>
      <c r="S50" s="439">
        <f t="shared" si="2"/>
        <v>1935.9714</v>
      </c>
      <c r="T50" s="7"/>
      <c r="U50" s="7"/>
      <c r="V50" s="7"/>
      <c r="W50" s="138">
        <v>1</v>
      </c>
    </row>
    <row r="51" s="138" customFormat="1" ht="16" customHeight="1" spans="1:23">
      <c r="A51" s="449">
        <v>46175</v>
      </c>
      <c r="B51" s="449">
        <v>46176</v>
      </c>
      <c r="C51" s="442" t="s">
        <v>390</v>
      </c>
      <c r="D51" s="7" t="s">
        <v>233</v>
      </c>
      <c r="E51" s="7" t="s">
        <v>75</v>
      </c>
      <c r="F51" s="7" t="s">
        <v>75</v>
      </c>
      <c r="G51" s="7" t="s">
        <v>76</v>
      </c>
      <c r="H51" s="7" t="s">
        <v>354</v>
      </c>
      <c r="I51" s="7" t="s">
        <v>355</v>
      </c>
      <c r="J51" s="74">
        <v>41.38</v>
      </c>
      <c r="K51" s="74" t="s">
        <v>356</v>
      </c>
      <c r="L51" s="74">
        <v>41.38</v>
      </c>
      <c r="M51" s="442">
        <v>67</v>
      </c>
      <c r="N51" s="7"/>
      <c r="O51" s="438">
        <f t="shared" si="0"/>
        <v>2772.46</v>
      </c>
      <c r="P51" s="438">
        <v>15</v>
      </c>
      <c r="Q51" s="438">
        <f t="shared" si="1"/>
        <v>194.0722</v>
      </c>
      <c r="R51" s="438">
        <v>600</v>
      </c>
      <c r="S51" s="439">
        <f t="shared" si="2"/>
        <v>1963.3878</v>
      </c>
      <c r="T51" s="7"/>
      <c r="U51" s="7"/>
      <c r="V51" s="7"/>
      <c r="W51" s="138">
        <v>1</v>
      </c>
    </row>
    <row r="52" s="138" customFormat="1" ht="16" customHeight="1" spans="1:23">
      <c r="A52" s="449">
        <v>46175</v>
      </c>
      <c r="B52" s="449">
        <v>46176</v>
      </c>
      <c r="C52" s="442" t="s">
        <v>391</v>
      </c>
      <c r="D52" s="7" t="s">
        <v>233</v>
      </c>
      <c r="E52" s="7" t="s">
        <v>90</v>
      </c>
      <c r="F52" s="7" t="s">
        <v>90</v>
      </c>
      <c r="G52" s="7" t="s">
        <v>91</v>
      </c>
      <c r="H52" s="7" t="s">
        <v>354</v>
      </c>
      <c r="I52" s="7" t="s">
        <v>355</v>
      </c>
      <c r="J52" s="74">
        <v>39.94</v>
      </c>
      <c r="K52" s="74" t="s">
        <v>356</v>
      </c>
      <c r="L52" s="74">
        <v>39.94</v>
      </c>
      <c r="M52" s="442">
        <v>67</v>
      </c>
      <c r="N52" s="7"/>
      <c r="O52" s="438">
        <f t="shared" si="0"/>
        <v>2675.98</v>
      </c>
      <c r="P52" s="438">
        <v>15</v>
      </c>
      <c r="Q52" s="438">
        <f t="shared" si="1"/>
        <v>187.3186</v>
      </c>
      <c r="R52" s="438">
        <v>600</v>
      </c>
      <c r="S52" s="439">
        <f t="shared" si="2"/>
        <v>1873.6614</v>
      </c>
      <c r="T52" s="7"/>
      <c r="U52" s="7"/>
      <c r="V52" s="7"/>
      <c r="W52" s="138">
        <v>1</v>
      </c>
    </row>
    <row r="53" s="138" customFormat="1" ht="16" customHeight="1" spans="1:23">
      <c r="A53" s="449">
        <v>46176</v>
      </c>
      <c r="B53" s="449">
        <v>46176</v>
      </c>
      <c r="C53" s="442" t="s">
        <v>392</v>
      </c>
      <c r="D53" s="7" t="s">
        <v>233</v>
      </c>
      <c r="E53" s="7" t="s">
        <v>72</v>
      </c>
      <c r="F53" s="7" t="s">
        <v>72</v>
      </c>
      <c r="G53" s="7" t="s">
        <v>73</v>
      </c>
      <c r="H53" s="7" t="s">
        <v>354</v>
      </c>
      <c r="I53" s="7" t="s">
        <v>355</v>
      </c>
      <c r="J53" s="74">
        <v>41.04</v>
      </c>
      <c r="K53" s="74" t="s">
        <v>356</v>
      </c>
      <c r="L53" s="74">
        <v>41.02</v>
      </c>
      <c r="M53" s="442">
        <v>67</v>
      </c>
      <c r="N53" s="7"/>
      <c r="O53" s="438">
        <f t="shared" si="0"/>
        <v>2748.34</v>
      </c>
      <c r="P53" s="438">
        <v>15</v>
      </c>
      <c r="Q53" s="438">
        <f t="shared" si="1"/>
        <v>192.3838</v>
      </c>
      <c r="R53" s="438">
        <v>600</v>
      </c>
      <c r="S53" s="439">
        <f t="shared" si="2"/>
        <v>1940.9562</v>
      </c>
      <c r="T53" s="7"/>
      <c r="U53" s="7"/>
      <c r="V53" s="7"/>
      <c r="W53" s="138">
        <v>1</v>
      </c>
    </row>
    <row r="54" s="138" customFormat="1" ht="16" customHeight="1" spans="1:23">
      <c r="A54" s="449">
        <v>46176</v>
      </c>
      <c r="B54" s="449">
        <v>46176</v>
      </c>
      <c r="C54" s="442" t="s">
        <v>393</v>
      </c>
      <c r="D54" s="7" t="s">
        <v>233</v>
      </c>
      <c r="E54" s="7" t="s">
        <v>93</v>
      </c>
      <c r="F54" s="7" t="s">
        <v>93</v>
      </c>
      <c r="G54" s="7" t="s">
        <v>94</v>
      </c>
      <c r="H54" s="7" t="s">
        <v>354</v>
      </c>
      <c r="I54" s="7" t="s">
        <v>355</v>
      </c>
      <c r="J54" s="74">
        <v>40.02</v>
      </c>
      <c r="K54" s="74" t="s">
        <v>356</v>
      </c>
      <c r="L54" s="74">
        <v>39.98</v>
      </c>
      <c r="M54" s="442">
        <v>67</v>
      </c>
      <c r="N54" s="7"/>
      <c r="O54" s="438">
        <f t="shared" si="0"/>
        <v>2678.66</v>
      </c>
      <c r="P54" s="438">
        <v>15</v>
      </c>
      <c r="Q54" s="438">
        <f t="shared" si="1"/>
        <v>187.5062</v>
      </c>
      <c r="R54" s="438">
        <v>600</v>
      </c>
      <c r="S54" s="439">
        <f t="shared" si="2"/>
        <v>1876.1538</v>
      </c>
      <c r="T54" s="7"/>
      <c r="U54" s="7"/>
      <c r="V54" s="7"/>
      <c r="W54" s="138">
        <v>1</v>
      </c>
    </row>
    <row r="55" s="138" customFormat="1" ht="16" customHeight="1" spans="1:23">
      <c r="A55" s="449">
        <v>46176</v>
      </c>
      <c r="B55" s="449">
        <v>46176</v>
      </c>
      <c r="C55" s="442" t="s">
        <v>394</v>
      </c>
      <c r="D55" s="7" t="s">
        <v>233</v>
      </c>
      <c r="E55" s="7" t="s">
        <v>111</v>
      </c>
      <c r="F55" s="7" t="s">
        <v>111</v>
      </c>
      <c r="G55" s="7" t="s">
        <v>112</v>
      </c>
      <c r="H55" s="7" t="s">
        <v>354</v>
      </c>
      <c r="I55" s="7" t="s">
        <v>355</v>
      </c>
      <c r="J55" s="74">
        <v>40.92</v>
      </c>
      <c r="K55" s="74" t="s">
        <v>356</v>
      </c>
      <c r="L55" s="74">
        <v>40.92</v>
      </c>
      <c r="M55" s="442">
        <v>67</v>
      </c>
      <c r="N55" s="7"/>
      <c r="O55" s="438">
        <f t="shared" si="0"/>
        <v>2741.64</v>
      </c>
      <c r="P55" s="438">
        <v>15</v>
      </c>
      <c r="Q55" s="438">
        <f t="shared" si="1"/>
        <v>191.9148</v>
      </c>
      <c r="R55" s="438">
        <v>600</v>
      </c>
      <c r="S55" s="439">
        <f t="shared" si="2"/>
        <v>1934.7252</v>
      </c>
      <c r="T55" s="7"/>
      <c r="U55" s="7"/>
      <c r="V55" s="7"/>
      <c r="W55" s="138">
        <v>1</v>
      </c>
    </row>
    <row r="56" s="138" customFormat="1" ht="16" customHeight="1" spans="1:23">
      <c r="A56" s="449">
        <v>46176</v>
      </c>
      <c r="B56" s="449">
        <v>46176</v>
      </c>
      <c r="C56" s="442" t="s">
        <v>395</v>
      </c>
      <c r="D56" s="7" t="s">
        <v>233</v>
      </c>
      <c r="E56" s="7" t="s">
        <v>99</v>
      </c>
      <c r="F56" s="7" t="s">
        <v>99</v>
      </c>
      <c r="G56" s="7" t="s">
        <v>100</v>
      </c>
      <c r="H56" s="7" t="s">
        <v>354</v>
      </c>
      <c r="I56" s="7" t="s">
        <v>355</v>
      </c>
      <c r="J56" s="74">
        <v>39.88</v>
      </c>
      <c r="K56" s="74" t="s">
        <v>356</v>
      </c>
      <c r="L56" s="74">
        <v>39.88</v>
      </c>
      <c r="M56" s="442">
        <v>67</v>
      </c>
      <c r="N56" s="7"/>
      <c r="O56" s="438">
        <f t="shared" si="0"/>
        <v>2671.96</v>
      </c>
      <c r="P56" s="438">
        <v>15</v>
      </c>
      <c r="Q56" s="438">
        <f t="shared" si="1"/>
        <v>187.0372</v>
      </c>
      <c r="R56" s="438">
        <v>600</v>
      </c>
      <c r="S56" s="439">
        <f t="shared" si="2"/>
        <v>1869.9228</v>
      </c>
      <c r="T56" s="7"/>
      <c r="U56" s="7"/>
      <c r="V56" s="7"/>
      <c r="W56" s="138">
        <v>1</v>
      </c>
    </row>
    <row r="57" s="138" customFormat="1" ht="16" customHeight="1" spans="1:23">
      <c r="A57" s="449">
        <v>46176</v>
      </c>
      <c r="B57" s="449">
        <v>46177</v>
      </c>
      <c r="C57" s="442" t="s">
        <v>396</v>
      </c>
      <c r="D57" s="7" t="s">
        <v>233</v>
      </c>
      <c r="E57" s="7" t="s">
        <v>57</v>
      </c>
      <c r="F57" s="7" t="s">
        <v>57</v>
      </c>
      <c r="G57" s="7" t="s">
        <v>58</v>
      </c>
      <c r="H57" s="7" t="s">
        <v>354</v>
      </c>
      <c r="I57" s="7" t="s">
        <v>355</v>
      </c>
      <c r="J57" s="74">
        <v>41.28</v>
      </c>
      <c r="K57" s="74" t="s">
        <v>356</v>
      </c>
      <c r="L57" s="74">
        <v>41.26</v>
      </c>
      <c r="M57" s="442">
        <v>67</v>
      </c>
      <c r="N57" s="7"/>
      <c r="O57" s="438">
        <f t="shared" si="0"/>
        <v>2764.42</v>
      </c>
      <c r="P57" s="438">
        <v>15</v>
      </c>
      <c r="Q57" s="438">
        <f t="shared" si="1"/>
        <v>193.5094</v>
      </c>
      <c r="R57" s="438">
        <v>600</v>
      </c>
      <c r="S57" s="439">
        <f t="shared" si="2"/>
        <v>1955.9106</v>
      </c>
      <c r="T57" s="7"/>
      <c r="U57" s="7"/>
      <c r="V57" s="7"/>
      <c r="W57" s="138">
        <v>1</v>
      </c>
    </row>
    <row r="58" s="138" customFormat="1" ht="16" customHeight="1" spans="1:23">
      <c r="A58" s="449">
        <v>46176</v>
      </c>
      <c r="B58" s="449">
        <v>46177</v>
      </c>
      <c r="C58" s="442" t="s">
        <v>397</v>
      </c>
      <c r="D58" s="7" t="s">
        <v>233</v>
      </c>
      <c r="E58" s="7" t="s">
        <v>114</v>
      </c>
      <c r="F58" s="7" t="s">
        <v>114</v>
      </c>
      <c r="G58" s="7" t="s">
        <v>115</v>
      </c>
      <c r="H58" s="7" t="s">
        <v>354</v>
      </c>
      <c r="I58" s="7" t="s">
        <v>355</v>
      </c>
      <c r="J58" s="74">
        <v>41.56</v>
      </c>
      <c r="K58" s="74" t="s">
        <v>356</v>
      </c>
      <c r="L58" s="74">
        <v>41.54</v>
      </c>
      <c r="M58" s="442">
        <v>67</v>
      </c>
      <c r="N58" s="7"/>
      <c r="O58" s="438">
        <f t="shared" si="0"/>
        <v>2783.18</v>
      </c>
      <c r="P58" s="438">
        <v>15</v>
      </c>
      <c r="Q58" s="438">
        <f t="shared" si="1"/>
        <v>194.8226</v>
      </c>
      <c r="R58" s="438">
        <v>600</v>
      </c>
      <c r="S58" s="439">
        <f t="shared" si="2"/>
        <v>1973.3574</v>
      </c>
      <c r="T58" s="7"/>
      <c r="U58" s="7"/>
      <c r="V58" s="7"/>
      <c r="W58" s="138">
        <v>1</v>
      </c>
    </row>
    <row r="59" s="138" customFormat="1" ht="16" customHeight="1" spans="1:23">
      <c r="A59" s="449">
        <v>46176</v>
      </c>
      <c r="B59" s="449">
        <v>46177</v>
      </c>
      <c r="C59" s="442" t="s">
        <v>398</v>
      </c>
      <c r="D59" s="7" t="s">
        <v>233</v>
      </c>
      <c r="E59" s="7" t="s">
        <v>69</v>
      </c>
      <c r="F59" s="7" t="s">
        <v>69</v>
      </c>
      <c r="G59" s="7" t="s">
        <v>70</v>
      </c>
      <c r="H59" s="7" t="s">
        <v>354</v>
      </c>
      <c r="I59" s="7" t="s">
        <v>355</v>
      </c>
      <c r="J59" s="74">
        <v>39.18</v>
      </c>
      <c r="K59" s="74" t="s">
        <v>356</v>
      </c>
      <c r="L59" s="74">
        <v>39.18</v>
      </c>
      <c r="M59" s="442">
        <v>67</v>
      </c>
      <c r="N59" s="7"/>
      <c r="O59" s="438">
        <f t="shared" si="0"/>
        <v>2625.06</v>
      </c>
      <c r="P59" s="438">
        <v>15</v>
      </c>
      <c r="Q59" s="438">
        <f t="shared" si="1"/>
        <v>183.7542</v>
      </c>
      <c r="R59" s="438">
        <v>600</v>
      </c>
      <c r="S59" s="439">
        <f t="shared" si="2"/>
        <v>1826.3058</v>
      </c>
      <c r="T59" s="7"/>
      <c r="U59" s="7"/>
      <c r="V59" s="7"/>
      <c r="W59" s="138">
        <v>1</v>
      </c>
    </row>
    <row r="60" s="138" customFormat="1" ht="16" customHeight="1" spans="1:23">
      <c r="A60" s="449">
        <v>46175</v>
      </c>
      <c r="B60" s="449">
        <v>46177</v>
      </c>
      <c r="C60" s="7" t="s">
        <v>399</v>
      </c>
      <c r="D60" s="7" t="s">
        <v>235</v>
      </c>
      <c r="E60" s="7" t="s">
        <v>135</v>
      </c>
      <c r="F60" s="7" t="s">
        <v>135</v>
      </c>
      <c r="G60" s="7" t="s">
        <v>136</v>
      </c>
      <c r="H60" s="7" t="s">
        <v>384</v>
      </c>
      <c r="I60" s="7" t="s">
        <v>356</v>
      </c>
      <c r="J60" s="74">
        <v>41.32</v>
      </c>
      <c r="K60" s="74" t="s">
        <v>371</v>
      </c>
      <c r="L60" s="74">
        <v>40.81</v>
      </c>
      <c r="M60" s="7">
        <v>61</v>
      </c>
      <c r="N60" s="7"/>
      <c r="O60" s="438">
        <f t="shared" si="0"/>
        <v>2489.41</v>
      </c>
      <c r="P60" s="438">
        <v>15</v>
      </c>
      <c r="Q60" s="438">
        <f t="shared" si="1"/>
        <v>174.2587</v>
      </c>
      <c r="R60" s="438">
        <v>600</v>
      </c>
      <c r="S60" s="439">
        <f t="shared" si="2"/>
        <v>1700.1513</v>
      </c>
      <c r="T60" s="7"/>
      <c r="U60" s="7"/>
      <c r="V60" s="7"/>
      <c r="W60" s="138">
        <v>1</v>
      </c>
    </row>
    <row r="61" s="138" customFormat="1" ht="16" customHeight="1" spans="1:23">
      <c r="A61" s="449">
        <v>46176</v>
      </c>
      <c r="B61" s="449">
        <v>46177</v>
      </c>
      <c r="C61" s="7" t="s">
        <v>400</v>
      </c>
      <c r="D61" s="7" t="s">
        <v>235</v>
      </c>
      <c r="E61" s="7" t="s">
        <v>84</v>
      </c>
      <c r="F61" s="7" t="s">
        <v>84</v>
      </c>
      <c r="G61" s="7" t="s">
        <v>85</v>
      </c>
      <c r="H61" s="7" t="s">
        <v>384</v>
      </c>
      <c r="I61" s="7" t="s">
        <v>356</v>
      </c>
      <c r="J61" s="74">
        <v>40.44</v>
      </c>
      <c r="K61" s="74" t="s">
        <v>371</v>
      </c>
      <c r="L61" s="74">
        <v>40</v>
      </c>
      <c r="M61" s="7">
        <v>61</v>
      </c>
      <c r="N61" s="7"/>
      <c r="O61" s="438">
        <f t="shared" si="0"/>
        <v>2440</v>
      </c>
      <c r="P61" s="438">
        <v>15</v>
      </c>
      <c r="Q61" s="438">
        <f t="shared" si="1"/>
        <v>170.8</v>
      </c>
      <c r="R61" s="438">
        <v>600</v>
      </c>
      <c r="S61" s="439">
        <f t="shared" si="2"/>
        <v>1654.2</v>
      </c>
      <c r="T61" s="7"/>
      <c r="U61" s="7"/>
      <c r="V61" s="7"/>
      <c r="W61" s="138">
        <v>1</v>
      </c>
    </row>
    <row r="62" s="138" customFormat="1" ht="16" customHeight="1" spans="1:23">
      <c r="A62" s="449">
        <v>46176</v>
      </c>
      <c r="B62" s="449">
        <v>46177</v>
      </c>
      <c r="C62" s="7" t="s">
        <v>401</v>
      </c>
      <c r="D62" s="7" t="s">
        <v>235</v>
      </c>
      <c r="E62" s="7" t="s">
        <v>132</v>
      </c>
      <c r="F62" s="7" t="s">
        <v>132</v>
      </c>
      <c r="G62" s="7" t="s">
        <v>133</v>
      </c>
      <c r="H62" s="7" t="s">
        <v>384</v>
      </c>
      <c r="I62" s="7" t="s">
        <v>356</v>
      </c>
      <c r="J62" s="74">
        <v>40.98</v>
      </c>
      <c r="K62" s="74" t="s">
        <v>371</v>
      </c>
      <c r="L62" s="74">
        <v>40.7</v>
      </c>
      <c r="M62" s="7">
        <v>61</v>
      </c>
      <c r="N62" s="7"/>
      <c r="O62" s="438">
        <f t="shared" si="0"/>
        <v>2482.7</v>
      </c>
      <c r="P62" s="438">
        <v>15</v>
      </c>
      <c r="Q62" s="438">
        <f t="shared" si="1"/>
        <v>173.789</v>
      </c>
      <c r="R62" s="438">
        <v>600</v>
      </c>
      <c r="S62" s="439">
        <f t="shared" si="2"/>
        <v>1693.911</v>
      </c>
      <c r="T62" s="7"/>
      <c r="U62" s="7"/>
      <c r="V62" s="7"/>
      <c r="W62" s="138">
        <v>1</v>
      </c>
    </row>
    <row r="63" s="138" customFormat="1" ht="16" customHeight="1" spans="1:23">
      <c r="A63" s="449">
        <v>46176</v>
      </c>
      <c r="B63" s="449">
        <v>46177</v>
      </c>
      <c r="C63" s="7" t="s">
        <v>402</v>
      </c>
      <c r="D63" s="7" t="s">
        <v>235</v>
      </c>
      <c r="E63" s="7" t="s">
        <v>124</v>
      </c>
      <c r="F63" s="7" t="s">
        <v>124</v>
      </c>
      <c r="G63" s="7" t="s">
        <v>125</v>
      </c>
      <c r="H63" s="7" t="s">
        <v>384</v>
      </c>
      <c r="I63" s="7" t="s">
        <v>356</v>
      </c>
      <c r="J63" s="74">
        <v>39.7</v>
      </c>
      <c r="K63" s="74" t="s">
        <v>371</v>
      </c>
      <c r="L63" s="74">
        <v>39.26</v>
      </c>
      <c r="M63" s="7">
        <v>61</v>
      </c>
      <c r="N63" s="7"/>
      <c r="O63" s="438">
        <f t="shared" si="0"/>
        <v>2394.86</v>
      </c>
      <c r="P63" s="438">
        <v>15</v>
      </c>
      <c r="Q63" s="438">
        <f t="shared" si="1"/>
        <v>167.6402</v>
      </c>
      <c r="R63" s="438">
        <v>600</v>
      </c>
      <c r="S63" s="439">
        <f t="shared" si="2"/>
        <v>1612.2198</v>
      </c>
      <c r="T63" s="7"/>
      <c r="U63" s="7"/>
      <c r="V63" s="7"/>
      <c r="W63" s="138">
        <v>1</v>
      </c>
    </row>
    <row r="64" s="138" customFormat="1" ht="16" customHeight="1" spans="1:23">
      <c r="A64" s="449">
        <v>46176</v>
      </c>
      <c r="B64" s="449">
        <v>46177</v>
      </c>
      <c r="C64" s="7" t="s">
        <v>403</v>
      </c>
      <c r="D64" s="7" t="s">
        <v>235</v>
      </c>
      <c r="E64" s="7" t="s">
        <v>96</v>
      </c>
      <c r="F64" s="7" t="s">
        <v>96</v>
      </c>
      <c r="G64" s="7" t="s">
        <v>97</v>
      </c>
      <c r="H64" s="7" t="s">
        <v>384</v>
      </c>
      <c r="I64" s="7" t="s">
        <v>356</v>
      </c>
      <c r="J64" s="74">
        <v>40.04</v>
      </c>
      <c r="K64" s="74" t="s">
        <v>371</v>
      </c>
      <c r="L64" s="74">
        <v>39.72</v>
      </c>
      <c r="M64" s="7">
        <v>61</v>
      </c>
      <c r="N64" s="7"/>
      <c r="O64" s="438">
        <f t="shared" si="0"/>
        <v>2422.92</v>
      </c>
      <c r="P64" s="438">
        <v>15</v>
      </c>
      <c r="Q64" s="438">
        <f t="shared" si="1"/>
        <v>169.6044</v>
      </c>
      <c r="R64" s="438">
        <v>600</v>
      </c>
      <c r="S64" s="439">
        <f t="shared" si="2"/>
        <v>1638.3156</v>
      </c>
      <c r="T64" s="7"/>
      <c r="U64" s="7"/>
      <c r="V64" s="7"/>
      <c r="W64" s="138">
        <v>1</v>
      </c>
    </row>
    <row r="65" s="138" customFormat="1" ht="16" customHeight="1" spans="1:23">
      <c r="A65" s="449">
        <v>46175</v>
      </c>
      <c r="B65" s="449">
        <v>46176</v>
      </c>
      <c r="C65" s="7" t="s">
        <v>404</v>
      </c>
      <c r="D65" s="7" t="s">
        <v>235</v>
      </c>
      <c r="E65" s="7" t="s">
        <v>121</v>
      </c>
      <c r="F65" s="7" t="s">
        <v>121</v>
      </c>
      <c r="G65" s="7" t="s">
        <v>122</v>
      </c>
      <c r="H65" s="7" t="s">
        <v>384</v>
      </c>
      <c r="I65" s="7" t="s">
        <v>356</v>
      </c>
      <c r="J65" s="74">
        <v>42.88</v>
      </c>
      <c r="K65" s="74" t="s">
        <v>371</v>
      </c>
      <c r="L65" s="74">
        <v>42.73</v>
      </c>
      <c r="M65" s="7">
        <v>61</v>
      </c>
      <c r="N65" s="7"/>
      <c r="O65" s="438">
        <f t="shared" si="0"/>
        <v>2606.53</v>
      </c>
      <c r="P65" s="438">
        <v>15</v>
      </c>
      <c r="Q65" s="438">
        <f t="shared" si="1"/>
        <v>182.4571</v>
      </c>
      <c r="R65" s="438">
        <v>600</v>
      </c>
      <c r="S65" s="439">
        <f t="shared" si="2"/>
        <v>1809.0729</v>
      </c>
      <c r="T65" s="7"/>
      <c r="U65" s="7"/>
      <c r="V65" s="7"/>
      <c r="W65" s="138">
        <v>1</v>
      </c>
    </row>
    <row r="66" s="138" customFormat="1" ht="16" customHeight="1" spans="1:23">
      <c r="A66" s="449">
        <v>46176</v>
      </c>
      <c r="B66" s="449">
        <v>46178</v>
      </c>
      <c r="C66" s="7" t="s">
        <v>405</v>
      </c>
      <c r="D66" s="7" t="s">
        <v>235</v>
      </c>
      <c r="E66" s="7" t="s">
        <v>51</v>
      </c>
      <c r="F66" s="7" t="s">
        <v>51</v>
      </c>
      <c r="G66" s="7" t="s">
        <v>52</v>
      </c>
      <c r="H66" s="7" t="s">
        <v>384</v>
      </c>
      <c r="I66" s="7" t="s">
        <v>356</v>
      </c>
      <c r="J66" s="74">
        <v>41.92</v>
      </c>
      <c r="K66" s="74" t="s">
        <v>371</v>
      </c>
      <c r="L66" s="74">
        <v>41.69</v>
      </c>
      <c r="M66" s="7">
        <v>61</v>
      </c>
      <c r="N66" s="7"/>
      <c r="O66" s="438">
        <f t="shared" ref="O66:O129" si="3">L66*M66</f>
        <v>2543.09</v>
      </c>
      <c r="P66" s="438">
        <v>15</v>
      </c>
      <c r="Q66" s="438">
        <f t="shared" ref="Q66:Q129" si="4">O66*0.07</f>
        <v>178.0163</v>
      </c>
      <c r="R66" s="438">
        <v>600</v>
      </c>
      <c r="S66" s="439">
        <f t="shared" ref="S66:S129" si="5">O66-P66-R66-Q66</f>
        <v>1750.0737</v>
      </c>
      <c r="T66" s="7"/>
      <c r="U66" s="7"/>
      <c r="V66" s="7"/>
      <c r="W66" s="138">
        <v>1</v>
      </c>
    </row>
    <row r="67" s="138" customFormat="1" ht="16" customHeight="1" spans="1:23">
      <c r="A67" s="449">
        <v>46176</v>
      </c>
      <c r="B67" s="449">
        <v>46177</v>
      </c>
      <c r="C67" s="7" t="s">
        <v>406</v>
      </c>
      <c r="D67" s="7" t="s">
        <v>237</v>
      </c>
      <c r="E67" s="7" t="s">
        <v>144</v>
      </c>
      <c r="F67" s="451" t="s">
        <v>144</v>
      </c>
      <c r="G67" s="7" t="s">
        <v>145</v>
      </c>
      <c r="H67" s="7" t="s">
        <v>354</v>
      </c>
      <c r="I67" s="7" t="s">
        <v>407</v>
      </c>
      <c r="J67" s="74">
        <v>45.58</v>
      </c>
      <c r="K67" s="74" t="s">
        <v>356</v>
      </c>
      <c r="L67" s="74">
        <v>45.58</v>
      </c>
      <c r="M67" s="7">
        <v>87</v>
      </c>
      <c r="N67" s="7"/>
      <c r="O67" s="438">
        <f t="shared" si="3"/>
        <v>3965.46</v>
      </c>
      <c r="P67" s="438">
        <v>15</v>
      </c>
      <c r="Q67" s="438">
        <f t="shared" si="4"/>
        <v>277.5822</v>
      </c>
      <c r="R67" s="438">
        <v>800</v>
      </c>
      <c r="S67" s="439">
        <f t="shared" si="5"/>
        <v>2872.8778</v>
      </c>
      <c r="T67" s="7"/>
      <c r="U67" s="7"/>
      <c r="V67" s="7"/>
      <c r="W67" s="138">
        <v>1</v>
      </c>
    </row>
    <row r="68" s="138" customFormat="1" ht="16" customHeight="1" spans="1:23">
      <c r="A68" s="449">
        <v>46177</v>
      </c>
      <c r="B68" s="449">
        <v>46178</v>
      </c>
      <c r="C68" s="7" t="s">
        <v>408</v>
      </c>
      <c r="D68" s="7" t="s">
        <v>237</v>
      </c>
      <c r="E68" s="7" t="s">
        <v>132</v>
      </c>
      <c r="F68" s="451" t="s">
        <v>132</v>
      </c>
      <c r="G68" s="7" t="s">
        <v>133</v>
      </c>
      <c r="H68" s="7" t="s">
        <v>354</v>
      </c>
      <c r="I68" s="7" t="s">
        <v>407</v>
      </c>
      <c r="J68" s="74">
        <v>41.02</v>
      </c>
      <c r="K68" s="74" t="s">
        <v>356</v>
      </c>
      <c r="L68" s="74">
        <v>41.02</v>
      </c>
      <c r="M68" s="7">
        <v>87</v>
      </c>
      <c r="N68" s="7"/>
      <c r="O68" s="438">
        <f t="shared" si="3"/>
        <v>3568.74</v>
      </c>
      <c r="P68" s="438">
        <v>15</v>
      </c>
      <c r="Q68" s="438">
        <f t="shared" si="4"/>
        <v>249.8118</v>
      </c>
      <c r="R68" s="438">
        <v>800</v>
      </c>
      <c r="S68" s="439">
        <f t="shared" si="5"/>
        <v>2503.9282</v>
      </c>
      <c r="T68" s="7"/>
      <c r="U68" s="7"/>
      <c r="V68" s="7"/>
      <c r="W68" s="138">
        <v>1</v>
      </c>
    </row>
    <row r="69" s="138" customFormat="1" ht="16" customHeight="1" spans="1:23">
      <c r="A69" s="449">
        <v>46177</v>
      </c>
      <c r="B69" s="449">
        <v>46179</v>
      </c>
      <c r="C69" s="7" t="s">
        <v>409</v>
      </c>
      <c r="D69" s="7" t="s">
        <v>237</v>
      </c>
      <c r="E69" s="7" t="s">
        <v>148</v>
      </c>
      <c r="F69" s="451" t="s">
        <v>148</v>
      </c>
      <c r="G69" s="7" t="s">
        <v>410</v>
      </c>
      <c r="H69" s="7" t="s">
        <v>354</v>
      </c>
      <c r="I69" s="7" t="s">
        <v>407</v>
      </c>
      <c r="J69" s="74">
        <v>40.68</v>
      </c>
      <c r="K69" s="74" t="s">
        <v>356</v>
      </c>
      <c r="L69" s="74">
        <v>40.68</v>
      </c>
      <c r="M69" s="7">
        <v>87</v>
      </c>
      <c r="N69" s="7"/>
      <c r="O69" s="438">
        <f t="shared" si="3"/>
        <v>3539.16</v>
      </c>
      <c r="P69" s="438">
        <v>15</v>
      </c>
      <c r="Q69" s="438">
        <f t="shared" si="4"/>
        <v>247.7412</v>
      </c>
      <c r="R69" s="438">
        <v>800</v>
      </c>
      <c r="S69" s="439">
        <f t="shared" si="5"/>
        <v>2476.4188</v>
      </c>
      <c r="T69" s="7"/>
      <c r="U69" s="7"/>
      <c r="V69" s="7"/>
      <c r="W69" s="138">
        <v>1</v>
      </c>
    </row>
    <row r="70" s="138" customFormat="1" ht="16" customHeight="1" spans="1:23">
      <c r="A70" s="449">
        <v>46177</v>
      </c>
      <c r="B70" s="449">
        <v>46179</v>
      </c>
      <c r="C70" s="7" t="s">
        <v>411</v>
      </c>
      <c r="D70" s="7" t="s">
        <v>237</v>
      </c>
      <c r="E70" s="7" t="s">
        <v>151</v>
      </c>
      <c r="F70" s="451" t="s">
        <v>151</v>
      </c>
      <c r="G70" s="7" t="s">
        <v>152</v>
      </c>
      <c r="H70" s="7" t="s">
        <v>354</v>
      </c>
      <c r="I70" s="7" t="s">
        <v>407</v>
      </c>
      <c r="J70" s="74">
        <v>40.22</v>
      </c>
      <c r="K70" s="74" t="s">
        <v>356</v>
      </c>
      <c r="L70" s="74">
        <v>40.22</v>
      </c>
      <c r="M70" s="7">
        <v>87</v>
      </c>
      <c r="N70" s="7"/>
      <c r="O70" s="438">
        <f t="shared" si="3"/>
        <v>3499.14</v>
      </c>
      <c r="P70" s="438">
        <v>15</v>
      </c>
      <c r="Q70" s="438">
        <f t="shared" si="4"/>
        <v>244.9398</v>
      </c>
      <c r="R70" s="438">
        <v>800</v>
      </c>
      <c r="S70" s="439">
        <f t="shared" si="5"/>
        <v>2439.2002</v>
      </c>
      <c r="T70" s="7"/>
      <c r="U70" s="7"/>
      <c r="V70" s="7"/>
      <c r="W70" s="138">
        <v>1</v>
      </c>
    </row>
    <row r="71" s="138" customFormat="1" ht="16" customHeight="1" spans="1:23">
      <c r="A71" s="449">
        <v>46177</v>
      </c>
      <c r="B71" s="449">
        <v>46178</v>
      </c>
      <c r="C71" s="7" t="s">
        <v>412</v>
      </c>
      <c r="D71" s="7" t="s">
        <v>236</v>
      </c>
      <c r="E71" s="7" t="s">
        <v>96</v>
      </c>
      <c r="F71" s="452" t="s">
        <v>96</v>
      </c>
      <c r="G71" s="7" t="s">
        <v>97</v>
      </c>
      <c r="H71" s="7" t="s">
        <v>354</v>
      </c>
      <c r="I71" s="7" t="s">
        <v>369</v>
      </c>
      <c r="J71" s="74">
        <v>39.04</v>
      </c>
      <c r="K71" s="74" t="s">
        <v>356</v>
      </c>
      <c r="L71" s="74">
        <v>38.98</v>
      </c>
      <c r="M71" s="7">
        <v>68</v>
      </c>
      <c r="N71" s="7"/>
      <c r="O71" s="438">
        <f t="shared" si="3"/>
        <v>2650.64</v>
      </c>
      <c r="P71" s="438">
        <v>15</v>
      </c>
      <c r="Q71" s="438">
        <f t="shared" si="4"/>
        <v>185.5448</v>
      </c>
      <c r="R71" s="438">
        <v>600</v>
      </c>
      <c r="S71" s="439">
        <f t="shared" si="5"/>
        <v>1850.0952</v>
      </c>
      <c r="T71" s="7"/>
      <c r="U71" s="7"/>
      <c r="V71" s="7"/>
      <c r="W71" s="138">
        <v>1</v>
      </c>
    </row>
    <row r="72" s="138" customFormat="1" ht="16" customHeight="1" spans="1:23">
      <c r="A72" s="449">
        <v>46177</v>
      </c>
      <c r="B72" s="449">
        <v>46178</v>
      </c>
      <c r="C72" s="7" t="s">
        <v>413</v>
      </c>
      <c r="D72" s="7" t="s">
        <v>236</v>
      </c>
      <c r="E72" s="6" t="s">
        <v>84</v>
      </c>
      <c r="F72" s="453" t="s">
        <v>84</v>
      </c>
      <c r="G72" s="7" t="s">
        <v>85</v>
      </c>
      <c r="H72" s="7" t="s">
        <v>354</v>
      </c>
      <c r="I72" s="7" t="s">
        <v>369</v>
      </c>
      <c r="J72" s="74">
        <v>37.52</v>
      </c>
      <c r="K72" s="74" t="s">
        <v>356</v>
      </c>
      <c r="L72" s="74">
        <v>37.52</v>
      </c>
      <c r="M72" s="7">
        <v>68</v>
      </c>
      <c r="N72" s="7"/>
      <c r="O72" s="438">
        <f t="shared" si="3"/>
        <v>2551.36</v>
      </c>
      <c r="P72" s="438">
        <v>15</v>
      </c>
      <c r="Q72" s="438">
        <f t="shared" si="4"/>
        <v>178.5952</v>
      </c>
      <c r="R72" s="438">
        <v>600</v>
      </c>
      <c r="S72" s="439">
        <f t="shared" si="5"/>
        <v>1757.7648</v>
      </c>
      <c r="T72" s="7"/>
      <c r="U72" s="7"/>
      <c r="V72" s="7"/>
      <c r="W72" s="138">
        <v>1</v>
      </c>
    </row>
    <row r="73" s="138" customFormat="1" ht="16" customHeight="1" spans="1:23">
      <c r="A73" s="449">
        <v>46176</v>
      </c>
      <c r="B73" s="449">
        <v>46177</v>
      </c>
      <c r="C73" s="442" t="s">
        <v>414</v>
      </c>
      <c r="D73" s="7" t="s">
        <v>233</v>
      </c>
      <c r="E73" s="7" t="s">
        <v>105</v>
      </c>
      <c r="F73" s="7" t="s">
        <v>105</v>
      </c>
      <c r="G73" s="7" t="s">
        <v>106</v>
      </c>
      <c r="H73" s="7" t="s">
        <v>354</v>
      </c>
      <c r="I73" s="7" t="s">
        <v>355</v>
      </c>
      <c r="J73" s="74">
        <v>41.56</v>
      </c>
      <c r="K73" s="74" t="s">
        <v>356</v>
      </c>
      <c r="L73" s="74">
        <v>41.56</v>
      </c>
      <c r="M73" s="442">
        <v>67</v>
      </c>
      <c r="N73" s="7"/>
      <c r="O73" s="438">
        <f t="shared" si="3"/>
        <v>2784.52</v>
      </c>
      <c r="P73" s="438">
        <v>15</v>
      </c>
      <c r="Q73" s="438">
        <f t="shared" si="4"/>
        <v>194.9164</v>
      </c>
      <c r="R73" s="438">
        <v>600</v>
      </c>
      <c r="S73" s="439">
        <f t="shared" si="5"/>
        <v>1974.6036</v>
      </c>
      <c r="T73" s="7"/>
      <c r="U73" s="7"/>
      <c r="V73" s="7"/>
      <c r="W73" s="138">
        <v>1</v>
      </c>
    </row>
    <row r="74" s="138" customFormat="1" ht="16" customHeight="1" spans="1:23">
      <c r="A74" s="449">
        <v>46177</v>
      </c>
      <c r="B74" s="449">
        <v>46178</v>
      </c>
      <c r="C74" s="442" t="s">
        <v>415</v>
      </c>
      <c r="D74" s="7" t="s">
        <v>233</v>
      </c>
      <c r="E74" s="7" t="s">
        <v>124</v>
      </c>
      <c r="F74" s="7" t="s">
        <v>124</v>
      </c>
      <c r="G74" s="7" t="s">
        <v>125</v>
      </c>
      <c r="H74" s="7" t="s">
        <v>354</v>
      </c>
      <c r="I74" s="7" t="s">
        <v>355</v>
      </c>
      <c r="J74" s="74">
        <v>38.9</v>
      </c>
      <c r="K74" s="74" t="s">
        <v>356</v>
      </c>
      <c r="L74" s="74">
        <v>38.88</v>
      </c>
      <c r="M74" s="442">
        <v>67</v>
      </c>
      <c r="N74" s="7"/>
      <c r="O74" s="438">
        <f t="shared" si="3"/>
        <v>2604.96</v>
      </c>
      <c r="P74" s="438">
        <v>15</v>
      </c>
      <c r="Q74" s="438">
        <f t="shared" si="4"/>
        <v>182.3472</v>
      </c>
      <c r="R74" s="438">
        <v>600</v>
      </c>
      <c r="S74" s="439">
        <f t="shared" si="5"/>
        <v>1807.6128</v>
      </c>
      <c r="T74" s="7"/>
      <c r="U74" s="7"/>
      <c r="V74" s="7"/>
      <c r="W74" s="138">
        <v>1</v>
      </c>
    </row>
    <row r="75" s="138" customFormat="1" ht="16" customHeight="1" spans="1:23">
      <c r="A75" s="449">
        <v>46177</v>
      </c>
      <c r="B75" s="449">
        <v>46178</v>
      </c>
      <c r="C75" s="442" t="s">
        <v>416</v>
      </c>
      <c r="D75" s="7" t="s">
        <v>233</v>
      </c>
      <c r="E75" s="7" t="s">
        <v>135</v>
      </c>
      <c r="F75" s="7" t="s">
        <v>135</v>
      </c>
      <c r="G75" s="7" t="s">
        <v>136</v>
      </c>
      <c r="H75" s="7" t="s">
        <v>354</v>
      </c>
      <c r="I75" s="7" t="s">
        <v>355</v>
      </c>
      <c r="J75" s="74">
        <v>42.9</v>
      </c>
      <c r="K75" s="74" t="s">
        <v>356</v>
      </c>
      <c r="L75" s="74">
        <v>42.88</v>
      </c>
      <c r="M75" s="442">
        <v>67</v>
      </c>
      <c r="N75" s="7"/>
      <c r="O75" s="438">
        <f t="shared" si="3"/>
        <v>2872.96</v>
      </c>
      <c r="P75" s="438">
        <v>15</v>
      </c>
      <c r="Q75" s="438">
        <f t="shared" si="4"/>
        <v>201.1072</v>
      </c>
      <c r="R75" s="438">
        <v>600</v>
      </c>
      <c r="S75" s="439">
        <f t="shared" si="5"/>
        <v>2056.8528</v>
      </c>
      <c r="T75" s="7"/>
      <c r="U75" s="7"/>
      <c r="V75" s="7"/>
      <c r="W75" s="138">
        <v>1</v>
      </c>
    </row>
    <row r="76" s="138" customFormat="1" ht="16" customHeight="1" spans="1:23">
      <c r="A76" s="449">
        <v>46177</v>
      </c>
      <c r="B76" s="449">
        <v>46178</v>
      </c>
      <c r="C76" s="7"/>
      <c r="D76" s="7" t="s">
        <v>235</v>
      </c>
      <c r="E76" s="7" t="s">
        <v>60</v>
      </c>
      <c r="F76" s="7" t="s">
        <v>60</v>
      </c>
      <c r="G76" s="7" t="s">
        <v>61</v>
      </c>
      <c r="H76" s="7" t="s">
        <v>368</v>
      </c>
      <c r="I76" s="7" t="s">
        <v>356</v>
      </c>
      <c r="J76" s="74">
        <v>44.4</v>
      </c>
      <c r="K76" s="74" t="s">
        <v>371</v>
      </c>
      <c r="L76" s="74">
        <v>44.26</v>
      </c>
      <c r="M76" s="7">
        <v>61</v>
      </c>
      <c r="N76" s="7"/>
      <c r="O76" s="438">
        <f t="shared" si="3"/>
        <v>2699.86</v>
      </c>
      <c r="P76" s="438">
        <v>15</v>
      </c>
      <c r="Q76" s="438">
        <f t="shared" si="4"/>
        <v>188.9902</v>
      </c>
      <c r="R76" s="438">
        <v>600</v>
      </c>
      <c r="S76" s="439">
        <f t="shared" si="5"/>
        <v>1895.8698</v>
      </c>
      <c r="T76" s="7"/>
      <c r="U76" s="7"/>
      <c r="V76" s="7"/>
      <c r="W76" s="138">
        <v>1</v>
      </c>
    </row>
    <row r="77" s="138" customFormat="1" ht="16" customHeight="1" spans="1:23">
      <c r="A77" s="449">
        <v>46177</v>
      </c>
      <c r="B77" s="449">
        <v>46178</v>
      </c>
      <c r="C77" s="7"/>
      <c r="D77" s="7" t="s">
        <v>235</v>
      </c>
      <c r="E77" s="7" t="s">
        <v>111</v>
      </c>
      <c r="F77" s="7" t="s">
        <v>111</v>
      </c>
      <c r="G77" s="7" t="s">
        <v>112</v>
      </c>
      <c r="H77" s="7" t="s">
        <v>368</v>
      </c>
      <c r="I77" s="7" t="s">
        <v>356</v>
      </c>
      <c r="J77" s="74">
        <v>42.6</v>
      </c>
      <c r="K77" s="74" t="s">
        <v>371</v>
      </c>
      <c r="L77" s="74">
        <v>42.47</v>
      </c>
      <c r="M77" s="7">
        <v>61</v>
      </c>
      <c r="N77" s="7"/>
      <c r="O77" s="438">
        <f t="shared" si="3"/>
        <v>2590.67</v>
      </c>
      <c r="P77" s="438">
        <v>15</v>
      </c>
      <c r="Q77" s="438">
        <f t="shared" si="4"/>
        <v>181.3469</v>
      </c>
      <c r="R77" s="438">
        <v>600</v>
      </c>
      <c r="S77" s="439">
        <f t="shared" si="5"/>
        <v>1794.3231</v>
      </c>
      <c r="T77" s="7"/>
      <c r="U77" s="7"/>
      <c r="V77" s="7"/>
      <c r="W77" s="138">
        <v>1</v>
      </c>
    </row>
    <row r="78" s="138" customFormat="1" ht="16" customHeight="1" spans="1:23">
      <c r="A78" s="449">
        <v>46177</v>
      </c>
      <c r="B78" s="449">
        <v>46178</v>
      </c>
      <c r="C78" s="7"/>
      <c r="D78" s="7" t="s">
        <v>235</v>
      </c>
      <c r="E78" s="7" t="s">
        <v>90</v>
      </c>
      <c r="F78" s="7" t="s">
        <v>90</v>
      </c>
      <c r="G78" s="7" t="s">
        <v>91</v>
      </c>
      <c r="H78" s="7" t="s">
        <v>368</v>
      </c>
      <c r="I78" s="7" t="s">
        <v>356</v>
      </c>
      <c r="J78" s="74">
        <v>43.18</v>
      </c>
      <c r="K78" s="74" t="s">
        <v>371</v>
      </c>
      <c r="L78" s="74">
        <v>43.02</v>
      </c>
      <c r="M78" s="7">
        <v>61</v>
      </c>
      <c r="N78" s="7"/>
      <c r="O78" s="438">
        <f t="shared" si="3"/>
        <v>2624.22</v>
      </c>
      <c r="P78" s="438">
        <v>15</v>
      </c>
      <c r="Q78" s="438">
        <f t="shared" si="4"/>
        <v>183.6954</v>
      </c>
      <c r="R78" s="438">
        <v>600</v>
      </c>
      <c r="S78" s="439">
        <f t="shared" si="5"/>
        <v>1825.5246</v>
      </c>
      <c r="T78" s="7"/>
      <c r="U78" s="7"/>
      <c r="V78" s="7"/>
      <c r="W78" s="138">
        <v>1</v>
      </c>
    </row>
    <row r="79" s="138" customFormat="1" ht="16" customHeight="1" spans="1:23">
      <c r="A79" s="449">
        <v>46177</v>
      </c>
      <c r="B79" s="449">
        <v>46178</v>
      </c>
      <c r="C79" s="7"/>
      <c r="D79" s="7" t="s">
        <v>235</v>
      </c>
      <c r="E79" s="7" t="s">
        <v>66</v>
      </c>
      <c r="F79" s="7" t="s">
        <v>66</v>
      </c>
      <c r="G79" s="7" t="s">
        <v>67</v>
      </c>
      <c r="H79" s="7" t="s">
        <v>368</v>
      </c>
      <c r="I79" s="7" t="s">
        <v>356</v>
      </c>
      <c r="J79" s="74">
        <v>41.98</v>
      </c>
      <c r="K79" s="74" t="s">
        <v>371</v>
      </c>
      <c r="L79" s="74">
        <v>41.85</v>
      </c>
      <c r="M79" s="7">
        <v>61</v>
      </c>
      <c r="N79" s="7"/>
      <c r="O79" s="438">
        <f t="shared" si="3"/>
        <v>2552.85</v>
      </c>
      <c r="P79" s="438">
        <v>15</v>
      </c>
      <c r="Q79" s="438">
        <f t="shared" si="4"/>
        <v>178.6995</v>
      </c>
      <c r="R79" s="438">
        <v>600</v>
      </c>
      <c r="S79" s="439">
        <f t="shared" si="5"/>
        <v>1759.1505</v>
      </c>
      <c r="T79" s="7"/>
      <c r="U79" s="7"/>
      <c r="V79" s="7"/>
      <c r="W79" s="138">
        <v>1</v>
      </c>
    </row>
    <row r="80" s="138" customFormat="1" ht="16" customHeight="1" spans="1:23">
      <c r="A80" s="449">
        <v>46177</v>
      </c>
      <c r="B80" s="449">
        <v>46178</v>
      </c>
      <c r="C80" s="7"/>
      <c r="D80" s="7" t="s">
        <v>235</v>
      </c>
      <c r="E80" s="7" t="s">
        <v>72</v>
      </c>
      <c r="F80" s="7" t="s">
        <v>72</v>
      </c>
      <c r="G80" s="7" t="s">
        <v>73</v>
      </c>
      <c r="H80" s="7" t="s">
        <v>368</v>
      </c>
      <c r="I80" s="7" t="s">
        <v>356</v>
      </c>
      <c r="J80" s="74">
        <v>44.1</v>
      </c>
      <c r="K80" s="74" t="s">
        <v>371</v>
      </c>
      <c r="L80" s="74">
        <v>43.97</v>
      </c>
      <c r="M80" s="7">
        <v>61</v>
      </c>
      <c r="N80" s="7"/>
      <c r="O80" s="438">
        <f t="shared" si="3"/>
        <v>2682.17</v>
      </c>
      <c r="P80" s="438">
        <v>15</v>
      </c>
      <c r="Q80" s="438">
        <f t="shared" si="4"/>
        <v>187.7519</v>
      </c>
      <c r="R80" s="438">
        <v>600</v>
      </c>
      <c r="S80" s="439">
        <f t="shared" si="5"/>
        <v>1879.4181</v>
      </c>
      <c r="T80" s="7"/>
      <c r="U80" s="7"/>
      <c r="V80" s="7"/>
      <c r="W80" s="138">
        <v>1</v>
      </c>
    </row>
    <row r="81" s="138" customFormat="1" ht="16" customHeight="1" spans="1:23">
      <c r="A81" s="449">
        <v>46177</v>
      </c>
      <c r="B81" s="449">
        <v>46178</v>
      </c>
      <c r="C81" s="7"/>
      <c r="D81" s="7" t="s">
        <v>235</v>
      </c>
      <c r="E81" s="7" t="s">
        <v>54</v>
      </c>
      <c r="F81" s="7" t="s">
        <v>54</v>
      </c>
      <c r="G81" s="7" t="s">
        <v>55</v>
      </c>
      <c r="H81" s="7" t="s">
        <v>368</v>
      </c>
      <c r="I81" s="7" t="s">
        <v>356</v>
      </c>
      <c r="J81" s="74">
        <v>42.46</v>
      </c>
      <c r="K81" s="74" t="s">
        <v>371</v>
      </c>
      <c r="L81" s="74">
        <v>42.35</v>
      </c>
      <c r="M81" s="7">
        <v>61</v>
      </c>
      <c r="N81" s="7"/>
      <c r="O81" s="438">
        <f t="shared" si="3"/>
        <v>2583.35</v>
      </c>
      <c r="P81" s="438">
        <v>15</v>
      </c>
      <c r="Q81" s="438">
        <f t="shared" si="4"/>
        <v>180.8345</v>
      </c>
      <c r="R81" s="438">
        <v>600</v>
      </c>
      <c r="S81" s="439">
        <f t="shared" si="5"/>
        <v>1787.5155</v>
      </c>
      <c r="T81" s="7"/>
      <c r="U81" s="7"/>
      <c r="V81" s="7"/>
      <c r="W81" s="138">
        <v>1</v>
      </c>
    </row>
    <row r="82" s="138" customFormat="1" ht="16" customHeight="1" spans="1:23">
      <c r="A82" s="449">
        <v>46177</v>
      </c>
      <c r="B82" s="449">
        <v>46178</v>
      </c>
      <c r="C82" s="7"/>
      <c r="D82" s="7" t="s">
        <v>235</v>
      </c>
      <c r="E82" s="7" t="s">
        <v>78</v>
      </c>
      <c r="F82" s="7" t="s">
        <v>78</v>
      </c>
      <c r="G82" s="7" t="s">
        <v>79</v>
      </c>
      <c r="H82" s="7" t="s">
        <v>368</v>
      </c>
      <c r="I82" s="7" t="s">
        <v>356</v>
      </c>
      <c r="J82" s="74">
        <v>42.46</v>
      </c>
      <c r="K82" s="74" t="s">
        <v>371</v>
      </c>
      <c r="L82" s="74">
        <v>42.35</v>
      </c>
      <c r="M82" s="7">
        <v>61</v>
      </c>
      <c r="N82" s="7"/>
      <c r="O82" s="438">
        <f t="shared" si="3"/>
        <v>2583.35</v>
      </c>
      <c r="P82" s="438">
        <v>15</v>
      </c>
      <c r="Q82" s="438">
        <f t="shared" si="4"/>
        <v>180.8345</v>
      </c>
      <c r="R82" s="438">
        <v>600</v>
      </c>
      <c r="S82" s="439">
        <f t="shared" si="5"/>
        <v>1787.5155</v>
      </c>
      <c r="T82" s="7"/>
      <c r="U82" s="7"/>
      <c r="V82" s="7"/>
      <c r="W82" s="138">
        <v>1</v>
      </c>
    </row>
    <row r="83" s="138" customFormat="1" ht="16" customHeight="1" spans="1:23">
      <c r="A83" s="449">
        <v>46177</v>
      </c>
      <c r="B83" s="449">
        <v>46178</v>
      </c>
      <c r="C83" s="7"/>
      <c r="D83" s="7" t="s">
        <v>235</v>
      </c>
      <c r="E83" s="7" t="s">
        <v>93</v>
      </c>
      <c r="F83" s="7" t="s">
        <v>93</v>
      </c>
      <c r="G83" s="7" t="s">
        <v>94</v>
      </c>
      <c r="H83" s="7" t="s">
        <v>368</v>
      </c>
      <c r="I83" s="7" t="s">
        <v>356</v>
      </c>
      <c r="J83" s="74">
        <v>41.04</v>
      </c>
      <c r="K83" s="74" t="s">
        <v>371</v>
      </c>
      <c r="L83" s="74">
        <v>40.78</v>
      </c>
      <c r="M83" s="7">
        <v>61</v>
      </c>
      <c r="N83" s="7"/>
      <c r="O83" s="438">
        <f t="shared" si="3"/>
        <v>2487.58</v>
      </c>
      <c r="P83" s="438">
        <v>15</v>
      </c>
      <c r="Q83" s="438">
        <f t="shared" si="4"/>
        <v>174.1306</v>
      </c>
      <c r="R83" s="438">
        <v>600</v>
      </c>
      <c r="S83" s="439">
        <f t="shared" si="5"/>
        <v>1698.4494</v>
      </c>
      <c r="T83" s="7"/>
      <c r="U83" s="7"/>
      <c r="V83" s="7"/>
      <c r="W83" s="138">
        <v>1</v>
      </c>
    </row>
    <row r="84" s="138" customFormat="1" ht="16" customHeight="1" spans="1:23">
      <c r="A84" s="449">
        <v>46177</v>
      </c>
      <c r="B84" s="449">
        <v>46178</v>
      </c>
      <c r="C84" s="7"/>
      <c r="D84" s="7" t="s">
        <v>235</v>
      </c>
      <c r="E84" s="7" t="s">
        <v>81</v>
      </c>
      <c r="F84" s="7" t="s">
        <v>81</v>
      </c>
      <c r="G84" s="7" t="s">
        <v>82</v>
      </c>
      <c r="H84" s="7" t="s">
        <v>368</v>
      </c>
      <c r="I84" s="7" t="s">
        <v>356</v>
      </c>
      <c r="J84" s="74">
        <v>42.44</v>
      </c>
      <c r="K84" s="74" t="s">
        <v>371</v>
      </c>
      <c r="L84" s="74">
        <v>42.26</v>
      </c>
      <c r="M84" s="7">
        <v>61</v>
      </c>
      <c r="N84" s="7"/>
      <c r="O84" s="438">
        <f t="shared" si="3"/>
        <v>2577.86</v>
      </c>
      <c r="P84" s="438">
        <v>15</v>
      </c>
      <c r="Q84" s="438">
        <f t="shared" si="4"/>
        <v>180.4502</v>
      </c>
      <c r="R84" s="438">
        <v>600</v>
      </c>
      <c r="S84" s="439">
        <f t="shared" si="5"/>
        <v>1782.4098</v>
      </c>
      <c r="T84" s="7"/>
      <c r="U84" s="7"/>
      <c r="V84" s="7"/>
      <c r="W84" s="138">
        <v>1</v>
      </c>
    </row>
    <row r="85" s="138" customFormat="1" ht="16" customHeight="1" spans="1:23">
      <c r="A85" s="449">
        <v>46177</v>
      </c>
      <c r="B85" s="449">
        <v>46178</v>
      </c>
      <c r="C85" s="7"/>
      <c r="D85" s="7" t="s">
        <v>235</v>
      </c>
      <c r="E85" s="7" t="s">
        <v>99</v>
      </c>
      <c r="F85" s="7" t="s">
        <v>99</v>
      </c>
      <c r="G85" s="7" t="s">
        <v>100</v>
      </c>
      <c r="H85" s="7" t="s">
        <v>368</v>
      </c>
      <c r="I85" s="7" t="s">
        <v>356</v>
      </c>
      <c r="J85" s="74">
        <v>43.58</v>
      </c>
      <c r="K85" s="74" t="s">
        <v>371</v>
      </c>
      <c r="L85" s="74">
        <v>43.47</v>
      </c>
      <c r="M85" s="7">
        <v>61</v>
      </c>
      <c r="N85" s="7"/>
      <c r="O85" s="438">
        <f t="shared" si="3"/>
        <v>2651.67</v>
      </c>
      <c r="P85" s="438">
        <v>15</v>
      </c>
      <c r="Q85" s="438">
        <f t="shared" si="4"/>
        <v>185.6169</v>
      </c>
      <c r="R85" s="438">
        <v>600</v>
      </c>
      <c r="S85" s="439">
        <f t="shared" si="5"/>
        <v>1851.0531</v>
      </c>
      <c r="T85" s="7"/>
      <c r="U85" s="7"/>
      <c r="V85" s="7"/>
      <c r="W85" s="138">
        <v>1</v>
      </c>
    </row>
    <row r="86" s="138" customFormat="1" ht="16" customHeight="1" spans="1:23">
      <c r="A86" s="449">
        <v>46177</v>
      </c>
      <c r="B86" s="449">
        <v>46178</v>
      </c>
      <c r="C86" s="7"/>
      <c r="D86" s="7" t="s">
        <v>235</v>
      </c>
      <c r="E86" s="7" t="s">
        <v>87</v>
      </c>
      <c r="F86" s="7" t="s">
        <v>87</v>
      </c>
      <c r="G86" s="7" t="s">
        <v>88</v>
      </c>
      <c r="H86" s="7" t="s">
        <v>368</v>
      </c>
      <c r="I86" s="7" t="s">
        <v>356</v>
      </c>
      <c r="J86" s="74">
        <v>42.42</v>
      </c>
      <c r="K86" s="74" t="s">
        <v>371</v>
      </c>
      <c r="L86" s="74">
        <v>42.29</v>
      </c>
      <c r="M86" s="7">
        <v>61</v>
      </c>
      <c r="N86" s="7"/>
      <c r="O86" s="438">
        <f t="shared" si="3"/>
        <v>2579.69</v>
      </c>
      <c r="P86" s="438">
        <v>15</v>
      </c>
      <c r="Q86" s="438">
        <f t="shared" si="4"/>
        <v>180.5783</v>
      </c>
      <c r="R86" s="438">
        <v>600</v>
      </c>
      <c r="S86" s="439">
        <f t="shared" si="5"/>
        <v>1784.1117</v>
      </c>
      <c r="T86" s="7"/>
      <c r="U86" s="7"/>
      <c r="V86" s="7"/>
      <c r="W86" s="138">
        <v>1</v>
      </c>
    </row>
    <row r="87" s="138" customFormat="1" ht="16" customHeight="1" spans="1:23">
      <c r="A87" s="449">
        <v>46176</v>
      </c>
      <c r="B87" s="449">
        <v>46178</v>
      </c>
      <c r="C87" s="7" t="s">
        <v>417</v>
      </c>
      <c r="D87" s="7" t="s">
        <v>235</v>
      </c>
      <c r="E87" s="7" t="s">
        <v>127</v>
      </c>
      <c r="F87" s="7" t="s">
        <v>127</v>
      </c>
      <c r="G87" s="7" t="s">
        <v>128</v>
      </c>
      <c r="H87" s="7" t="s">
        <v>384</v>
      </c>
      <c r="I87" s="7" t="s">
        <v>356</v>
      </c>
      <c r="J87" s="74">
        <v>42.6</v>
      </c>
      <c r="K87" s="74" t="s">
        <v>371</v>
      </c>
      <c r="L87" s="74">
        <v>41.89</v>
      </c>
      <c r="M87" s="7">
        <v>61</v>
      </c>
      <c r="N87" s="7"/>
      <c r="O87" s="438">
        <f t="shared" si="3"/>
        <v>2555.29</v>
      </c>
      <c r="P87" s="438">
        <v>15</v>
      </c>
      <c r="Q87" s="438">
        <f t="shared" si="4"/>
        <v>178.8703</v>
      </c>
      <c r="R87" s="438">
        <v>600</v>
      </c>
      <c r="S87" s="439">
        <f t="shared" si="5"/>
        <v>1761.4197</v>
      </c>
      <c r="T87" s="7"/>
      <c r="U87" s="7"/>
      <c r="V87" s="7"/>
      <c r="W87" s="138">
        <v>1</v>
      </c>
    </row>
    <row r="88" s="138" customFormat="1" ht="16" customHeight="1" spans="1:23">
      <c r="A88" s="449">
        <v>46177</v>
      </c>
      <c r="B88" s="449">
        <v>46179</v>
      </c>
      <c r="C88" s="7"/>
      <c r="D88" s="7" t="s">
        <v>235</v>
      </c>
      <c r="E88" s="7" t="s">
        <v>114</v>
      </c>
      <c r="F88" s="7" t="s">
        <v>114</v>
      </c>
      <c r="G88" s="7" t="s">
        <v>115</v>
      </c>
      <c r="H88" s="7" t="s">
        <v>368</v>
      </c>
      <c r="I88" s="7" t="s">
        <v>356</v>
      </c>
      <c r="J88" s="74">
        <v>46.1</v>
      </c>
      <c r="K88" s="74" t="s">
        <v>371</v>
      </c>
      <c r="L88" s="74">
        <v>45.92</v>
      </c>
      <c r="M88" s="7">
        <v>61</v>
      </c>
      <c r="N88" s="7"/>
      <c r="O88" s="438">
        <f t="shared" si="3"/>
        <v>2801.12</v>
      </c>
      <c r="P88" s="438">
        <v>15</v>
      </c>
      <c r="Q88" s="438">
        <f t="shared" si="4"/>
        <v>196.0784</v>
      </c>
      <c r="R88" s="438">
        <v>600</v>
      </c>
      <c r="S88" s="439">
        <f t="shared" si="5"/>
        <v>1990.0416</v>
      </c>
      <c r="T88" s="7"/>
      <c r="U88" s="7"/>
      <c r="V88" s="7"/>
      <c r="W88" s="138">
        <v>1</v>
      </c>
    </row>
    <row r="89" s="138" customFormat="1" ht="16" customHeight="1" spans="1:23">
      <c r="A89" s="449">
        <v>46177</v>
      </c>
      <c r="B89" s="449">
        <v>46179</v>
      </c>
      <c r="C89" s="7"/>
      <c r="D89" s="7" t="s">
        <v>235</v>
      </c>
      <c r="E89" s="7" t="s">
        <v>57</v>
      </c>
      <c r="F89" s="7" t="s">
        <v>57</v>
      </c>
      <c r="G89" s="7" t="s">
        <v>58</v>
      </c>
      <c r="H89" s="7" t="s">
        <v>368</v>
      </c>
      <c r="I89" s="7" t="s">
        <v>356</v>
      </c>
      <c r="J89" s="74">
        <v>43.86</v>
      </c>
      <c r="K89" s="74" t="s">
        <v>371</v>
      </c>
      <c r="L89" s="74">
        <v>43.75</v>
      </c>
      <c r="M89" s="7">
        <v>61</v>
      </c>
      <c r="N89" s="7"/>
      <c r="O89" s="438">
        <f t="shared" si="3"/>
        <v>2668.75</v>
      </c>
      <c r="P89" s="438">
        <v>15</v>
      </c>
      <c r="Q89" s="438">
        <f t="shared" si="4"/>
        <v>186.8125</v>
      </c>
      <c r="R89" s="438">
        <v>600</v>
      </c>
      <c r="S89" s="439">
        <f t="shared" si="5"/>
        <v>1866.9375</v>
      </c>
      <c r="T89" s="7"/>
      <c r="U89" s="7"/>
      <c r="V89" s="7"/>
      <c r="W89" s="138">
        <v>1</v>
      </c>
    </row>
    <row r="90" s="138" customFormat="1" ht="16" customHeight="1" spans="1:23">
      <c r="A90" s="449">
        <v>46176</v>
      </c>
      <c r="B90" s="449">
        <v>46178</v>
      </c>
      <c r="C90" s="7" t="s">
        <v>418</v>
      </c>
      <c r="D90" s="7" t="s">
        <v>237</v>
      </c>
      <c r="E90" s="7" t="s">
        <v>138</v>
      </c>
      <c r="F90" s="451" t="s">
        <v>138</v>
      </c>
      <c r="G90" s="7" t="s">
        <v>419</v>
      </c>
      <c r="H90" s="7" t="s">
        <v>354</v>
      </c>
      <c r="I90" s="7" t="s">
        <v>407</v>
      </c>
      <c r="J90" s="344">
        <v>44.88</v>
      </c>
      <c r="K90" s="74" t="s">
        <v>356</v>
      </c>
      <c r="L90" s="74">
        <v>44.88</v>
      </c>
      <c r="M90" s="7">
        <v>87</v>
      </c>
      <c r="N90" s="7"/>
      <c r="O90" s="438">
        <f t="shared" si="3"/>
        <v>3904.56</v>
      </c>
      <c r="P90" s="438">
        <v>15</v>
      </c>
      <c r="Q90" s="438">
        <f t="shared" si="4"/>
        <v>273.3192</v>
      </c>
      <c r="R90" s="438">
        <v>800</v>
      </c>
      <c r="S90" s="439">
        <f t="shared" si="5"/>
        <v>2816.2408</v>
      </c>
      <c r="T90" s="7"/>
      <c r="U90" s="7"/>
      <c r="V90" s="7"/>
      <c r="W90" s="138">
        <v>1</v>
      </c>
    </row>
    <row r="91" s="138" customFormat="1" ht="16" customHeight="1" spans="1:23">
      <c r="A91" s="449">
        <v>46177</v>
      </c>
      <c r="B91" s="449">
        <v>46178</v>
      </c>
      <c r="C91" s="7" t="s">
        <v>420</v>
      </c>
      <c r="D91" s="7" t="s">
        <v>237</v>
      </c>
      <c r="E91" s="7" t="s">
        <v>108</v>
      </c>
      <c r="F91" s="451" t="s">
        <v>108</v>
      </c>
      <c r="G91" s="7" t="s">
        <v>109</v>
      </c>
      <c r="H91" s="7" t="s">
        <v>354</v>
      </c>
      <c r="I91" s="7" t="s">
        <v>407</v>
      </c>
      <c r="J91" s="74">
        <v>42.42</v>
      </c>
      <c r="K91" s="74" t="s">
        <v>356</v>
      </c>
      <c r="L91" s="74">
        <v>42.42</v>
      </c>
      <c r="M91" s="7">
        <v>87</v>
      </c>
      <c r="N91" s="7"/>
      <c r="O91" s="438">
        <f t="shared" si="3"/>
        <v>3690.54</v>
      </c>
      <c r="P91" s="438">
        <v>15</v>
      </c>
      <c r="Q91" s="438">
        <f t="shared" si="4"/>
        <v>258.3378</v>
      </c>
      <c r="R91" s="438">
        <v>800</v>
      </c>
      <c r="S91" s="439">
        <f t="shared" si="5"/>
        <v>2617.2022</v>
      </c>
      <c r="T91" s="7"/>
      <c r="U91" s="7"/>
      <c r="V91" s="7"/>
      <c r="W91" s="138">
        <v>1</v>
      </c>
    </row>
    <row r="92" s="138" customFormat="1" ht="16" customHeight="1" spans="1:23">
      <c r="A92" s="449">
        <v>46178</v>
      </c>
      <c r="B92" s="449">
        <v>46179</v>
      </c>
      <c r="C92" s="7" t="s">
        <v>421</v>
      </c>
      <c r="D92" s="7" t="s">
        <v>237</v>
      </c>
      <c r="E92" s="7" t="s">
        <v>338</v>
      </c>
      <c r="F92" s="451" t="s">
        <v>338</v>
      </c>
      <c r="G92" s="7" t="s">
        <v>158</v>
      </c>
      <c r="H92" s="7" t="s">
        <v>354</v>
      </c>
      <c r="I92" s="7" t="s">
        <v>407</v>
      </c>
      <c r="J92" s="74">
        <v>42.96</v>
      </c>
      <c r="K92" s="74" t="s">
        <v>356</v>
      </c>
      <c r="L92" s="74">
        <v>42.96</v>
      </c>
      <c r="M92" s="7">
        <v>87</v>
      </c>
      <c r="N92" s="7"/>
      <c r="O92" s="438">
        <f t="shared" si="3"/>
        <v>3737.52</v>
      </c>
      <c r="P92" s="438">
        <v>15</v>
      </c>
      <c r="Q92" s="438">
        <f t="shared" si="4"/>
        <v>261.6264</v>
      </c>
      <c r="R92" s="438">
        <v>800</v>
      </c>
      <c r="S92" s="439">
        <f t="shared" si="5"/>
        <v>2660.8936</v>
      </c>
      <c r="T92" s="7"/>
      <c r="U92" s="7"/>
      <c r="V92" s="7"/>
      <c r="W92" s="138">
        <v>1</v>
      </c>
    </row>
    <row r="93" s="138" customFormat="1" ht="16" customHeight="1" spans="1:23">
      <c r="A93" s="449">
        <v>46178</v>
      </c>
      <c r="B93" s="449">
        <v>46179</v>
      </c>
      <c r="C93" s="7" t="s">
        <v>422</v>
      </c>
      <c r="D93" s="7" t="s">
        <v>237</v>
      </c>
      <c r="E93" s="7" t="s">
        <v>163</v>
      </c>
      <c r="F93" s="451" t="s">
        <v>163</v>
      </c>
      <c r="G93" s="7" t="s">
        <v>164</v>
      </c>
      <c r="H93" s="7" t="s">
        <v>354</v>
      </c>
      <c r="I93" s="7" t="s">
        <v>407</v>
      </c>
      <c r="J93" s="74">
        <v>42.34</v>
      </c>
      <c r="K93" s="74" t="s">
        <v>356</v>
      </c>
      <c r="L93" s="74">
        <v>42.34</v>
      </c>
      <c r="M93" s="7">
        <v>87</v>
      </c>
      <c r="N93" s="7"/>
      <c r="O93" s="438">
        <f t="shared" si="3"/>
        <v>3683.58</v>
      </c>
      <c r="P93" s="438">
        <v>15</v>
      </c>
      <c r="Q93" s="438">
        <f t="shared" si="4"/>
        <v>257.8506</v>
      </c>
      <c r="R93" s="438">
        <v>800</v>
      </c>
      <c r="S93" s="439">
        <f t="shared" si="5"/>
        <v>2610.7294</v>
      </c>
      <c r="T93" s="7"/>
      <c r="U93" s="7"/>
      <c r="V93" s="7"/>
      <c r="W93" s="138">
        <v>1</v>
      </c>
    </row>
    <row r="94" s="138" customFormat="1" ht="16" customHeight="1" spans="1:23">
      <c r="A94" s="449">
        <v>46178</v>
      </c>
      <c r="B94" s="449">
        <v>46179</v>
      </c>
      <c r="C94" s="7" t="s">
        <v>423</v>
      </c>
      <c r="D94" s="7" t="s">
        <v>237</v>
      </c>
      <c r="E94" s="7" t="s">
        <v>154</v>
      </c>
      <c r="F94" s="451" t="s">
        <v>154</v>
      </c>
      <c r="G94" s="7" t="s">
        <v>155</v>
      </c>
      <c r="H94" s="7" t="s">
        <v>354</v>
      </c>
      <c r="I94" s="7" t="s">
        <v>407</v>
      </c>
      <c r="J94" s="74">
        <v>44.5</v>
      </c>
      <c r="K94" s="74" t="s">
        <v>356</v>
      </c>
      <c r="L94" s="74">
        <v>44.5</v>
      </c>
      <c r="M94" s="7">
        <v>87</v>
      </c>
      <c r="N94" s="7"/>
      <c r="O94" s="438">
        <f t="shared" si="3"/>
        <v>3871.5</v>
      </c>
      <c r="P94" s="438">
        <v>15</v>
      </c>
      <c r="Q94" s="438">
        <f t="shared" si="4"/>
        <v>271.005</v>
      </c>
      <c r="R94" s="438">
        <v>800</v>
      </c>
      <c r="S94" s="439">
        <f t="shared" si="5"/>
        <v>2785.495</v>
      </c>
      <c r="T94" s="7"/>
      <c r="U94" s="7"/>
      <c r="V94" s="7"/>
      <c r="W94" s="138">
        <v>1</v>
      </c>
    </row>
    <row r="95" s="138" customFormat="1" ht="16" customHeight="1" spans="1:23">
      <c r="A95" s="449">
        <v>46178</v>
      </c>
      <c r="B95" s="449">
        <v>46179</v>
      </c>
      <c r="C95" s="7" t="s">
        <v>424</v>
      </c>
      <c r="D95" s="7" t="s">
        <v>237</v>
      </c>
      <c r="E95" s="7" t="s">
        <v>160</v>
      </c>
      <c r="F95" s="451" t="s">
        <v>160</v>
      </c>
      <c r="G95" s="7" t="s">
        <v>161</v>
      </c>
      <c r="H95" s="7" t="s">
        <v>354</v>
      </c>
      <c r="I95" s="7" t="s">
        <v>407</v>
      </c>
      <c r="J95" s="74">
        <v>42.28</v>
      </c>
      <c r="K95" s="74" t="s">
        <v>356</v>
      </c>
      <c r="L95" s="74">
        <v>42.28</v>
      </c>
      <c r="M95" s="7">
        <v>87</v>
      </c>
      <c r="N95" s="7"/>
      <c r="O95" s="438">
        <f t="shared" si="3"/>
        <v>3678.36</v>
      </c>
      <c r="P95" s="438">
        <v>15</v>
      </c>
      <c r="Q95" s="438">
        <f t="shared" si="4"/>
        <v>257.4852</v>
      </c>
      <c r="R95" s="438">
        <v>800</v>
      </c>
      <c r="S95" s="439">
        <f t="shared" si="5"/>
        <v>2605.8748</v>
      </c>
      <c r="T95" s="7"/>
      <c r="U95" s="7"/>
      <c r="V95" s="7"/>
      <c r="W95" s="138">
        <v>1</v>
      </c>
    </row>
    <row r="96" s="138" customFormat="1" ht="16" customHeight="1" spans="1:23">
      <c r="A96" s="449">
        <v>46177</v>
      </c>
      <c r="B96" s="449">
        <v>46178</v>
      </c>
      <c r="C96" s="7" t="s">
        <v>425</v>
      </c>
      <c r="D96" s="7" t="s">
        <v>237</v>
      </c>
      <c r="E96" s="7" t="s">
        <v>141</v>
      </c>
      <c r="F96" s="451" t="s">
        <v>141</v>
      </c>
      <c r="G96" s="7" t="s">
        <v>142</v>
      </c>
      <c r="H96" s="7" t="s">
        <v>354</v>
      </c>
      <c r="I96" s="7" t="s">
        <v>407</v>
      </c>
      <c r="J96" s="74">
        <v>38.84</v>
      </c>
      <c r="K96" s="74" t="s">
        <v>356</v>
      </c>
      <c r="L96" s="74">
        <v>38.84</v>
      </c>
      <c r="M96" s="7">
        <v>87</v>
      </c>
      <c r="N96" s="7"/>
      <c r="O96" s="438">
        <f t="shared" si="3"/>
        <v>3379.08</v>
      </c>
      <c r="P96" s="438">
        <v>15</v>
      </c>
      <c r="Q96" s="438">
        <f t="shared" si="4"/>
        <v>236.5356</v>
      </c>
      <c r="R96" s="438">
        <v>800</v>
      </c>
      <c r="S96" s="439">
        <f t="shared" si="5"/>
        <v>2327.5444</v>
      </c>
      <c r="T96" s="7"/>
      <c r="U96" s="7"/>
      <c r="V96" s="7"/>
      <c r="W96" s="138">
        <v>1</v>
      </c>
    </row>
    <row r="97" s="138" customFormat="1" ht="16" customHeight="1" spans="1:23">
      <c r="A97" s="449">
        <v>46178</v>
      </c>
      <c r="B97" s="449">
        <v>46179</v>
      </c>
      <c r="C97" s="7" t="s">
        <v>426</v>
      </c>
      <c r="D97" s="7" t="s">
        <v>237</v>
      </c>
      <c r="E97" s="7" t="s">
        <v>166</v>
      </c>
      <c r="F97" s="451" t="s">
        <v>166</v>
      </c>
      <c r="G97" s="7" t="s">
        <v>167</v>
      </c>
      <c r="H97" s="7" t="s">
        <v>354</v>
      </c>
      <c r="I97" s="7" t="s">
        <v>407</v>
      </c>
      <c r="J97" s="74">
        <v>41.36</v>
      </c>
      <c r="K97" s="74" t="s">
        <v>356</v>
      </c>
      <c r="L97" s="74">
        <v>41.32</v>
      </c>
      <c r="M97" s="7">
        <v>87</v>
      </c>
      <c r="N97" s="7"/>
      <c r="O97" s="438">
        <f t="shared" si="3"/>
        <v>3594.84</v>
      </c>
      <c r="P97" s="438">
        <v>15</v>
      </c>
      <c r="Q97" s="438">
        <f t="shared" si="4"/>
        <v>251.6388</v>
      </c>
      <c r="R97" s="438">
        <v>800</v>
      </c>
      <c r="S97" s="439">
        <f t="shared" si="5"/>
        <v>2528.2012</v>
      </c>
      <c r="T97" s="7"/>
      <c r="U97" s="7"/>
      <c r="V97" s="7"/>
      <c r="W97" s="138">
        <v>1</v>
      </c>
    </row>
    <row r="98" s="138" customFormat="1" ht="16" customHeight="1" spans="1:23">
      <c r="A98" s="449">
        <v>46178</v>
      </c>
      <c r="B98" s="449">
        <v>46180</v>
      </c>
      <c r="C98" s="7" t="s">
        <v>427</v>
      </c>
      <c r="D98" s="7" t="s">
        <v>237</v>
      </c>
      <c r="E98" s="7" t="s">
        <v>339</v>
      </c>
      <c r="F98" s="451" t="s">
        <v>339</v>
      </c>
      <c r="G98" s="7" t="s">
        <v>170</v>
      </c>
      <c r="H98" s="7" t="s">
        <v>354</v>
      </c>
      <c r="I98" s="7" t="s">
        <v>407</v>
      </c>
      <c r="J98" s="74">
        <v>42.82</v>
      </c>
      <c r="K98" s="74" t="s">
        <v>356</v>
      </c>
      <c r="L98" s="74">
        <v>42.82</v>
      </c>
      <c r="M98" s="7">
        <v>87</v>
      </c>
      <c r="N98" s="7"/>
      <c r="O98" s="438">
        <f t="shared" si="3"/>
        <v>3725.34</v>
      </c>
      <c r="P98" s="438">
        <v>15</v>
      </c>
      <c r="Q98" s="438">
        <f t="shared" si="4"/>
        <v>260.7738</v>
      </c>
      <c r="R98" s="438">
        <v>800</v>
      </c>
      <c r="S98" s="439">
        <f t="shared" si="5"/>
        <v>2649.5662</v>
      </c>
      <c r="T98" s="7"/>
      <c r="U98" s="7"/>
      <c r="V98" s="7"/>
      <c r="W98" s="138">
        <v>1</v>
      </c>
    </row>
    <row r="99" s="138" customFormat="1" ht="16" customHeight="1" spans="1:23">
      <c r="A99" s="449">
        <v>46178</v>
      </c>
      <c r="B99" s="449">
        <v>46178</v>
      </c>
      <c r="C99" s="7" t="s">
        <v>428</v>
      </c>
      <c r="D99" s="7" t="s">
        <v>236</v>
      </c>
      <c r="E99" s="7" t="s">
        <v>81</v>
      </c>
      <c r="F99" s="7" t="s">
        <v>81</v>
      </c>
      <c r="G99" s="7" t="s">
        <v>82</v>
      </c>
      <c r="H99" s="7" t="s">
        <v>354</v>
      </c>
      <c r="I99" s="7" t="s">
        <v>369</v>
      </c>
      <c r="J99" s="74">
        <v>37.44</v>
      </c>
      <c r="K99" s="74" t="s">
        <v>356</v>
      </c>
      <c r="L99" s="74">
        <v>37.42</v>
      </c>
      <c r="M99" s="7">
        <v>68</v>
      </c>
      <c r="N99" s="7"/>
      <c r="O99" s="438">
        <f t="shared" si="3"/>
        <v>2544.56</v>
      </c>
      <c r="P99" s="438">
        <v>15</v>
      </c>
      <c r="Q99" s="438">
        <f t="shared" si="4"/>
        <v>178.1192</v>
      </c>
      <c r="R99" s="438">
        <v>600</v>
      </c>
      <c r="S99" s="439">
        <f t="shared" si="5"/>
        <v>1751.4408</v>
      </c>
      <c r="T99" s="7"/>
      <c r="U99" s="7"/>
      <c r="V99" s="7"/>
      <c r="W99" s="138">
        <v>1</v>
      </c>
    </row>
    <row r="100" s="138" customFormat="1" ht="16" customHeight="1" spans="1:23">
      <c r="A100" s="449">
        <v>46178</v>
      </c>
      <c r="B100" s="449">
        <v>46178</v>
      </c>
      <c r="C100" s="442" t="s">
        <v>429</v>
      </c>
      <c r="D100" s="7" t="s">
        <v>233</v>
      </c>
      <c r="E100" s="7" t="s">
        <v>60</v>
      </c>
      <c r="F100" s="7" t="s">
        <v>60</v>
      </c>
      <c r="G100" s="7" t="s">
        <v>61</v>
      </c>
      <c r="H100" s="7" t="s">
        <v>354</v>
      </c>
      <c r="I100" s="7" t="s">
        <v>355</v>
      </c>
      <c r="J100" s="74">
        <v>39.8</v>
      </c>
      <c r="K100" s="74" t="s">
        <v>356</v>
      </c>
      <c r="L100" s="74">
        <v>39.8</v>
      </c>
      <c r="M100" s="442">
        <v>67</v>
      </c>
      <c r="N100" s="7"/>
      <c r="O100" s="438">
        <f t="shared" si="3"/>
        <v>2666.6</v>
      </c>
      <c r="P100" s="438">
        <v>15</v>
      </c>
      <c r="Q100" s="438">
        <f t="shared" si="4"/>
        <v>186.662</v>
      </c>
      <c r="R100" s="438">
        <v>600</v>
      </c>
      <c r="S100" s="439">
        <f t="shared" si="5"/>
        <v>1864.938</v>
      </c>
      <c r="T100" s="7"/>
      <c r="U100" s="7"/>
      <c r="V100" s="7"/>
      <c r="W100" s="138">
        <v>1</v>
      </c>
    </row>
    <row r="101" s="138" customFormat="1" ht="16" customHeight="1" spans="1:23">
      <c r="A101" s="449">
        <v>46178</v>
      </c>
      <c r="B101" s="449">
        <v>46178</v>
      </c>
      <c r="C101" s="442" t="s">
        <v>430</v>
      </c>
      <c r="D101" s="7" t="s">
        <v>233</v>
      </c>
      <c r="E101" s="7" t="s">
        <v>51</v>
      </c>
      <c r="F101" s="7" t="s">
        <v>51</v>
      </c>
      <c r="G101" s="7" t="s">
        <v>52</v>
      </c>
      <c r="H101" s="7" t="s">
        <v>354</v>
      </c>
      <c r="I101" s="7" t="s">
        <v>355</v>
      </c>
      <c r="J101" s="74">
        <v>41.92</v>
      </c>
      <c r="K101" s="74" t="s">
        <v>356</v>
      </c>
      <c r="L101" s="74">
        <v>41.88</v>
      </c>
      <c r="M101" s="442">
        <v>67</v>
      </c>
      <c r="N101" s="7"/>
      <c r="O101" s="438">
        <f t="shared" si="3"/>
        <v>2805.96</v>
      </c>
      <c r="P101" s="438">
        <v>15</v>
      </c>
      <c r="Q101" s="438">
        <f t="shared" si="4"/>
        <v>196.4172</v>
      </c>
      <c r="R101" s="438">
        <v>600</v>
      </c>
      <c r="S101" s="439">
        <f t="shared" si="5"/>
        <v>1994.5428</v>
      </c>
      <c r="T101" s="7"/>
      <c r="U101" s="7"/>
      <c r="V101" s="7"/>
      <c r="W101" s="138">
        <v>1</v>
      </c>
    </row>
    <row r="102" s="138" customFormat="1" ht="16" customHeight="1" spans="1:23">
      <c r="A102" s="449">
        <v>46178</v>
      </c>
      <c r="B102" s="449">
        <v>46178</v>
      </c>
      <c r="C102" s="442" t="s">
        <v>431</v>
      </c>
      <c r="D102" s="7" t="s">
        <v>233</v>
      </c>
      <c r="E102" s="7" t="s">
        <v>111</v>
      </c>
      <c r="F102" s="7" t="s">
        <v>111</v>
      </c>
      <c r="G102" s="7" t="s">
        <v>112</v>
      </c>
      <c r="H102" s="7" t="s">
        <v>354</v>
      </c>
      <c r="I102" s="7" t="s">
        <v>355</v>
      </c>
      <c r="J102" s="74">
        <v>39.68</v>
      </c>
      <c r="K102" s="74" t="s">
        <v>356</v>
      </c>
      <c r="L102" s="74">
        <v>39.62</v>
      </c>
      <c r="M102" s="442">
        <v>67</v>
      </c>
      <c r="N102" s="7"/>
      <c r="O102" s="438">
        <f t="shared" si="3"/>
        <v>2654.54</v>
      </c>
      <c r="P102" s="438">
        <v>15</v>
      </c>
      <c r="Q102" s="438">
        <f t="shared" si="4"/>
        <v>185.8178</v>
      </c>
      <c r="R102" s="438">
        <v>600</v>
      </c>
      <c r="S102" s="439">
        <f t="shared" si="5"/>
        <v>1853.7222</v>
      </c>
      <c r="T102" s="7"/>
      <c r="U102" s="7"/>
      <c r="V102" s="7"/>
      <c r="W102" s="138">
        <v>1</v>
      </c>
    </row>
    <row r="103" s="138" customFormat="1" ht="16" customHeight="1" spans="1:23">
      <c r="A103" s="449">
        <v>46178</v>
      </c>
      <c r="B103" s="449">
        <v>46179</v>
      </c>
      <c r="C103" s="442" t="s">
        <v>432</v>
      </c>
      <c r="D103" s="7" t="s">
        <v>233</v>
      </c>
      <c r="E103" s="7" t="s">
        <v>127</v>
      </c>
      <c r="F103" s="7" t="s">
        <v>127</v>
      </c>
      <c r="G103" s="7" t="s">
        <v>128</v>
      </c>
      <c r="H103" s="7" t="s">
        <v>354</v>
      </c>
      <c r="I103" s="7" t="s">
        <v>355</v>
      </c>
      <c r="J103" s="74">
        <v>40.4</v>
      </c>
      <c r="K103" s="74" t="s">
        <v>356</v>
      </c>
      <c r="L103" s="74">
        <v>40.38</v>
      </c>
      <c r="M103" s="442">
        <v>67</v>
      </c>
      <c r="N103" s="7"/>
      <c r="O103" s="438">
        <f t="shared" si="3"/>
        <v>2705.46</v>
      </c>
      <c r="P103" s="438">
        <v>15</v>
      </c>
      <c r="Q103" s="438">
        <f t="shared" si="4"/>
        <v>189.3822</v>
      </c>
      <c r="R103" s="438">
        <v>600</v>
      </c>
      <c r="S103" s="439">
        <f t="shared" si="5"/>
        <v>1901.0778</v>
      </c>
      <c r="T103" s="7"/>
      <c r="U103" s="7"/>
      <c r="V103" s="7"/>
      <c r="W103" s="138">
        <v>1</v>
      </c>
    </row>
    <row r="104" s="138" customFormat="1" ht="16" customHeight="1" spans="1:23">
      <c r="A104" s="449">
        <v>46178</v>
      </c>
      <c r="B104" s="449">
        <v>46179</v>
      </c>
      <c r="C104" s="442" t="s">
        <v>433</v>
      </c>
      <c r="D104" s="7" t="s">
        <v>233</v>
      </c>
      <c r="E104" s="7" t="s">
        <v>90</v>
      </c>
      <c r="F104" s="7" t="s">
        <v>90</v>
      </c>
      <c r="G104" s="7" t="s">
        <v>91</v>
      </c>
      <c r="H104" s="7" t="s">
        <v>354</v>
      </c>
      <c r="I104" s="7" t="s">
        <v>355</v>
      </c>
      <c r="J104" s="74">
        <v>39.88</v>
      </c>
      <c r="K104" s="74" t="s">
        <v>356</v>
      </c>
      <c r="L104" s="74">
        <v>39.86</v>
      </c>
      <c r="M104" s="442">
        <v>67</v>
      </c>
      <c r="N104" s="7"/>
      <c r="O104" s="438">
        <f t="shared" si="3"/>
        <v>2670.62</v>
      </c>
      <c r="P104" s="438">
        <v>15</v>
      </c>
      <c r="Q104" s="438">
        <f t="shared" si="4"/>
        <v>186.9434</v>
      </c>
      <c r="R104" s="438">
        <v>600</v>
      </c>
      <c r="S104" s="439">
        <f t="shared" si="5"/>
        <v>1868.6766</v>
      </c>
      <c r="T104" s="7"/>
      <c r="U104" s="7"/>
      <c r="V104" s="7"/>
      <c r="W104" s="138">
        <v>1</v>
      </c>
    </row>
    <row r="105" s="138" customFormat="1" ht="16" customHeight="1" spans="1:23">
      <c r="A105" s="449">
        <v>46178</v>
      </c>
      <c r="B105" s="449">
        <v>46179</v>
      </c>
      <c r="C105" s="442" t="s">
        <v>434</v>
      </c>
      <c r="D105" s="7" t="s">
        <v>233</v>
      </c>
      <c r="E105" s="7" t="s">
        <v>72</v>
      </c>
      <c r="F105" s="7" t="s">
        <v>72</v>
      </c>
      <c r="G105" s="7" t="s">
        <v>73</v>
      </c>
      <c r="H105" s="7" t="s">
        <v>354</v>
      </c>
      <c r="I105" s="7" t="s">
        <v>355</v>
      </c>
      <c r="J105" s="74">
        <v>41.44</v>
      </c>
      <c r="K105" s="74" t="s">
        <v>356</v>
      </c>
      <c r="L105" s="74">
        <v>41.4</v>
      </c>
      <c r="M105" s="442">
        <v>67</v>
      </c>
      <c r="N105" s="7"/>
      <c r="O105" s="438">
        <f t="shared" si="3"/>
        <v>2773.8</v>
      </c>
      <c r="P105" s="438">
        <v>15</v>
      </c>
      <c r="Q105" s="438">
        <f t="shared" si="4"/>
        <v>194.166</v>
      </c>
      <c r="R105" s="438">
        <v>600</v>
      </c>
      <c r="S105" s="439">
        <f t="shared" si="5"/>
        <v>1964.634</v>
      </c>
      <c r="T105" s="7"/>
      <c r="U105" s="7"/>
      <c r="V105" s="7"/>
      <c r="W105" s="138">
        <v>1</v>
      </c>
    </row>
    <row r="106" s="138" customFormat="1" ht="16" customHeight="1" spans="1:23">
      <c r="A106" s="449">
        <v>46178</v>
      </c>
      <c r="B106" s="449">
        <v>46179</v>
      </c>
      <c r="C106" s="442" t="s">
        <v>435</v>
      </c>
      <c r="D106" s="7" t="s">
        <v>233</v>
      </c>
      <c r="E106" s="7" t="s">
        <v>78</v>
      </c>
      <c r="F106" s="7" t="s">
        <v>78</v>
      </c>
      <c r="G106" s="7" t="s">
        <v>79</v>
      </c>
      <c r="H106" s="7" t="s">
        <v>354</v>
      </c>
      <c r="I106" s="7" t="s">
        <v>355</v>
      </c>
      <c r="J106" s="74">
        <v>44.4</v>
      </c>
      <c r="K106" s="74" t="s">
        <v>356</v>
      </c>
      <c r="L106" s="74">
        <v>44.4</v>
      </c>
      <c r="M106" s="442">
        <v>67</v>
      </c>
      <c r="N106" s="7"/>
      <c r="O106" s="438">
        <f t="shared" si="3"/>
        <v>2974.8</v>
      </c>
      <c r="P106" s="438">
        <v>15</v>
      </c>
      <c r="Q106" s="438">
        <f t="shared" si="4"/>
        <v>208.236</v>
      </c>
      <c r="R106" s="438">
        <v>600</v>
      </c>
      <c r="S106" s="439">
        <f t="shared" si="5"/>
        <v>2151.564</v>
      </c>
      <c r="T106" s="7"/>
      <c r="U106" s="7"/>
      <c r="V106" s="7"/>
      <c r="W106" s="138">
        <v>1</v>
      </c>
    </row>
    <row r="107" s="138" customFormat="1" ht="16" customHeight="1" spans="1:23">
      <c r="A107" s="449">
        <v>46178</v>
      </c>
      <c r="B107" s="449">
        <v>46179</v>
      </c>
      <c r="C107" s="442" t="s">
        <v>436</v>
      </c>
      <c r="D107" s="7" t="s">
        <v>233</v>
      </c>
      <c r="E107" s="7" t="s">
        <v>99</v>
      </c>
      <c r="F107" s="7" t="s">
        <v>99</v>
      </c>
      <c r="G107" s="7" t="s">
        <v>100</v>
      </c>
      <c r="H107" s="7" t="s">
        <v>354</v>
      </c>
      <c r="I107" s="7" t="s">
        <v>355</v>
      </c>
      <c r="J107" s="74">
        <v>38.52</v>
      </c>
      <c r="K107" s="74" t="s">
        <v>356</v>
      </c>
      <c r="L107" s="74">
        <v>38.52</v>
      </c>
      <c r="M107" s="442">
        <v>67</v>
      </c>
      <c r="N107" s="7"/>
      <c r="O107" s="438">
        <f t="shared" si="3"/>
        <v>2580.84</v>
      </c>
      <c r="P107" s="438">
        <v>15</v>
      </c>
      <c r="Q107" s="438">
        <f t="shared" si="4"/>
        <v>180.6588</v>
      </c>
      <c r="R107" s="438">
        <v>600</v>
      </c>
      <c r="S107" s="439">
        <f t="shared" si="5"/>
        <v>1785.1812</v>
      </c>
      <c r="T107" s="7"/>
      <c r="U107" s="7"/>
      <c r="V107" s="7"/>
      <c r="W107" s="138">
        <v>1</v>
      </c>
    </row>
    <row r="108" s="138" customFormat="1" ht="16" customHeight="1" spans="1:23">
      <c r="A108" s="449">
        <v>46178</v>
      </c>
      <c r="B108" s="449">
        <v>46179</v>
      </c>
      <c r="C108" s="442" t="s">
        <v>437</v>
      </c>
      <c r="D108" s="7" t="s">
        <v>233</v>
      </c>
      <c r="E108" s="7" t="s">
        <v>66</v>
      </c>
      <c r="F108" s="7" t="s">
        <v>66</v>
      </c>
      <c r="G108" s="7" t="s">
        <v>67</v>
      </c>
      <c r="H108" s="7" t="s">
        <v>354</v>
      </c>
      <c r="I108" s="7" t="s">
        <v>355</v>
      </c>
      <c r="J108" s="74">
        <v>39.68</v>
      </c>
      <c r="K108" s="74" t="s">
        <v>356</v>
      </c>
      <c r="L108" s="74">
        <v>39.68</v>
      </c>
      <c r="M108" s="442">
        <v>67</v>
      </c>
      <c r="N108" s="7"/>
      <c r="O108" s="438">
        <f t="shared" si="3"/>
        <v>2658.56</v>
      </c>
      <c r="P108" s="438">
        <v>15</v>
      </c>
      <c r="Q108" s="438">
        <f t="shared" si="4"/>
        <v>186.0992</v>
      </c>
      <c r="R108" s="438">
        <v>600</v>
      </c>
      <c r="S108" s="439">
        <f t="shared" si="5"/>
        <v>1857.4608</v>
      </c>
      <c r="T108" s="7"/>
      <c r="U108" s="7"/>
      <c r="V108" s="7"/>
      <c r="W108" s="138">
        <v>1</v>
      </c>
    </row>
    <row r="109" s="138" customFormat="1" ht="16" customHeight="1" spans="1:23">
      <c r="A109" s="449">
        <v>46178</v>
      </c>
      <c r="B109" s="449">
        <v>46179</v>
      </c>
      <c r="C109" s="442" t="s">
        <v>438</v>
      </c>
      <c r="D109" s="7" t="s">
        <v>233</v>
      </c>
      <c r="E109" s="7" t="s">
        <v>54</v>
      </c>
      <c r="F109" s="7" t="s">
        <v>54</v>
      </c>
      <c r="G109" s="7" t="s">
        <v>55</v>
      </c>
      <c r="H109" s="7" t="s">
        <v>354</v>
      </c>
      <c r="I109" s="7" t="s">
        <v>355</v>
      </c>
      <c r="J109" s="74">
        <v>42.66</v>
      </c>
      <c r="K109" s="74" t="s">
        <v>356</v>
      </c>
      <c r="L109" s="74">
        <v>42.64</v>
      </c>
      <c r="M109" s="442">
        <v>67</v>
      </c>
      <c r="N109" s="7"/>
      <c r="O109" s="438">
        <f t="shared" si="3"/>
        <v>2856.88</v>
      </c>
      <c r="P109" s="438">
        <v>15</v>
      </c>
      <c r="Q109" s="438">
        <f t="shared" si="4"/>
        <v>199.9816</v>
      </c>
      <c r="R109" s="438">
        <v>600</v>
      </c>
      <c r="S109" s="439">
        <f t="shared" si="5"/>
        <v>2041.8984</v>
      </c>
      <c r="T109" s="7"/>
      <c r="U109" s="7"/>
      <c r="V109" s="7"/>
      <c r="W109" s="138">
        <v>1</v>
      </c>
    </row>
    <row r="110" s="138" customFormat="1" ht="16" customHeight="1" spans="1:23">
      <c r="A110" s="449">
        <v>46178</v>
      </c>
      <c r="B110" s="449">
        <v>46179</v>
      </c>
      <c r="C110" s="442" t="s">
        <v>439</v>
      </c>
      <c r="D110" s="7" t="s">
        <v>233</v>
      </c>
      <c r="E110" s="7" t="s">
        <v>93</v>
      </c>
      <c r="F110" s="7" t="s">
        <v>93</v>
      </c>
      <c r="G110" s="7" t="s">
        <v>94</v>
      </c>
      <c r="H110" s="7" t="s">
        <v>354</v>
      </c>
      <c r="I110" s="7" t="s">
        <v>355</v>
      </c>
      <c r="J110" s="74">
        <v>40.34</v>
      </c>
      <c r="K110" s="74" t="s">
        <v>356</v>
      </c>
      <c r="L110" s="74">
        <v>40.34</v>
      </c>
      <c r="M110" s="7">
        <v>67</v>
      </c>
      <c r="N110" s="7"/>
      <c r="O110" s="438">
        <f t="shared" si="3"/>
        <v>2702.78</v>
      </c>
      <c r="P110" s="438">
        <v>15</v>
      </c>
      <c r="Q110" s="438">
        <f t="shared" si="4"/>
        <v>189.1946</v>
      </c>
      <c r="R110" s="438">
        <v>600</v>
      </c>
      <c r="S110" s="439">
        <f t="shared" si="5"/>
        <v>1898.5854</v>
      </c>
      <c r="T110" s="7"/>
      <c r="U110" s="7"/>
      <c r="V110" s="7"/>
      <c r="W110" s="138">
        <v>1</v>
      </c>
    </row>
    <row r="111" s="138" customFormat="1" ht="16" customHeight="1" spans="1:23">
      <c r="A111" s="449">
        <v>46178</v>
      </c>
      <c r="B111" s="449">
        <v>46179</v>
      </c>
      <c r="C111" s="7"/>
      <c r="D111" s="7" t="s">
        <v>235</v>
      </c>
      <c r="E111" s="7" t="s">
        <v>69</v>
      </c>
      <c r="F111" s="7" t="s">
        <v>69</v>
      </c>
      <c r="G111" s="7" t="s">
        <v>70</v>
      </c>
      <c r="H111" s="7" t="s">
        <v>368</v>
      </c>
      <c r="I111" s="7" t="s">
        <v>356</v>
      </c>
      <c r="J111" s="74">
        <v>44.84</v>
      </c>
      <c r="K111" s="74" t="s">
        <v>371</v>
      </c>
      <c r="L111" s="74">
        <v>44.66</v>
      </c>
      <c r="M111" s="7">
        <v>61</v>
      </c>
      <c r="N111" s="7"/>
      <c r="O111" s="438">
        <f t="shared" si="3"/>
        <v>2724.26</v>
      </c>
      <c r="P111" s="438">
        <v>15</v>
      </c>
      <c r="Q111" s="438">
        <f t="shared" si="4"/>
        <v>190.6982</v>
      </c>
      <c r="R111" s="438">
        <v>600</v>
      </c>
      <c r="S111" s="439">
        <f t="shared" si="5"/>
        <v>1918.5618</v>
      </c>
      <c r="T111" s="7"/>
      <c r="U111" s="7"/>
      <c r="V111" s="7"/>
      <c r="W111" s="138">
        <v>1</v>
      </c>
    </row>
    <row r="112" s="138" customFormat="1" ht="16" customHeight="1" spans="1:23">
      <c r="A112" s="449">
        <v>46178</v>
      </c>
      <c r="B112" s="449">
        <v>46179</v>
      </c>
      <c r="C112" s="7"/>
      <c r="D112" s="7" t="s">
        <v>235</v>
      </c>
      <c r="E112" s="7" t="s">
        <v>105</v>
      </c>
      <c r="F112" s="7" t="s">
        <v>105</v>
      </c>
      <c r="G112" s="7" t="s">
        <v>106</v>
      </c>
      <c r="H112" s="7" t="s">
        <v>368</v>
      </c>
      <c r="I112" s="7" t="s">
        <v>356</v>
      </c>
      <c r="J112" s="74">
        <v>43.06</v>
      </c>
      <c r="K112" s="74" t="s">
        <v>371</v>
      </c>
      <c r="L112" s="74">
        <v>42.89</v>
      </c>
      <c r="M112" s="7">
        <v>61</v>
      </c>
      <c r="N112" s="7"/>
      <c r="O112" s="438">
        <f t="shared" si="3"/>
        <v>2616.29</v>
      </c>
      <c r="P112" s="438">
        <v>15</v>
      </c>
      <c r="Q112" s="438">
        <f t="shared" si="4"/>
        <v>183.1403</v>
      </c>
      <c r="R112" s="438">
        <v>600</v>
      </c>
      <c r="S112" s="439">
        <f t="shared" si="5"/>
        <v>1818.1497</v>
      </c>
      <c r="T112" s="7"/>
      <c r="U112" s="7"/>
      <c r="V112" s="7"/>
      <c r="W112" s="138">
        <v>1</v>
      </c>
    </row>
    <row r="113" s="138" customFormat="1" ht="16" customHeight="1" spans="1:23">
      <c r="A113" s="449">
        <v>46178</v>
      </c>
      <c r="B113" s="449">
        <v>46179</v>
      </c>
      <c r="C113" s="7"/>
      <c r="D113" s="7" t="s">
        <v>235</v>
      </c>
      <c r="E113" s="7" t="s">
        <v>108</v>
      </c>
      <c r="F113" s="7" t="s">
        <v>108</v>
      </c>
      <c r="G113" s="7" t="s">
        <v>109</v>
      </c>
      <c r="H113" s="7" t="s">
        <v>368</v>
      </c>
      <c r="I113" s="7" t="s">
        <v>356</v>
      </c>
      <c r="J113" s="74">
        <v>44.92</v>
      </c>
      <c r="K113" s="74" t="s">
        <v>371</v>
      </c>
      <c r="L113" s="74">
        <v>44.77</v>
      </c>
      <c r="M113" s="7">
        <v>61</v>
      </c>
      <c r="N113" s="7"/>
      <c r="O113" s="438">
        <f t="shared" si="3"/>
        <v>2730.97</v>
      </c>
      <c r="P113" s="438">
        <v>15</v>
      </c>
      <c r="Q113" s="438">
        <f t="shared" si="4"/>
        <v>191.1679</v>
      </c>
      <c r="R113" s="438">
        <v>600</v>
      </c>
      <c r="S113" s="439">
        <f t="shared" si="5"/>
        <v>1924.8021</v>
      </c>
      <c r="T113" s="7"/>
      <c r="U113" s="7"/>
      <c r="V113" s="7"/>
      <c r="W113" s="138">
        <v>1</v>
      </c>
    </row>
    <row r="114" s="138" customFormat="1" ht="16" customHeight="1" spans="1:23">
      <c r="A114" s="449">
        <v>46178</v>
      </c>
      <c r="B114" s="449">
        <v>46179</v>
      </c>
      <c r="C114" s="7"/>
      <c r="D114" s="7" t="s">
        <v>235</v>
      </c>
      <c r="E114" s="7" t="s">
        <v>96</v>
      </c>
      <c r="F114" s="7" t="s">
        <v>96</v>
      </c>
      <c r="G114" s="7" t="s">
        <v>97</v>
      </c>
      <c r="H114" s="7" t="s">
        <v>368</v>
      </c>
      <c r="I114" s="7" t="s">
        <v>356</v>
      </c>
      <c r="J114" s="74">
        <v>44.94</v>
      </c>
      <c r="K114" s="74" t="s">
        <v>371</v>
      </c>
      <c r="L114" s="74">
        <v>44.75</v>
      </c>
      <c r="M114" s="7">
        <v>61</v>
      </c>
      <c r="N114" s="7"/>
      <c r="O114" s="438">
        <f t="shared" si="3"/>
        <v>2729.75</v>
      </c>
      <c r="P114" s="438">
        <v>15</v>
      </c>
      <c r="Q114" s="438">
        <f t="shared" si="4"/>
        <v>191.0825</v>
      </c>
      <c r="R114" s="438">
        <v>600</v>
      </c>
      <c r="S114" s="439">
        <f t="shared" si="5"/>
        <v>1923.6675</v>
      </c>
      <c r="T114" s="7"/>
      <c r="U114" s="7"/>
      <c r="V114" s="7"/>
      <c r="W114" s="138">
        <v>1</v>
      </c>
    </row>
    <row r="115" s="138" customFormat="1" ht="16" customHeight="1" spans="1:23">
      <c r="A115" s="449">
        <v>46178</v>
      </c>
      <c r="B115" s="449">
        <v>46179</v>
      </c>
      <c r="C115" s="7"/>
      <c r="D115" s="7" t="s">
        <v>235</v>
      </c>
      <c r="E115" s="7" t="s">
        <v>84</v>
      </c>
      <c r="F115" s="7" t="s">
        <v>84</v>
      </c>
      <c r="G115" s="7" t="s">
        <v>85</v>
      </c>
      <c r="H115" s="7" t="s">
        <v>368</v>
      </c>
      <c r="I115" s="7" t="s">
        <v>356</v>
      </c>
      <c r="J115" s="74">
        <v>42.36</v>
      </c>
      <c r="K115" s="74" t="s">
        <v>371</v>
      </c>
      <c r="L115" s="74">
        <v>42.15</v>
      </c>
      <c r="M115" s="7">
        <v>61</v>
      </c>
      <c r="N115" s="7"/>
      <c r="O115" s="438">
        <f t="shared" si="3"/>
        <v>2571.15</v>
      </c>
      <c r="P115" s="438">
        <v>15</v>
      </c>
      <c r="Q115" s="438">
        <f t="shared" si="4"/>
        <v>179.9805</v>
      </c>
      <c r="R115" s="438">
        <v>600</v>
      </c>
      <c r="S115" s="439">
        <f t="shared" si="5"/>
        <v>1776.1695</v>
      </c>
      <c r="T115" s="7"/>
      <c r="U115" s="7"/>
      <c r="V115" s="7"/>
      <c r="W115" s="138">
        <v>1</v>
      </c>
    </row>
    <row r="116" s="138" customFormat="1" ht="16" customHeight="1" spans="1:23">
      <c r="A116" s="449">
        <v>46178</v>
      </c>
      <c r="B116" s="449">
        <v>46179</v>
      </c>
      <c r="C116" s="7"/>
      <c r="D116" s="7" t="s">
        <v>235</v>
      </c>
      <c r="E116" s="7" t="s">
        <v>135</v>
      </c>
      <c r="F116" s="7" t="s">
        <v>135</v>
      </c>
      <c r="G116" s="7" t="s">
        <v>136</v>
      </c>
      <c r="H116" s="7" t="s">
        <v>384</v>
      </c>
      <c r="I116" s="7" t="s">
        <v>356</v>
      </c>
      <c r="J116" s="74">
        <v>39.4</v>
      </c>
      <c r="K116" s="74" t="s">
        <v>371</v>
      </c>
      <c r="L116" s="74">
        <v>39.12</v>
      </c>
      <c r="M116" s="7">
        <v>61</v>
      </c>
      <c r="N116" s="7"/>
      <c r="O116" s="438">
        <f t="shared" si="3"/>
        <v>2386.32</v>
      </c>
      <c r="P116" s="438">
        <v>15</v>
      </c>
      <c r="Q116" s="438">
        <f t="shared" si="4"/>
        <v>167.0424</v>
      </c>
      <c r="R116" s="438">
        <v>600</v>
      </c>
      <c r="S116" s="439">
        <f t="shared" si="5"/>
        <v>1604.2776</v>
      </c>
      <c r="T116" s="7"/>
      <c r="U116" s="7"/>
      <c r="V116" s="7"/>
      <c r="W116" s="138">
        <v>1</v>
      </c>
    </row>
    <row r="117" s="138" customFormat="1" ht="16" customHeight="1" spans="1:23">
      <c r="A117" s="449">
        <v>46178</v>
      </c>
      <c r="B117" s="449">
        <v>46180</v>
      </c>
      <c r="C117" s="7"/>
      <c r="D117" s="7" t="s">
        <v>235</v>
      </c>
      <c r="E117" s="7" t="s">
        <v>144</v>
      </c>
      <c r="F117" s="7" t="s">
        <v>144</v>
      </c>
      <c r="G117" s="7" t="s">
        <v>145</v>
      </c>
      <c r="H117" s="7" t="s">
        <v>368</v>
      </c>
      <c r="I117" s="7" t="s">
        <v>356</v>
      </c>
      <c r="J117" s="74">
        <v>46.36</v>
      </c>
      <c r="K117" s="74" t="s">
        <v>371</v>
      </c>
      <c r="L117" s="74">
        <v>46.19</v>
      </c>
      <c r="M117" s="7">
        <v>61</v>
      </c>
      <c r="N117" s="7"/>
      <c r="O117" s="438">
        <f t="shared" si="3"/>
        <v>2817.59</v>
      </c>
      <c r="P117" s="438">
        <v>15</v>
      </c>
      <c r="Q117" s="438">
        <f t="shared" si="4"/>
        <v>197.2313</v>
      </c>
      <c r="R117" s="438">
        <v>600</v>
      </c>
      <c r="S117" s="439">
        <f t="shared" si="5"/>
        <v>2005.3587</v>
      </c>
      <c r="T117" s="7"/>
      <c r="U117" s="7"/>
      <c r="V117" s="7"/>
      <c r="W117" s="138">
        <v>1</v>
      </c>
    </row>
    <row r="118" s="138" customFormat="1" ht="16" customHeight="1" spans="1:23">
      <c r="A118" s="449">
        <v>46178</v>
      </c>
      <c r="B118" s="449">
        <v>46180</v>
      </c>
      <c r="C118" s="7"/>
      <c r="D118" s="7" t="s">
        <v>235</v>
      </c>
      <c r="E118" s="7" t="s">
        <v>141</v>
      </c>
      <c r="F118" s="7" t="s">
        <v>141</v>
      </c>
      <c r="G118" s="7" t="s">
        <v>142</v>
      </c>
      <c r="H118" s="7" t="s">
        <v>368</v>
      </c>
      <c r="I118" s="7" t="s">
        <v>356</v>
      </c>
      <c r="J118" s="74">
        <v>46.12</v>
      </c>
      <c r="K118" s="74" t="s">
        <v>371</v>
      </c>
      <c r="L118" s="74">
        <v>45.9</v>
      </c>
      <c r="M118" s="7">
        <v>61</v>
      </c>
      <c r="N118" s="7"/>
      <c r="O118" s="438">
        <f t="shared" si="3"/>
        <v>2799.9</v>
      </c>
      <c r="P118" s="438">
        <v>15</v>
      </c>
      <c r="Q118" s="438">
        <f t="shared" si="4"/>
        <v>195.993</v>
      </c>
      <c r="R118" s="438">
        <v>600</v>
      </c>
      <c r="S118" s="439">
        <f t="shared" si="5"/>
        <v>1988.907</v>
      </c>
      <c r="T118" s="7"/>
      <c r="U118" s="7"/>
      <c r="V118" s="7"/>
      <c r="W118" s="138">
        <v>1</v>
      </c>
    </row>
    <row r="119" s="417" customFormat="1" ht="16" customHeight="1" spans="1:23">
      <c r="A119" s="449">
        <v>46179</v>
      </c>
      <c r="B119" s="449">
        <v>46180</v>
      </c>
      <c r="C119" s="7" t="s">
        <v>440</v>
      </c>
      <c r="D119" s="7" t="s">
        <v>237</v>
      </c>
      <c r="E119" s="7" t="s">
        <v>87</v>
      </c>
      <c r="F119" s="451" t="s">
        <v>87</v>
      </c>
      <c r="G119" s="7" t="s">
        <v>88</v>
      </c>
      <c r="H119" s="7" t="s">
        <v>354</v>
      </c>
      <c r="I119" s="7" t="s">
        <v>407</v>
      </c>
      <c r="J119" s="74">
        <v>43.7</v>
      </c>
      <c r="K119" s="74" t="s">
        <v>356</v>
      </c>
      <c r="L119" s="74">
        <v>43.7</v>
      </c>
      <c r="M119" s="7">
        <v>87</v>
      </c>
      <c r="N119" s="7"/>
      <c r="O119" s="438">
        <f t="shared" si="3"/>
        <v>3801.9</v>
      </c>
      <c r="P119" s="438">
        <v>15</v>
      </c>
      <c r="Q119" s="438">
        <f t="shared" si="4"/>
        <v>266.133</v>
      </c>
      <c r="R119" s="438">
        <v>800</v>
      </c>
      <c r="S119" s="439">
        <f t="shared" si="5"/>
        <v>2720.767</v>
      </c>
      <c r="T119" s="7"/>
      <c r="U119" s="7"/>
      <c r="V119" s="7"/>
      <c r="W119" s="417">
        <v>1</v>
      </c>
    </row>
    <row r="120" s="417" customFormat="1" ht="16" customHeight="1" spans="1:23">
      <c r="A120" s="449">
        <v>46179</v>
      </c>
      <c r="B120" s="449">
        <v>46180</v>
      </c>
      <c r="C120" s="7" t="s">
        <v>441</v>
      </c>
      <c r="D120" s="7" t="s">
        <v>237</v>
      </c>
      <c r="E120" s="7" t="s">
        <v>177</v>
      </c>
      <c r="F120" s="451" t="s">
        <v>177</v>
      </c>
      <c r="G120" s="7" t="s">
        <v>178</v>
      </c>
      <c r="H120" s="7" t="s">
        <v>354</v>
      </c>
      <c r="I120" s="7" t="s">
        <v>407</v>
      </c>
      <c r="J120" s="74">
        <v>41.56</v>
      </c>
      <c r="K120" s="74" t="s">
        <v>356</v>
      </c>
      <c r="L120" s="74">
        <v>41.56</v>
      </c>
      <c r="M120" s="7">
        <v>87</v>
      </c>
      <c r="N120" s="7"/>
      <c r="O120" s="438">
        <f t="shared" si="3"/>
        <v>3615.72</v>
      </c>
      <c r="P120" s="438">
        <v>15</v>
      </c>
      <c r="Q120" s="438">
        <f t="shared" si="4"/>
        <v>253.1004</v>
      </c>
      <c r="R120" s="438">
        <v>800</v>
      </c>
      <c r="S120" s="439">
        <f t="shared" si="5"/>
        <v>2547.6196</v>
      </c>
      <c r="T120" s="7"/>
      <c r="U120" s="7"/>
      <c r="V120" s="7"/>
      <c r="W120" s="417">
        <v>1</v>
      </c>
    </row>
    <row r="121" s="417" customFormat="1" ht="16" customHeight="1" spans="1:23">
      <c r="A121" s="449">
        <v>46179</v>
      </c>
      <c r="B121" s="449">
        <v>46180</v>
      </c>
      <c r="C121" s="7" t="s">
        <v>442</v>
      </c>
      <c r="D121" s="7" t="s">
        <v>237</v>
      </c>
      <c r="E121" s="7" t="s">
        <v>174</v>
      </c>
      <c r="F121" s="451" t="s">
        <v>174</v>
      </c>
      <c r="G121" s="7" t="s">
        <v>175</v>
      </c>
      <c r="H121" s="7" t="s">
        <v>354</v>
      </c>
      <c r="I121" s="7" t="s">
        <v>407</v>
      </c>
      <c r="J121" s="74">
        <v>41.34</v>
      </c>
      <c r="K121" s="74" t="s">
        <v>356</v>
      </c>
      <c r="L121" s="74">
        <v>41.34</v>
      </c>
      <c r="M121" s="7">
        <v>87</v>
      </c>
      <c r="N121" s="7"/>
      <c r="O121" s="438">
        <f t="shared" si="3"/>
        <v>3596.58</v>
      </c>
      <c r="P121" s="438">
        <v>15</v>
      </c>
      <c r="Q121" s="438">
        <f t="shared" si="4"/>
        <v>251.7606</v>
      </c>
      <c r="R121" s="438">
        <v>800</v>
      </c>
      <c r="S121" s="439">
        <f t="shared" si="5"/>
        <v>2529.8194</v>
      </c>
      <c r="T121" s="7"/>
      <c r="U121" s="7"/>
      <c r="V121" s="7"/>
      <c r="W121" s="417">
        <v>1</v>
      </c>
    </row>
    <row r="122" s="417" customFormat="1" ht="16" customHeight="1" spans="1:23">
      <c r="A122" s="449">
        <v>46179</v>
      </c>
      <c r="B122" s="449">
        <v>46180</v>
      </c>
      <c r="C122" s="442" t="s">
        <v>443</v>
      </c>
      <c r="D122" s="7" t="s">
        <v>233</v>
      </c>
      <c r="E122" s="7" t="s">
        <v>114</v>
      </c>
      <c r="F122" s="7" t="s">
        <v>114</v>
      </c>
      <c r="G122" s="7" t="s">
        <v>115</v>
      </c>
      <c r="H122" s="7" t="s">
        <v>354</v>
      </c>
      <c r="I122" s="7" t="s">
        <v>355</v>
      </c>
      <c r="J122" s="74">
        <v>41.8</v>
      </c>
      <c r="K122" s="74" t="s">
        <v>356</v>
      </c>
      <c r="L122" s="74">
        <v>41.8</v>
      </c>
      <c r="M122" s="442">
        <v>67</v>
      </c>
      <c r="N122" s="7"/>
      <c r="O122" s="438">
        <f t="shared" si="3"/>
        <v>2800.6</v>
      </c>
      <c r="P122" s="438">
        <v>15</v>
      </c>
      <c r="Q122" s="438">
        <f t="shared" si="4"/>
        <v>196.042</v>
      </c>
      <c r="R122" s="438">
        <v>600</v>
      </c>
      <c r="S122" s="439">
        <f t="shared" si="5"/>
        <v>1989.558</v>
      </c>
      <c r="T122" s="7"/>
      <c r="U122" s="7"/>
      <c r="V122" s="7"/>
      <c r="W122" s="417">
        <v>1</v>
      </c>
    </row>
    <row r="123" s="417" customFormat="1" ht="16" customHeight="1" spans="1:23">
      <c r="A123" s="449">
        <v>46179</v>
      </c>
      <c r="B123" s="449">
        <v>46180</v>
      </c>
      <c r="C123" s="442" t="s">
        <v>444</v>
      </c>
      <c r="D123" s="7" t="s">
        <v>233</v>
      </c>
      <c r="E123" s="7" t="s">
        <v>57</v>
      </c>
      <c r="F123" s="7" t="s">
        <v>57</v>
      </c>
      <c r="G123" s="7" t="s">
        <v>58</v>
      </c>
      <c r="H123" s="7" t="s">
        <v>354</v>
      </c>
      <c r="I123" s="7" t="s">
        <v>355</v>
      </c>
      <c r="J123" s="74">
        <v>42.12</v>
      </c>
      <c r="K123" s="74" t="s">
        <v>356</v>
      </c>
      <c r="L123" s="74">
        <v>42.12</v>
      </c>
      <c r="M123" s="442">
        <v>67</v>
      </c>
      <c r="N123" s="7"/>
      <c r="O123" s="438">
        <f t="shared" si="3"/>
        <v>2822.04</v>
      </c>
      <c r="P123" s="438">
        <v>15</v>
      </c>
      <c r="Q123" s="438">
        <f t="shared" si="4"/>
        <v>197.5428</v>
      </c>
      <c r="R123" s="438">
        <v>600</v>
      </c>
      <c r="S123" s="439">
        <f t="shared" si="5"/>
        <v>2009.4972</v>
      </c>
      <c r="T123" s="7"/>
      <c r="U123" s="7"/>
      <c r="V123" s="7"/>
      <c r="W123" s="417">
        <v>1</v>
      </c>
    </row>
    <row r="124" s="417" customFormat="1" ht="16" customHeight="1" spans="1:23">
      <c r="A124" s="449">
        <v>46179</v>
      </c>
      <c r="B124" s="449">
        <v>46180</v>
      </c>
      <c r="C124" s="442" t="s">
        <v>445</v>
      </c>
      <c r="D124" s="7" t="s">
        <v>233</v>
      </c>
      <c r="E124" s="7" t="s">
        <v>102</v>
      </c>
      <c r="F124" s="7" t="s">
        <v>102</v>
      </c>
      <c r="G124" s="7" t="s">
        <v>103</v>
      </c>
      <c r="H124" s="7" t="s">
        <v>354</v>
      </c>
      <c r="I124" s="7" t="s">
        <v>355</v>
      </c>
      <c r="J124" s="74">
        <v>42.42</v>
      </c>
      <c r="K124" s="74" t="s">
        <v>356</v>
      </c>
      <c r="L124" s="74">
        <v>42.42</v>
      </c>
      <c r="M124" s="442">
        <v>67</v>
      </c>
      <c r="N124" s="7"/>
      <c r="O124" s="438">
        <f t="shared" si="3"/>
        <v>2842.14</v>
      </c>
      <c r="P124" s="438">
        <v>15</v>
      </c>
      <c r="Q124" s="438">
        <f t="shared" si="4"/>
        <v>198.9498</v>
      </c>
      <c r="R124" s="438">
        <v>600</v>
      </c>
      <c r="S124" s="439">
        <f t="shared" si="5"/>
        <v>2028.1902</v>
      </c>
      <c r="T124" s="7"/>
      <c r="U124" s="7"/>
      <c r="V124" s="7"/>
      <c r="W124" s="417">
        <v>1</v>
      </c>
    </row>
    <row r="125" s="417" customFormat="1" ht="16" customHeight="1" spans="1:23">
      <c r="A125" s="449">
        <v>46179</v>
      </c>
      <c r="B125" s="449">
        <v>46180</v>
      </c>
      <c r="C125" s="442" t="s">
        <v>446</v>
      </c>
      <c r="D125" s="7" t="s">
        <v>233</v>
      </c>
      <c r="E125" s="7" t="s">
        <v>69</v>
      </c>
      <c r="F125" s="7" t="s">
        <v>69</v>
      </c>
      <c r="G125" s="7" t="s">
        <v>70</v>
      </c>
      <c r="H125" s="7" t="s">
        <v>354</v>
      </c>
      <c r="I125" s="7" t="s">
        <v>355</v>
      </c>
      <c r="J125" s="74">
        <v>39.84</v>
      </c>
      <c r="K125" s="74" t="s">
        <v>356</v>
      </c>
      <c r="L125" s="74">
        <v>39.84</v>
      </c>
      <c r="M125" s="442">
        <v>67</v>
      </c>
      <c r="N125" s="7"/>
      <c r="O125" s="438">
        <f t="shared" si="3"/>
        <v>2669.28</v>
      </c>
      <c r="P125" s="438">
        <v>15</v>
      </c>
      <c r="Q125" s="438">
        <f t="shared" si="4"/>
        <v>186.8496</v>
      </c>
      <c r="R125" s="438">
        <v>600</v>
      </c>
      <c r="S125" s="439">
        <f t="shared" si="5"/>
        <v>1867.4304</v>
      </c>
      <c r="T125" s="7"/>
      <c r="U125" s="7"/>
      <c r="V125" s="7"/>
      <c r="W125" s="417">
        <v>1</v>
      </c>
    </row>
    <row r="126" s="417" customFormat="1" ht="16" customHeight="1" spans="1:23">
      <c r="A126" s="449">
        <v>46179</v>
      </c>
      <c r="B126" s="449">
        <v>46180</v>
      </c>
      <c r="C126" s="442" t="s">
        <v>447</v>
      </c>
      <c r="D126" s="7" t="s">
        <v>233</v>
      </c>
      <c r="E126" s="7" t="s">
        <v>108</v>
      </c>
      <c r="F126" s="7" t="s">
        <v>108</v>
      </c>
      <c r="G126" s="7" t="s">
        <v>109</v>
      </c>
      <c r="H126" s="7" t="s">
        <v>354</v>
      </c>
      <c r="I126" s="7" t="s">
        <v>355</v>
      </c>
      <c r="J126" s="74">
        <v>41.74</v>
      </c>
      <c r="K126" s="74" t="s">
        <v>356</v>
      </c>
      <c r="L126" s="74">
        <v>41.74</v>
      </c>
      <c r="M126" s="442">
        <v>67</v>
      </c>
      <c r="N126" s="7"/>
      <c r="O126" s="438">
        <f t="shared" si="3"/>
        <v>2796.58</v>
      </c>
      <c r="P126" s="438">
        <v>15</v>
      </c>
      <c r="Q126" s="438">
        <f t="shared" si="4"/>
        <v>195.7606</v>
      </c>
      <c r="R126" s="438">
        <v>600</v>
      </c>
      <c r="S126" s="439">
        <f t="shared" si="5"/>
        <v>1985.8194</v>
      </c>
      <c r="T126" s="7"/>
      <c r="U126" s="7"/>
      <c r="V126" s="7"/>
      <c r="W126" s="417">
        <v>1</v>
      </c>
    </row>
    <row r="127" s="417" customFormat="1" ht="16" customHeight="1" spans="1:23">
      <c r="A127" s="449">
        <v>46179</v>
      </c>
      <c r="B127" s="449">
        <v>46180</v>
      </c>
      <c r="C127" s="442" t="s">
        <v>448</v>
      </c>
      <c r="D127" s="7" t="s">
        <v>233</v>
      </c>
      <c r="E127" s="7" t="s">
        <v>96</v>
      </c>
      <c r="F127" s="7" t="s">
        <v>96</v>
      </c>
      <c r="G127" s="7" t="s">
        <v>97</v>
      </c>
      <c r="H127" s="7" t="s">
        <v>354</v>
      </c>
      <c r="I127" s="7" t="s">
        <v>355</v>
      </c>
      <c r="J127" s="74">
        <v>39.84</v>
      </c>
      <c r="K127" s="74" t="s">
        <v>356</v>
      </c>
      <c r="L127" s="74">
        <v>39.8</v>
      </c>
      <c r="M127" s="442">
        <v>67</v>
      </c>
      <c r="N127" s="7"/>
      <c r="O127" s="438">
        <f t="shared" si="3"/>
        <v>2666.6</v>
      </c>
      <c r="P127" s="438">
        <v>15</v>
      </c>
      <c r="Q127" s="438">
        <f t="shared" si="4"/>
        <v>186.662</v>
      </c>
      <c r="R127" s="438">
        <v>600</v>
      </c>
      <c r="S127" s="439">
        <f t="shared" si="5"/>
        <v>1864.938</v>
      </c>
      <c r="T127" s="7"/>
      <c r="U127" s="7"/>
      <c r="V127" s="7"/>
      <c r="W127" s="417">
        <v>1</v>
      </c>
    </row>
    <row r="128" s="417" customFormat="1" ht="16" customHeight="1" spans="1:23">
      <c r="A128" s="449">
        <v>46178</v>
      </c>
      <c r="B128" s="449">
        <v>46180</v>
      </c>
      <c r="C128" s="7"/>
      <c r="D128" s="7" t="s">
        <v>235</v>
      </c>
      <c r="E128" s="7" t="s">
        <v>124</v>
      </c>
      <c r="F128" s="7" t="s">
        <v>124</v>
      </c>
      <c r="G128" s="7" t="s">
        <v>125</v>
      </c>
      <c r="H128" s="7" t="s">
        <v>368</v>
      </c>
      <c r="I128" s="7" t="s">
        <v>356</v>
      </c>
      <c r="J128" s="74">
        <v>44.82</v>
      </c>
      <c r="K128" s="74" t="s">
        <v>371</v>
      </c>
      <c r="L128" s="74">
        <v>44.58</v>
      </c>
      <c r="M128" s="7">
        <v>61</v>
      </c>
      <c r="N128" s="7"/>
      <c r="O128" s="438">
        <f t="shared" si="3"/>
        <v>2719.38</v>
      </c>
      <c r="P128" s="438">
        <v>15</v>
      </c>
      <c r="Q128" s="438">
        <f t="shared" si="4"/>
        <v>190.3566</v>
      </c>
      <c r="R128" s="438">
        <v>600</v>
      </c>
      <c r="S128" s="439">
        <f t="shared" si="5"/>
        <v>1914.0234</v>
      </c>
      <c r="T128" s="7"/>
      <c r="U128" s="7"/>
      <c r="V128" s="7"/>
      <c r="W128" s="417">
        <v>1</v>
      </c>
    </row>
    <row r="129" s="417" customFormat="1" ht="16" customHeight="1" spans="1:23">
      <c r="A129" s="449">
        <v>46179</v>
      </c>
      <c r="B129" s="449">
        <v>46179</v>
      </c>
      <c r="C129" s="7"/>
      <c r="D129" s="7" t="s">
        <v>235</v>
      </c>
      <c r="E129" s="7" t="s">
        <v>81</v>
      </c>
      <c r="F129" s="7" t="s">
        <v>81</v>
      </c>
      <c r="G129" s="7" t="s">
        <v>82</v>
      </c>
      <c r="H129" s="7" t="s">
        <v>368</v>
      </c>
      <c r="I129" s="7" t="s">
        <v>356</v>
      </c>
      <c r="J129" s="74">
        <v>39.5</v>
      </c>
      <c r="K129" s="74" t="s">
        <v>369</v>
      </c>
      <c r="L129" s="74">
        <v>39.46</v>
      </c>
      <c r="M129" s="442">
        <v>48</v>
      </c>
      <c r="N129" s="7"/>
      <c r="O129" s="438">
        <f t="shared" si="3"/>
        <v>1894.08</v>
      </c>
      <c r="P129" s="438">
        <v>15</v>
      </c>
      <c r="Q129" s="438">
        <f t="shared" si="4"/>
        <v>132.5856</v>
      </c>
      <c r="R129" s="438">
        <v>600</v>
      </c>
      <c r="S129" s="439">
        <f t="shared" si="5"/>
        <v>1146.4944</v>
      </c>
      <c r="T129" s="7"/>
      <c r="U129" s="7"/>
      <c r="V129" s="7"/>
      <c r="W129" s="417">
        <v>1</v>
      </c>
    </row>
    <row r="130" s="417" customFormat="1" ht="16" customHeight="1" spans="1:23">
      <c r="A130" s="449">
        <v>46179</v>
      </c>
      <c r="B130" s="449">
        <v>46179</v>
      </c>
      <c r="C130" s="7"/>
      <c r="D130" s="7" t="s">
        <v>235</v>
      </c>
      <c r="E130" s="7" t="s">
        <v>111</v>
      </c>
      <c r="F130" s="7" t="s">
        <v>111</v>
      </c>
      <c r="G130" s="7" t="s">
        <v>112</v>
      </c>
      <c r="H130" s="7" t="s">
        <v>368</v>
      </c>
      <c r="I130" s="7" t="s">
        <v>356</v>
      </c>
      <c r="J130" s="74">
        <v>42.26</v>
      </c>
      <c r="K130" s="74" t="s">
        <v>369</v>
      </c>
      <c r="L130" s="74">
        <v>42.24</v>
      </c>
      <c r="M130" s="442">
        <v>48</v>
      </c>
      <c r="N130" s="7"/>
      <c r="O130" s="438">
        <f t="shared" ref="O130:O193" si="6">L130*M130</f>
        <v>2027.52</v>
      </c>
      <c r="P130" s="438">
        <v>15</v>
      </c>
      <c r="Q130" s="438">
        <f t="shared" ref="Q130:Q193" si="7">O130*0.07</f>
        <v>141.9264</v>
      </c>
      <c r="R130" s="438">
        <v>600</v>
      </c>
      <c r="S130" s="439">
        <f t="shared" ref="S130:S193" si="8">O130-P130-R130-Q130</f>
        <v>1270.5936</v>
      </c>
      <c r="T130" s="7"/>
      <c r="U130" s="7"/>
      <c r="V130" s="7"/>
      <c r="W130" s="417">
        <v>1</v>
      </c>
    </row>
    <row r="131" s="417" customFormat="1" ht="16" customHeight="1" spans="1:23">
      <c r="A131" s="449">
        <v>46179</v>
      </c>
      <c r="B131" s="449">
        <v>46180</v>
      </c>
      <c r="C131" s="7" t="s">
        <v>449</v>
      </c>
      <c r="D131" s="7" t="s">
        <v>235</v>
      </c>
      <c r="E131" s="7" t="s">
        <v>166</v>
      </c>
      <c r="F131" s="7" t="s">
        <v>166</v>
      </c>
      <c r="G131" s="7" t="s">
        <v>167</v>
      </c>
      <c r="H131" s="7" t="s">
        <v>384</v>
      </c>
      <c r="I131" s="7" t="s">
        <v>356</v>
      </c>
      <c r="J131" s="74">
        <v>42.04</v>
      </c>
      <c r="K131" s="74" t="s">
        <v>371</v>
      </c>
      <c r="L131" s="74">
        <v>41.79</v>
      </c>
      <c r="M131" s="7">
        <v>61</v>
      </c>
      <c r="N131" s="7"/>
      <c r="O131" s="438">
        <f t="shared" si="6"/>
        <v>2549.19</v>
      </c>
      <c r="P131" s="438">
        <v>15</v>
      </c>
      <c r="Q131" s="438">
        <f t="shared" si="7"/>
        <v>178.4433</v>
      </c>
      <c r="R131" s="438">
        <v>600</v>
      </c>
      <c r="S131" s="439">
        <f t="shared" si="8"/>
        <v>1755.7467</v>
      </c>
      <c r="T131" s="7"/>
      <c r="U131" s="7"/>
      <c r="V131" s="7"/>
      <c r="W131" s="417">
        <v>1</v>
      </c>
    </row>
    <row r="132" s="417" customFormat="1" ht="16" customHeight="1" spans="1:23">
      <c r="A132" s="449">
        <v>46179</v>
      </c>
      <c r="B132" s="449">
        <v>46180</v>
      </c>
      <c r="C132" s="7" t="s">
        <v>450</v>
      </c>
      <c r="D132" s="7" t="s">
        <v>235</v>
      </c>
      <c r="E132" s="7" t="s">
        <v>154</v>
      </c>
      <c r="F132" s="7" t="s">
        <v>154</v>
      </c>
      <c r="G132" s="7" t="s">
        <v>155</v>
      </c>
      <c r="H132" s="7" t="s">
        <v>384</v>
      </c>
      <c r="I132" s="7" t="s">
        <v>356</v>
      </c>
      <c r="J132" s="74">
        <v>43.06</v>
      </c>
      <c r="K132" s="74" t="s">
        <v>371</v>
      </c>
      <c r="L132" s="74">
        <v>42.83</v>
      </c>
      <c r="M132" s="7">
        <v>61</v>
      </c>
      <c r="N132" s="7"/>
      <c r="O132" s="438">
        <f t="shared" si="6"/>
        <v>2612.63</v>
      </c>
      <c r="P132" s="438">
        <v>15</v>
      </c>
      <c r="Q132" s="438">
        <f t="shared" si="7"/>
        <v>182.8841</v>
      </c>
      <c r="R132" s="438">
        <v>600</v>
      </c>
      <c r="S132" s="439">
        <f t="shared" si="8"/>
        <v>1814.7459</v>
      </c>
      <c r="T132" s="7"/>
      <c r="U132" s="7"/>
      <c r="V132" s="7"/>
      <c r="W132" s="417">
        <v>1</v>
      </c>
    </row>
    <row r="133" s="417" customFormat="1" ht="16" customHeight="1" spans="1:23">
      <c r="A133" s="449">
        <v>46179</v>
      </c>
      <c r="B133" s="449">
        <v>46180</v>
      </c>
      <c r="C133" s="7" t="s">
        <v>451</v>
      </c>
      <c r="D133" s="7" t="s">
        <v>235</v>
      </c>
      <c r="E133" s="7" t="s">
        <v>163</v>
      </c>
      <c r="F133" s="7" t="s">
        <v>163</v>
      </c>
      <c r="G133" s="7" t="s">
        <v>164</v>
      </c>
      <c r="H133" s="7" t="s">
        <v>384</v>
      </c>
      <c r="I133" s="7" t="s">
        <v>356</v>
      </c>
      <c r="J133" s="74">
        <v>43.6</v>
      </c>
      <c r="K133" s="74" t="s">
        <v>371</v>
      </c>
      <c r="L133" s="74">
        <v>43.35</v>
      </c>
      <c r="M133" s="7">
        <v>61</v>
      </c>
      <c r="N133" s="7"/>
      <c r="O133" s="438">
        <f t="shared" si="6"/>
        <v>2644.35</v>
      </c>
      <c r="P133" s="438">
        <v>15</v>
      </c>
      <c r="Q133" s="438">
        <f t="shared" si="7"/>
        <v>185.1045</v>
      </c>
      <c r="R133" s="438">
        <v>600</v>
      </c>
      <c r="S133" s="439">
        <f t="shared" si="8"/>
        <v>1844.2455</v>
      </c>
      <c r="T133" s="7"/>
      <c r="U133" s="7"/>
      <c r="V133" s="7"/>
      <c r="W133" s="417">
        <v>1</v>
      </c>
    </row>
    <row r="134" s="417" customFormat="1" ht="16" customHeight="1" spans="1:23">
      <c r="A134" s="449">
        <v>46179</v>
      </c>
      <c r="B134" s="449">
        <v>46180</v>
      </c>
      <c r="C134" s="7"/>
      <c r="D134" s="7" t="s">
        <v>235</v>
      </c>
      <c r="E134" s="7" t="s">
        <v>60</v>
      </c>
      <c r="F134" s="7" t="s">
        <v>60</v>
      </c>
      <c r="G134" s="7" t="s">
        <v>61</v>
      </c>
      <c r="H134" s="7" t="s">
        <v>368</v>
      </c>
      <c r="I134" s="7" t="s">
        <v>356</v>
      </c>
      <c r="J134" s="74">
        <v>41.16</v>
      </c>
      <c r="K134" s="74" t="s">
        <v>371</v>
      </c>
      <c r="L134" s="74">
        <v>41</v>
      </c>
      <c r="M134" s="7">
        <v>61</v>
      </c>
      <c r="N134" s="7"/>
      <c r="O134" s="438">
        <f t="shared" si="6"/>
        <v>2501</v>
      </c>
      <c r="P134" s="438">
        <v>15</v>
      </c>
      <c r="Q134" s="438">
        <f t="shared" si="7"/>
        <v>175.07</v>
      </c>
      <c r="R134" s="438">
        <v>600</v>
      </c>
      <c r="S134" s="439">
        <f t="shared" si="8"/>
        <v>1710.93</v>
      </c>
      <c r="T134" s="7"/>
      <c r="U134" s="7"/>
      <c r="V134" s="7"/>
      <c r="W134" s="417">
        <v>1</v>
      </c>
    </row>
    <row r="135" s="417" customFormat="1" ht="16" customHeight="1" spans="1:23">
      <c r="A135" s="449">
        <v>46179</v>
      </c>
      <c r="B135" s="449">
        <v>46180</v>
      </c>
      <c r="C135" s="7" t="s">
        <v>452</v>
      </c>
      <c r="D135" s="7" t="s">
        <v>235</v>
      </c>
      <c r="E135" s="7" t="s">
        <v>160</v>
      </c>
      <c r="F135" s="7" t="s">
        <v>160</v>
      </c>
      <c r="G135" s="7" t="s">
        <v>161</v>
      </c>
      <c r="H135" s="7" t="s">
        <v>384</v>
      </c>
      <c r="I135" s="7" t="s">
        <v>356</v>
      </c>
      <c r="J135" s="74">
        <v>42.34</v>
      </c>
      <c r="K135" s="74" t="s">
        <v>371</v>
      </c>
      <c r="L135" s="74">
        <v>42.12</v>
      </c>
      <c r="M135" s="7">
        <v>61</v>
      </c>
      <c r="N135" s="7"/>
      <c r="O135" s="438">
        <f t="shared" si="6"/>
        <v>2569.32</v>
      </c>
      <c r="P135" s="438">
        <v>15</v>
      </c>
      <c r="Q135" s="438">
        <f t="shared" si="7"/>
        <v>179.8524</v>
      </c>
      <c r="R135" s="438">
        <v>600</v>
      </c>
      <c r="S135" s="439">
        <f t="shared" si="8"/>
        <v>1774.4676</v>
      </c>
      <c r="T135" s="7"/>
      <c r="U135" s="7"/>
      <c r="V135" s="7"/>
      <c r="W135" s="417">
        <v>1</v>
      </c>
    </row>
    <row r="136" s="417" customFormat="1" ht="16" customHeight="1" spans="1:23">
      <c r="A136" s="449">
        <v>46179</v>
      </c>
      <c r="B136" s="449">
        <v>46180</v>
      </c>
      <c r="C136" s="7" t="s">
        <v>453</v>
      </c>
      <c r="D136" s="7" t="s">
        <v>235</v>
      </c>
      <c r="E136" s="7" t="s">
        <v>338</v>
      </c>
      <c r="F136" s="7" t="s">
        <v>338</v>
      </c>
      <c r="G136" s="7" t="s">
        <v>158</v>
      </c>
      <c r="H136" s="417" t="s">
        <v>384</v>
      </c>
      <c r="I136" s="7" t="s">
        <v>356</v>
      </c>
      <c r="J136" s="74">
        <v>40.94</v>
      </c>
      <c r="K136" s="74" t="s">
        <v>371</v>
      </c>
      <c r="L136" s="74">
        <v>40.68</v>
      </c>
      <c r="M136" s="7">
        <v>61</v>
      </c>
      <c r="N136" s="7"/>
      <c r="O136" s="438">
        <f t="shared" si="6"/>
        <v>2481.48</v>
      </c>
      <c r="P136" s="438">
        <v>15</v>
      </c>
      <c r="Q136" s="438">
        <f t="shared" si="7"/>
        <v>173.7036</v>
      </c>
      <c r="R136" s="438">
        <v>600</v>
      </c>
      <c r="S136" s="439">
        <f t="shared" si="8"/>
        <v>1692.7764</v>
      </c>
      <c r="T136" s="7"/>
      <c r="U136" s="7"/>
      <c r="V136" s="7"/>
      <c r="W136" s="417">
        <v>1</v>
      </c>
    </row>
    <row r="137" s="417" customFormat="1" ht="16" customHeight="1" spans="1:23">
      <c r="A137" s="449">
        <v>46179</v>
      </c>
      <c r="B137" s="449">
        <v>46180</v>
      </c>
      <c r="C137" s="7"/>
      <c r="D137" s="7" t="s">
        <v>235</v>
      </c>
      <c r="E137" s="7" t="s">
        <v>51</v>
      </c>
      <c r="F137" s="7" t="s">
        <v>51</v>
      </c>
      <c r="G137" s="7" t="s">
        <v>52</v>
      </c>
      <c r="H137" s="7" t="s">
        <v>368</v>
      </c>
      <c r="I137" s="7" t="s">
        <v>356</v>
      </c>
      <c r="J137" s="74">
        <v>42.3</v>
      </c>
      <c r="K137" s="74" t="s">
        <v>371</v>
      </c>
      <c r="L137" s="74">
        <v>42.13</v>
      </c>
      <c r="M137" s="7">
        <v>61</v>
      </c>
      <c r="N137" s="7"/>
      <c r="O137" s="438">
        <f t="shared" si="6"/>
        <v>2569.93</v>
      </c>
      <c r="P137" s="438">
        <v>15</v>
      </c>
      <c r="Q137" s="438">
        <f t="shared" si="7"/>
        <v>179.8951</v>
      </c>
      <c r="R137" s="438">
        <v>600</v>
      </c>
      <c r="S137" s="439">
        <f t="shared" si="8"/>
        <v>1775.0349</v>
      </c>
      <c r="T137" s="7"/>
      <c r="U137" s="7"/>
      <c r="V137" s="7"/>
      <c r="W137" s="417">
        <v>1</v>
      </c>
    </row>
    <row r="138" s="417" customFormat="1" ht="16" customHeight="1" spans="1:23">
      <c r="A138" s="449">
        <v>46179</v>
      </c>
      <c r="B138" s="449">
        <v>46180</v>
      </c>
      <c r="C138" s="7"/>
      <c r="D138" s="7" t="s">
        <v>235</v>
      </c>
      <c r="E138" s="7" t="s">
        <v>78</v>
      </c>
      <c r="F138" s="7" t="s">
        <v>78</v>
      </c>
      <c r="G138" s="7" t="s">
        <v>79</v>
      </c>
      <c r="H138" s="7" t="s">
        <v>368</v>
      </c>
      <c r="I138" s="7" t="s">
        <v>356</v>
      </c>
      <c r="J138" s="74">
        <v>42.1</v>
      </c>
      <c r="K138" s="74" t="s">
        <v>369</v>
      </c>
      <c r="L138" s="74">
        <v>42.04</v>
      </c>
      <c r="M138" s="442">
        <v>48</v>
      </c>
      <c r="N138" s="7"/>
      <c r="O138" s="438">
        <f t="shared" si="6"/>
        <v>2017.92</v>
      </c>
      <c r="P138" s="438">
        <v>15</v>
      </c>
      <c r="Q138" s="438">
        <f t="shared" si="7"/>
        <v>141.2544</v>
      </c>
      <c r="R138" s="438">
        <v>600</v>
      </c>
      <c r="S138" s="439">
        <f t="shared" si="8"/>
        <v>1261.6656</v>
      </c>
      <c r="T138" s="7"/>
      <c r="U138" s="7"/>
      <c r="V138" s="7"/>
      <c r="W138" s="417">
        <v>1</v>
      </c>
    </row>
    <row r="139" s="417" customFormat="1" ht="16" customHeight="1" spans="1:23">
      <c r="A139" s="449">
        <v>46179</v>
      </c>
      <c r="B139" s="449">
        <v>46180</v>
      </c>
      <c r="C139" s="7"/>
      <c r="D139" s="7" t="s">
        <v>235</v>
      </c>
      <c r="E139" s="7" t="s">
        <v>72</v>
      </c>
      <c r="F139" s="7" t="s">
        <v>72</v>
      </c>
      <c r="G139" s="7" t="s">
        <v>73</v>
      </c>
      <c r="H139" s="7" t="s">
        <v>368</v>
      </c>
      <c r="I139" s="7" t="s">
        <v>356</v>
      </c>
      <c r="J139" s="74">
        <v>42.82</v>
      </c>
      <c r="K139" s="74" t="s">
        <v>369</v>
      </c>
      <c r="L139" s="74">
        <v>42.82</v>
      </c>
      <c r="M139" s="442">
        <v>48</v>
      </c>
      <c r="N139" s="7"/>
      <c r="O139" s="438">
        <f t="shared" si="6"/>
        <v>2055.36</v>
      </c>
      <c r="P139" s="438">
        <v>15</v>
      </c>
      <c r="Q139" s="438">
        <f t="shared" si="7"/>
        <v>143.8752</v>
      </c>
      <c r="R139" s="438">
        <v>600</v>
      </c>
      <c r="S139" s="439">
        <f t="shared" si="8"/>
        <v>1296.4848</v>
      </c>
      <c r="T139" s="7"/>
      <c r="U139" s="7"/>
      <c r="V139" s="7"/>
      <c r="W139" s="417">
        <v>1</v>
      </c>
    </row>
    <row r="140" s="417" customFormat="1" ht="16" customHeight="1" spans="1:23">
      <c r="A140" s="449">
        <v>46179</v>
      </c>
      <c r="B140" s="449">
        <v>46180</v>
      </c>
      <c r="C140" s="7"/>
      <c r="D140" s="7" t="s">
        <v>235</v>
      </c>
      <c r="E140" s="7" t="s">
        <v>90</v>
      </c>
      <c r="F140" s="7" t="s">
        <v>90</v>
      </c>
      <c r="G140" s="7" t="s">
        <v>91</v>
      </c>
      <c r="H140" s="7" t="s">
        <v>368</v>
      </c>
      <c r="I140" s="7" t="s">
        <v>356</v>
      </c>
      <c r="J140" s="74">
        <v>42.32</v>
      </c>
      <c r="K140" s="74" t="s">
        <v>369</v>
      </c>
      <c r="L140" s="74">
        <v>42.28</v>
      </c>
      <c r="M140" s="442">
        <v>48</v>
      </c>
      <c r="N140" s="7"/>
      <c r="O140" s="438">
        <f t="shared" si="6"/>
        <v>2029.44</v>
      </c>
      <c r="P140" s="438">
        <v>15</v>
      </c>
      <c r="Q140" s="438">
        <f t="shared" si="7"/>
        <v>142.0608</v>
      </c>
      <c r="R140" s="438">
        <v>600</v>
      </c>
      <c r="S140" s="439">
        <f t="shared" si="8"/>
        <v>1272.3792</v>
      </c>
      <c r="T140" s="7"/>
      <c r="U140" s="7"/>
      <c r="V140" s="7"/>
      <c r="W140" s="417">
        <v>1</v>
      </c>
    </row>
    <row r="141" s="417" customFormat="1" ht="16" customHeight="1" spans="1:23">
      <c r="A141" s="449">
        <v>46179</v>
      </c>
      <c r="B141" s="449">
        <v>46180</v>
      </c>
      <c r="C141" s="7"/>
      <c r="D141" s="7" t="s">
        <v>235</v>
      </c>
      <c r="E141" s="7" t="s">
        <v>99</v>
      </c>
      <c r="F141" s="7" t="s">
        <v>99</v>
      </c>
      <c r="G141" s="7" t="s">
        <v>100</v>
      </c>
      <c r="H141" s="7" t="s">
        <v>368</v>
      </c>
      <c r="I141" s="7" t="s">
        <v>356</v>
      </c>
      <c r="J141" s="74">
        <v>42.04</v>
      </c>
      <c r="K141" s="74" t="s">
        <v>369</v>
      </c>
      <c r="L141" s="74">
        <v>42.02</v>
      </c>
      <c r="M141" s="442">
        <v>48</v>
      </c>
      <c r="N141" s="7"/>
      <c r="O141" s="438">
        <f t="shared" si="6"/>
        <v>2016.96</v>
      </c>
      <c r="P141" s="438">
        <v>15</v>
      </c>
      <c r="Q141" s="438">
        <f t="shared" si="7"/>
        <v>141.1872</v>
      </c>
      <c r="R141" s="438">
        <v>600</v>
      </c>
      <c r="S141" s="439">
        <f t="shared" si="8"/>
        <v>1260.7728</v>
      </c>
      <c r="T141" s="7"/>
      <c r="U141" s="7"/>
      <c r="V141" s="7"/>
      <c r="W141" s="417">
        <v>1</v>
      </c>
    </row>
    <row r="142" s="417" customFormat="1" ht="16" customHeight="1" spans="1:23">
      <c r="A142" s="449">
        <v>46179</v>
      </c>
      <c r="B142" s="449">
        <v>46180</v>
      </c>
      <c r="C142" s="7"/>
      <c r="D142" s="7" t="s">
        <v>235</v>
      </c>
      <c r="E142" s="7" t="s">
        <v>66</v>
      </c>
      <c r="F142" s="7" t="s">
        <v>66</v>
      </c>
      <c r="G142" s="7" t="s">
        <v>67</v>
      </c>
      <c r="H142" s="7" t="s">
        <v>368</v>
      </c>
      <c r="I142" s="7" t="s">
        <v>356</v>
      </c>
      <c r="J142" s="74">
        <v>42.88</v>
      </c>
      <c r="K142" s="74" t="s">
        <v>369</v>
      </c>
      <c r="L142" s="74">
        <v>42.84</v>
      </c>
      <c r="M142" s="442">
        <v>48</v>
      </c>
      <c r="N142" s="7"/>
      <c r="O142" s="438">
        <f t="shared" si="6"/>
        <v>2056.32</v>
      </c>
      <c r="P142" s="438">
        <v>15</v>
      </c>
      <c r="Q142" s="438">
        <f t="shared" si="7"/>
        <v>143.9424</v>
      </c>
      <c r="R142" s="438">
        <v>600</v>
      </c>
      <c r="S142" s="439">
        <f t="shared" si="8"/>
        <v>1297.3776</v>
      </c>
      <c r="T142" s="7"/>
      <c r="U142" s="7"/>
      <c r="V142" s="7"/>
      <c r="W142" s="417">
        <v>1</v>
      </c>
    </row>
    <row r="143" s="417" customFormat="1" ht="16" customHeight="1" spans="1:23">
      <c r="A143" s="449">
        <v>46179</v>
      </c>
      <c r="B143" s="449">
        <v>46180</v>
      </c>
      <c r="C143" s="7"/>
      <c r="D143" s="7" t="s">
        <v>235</v>
      </c>
      <c r="E143" s="7" t="s">
        <v>54</v>
      </c>
      <c r="F143" s="7" t="s">
        <v>54</v>
      </c>
      <c r="G143" s="7" t="s">
        <v>55</v>
      </c>
      <c r="H143" s="7" t="s">
        <v>368</v>
      </c>
      <c r="I143" s="7" t="s">
        <v>356</v>
      </c>
      <c r="J143" s="74">
        <v>45.16</v>
      </c>
      <c r="K143" s="74" t="s">
        <v>369</v>
      </c>
      <c r="L143" s="74">
        <v>45.12</v>
      </c>
      <c r="M143" s="442">
        <v>48</v>
      </c>
      <c r="N143" s="7"/>
      <c r="O143" s="438">
        <f t="shared" si="6"/>
        <v>2165.76</v>
      </c>
      <c r="P143" s="438">
        <v>15</v>
      </c>
      <c r="Q143" s="438">
        <f t="shared" si="7"/>
        <v>151.6032</v>
      </c>
      <c r="R143" s="438">
        <v>600</v>
      </c>
      <c r="S143" s="439">
        <f t="shared" si="8"/>
        <v>1399.1568</v>
      </c>
      <c r="T143" s="7"/>
      <c r="U143" s="7"/>
      <c r="V143" s="7"/>
      <c r="W143" s="417">
        <v>1</v>
      </c>
    </row>
    <row r="144" s="417" customFormat="1" ht="16" customHeight="1" spans="1:23">
      <c r="A144" s="449">
        <v>46179</v>
      </c>
      <c r="B144" s="449">
        <v>46180</v>
      </c>
      <c r="C144" s="7"/>
      <c r="D144" s="7" t="s">
        <v>235</v>
      </c>
      <c r="E144" s="7" t="s">
        <v>127</v>
      </c>
      <c r="F144" s="7" t="s">
        <v>127</v>
      </c>
      <c r="G144" s="7" t="s">
        <v>128</v>
      </c>
      <c r="H144" s="7" t="s">
        <v>368</v>
      </c>
      <c r="I144" s="7" t="s">
        <v>356</v>
      </c>
      <c r="J144" s="74">
        <v>43.56</v>
      </c>
      <c r="K144" s="74" t="s">
        <v>369</v>
      </c>
      <c r="L144" s="74">
        <v>43.54</v>
      </c>
      <c r="M144" s="442">
        <v>48</v>
      </c>
      <c r="N144" s="7"/>
      <c r="O144" s="438">
        <f t="shared" si="6"/>
        <v>2089.92</v>
      </c>
      <c r="P144" s="438">
        <v>15</v>
      </c>
      <c r="Q144" s="438">
        <f t="shared" si="7"/>
        <v>146.2944</v>
      </c>
      <c r="R144" s="438">
        <v>600</v>
      </c>
      <c r="S144" s="439">
        <f t="shared" si="8"/>
        <v>1328.6256</v>
      </c>
      <c r="T144" s="7"/>
      <c r="U144" s="7"/>
      <c r="V144" s="7"/>
      <c r="W144" s="417">
        <v>1</v>
      </c>
    </row>
    <row r="145" s="417" customFormat="1" ht="16" customHeight="1" spans="1:23">
      <c r="A145" s="449">
        <v>46179</v>
      </c>
      <c r="B145" s="449">
        <v>46181</v>
      </c>
      <c r="C145" s="7"/>
      <c r="D145" s="7" t="s">
        <v>235</v>
      </c>
      <c r="E145" s="7" t="s">
        <v>130</v>
      </c>
      <c r="F145" s="7" t="s">
        <v>130</v>
      </c>
      <c r="G145" s="7" t="s">
        <v>139</v>
      </c>
      <c r="H145" s="7" t="s">
        <v>368</v>
      </c>
      <c r="I145" s="7" t="s">
        <v>356</v>
      </c>
      <c r="J145" s="74">
        <v>43.5</v>
      </c>
      <c r="K145" s="74" t="s">
        <v>369</v>
      </c>
      <c r="L145" s="74">
        <v>43.5</v>
      </c>
      <c r="M145" s="442">
        <v>48</v>
      </c>
      <c r="N145" s="7"/>
      <c r="O145" s="438">
        <f t="shared" si="6"/>
        <v>2088</v>
      </c>
      <c r="P145" s="438">
        <v>15</v>
      </c>
      <c r="Q145" s="438">
        <f t="shared" si="7"/>
        <v>146.16</v>
      </c>
      <c r="R145" s="438">
        <v>600</v>
      </c>
      <c r="S145" s="439">
        <f t="shared" si="8"/>
        <v>1326.84</v>
      </c>
      <c r="T145" s="7"/>
      <c r="U145" s="7"/>
      <c r="V145" s="7"/>
      <c r="W145" s="417">
        <v>1</v>
      </c>
    </row>
    <row r="146" s="417" customFormat="1" ht="16" customHeight="1" spans="1:23">
      <c r="A146" s="449">
        <v>46179</v>
      </c>
      <c r="B146" s="449">
        <v>46180</v>
      </c>
      <c r="C146" s="7"/>
      <c r="D146" s="7" t="s">
        <v>235</v>
      </c>
      <c r="E146" s="7" t="s">
        <v>93</v>
      </c>
      <c r="F146" s="7" t="s">
        <v>93</v>
      </c>
      <c r="G146" s="7" t="s">
        <v>94</v>
      </c>
      <c r="H146" s="7" t="s">
        <v>368</v>
      </c>
      <c r="I146" s="7" t="s">
        <v>356</v>
      </c>
      <c r="J146" s="74">
        <v>44.64</v>
      </c>
      <c r="K146" s="74" t="s">
        <v>369</v>
      </c>
      <c r="L146" s="74">
        <v>44.58</v>
      </c>
      <c r="M146" s="442">
        <v>48</v>
      </c>
      <c r="N146" s="7"/>
      <c r="O146" s="438">
        <f t="shared" si="6"/>
        <v>2139.84</v>
      </c>
      <c r="P146" s="438">
        <v>15</v>
      </c>
      <c r="Q146" s="438">
        <f t="shared" si="7"/>
        <v>149.7888</v>
      </c>
      <c r="R146" s="438">
        <v>600</v>
      </c>
      <c r="S146" s="439">
        <f t="shared" si="8"/>
        <v>1375.0512</v>
      </c>
      <c r="T146" s="7"/>
      <c r="U146" s="7"/>
      <c r="V146" s="7"/>
      <c r="W146" s="417">
        <v>1</v>
      </c>
    </row>
    <row r="147" s="417" customFormat="1" ht="16" customHeight="1" spans="1:23">
      <c r="A147" s="449">
        <v>46179</v>
      </c>
      <c r="B147" s="454">
        <v>46181</v>
      </c>
      <c r="C147" s="7"/>
      <c r="D147" s="7" t="s">
        <v>235</v>
      </c>
      <c r="E147" s="7" t="s">
        <v>138</v>
      </c>
      <c r="F147" s="7" t="s">
        <v>138</v>
      </c>
      <c r="G147" s="7" t="s">
        <v>454</v>
      </c>
      <c r="H147" s="7" t="s">
        <v>368</v>
      </c>
      <c r="I147" s="7" t="s">
        <v>356</v>
      </c>
      <c r="J147" s="74">
        <v>44.24</v>
      </c>
      <c r="K147" s="74" t="s">
        <v>369</v>
      </c>
      <c r="L147" s="455">
        <v>44.2</v>
      </c>
      <c r="M147" s="442">
        <v>48</v>
      </c>
      <c r="N147" s="7"/>
      <c r="O147" s="438">
        <f t="shared" si="6"/>
        <v>2121.6</v>
      </c>
      <c r="P147" s="438">
        <v>15</v>
      </c>
      <c r="Q147" s="438">
        <f t="shared" si="7"/>
        <v>148.512</v>
      </c>
      <c r="R147" s="438">
        <v>600</v>
      </c>
      <c r="S147" s="439">
        <f t="shared" si="8"/>
        <v>1358.088</v>
      </c>
      <c r="T147" s="7"/>
      <c r="U147" s="7"/>
      <c r="V147" s="7"/>
      <c r="W147" s="417">
        <v>1</v>
      </c>
    </row>
    <row r="148" s="417" customFormat="1" ht="16" customHeight="1" spans="1:23">
      <c r="A148" s="449">
        <v>46180</v>
      </c>
      <c r="B148" s="449">
        <v>46181</v>
      </c>
      <c r="C148" s="7" t="s">
        <v>455</v>
      </c>
      <c r="D148" s="7" t="s">
        <v>236</v>
      </c>
      <c r="E148" s="7" t="s">
        <v>127</v>
      </c>
      <c r="F148" s="7" t="s">
        <v>127</v>
      </c>
      <c r="G148" s="7" t="s">
        <v>128</v>
      </c>
      <c r="H148" s="7" t="s">
        <v>354</v>
      </c>
      <c r="I148" s="7" t="s">
        <v>369</v>
      </c>
      <c r="J148" s="74">
        <v>40.64</v>
      </c>
      <c r="K148" s="74" t="s">
        <v>356</v>
      </c>
      <c r="L148" s="74">
        <v>40.64</v>
      </c>
      <c r="M148" s="7">
        <v>68</v>
      </c>
      <c r="N148" s="7"/>
      <c r="O148" s="438">
        <f t="shared" si="6"/>
        <v>2763.52</v>
      </c>
      <c r="P148" s="438">
        <v>15</v>
      </c>
      <c r="Q148" s="438">
        <f t="shared" si="7"/>
        <v>193.4464</v>
      </c>
      <c r="R148" s="438">
        <v>600</v>
      </c>
      <c r="S148" s="439">
        <f t="shared" si="8"/>
        <v>1955.0736</v>
      </c>
      <c r="T148" s="7"/>
      <c r="U148" s="7"/>
      <c r="V148" s="7"/>
      <c r="W148" s="417">
        <v>1</v>
      </c>
    </row>
    <row r="149" s="417" customFormat="1" ht="16" customHeight="1" spans="1:23">
      <c r="A149" s="449">
        <v>46180</v>
      </c>
      <c r="B149" s="449">
        <v>46181</v>
      </c>
      <c r="C149" s="7" t="s">
        <v>456</v>
      </c>
      <c r="D149" s="7" t="s">
        <v>236</v>
      </c>
      <c r="E149" s="7" t="s">
        <v>81</v>
      </c>
      <c r="F149" s="7" t="s">
        <v>81</v>
      </c>
      <c r="G149" s="7" t="s">
        <v>82</v>
      </c>
      <c r="H149" s="7" t="s">
        <v>354</v>
      </c>
      <c r="I149" s="7" t="s">
        <v>369</v>
      </c>
      <c r="J149" s="74">
        <v>40.84</v>
      </c>
      <c r="K149" s="74" t="s">
        <v>356</v>
      </c>
      <c r="L149" s="74">
        <v>40.8</v>
      </c>
      <c r="M149" s="7">
        <v>68</v>
      </c>
      <c r="N149" s="7"/>
      <c r="O149" s="438">
        <f t="shared" si="6"/>
        <v>2774.4</v>
      </c>
      <c r="P149" s="438">
        <v>15</v>
      </c>
      <c r="Q149" s="438">
        <f t="shared" si="7"/>
        <v>194.208</v>
      </c>
      <c r="R149" s="438">
        <v>600</v>
      </c>
      <c r="S149" s="439">
        <f t="shared" si="8"/>
        <v>1965.192</v>
      </c>
      <c r="T149" s="7"/>
      <c r="U149" s="7"/>
      <c r="V149" s="7"/>
      <c r="W149" s="417">
        <v>1</v>
      </c>
    </row>
    <row r="150" s="417" customFormat="1" ht="16" customHeight="1" spans="1:23">
      <c r="A150" s="449">
        <v>46179</v>
      </c>
      <c r="B150" s="449">
        <v>46180</v>
      </c>
      <c r="C150" s="442" t="s">
        <v>457</v>
      </c>
      <c r="D150" s="7" t="s">
        <v>233</v>
      </c>
      <c r="E150" s="7" t="s">
        <v>105</v>
      </c>
      <c r="F150" s="7" t="s">
        <v>105</v>
      </c>
      <c r="G150" s="7" t="s">
        <v>106</v>
      </c>
      <c r="H150" s="7" t="s">
        <v>354</v>
      </c>
      <c r="I150" s="7" t="s">
        <v>355</v>
      </c>
      <c r="J150" s="74">
        <v>42.64</v>
      </c>
      <c r="K150" s="74" t="s">
        <v>356</v>
      </c>
      <c r="L150" s="74">
        <v>42.64</v>
      </c>
      <c r="M150" s="442">
        <v>67</v>
      </c>
      <c r="N150" s="7"/>
      <c r="O150" s="438">
        <f t="shared" si="6"/>
        <v>2856.88</v>
      </c>
      <c r="P150" s="438">
        <v>15</v>
      </c>
      <c r="Q150" s="438">
        <f t="shared" si="7"/>
        <v>199.9816</v>
      </c>
      <c r="R150" s="438">
        <v>600</v>
      </c>
      <c r="S150" s="439">
        <f t="shared" si="8"/>
        <v>2041.8984</v>
      </c>
      <c r="T150" s="7"/>
      <c r="U150" s="7"/>
      <c r="V150" s="7"/>
      <c r="W150" s="417">
        <v>1</v>
      </c>
    </row>
    <row r="151" s="417" customFormat="1" ht="16" customHeight="1" spans="1:23">
      <c r="A151" s="449">
        <v>46179</v>
      </c>
      <c r="B151" s="449">
        <v>46180</v>
      </c>
      <c r="C151" s="442" t="s">
        <v>458</v>
      </c>
      <c r="D151" s="7" t="s">
        <v>233</v>
      </c>
      <c r="E151" s="7" t="s">
        <v>111</v>
      </c>
      <c r="F151" s="7" t="s">
        <v>111</v>
      </c>
      <c r="G151" s="7" t="s">
        <v>112</v>
      </c>
      <c r="H151" s="7" t="s">
        <v>354</v>
      </c>
      <c r="I151" s="7" t="s">
        <v>355</v>
      </c>
      <c r="J151" s="74">
        <v>40.32</v>
      </c>
      <c r="K151" s="74" t="s">
        <v>356</v>
      </c>
      <c r="L151" s="74">
        <v>40.28</v>
      </c>
      <c r="M151" s="7">
        <v>67</v>
      </c>
      <c r="N151" s="7"/>
      <c r="O151" s="438">
        <f t="shared" si="6"/>
        <v>2698.76</v>
      </c>
      <c r="P151" s="438">
        <v>15</v>
      </c>
      <c r="Q151" s="438">
        <f t="shared" si="7"/>
        <v>188.9132</v>
      </c>
      <c r="R151" s="438">
        <v>600</v>
      </c>
      <c r="S151" s="439">
        <f t="shared" si="8"/>
        <v>1894.8468</v>
      </c>
      <c r="T151" s="7"/>
      <c r="U151" s="7"/>
      <c r="V151" s="7"/>
      <c r="W151" s="417">
        <v>1</v>
      </c>
    </row>
    <row r="152" s="417" customFormat="1" ht="16" customHeight="1" spans="1:23">
      <c r="A152" s="449">
        <v>46179</v>
      </c>
      <c r="B152" s="449">
        <v>46180</v>
      </c>
      <c r="C152" s="442" t="s">
        <v>459</v>
      </c>
      <c r="D152" s="7" t="s">
        <v>233</v>
      </c>
      <c r="E152" s="7" t="s">
        <v>84</v>
      </c>
      <c r="F152" s="7" t="s">
        <v>84</v>
      </c>
      <c r="G152" s="7" t="s">
        <v>85</v>
      </c>
      <c r="H152" s="7" t="s">
        <v>354</v>
      </c>
      <c r="I152" s="7" t="s">
        <v>355</v>
      </c>
      <c r="J152" s="74">
        <v>39.3</v>
      </c>
      <c r="K152" s="74" t="s">
        <v>356</v>
      </c>
      <c r="L152" s="74">
        <v>39.3</v>
      </c>
      <c r="M152" s="442">
        <v>67</v>
      </c>
      <c r="N152" s="7"/>
      <c r="O152" s="438">
        <f t="shared" si="6"/>
        <v>2633.1</v>
      </c>
      <c r="P152" s="438">
        <v>15</v>
      </c>
      <c r="Q152" s="438">
        <f t="shared" si="7"/>
        <v>184.317</v>
      </c>
      <c r="R152" s="438">
        <v>600</v>
      </c>
      <c r="S152" s="439">
        <f t="shared" si="8"/>
        <v>1833.783</v>
      </c>
      <c r="T152" s="7"/>
      <c r="U152" s="7"/>
      <c r="V152" s="7"/>
      <c r="W152" s="417">
        <v>1</v>
      </c>
    </row>
    <row r="153" s="417" customFormat="1" ht="16" customHeight="1" spans="1:23">
      <c r="A153" s="449">
        <v>46179</v>
      </c>
      <c r="B153" s="449">
        <v>46180</v>
      </c>
      <c r="C153" s="442" t="s">
        <v>460</v>
      </c>
      <c r="D153" s="7" t="s">
        <v>233</v>
      </c>
      <c r="E153" s="7" t="s">
        <v>135</v>
      </c>
      <c r="F153" s="7" t="s">
        <v>135</v>
      </c>
      <c r="G153" s="7" t="s">
        <v>136</v>
      </c>
      <c r="H153" s="7" t="s">
        <v>354</v>
      </c>
      <c r="I153" s="7" t="s">
        <v>355</v>
      </c>
      <c r="J153" s="74">
        <v>42.98</v>
      </c>
      <c r="K153" s="74" t="s">
        <v>356</v>
      </c>
      <c r="L153" s="74">
        <v>42.98</v>
      </c>
      <c r="M153" s="442">
        <v>67</v>
      </c>
      <c r="N153" s="7"/>
      <c r="O153" s="438">
        <f t="shared" si="6"/>
        <v>2879.66</v>
      </c>
      <c r="P153" s="438">
        <v>15</v>
      </c>
      <c r="Q153" s="438">
        <f t="shared" si="7"/>
        <v>201.5762</v>
      </c>
      <c r="R153" s="438">
        <v>600</v>
      </c>
      <c r="S153" s="439">
        <f t="shared" si="8"/>
        <v>2063.0838</v>
      </c>
      <c r="T153" s="7"/>
      <c r="U153" s="7"/>
      <c r="V153" s="7"/>
      <c r="W153" s="417">
        <v>1</v>
      </c>
    </row>
    <row r="154" s="417" customFormat="1" ht="16" customHeight="1" spans="1:23">
      <c r="A154" s="449">
        <v>46180</v>
      </c>
      <c r="B154" s="449">
        <v>46181</v>
      </c>
      <c r="C154" s="442" t="s">
        <v>461</v>
      </c>
      <c r="D154" s="7" t="s">
        <v>233</v>
      </c>
      <c r="E154" s="7" t="s">
        <v>90</v>
      </c>
      <c r="F154" s="7" t="s">
        <v>90</v>
      </c>
      <c r="G154" s="7" t="s">
        <v>91</v>
      </c>
      <c r="H154" s="7" t="s">
        <v>354</v>
      </c>
      <c r="I154" s="7" t="s">
        <v>355</v>
      </c>
      <c r="J154" s="74">
        <v>39.32</v>
      </c>
      <c r="K154" s="74" t="s">
        <v>356</v>
      </c>
      <c r="L154" s="74">
        <v>39.3</v>
      </c>
      <c r="M154" s="442">
        <v>67</v>
      </c>
      <c r="N154" s="7"/>
      <c r="O154" s="438">
        <f t="shared" si="6"/>
        <v>2633.1</v>
      </c>
      <c r="P154" s="438">
        <v>15</v>
      </c>
      <c r="Q154" s="438">
        <f t="shared" si="7"/>
        <v>184.317</v>
      </c>
      <c r="R154" s="438">
        <v>600</v>
      </c>
      <c r="S154" s="439">
        <f t="shared" si="8"/>
        <v>1833.783</v>
      </c>
      <c r="T154" s="7"/>
      <c r="U154" s="7"/>
      <c r="V154" s="7"/>
      <c r="W154" s="417">
        <v>1</v>
      </c>
    </row>
    <row r="155" s="417" customFormat="1" ht="16" customHeight="1" spans="1:23">
      <c r="A155" s="449">
        <v>46180</v>
      </c>
      <c r="B155" s="449">
        <v>46181</v>
      </c>
      <c r="C155" s="442" t="s">
        <v>462</v>
      </c>
      <c r="D155" s="7" t="s">
        <v>233</v>
      </c>
      <c r="E155" s="7" t="s">
        <v>172</v>
      </c>
      <c r="F155" s="7" t="s">
        <v>172</v>
      </c>
      <c r="G155" s="7" t="s">
        <v>122</v>
      </c>
      <c r="H155" s="7" t="s">
        <v>354</v>
      </c>
      <c r="I155" s="7" t="s">
        <v>355</v>
      </c>
      <c r="J155" s="74">
        <v>39.7</v>
      </c>
      <c r="K155" s="74" t="s">
        <v>356</v>
      </c>
      <c r="L155" s="74">
        <v>39.66</v>
      </c>
      <c r="M155" s="442">
        <v>67</v>
      </c>
      <c r="N155" s="7"/>
      <c r="O155" s="438">
        <f t="shared" si="6"/>
        <v>2657.22</v>
      </c>
      <c r="P155" s="438">
        <v>15</v>
      </c>
      <c r="Q155" s="438">
        <f t="shared" si="7"/>
        <v>186.0054</v>
      </c>
      <c r="R155" s="438">
        <v>600</v>
      </c>
      <c r="S155" s="439">
        <f t="shared" si="8"/>
        <v>1856.2146</v>
      </c>
      <c r="T155" s="7"/>
      <c r="U155" s="7"/>
      <c r="V155" s="7"/>
      <c r="W155" s="417">
        <v>1</v>
      </c>
    </row>
    <row r="156" s="417" customFormat="1" ht="16" customHeight="1" spans="1:23">
      <c r="A156" s="449">
        <v>46180</v>
      </c>
      <c r="B156" s="449">
        <v>46181</v>
      </c>
      <c r="C156" s="442" t="s">
        <v>463</v>
      </c>
      <c r="D156" s="7" t="s">
        <v>233</v>
      </c>
      <c r="E156" s="7" t="s">
        <v>99</v>
      </c>
      <c r="F156" s="7" t="s">
        <v>99</v>
      </c>
      <c r="G156" s="7" t="s">
        <v>100</v>
      </c>
      <c r="H156" s="7" t="s">
        <v>354</v>
      </c>
      <c r="I156" s="7" t="s">
        <v>355</v>
      </c>
      <c r="J156" s="74">
        <v>39.56</v>
      </c>
      <c r="K156" s="74" t="s">
        <v>356</v>
      </c>
      <c r="L156" s="74">
        <v>39.54</v>
      </c>
      <c r="M156" s="442">
        <v>67</v>
      </c>
      <c r="N156" s="7"/>
      <c r="O156" s="438">
        <f t="shared" si="6"/>
        <v>2649.18</v>
      </c>
      <c r="P156" s="438">
        <v>15</v>
      </c>
      <c r="Q156" s="438">
        <f t="shared" si="7"/>
        <v>185.4426</v>
      </c>
      <c r="R156" s="438">
        <v>600</v>
      </c>
      <c r="S156" s="439">
        <f t="shared" si="8"/>
        <v>1848.7374</v>
      </c>
      <c r="T156" s="7"/>
      <c r="U156" s="7"/>
      <c r="V156" s="7"/>
      <c r="W156" s="417">
        <v>1</v>
      </c>
    </row>
    <row r="157" s="417" customFormat="1" ht="16" customHeight="1" spans="1:23">
      <c r="A157" s="449">
        <v>46180</v>
      </c>
      <c r="B157" s="449">
        <v>46181</v>
      </c>
      <c r="C157" s="442" t="s">
        <v>464</v>
      </c>
      <c r="D157" s="7" t="s">
        <v>233</v>
      </c>
      <c r="E157" s="7" t="s">
        <v>54</v>
      </c>
      <c r="F157" s="7" t="s">
        <v>54</v>
      </c>
      <c r="G157" s="7" t="s">
        <v>55</v>
      </c>
      <c r="H157" s="7" t="s">
        <v>354</v>
      </c>
      <c r="I157" s="7" t="s">
        <v>355</v>
      </c>
      <c r="J157" s="74">
        <v>42.2</v>
      </c>
      <c r="K157" s="74" t="s">
        <v>356</v>
      </c>
      <c r="L157" s="74">
        <v>42.18</v>
      </c>
      <c r="M157" s="442">
        <v>67</v>
      </c>
      <c r="N157" s="7"/>
      <c r="O157" s="438">
        <f t="shared" si="6"/>
        <v>2826.06</v>
      </c>
      <c r="P157" s="438">
        <v>15</v>
      </c>
      <c r="Q157" s="438">
        <f t="shared" si="7"/>
        <v>197.8242</v>
      </c>
      <c r="R157" s="438">
        <v>600</v>
      </c>
      <c r="S157" s="439">
        <f t="shared" si="8"/>
        <v>2013.2358</v>
      </c>
      <c r="T157" s="7"/>
      <c r="U157" s="7"/>
      <c r="V157" s="7"/>
      <c r="W157" s="417">
        <v>1</v>
      </c>
    </row>
    <row r="158" s="417" customFormat="1" ht="16" customHeight="1" spans="1:23">
      <c r="A158" s="449">
        <v>46180</v>
      </c>
      <c r="B158" s="449">
        <v>46182</v>
      </c>
      <c r="C158" s="442" t="s">
        <v>465</v>
      </c>
      <c r="D158" s="7" t="s">
        <v>233</v>
      </c>
      <c r="E158" s="7" t="s">
        <v>124</v>
      </c>
      <c r="F158" s="7" t="s">
        <v>124</v>
      </c>
      <c r="G158" s="7" t="s">
        <v>125</v>
      </c>
      <c r="H158" s="7" t="s">
        <v>354</v>
      </c>
      <c r="I158" s="7" t="s">
        <v>355</v>
      </c>
      <c r="J158" s="74">
        <v>39.82</v>
      </c>
      <c r="K158" s="74" t="s">
        <v>356</v>
      </c>
      <c r="L158" s="74">
        <v>39.78</v>
      </c>
      <c r="M158" s="442">
        <v>67</v>
      </c>
      <c r="N158" s="7"/>
      <c r="O158" s="438">
        <f t="shared" si="6"/>
        <v>2665.26</v>
      </c>
      <c r="P158" s="438">
        <v>15</v>
      </c>
      <c r="Q158" s="438">
        <f t="shared" si="7"/>
        <v>186.5682</v>
      </c>
      <c r="R158" s="438">
        <v>600</v>
      </c>
      <c r="S158" s="439">
        <f t="shared" si="8"/>
        <v>1863.6918</v>
      </c>
      <c r="T158" s="7"/>
      <c r="U158" s="7"/>
      <c r="V158" s="7"/>
      <c r="W158" s="417">
        <v>1</v>
      </c>
    </row>
    <row r="159" s="417" customFormat="1" ht="16" customHeight="1" spans="1:23">
      <c r="A159" s="449">
        <v>46180</v>
      </c>
      <c r="B159" s="449">
        <v>46181</v>
      </c>
      <c r="C159" s="442" t="s">
        <v>466</v>
      </c>
      <c r="D159" s="7" t="s">
        <v>233</v>
      </c>
      <c r="E159" s="7" t="s">
        <v>141</v>
      </c>
      <c r="F159" s="7" t="s">
        <v>141</v>
      </c>
      <c r="G159" s="7" t="s">
        <v>142</v>
      </c>
      <c r="H159" s="7" t="s">
        <v>354</v>
      </c>
      <c r="I159" s="7" t="s">
        <v>355</v>
      </c>
      <c r="J159" s="74">
        <v>44.02</v>
      </c>
      <c r="K159" s="74" t="s">
        <v>356</v>
      </c>
      <c r="L159" s="74">
        <v>44</v>
      </c>
      <c r="M159" s="7">
        <v>67</v>
      </c>
      <c r="N159" s="7"/>
      <c r="O159" s="438">
        <f t="shared" si="6"/>
        <v>2948</v>
      </c>
      <c r="P159" s="438">
        <v>15</v>
      </c>
      <c r="Q159" s="438">
        <f t="shared" si="7"/>
        <v>206.36</v>
      </c>
      <c r="R159" s="438">
        <v>600</v>
      </c>
      <c r="S159" s="439">
        <f t="shared" si="8"/>
        <v>2126.64</v>
      </c>
      <c r="T159" s="7"/>
      <c r="U159" s="7"/>
      <c r="V159" s="7"/>
      <c r="W159" s="417">
        <v>1</v>
      </c>
    </row>
    <row r="160" s="417" customFormat="1" ht="16" customHeight="1" spans="1:23">
      <c r="A160" s="449">
        <v>46180</v>
      </c>
      <c r="B160" s="449">
        <v>46181</v>
      </c>
      <c r="C160" s="442" t="s">
        <v>467</v>
      </c>
      <c r="D160" s="7" t="s">
        <v>233</v>
      </c>
      <c r="E160" s="7" t="s">
        <v>72</v>
      </c>
      <c r="F160" s="7" t="s">
        <v>72</v>
      </c>
      <c r="G160" s="7" t="s">
        <v>73</v>
      </c>
      <c r="H160" s="7" t="s">
        <v>354</v>
      </c>
      <c r="I160" s="7" t="s">
        <v>355</v>
      </c>
      <c r="J160" s="74">
        <v>41.4</v>
      </c>
      <c r="K160" s="74" t="s">
        <v>356</v>
      </c>
      <c r="L160" s="74">
        <v>41.4</v>
      </c>
      <c r="M160" s="442">
        <v>67</v>
      </c>
      <c r="N160" s="7"/>
      <c r="O160" s="438">
        <f t="shared" si="6"/>
        <v>2773.8</v>
      </c>
      <c r="P160" s="438">
        <v>15</v>
      </c>
      <c r="Q160" s="438">
        <f t="shared" si="7"/>
        <v>194.166</v>
      </c>
      <c r="R160" s="438">
        <v>600</v>
      </c>
      <c r="S160" s="439">
        <f t="shared" si="8"/>
        <v>1964.634</v>
      </c>
      <c r="T160" s="7"/>
      <c r="U160" s="7"/>
      <c r="V160" s="7"/>
      <c r="W160" s="417">
        <v>1</v>
      </c>
    </row>
    <row r="161" s="417" customFormat="1" ht="16" customHeight="1" spans="1:23">
      <c r="A161" s="449">
        <v>46180</v>
      </c>
      <c r="B161" s="449">
        <v>46181</v>
      </c>
      <c r="C161" s="442" t="s">
        <v>468</v>
      </c>
      <c r="D161" s="7" t="s">
        <v>233</v>
      </c>
      <c r="E161" s="7" t="s">
        <v>60</v>
      </c>
      <c r="F161" s="7" t="s">
        <v>60</v>
      </c>
      <c r="G161" s="7" t="s">
        <v>61</v>
      </c>
      <c r="H161" s="7" t="s">
        <v>354</v>
      </c>
      <c r="I161" s="7" t="s">
        <v>355</v>
      </c>
      <c r="J161" s="74">
        <v>39.66</v>
      </c>
      <c r="K161" s="74" t="s">
        <v>356</v>
      </c>
      <c r="L161" s="74">
        <v>39.66</v>
      </c>
      <c r="M161" s="7">
        <v>67</v>
      </c>
      <c r="N161" s="7"/>
      <c r="O161" s="438">
        <f t="shared" si="6"/>
        <v>2657.22</v>
      </c>
      <c r="P161" s="438">
        <v>15</v>
      </c>
      <c r="Q161" s="438">
        <f t="shared" si="7"/>
        <v>186.0054</v>
      </c>
      <c r="R161" s="438">
        <v>600</v>
      </c>
      <c r="S161" s="439">
        <f t="shared" si="8"/>
        <v>1856.2146</v>
      </c>
      <c r="T161" s="7"/>
      <c r="U161" s="7"/>
      <c r="V161" s="7"/>
      <c r="W161" s="417">
        <v>1</v>
      </c>
    </row>
    <row r="162" s="417" customFormat="1" ht="16" customHeight="1" spans="1:23">
      <c r="A162" s="449">
        <v>46179</v>
      </c>
      <c r="B162" s="449">
        <v>46180</v>
      </c>
      <c r="C162" s="7"/>
      <c r="D162" s="7" t="s">
        <v>235</v>
      </c>
      <c r="E162" s="7" t="s">
        <v>151</v>
      </c>
      <c r="F162" s="7" t="s">
        <v>151</v>
      </c>
      <c r="G162" s="7" t="s">
        <v>152</v>
      </c>
      <c r="H162" s="7" t="s">
        <v>368</v>
      </c>
      <c r="I162" s="7" t="s">
        <v>356</v>
      </c>
      <c r="J162" s="74">
        <v>44.86</v>
      </c>
      <c r="K162" s="74" t="s">
        <v>369</v>
      </c>
      <c r="L162" s="74">
        <v>44.84</v>
      </c>
      <c r="M162" s="442">
        <v>48</v>
      </c>
      <c r="N162" s="7"/>
      <c r="O162" s="438">
        <f t="shared" si="6"/>
        <v>2152.32</v>
      </c>
      <c r="P162" s="438">
        <v>15</v>
      </c>
      <c r="Q162" s="438">
        <f t="shared" si="7"/>
        <v>150.6624</v>
      </c>
      <c r="R162" s="438">
        <v>600</v>
      </c>
      <c r="S162" s="439">
        <f t="shared" si="8"/>
        <v>1386.6576</v>
      </c>
      <c r="T162" s="7"/>
      <c r="U162" s="7"/>
      <c r="V162" s="7"/>
      <c r="W162" s="417">
        <v>1</v>
      </c>
    </row>
    <row r="163" s="417" customFormat="1" ht="16" customHeight="1" spans="1:23">
      <c r="A163" s="449">
        <v>46180</v>
      </c>
      <c r="B163" s="449">
        <v>46181</v>
      </c>
      <c r="C163" s="7"/>
      <c r="D163" s="7" t="s">
        <v>235</v>
      </c>
      <c r="E163" s="7" t="s">
        <v>114</v>
      </c>
      <c r="F163" s="7" t="s">
        <v>114</v>
      </c>
      <c r="G163" s="7" t="s">
        <v>115</v>
      </c>
      <c r="H163" s="7" t="s">
        <v>368</v>
      </c>
      <c r="I163" s="7" t="s">
        <v>356</v>
      </c>
      <c r="J163" s="74">
        <v>43.26</v>
      </c>
      <c r="K163" s="74" t="s">
        <v>371</v>
      </c>
      <c r="L163" s="74">
        <v>43.07</v>
      </c>
      <c r="M163" s="7">
        <v>61</v>
      </c>
      <c r="N163" s="7"/>
      <c r="O163" s="438">
        <f t="shared" si="6"/>
        <v>2627.27</v>
      </c>
      <c r="P163" s="438">
        <v>15</v>
      </c>
      <c r="Q163" s="438">
        <f t="shared" si="7"/>
        <v>183.9089</v>
      </c>
      <c r="R163" s="438">
        <v>600</v>
      </c>
      <c r="S163" s="439">
        <f t="shared" si="8"/>
        <v>1828.3611</v>
      </c>
      <c r="T163" s="7"/>
      <c r="U163" s="7"/>
      <c r="V163" s="7"/>
      <c r="W163" s="417">
        <v>1</v>
      </c>
    </row>
    <row r="164" s="417" customFormat="1" ht="16" customHeight="1" spans="1:23">
      <c r="A164" s="449">
        <v>46180</v>
      </c>
      <c r="B164" s="449">
        <v>46181</v>
      </c>
      <c r="C164" s="7"/>
      <c r="D164" s="7" t="s">
        <v>235</v>
      </c>
      <c r="E164" s="7" t="s">
        <v>87</v>
      </c>
      <c r="F164" s="7" t="s">
        <v>87</v>
      </c>
      <c r="G164" s="7" t="s">
        <v>88</v>
      </c>
      <c r="H164" s="7" t="s">
        <v>368</v>
      </c>
      <c r="I164" s="7" t="s">
        <v>356</v>
      </c>
      <c r="J164" s="74">
        <v>44.12</v>
      </c>
      <c r="K164" s="74" t="s">
        <v>371</v>
      </c>
      <c r="L164" s="74">
        <v>43.89</v>
      </c>
      <c r="M164" s="7">
        <v>61</v>
      </c>
      <c r="N164" s="7"/>
      <c r="O164" s="438">
        <f t="shared" si="6"/>
        <v>2677.29</v>
      </c>
      <c r="P164" s="438">
        <v>15</v>
      </c>
      <c r="Q164" s="438">
        <f t="shared" si="7"/>
        <v>187.4103</v>
      </c>
      <c r="R164" s="438">
        <v>600</v>
      </c>
      <c r="S164" s="439">
        <f t="shared" si="8"/>
        <v>1874.8797</v>
      </c>
      <c r="T164" s="7"/>
      <c r="U164" s="7"/>
      <c r="V164" s="7"/>
      <c r="W164" s="417">
        <v>1</v>
      </c>
    </row>
    <row r="165" s="417" customFormat="1" ht="16" customHeight="1" spans="1:23">
      <c r="A165" s="449">
        <v>46180</v>
      </c>
      <c r="B165" s="449">
        <v>46181</v>
      </c>
      <c r="C165" s="7"/>
      <c r="D165" s="7" t="s">
        <v>235</v>
      </c>
      <c r="E165" s="7" t="s">
        <v>75</v>
      </c>
      <c r="F165" s="7" t="s">
        <v>75</v>
      </c>
      <c r="G165" s="7" t="s">
        <v>76</v>
      </c>
      <c r="H165" s="7" t="s">
        <v>368</v>
      </c>
      <c r="I165" s="7" t="s">
        <v>356</v>
      </c>
      <c r="J165" s="74">
        <v>41.32</v>
      </c>
      <c r="K165" s="74" t="s">
        <v>371</v>
      </c>
      <c r="L165" s="74">
        <v>41.23</v>
      </c>
      <c r="M165" s="7">
        <v>61</v>
      </c>
      <c r="N165" s="7"/>
      <c r="O165" s="438">
        <f t="shared" si="6"/>
        <v>2515.03</v>
      </c>
      <c r="P165" s="438">
        <v>15</v>
      </c>
      <c r="Q165" s="438">
        <f t="shared" si="7"/>
        <v>176.0521</v>
      </c>
      <c r="R165" s="438">
        <v>600</v>
      </c>
      <c r="S165" s="439">
        <f t="shared" si="8"/>
        <v>1723.9779</v>
      </c>
      <c r="T165" s="7"/>
      <c r="U165" s="7"/>
      <c r="V165" s="7"/>
      <c r="W165" s="417">
        <v>1</v>
      </c>
    </row>
    <row r="166" s="417" customFormat="1" ht="16" customHeight="1" spans="1:23">
      <c r="A166" s="449">
        <v>46180</v>
      </c>
      <c r="B166" s="449">
        <v>46181</v>
      </c>
      <c r="C166" s="7"/>
      <c r="D166" s="7" t="s">
        <v>235</v>
      </c>
      <c r="E166" s="7" t="s">
        <v>69</v>
      </c>
      <c r="F166" s="7" t="s">
        <v>69</v>
      </c>
      <c r="G166" s="7" t="s">
        <v>70</v>
      </c>
      <c r="H166" s="7" t="s">
        <v>368</v>
      </c>
      <c r="I166" s="7" t="s">
        <v>356</v>
      </c>
      <c r="J166" s="74">
        <v>46.2</v>
      </c>
      <c r="K166" s="74" t="s">
        <v>371</v>
      </c>
      <c r="L166" s="74">
        <v>45.78</v>
      </c>
      <c r="M166" s="7">
        <v>61</v>
      </c>
      <c r="N166" s="7"/>
      <c r="O166" s="438">
        <f t="shared" si="6"/>
        <v>2792.58</v>
      </c>
      <c r="P166" s="438">
        <v>15</v>
      </c>
      <c r="Q166" s="438">
        <f t="shared" si="7"/>
        <v>195.4806</v>
      </c>
      <c r="R166" s="438">
        <v>600</v>
      </c>
      <c r="S166" s="439">
        <f t="shared" si="8"/>
        <v>1982.0994</v>
      </c>
      <c r="T166" s="7"/>
      <c r="U166" s="7"/>
      <c r="V166" s="7"/>
      <c r="W166" s="417">
        <v>1</v>
      </c>
    </row>
    <row r="167" s="417" customFormat="1" ht="16" customHeight="1" spans="1:23">
      <c r="A167" s="449">
        <v>46181</v>
      </c>
      <c r="B167" s="449">
        <v>46182</v>
      </c>
      <c r="C167" s="7" t="s">
        <v>469</v>
      </c>
      <c r="D167" s="7" t="s">
        <v>237</v>
      </c>
      <c r="E167" s="7" t="s">
        <v>163</v>
      </c>
      <c r="F167" s="7" t="s">
        <v>163</v>
      </c>
      <c r="G167" s="7" t="s">
        <v>164</v>
      </c>
      <c r="H167" s="7" t="s">
        <v>354</v>
      </c>
      <c r="I167" s="7" t="s">
        <v>407</v>
      </c>
      <c r="J167" s="74">
        <v>41.14</v>
      </c>
      <c r="K167" s="74" t="s">
        <v>356</v>
      </c>
      <c r="L167" s="74">
        <v>41.14</v>
      </c>
      <c r="M167" s="7">
        <v>87</v>
      </c>
      <c r="N167" s="7"/>
      <c r="O167" s="438">
        <f t="shared" si="6"/>
        <v>3579.18</v>
      </c>
      <c r="P167" s="438">
        <v>15</v>
      </c>
      <c r="Q167" s="438">
        <f t="shared" si="7"/>
        <v>250.5426</v>
      </c>
      <c r="R167" s="438">
        <v>800</v>
      </c>
      <c r="S167" s="439">
        <f t="shared" si="8"/>
        <v>2513.6374</v>
      </c>
      <c r="T167" s="7"/>
      <c r="U167" s="456"/>
      <c r="V167" s="7"/>
      <c r="W167" s="417">
        <v>1</v>
      </c>
    </row>
    <row r="168" s="417" customFormat="1" ht="16" customHeight="1" spans="1:23">
      <c r="A168" s="449">
        <v>46180</v>
      </c>
      <c r="B168" s="449">
        <v>46182</v>
      </c>
      <c r="C168" s="7" t="s">
        <v>470</v>
      </c>
      <c r="D168" s="7" t="s">
        <v>237</v>
      </c>
      <c r="E168" s="7" t="s">
        <v>338</v>
      </c>
      <c r="F168" s="7" t="s">
        <v>338</v>
      </c>
      <c r="G168" s="7" t="s">
        <v>158</v>
      </c>
      <c r="H168" s="7" t="s">
        <v>354</v>
      </c>
      <c r="I168" s="7" t="s">
        <v>407</v>
      </c>
      <c r="J168" s="74">
        <v>42.54</v>
      </c>
      <c r="K168" s="74" t="s">
        <v>356</v>
      </c>
      <c r="L168" s="74">
        <v>42.54</v>
      </c>
      <c r="M168" s="7">
        <v>87</v>
      </c>
      <c r="N168" s="7"/>
      <c r="O168" s="438">
        <f t="shared" si="6"/>
        <v>3700.98</v>
      </c>
      <c r="P168" s="438">
        <v>15</v>
      </c>
      <c r="Q168" s="438">
        <f t="shared" si="7"/>
        <v>259.0686</v>
      </c>
      <c r="R168" s="438">
        <v>800</v>
      </c>
      <c r="S168" s="439">
        <f t="shared" si="8"/>
        <v>2626.9114</v>
      </c>
      <c r="T168" s="7"/>
      <c r="U168" s="456"/>
      <c r="V168" s="7"/>
      <c r="W168" s="417">
        <v>1</v>
      </c>
    </row>
    <row r="169" s="417" customFormat="1" ht="16" customHeight="1" spans="1:23">
      <c r="A169" s="449">
        <v>46180</v>
      </c>
      <c r="B169" s="449">
        <v>46182</v>
      </c>
      <c r="C169" s="7" t="s">
        <v>471</v>
      </c>
      <c r="D169" s="7" t="s">
        <v>237</v>
      </c>
      <c r="E169" s="7" t="s">
        <v>180</v>
      </c>
      <c r="F169" s="7" t="s">
        <v>180</v>
      </c>
      <c r="G169" s="7" t="s">
        <v>181</v>
      </c>
      <c r="H169" s="7" t="s">
        <v>354</v>
      </c>
      <c r="I169" s="7" t="s">
        <v>407</v>
      </c>
      <c r="J169" s="74">
        <v>41.86</v>
      </c>
      <c r="K169" s="74" t="s">
        <v>356</v>
      </c>
      <c r="L169" s="74">
        <v>41.86</v>
      </c>
      <c r="M169" s="7">
        <v>87</v>
      </c>
      <c r="N169" s="7"/>
      <c r="O169" s="438">
        <f t="shared" si="6"/>
        <v>3641.82</v>
      </c>
      <c r="P169" s="438">
        <v>15</v>
      </c>
      <c r="Q169" s="438">
        <f t="shared" si="7"/>
        <v>254.9274</v>
      </c>
      <c r="R169" s="438">
        <v>800</v>
      </c>
      <c r="S169" s="439">
        <f t="shared" si="8"/>
        <v>2571.8926</v>
      </c>
      <c r="T169" s="7"/>
      <c r="U169" s="456"/>
      <c r="V169" s="7"/>
      <c r="W169" s="417">
        <v>1</v>
      </c>
    </row>
    <row r="170" s="417" customFormat="1" ht="16" customHeight="1" spans="1:23">
      <c r="A170" s="449">
        <v>46181</v>
      </c>
      <c r="B170" s="449">
        <v>46182</v>
      </c>
      <c r="C170" s="7" t="s">
        <v>472</v>
      </c>
      <c r="D170" s="7" t="s">
        <v>237</v>
      </c>
      <c r="E170" s="7" t="s">
        <v>160</v>
      </c>
      <c r="F170" s="7" t="s">
        <v>160</v>
      </c>
      <c r="G170" s="7" t="s">
        <v>161</v>
      </c>
      <c r="H170" s="7" t="s">
        <v>354</v>
      </c>
      <c r="I170" s="7" t="s">
        <v>407</v>
      </c>
      <c r="J170" s="74">
        <v>42.6</v>
      </c>
      <c r="K170" s="74" t="s">
        <v>356</v>
      </c>
      <c r="L170" s="74">
        <v>42.6</v>
      </c>
      <c r="M170" s="7">
        <v>87</v>
      </c>
      <c r="N170" s="7"/>
      <c r="O170" s="438">
        <f t="shared" si="6"/>
        <v>3706.2</v>
      </c>
      <c r="P170" s="438">
        <v>15</v>
      </c>
      <c r="Q170" s="438">
        <f t="shared" si="7"/>
        <v>259.434</v>
      </c>
      <c r="R170" s="438">
        <v>800</v>
      </c>
      <c r="S170" s="439">
        <f t="shared" si="8"/>
        <v>2631.766</v>
      </c>
      <c r="T170" s="7"/>
      <c r="U170" s="456"/>
      <c r="V170" s="7"/>
      <c r="W170" s="417">
        <v>1</v>
      </c>
    </row>
    <row r="171" s="417" customFormat="1" ht="16" customHeight="1" spans="1:23">
      <c r="A171" s="449">
        <v>46181</v>
      </c>
      <c r="B171" s="449">
        <v>46182</v>
      </c>
      <c r="C171" s="7" t="s">
        <v>473</v>
      </c>
      <c r="D171" s="7" t="s">
        <v>237</v>
      </c>
      <c r="E171" s="7" t="s">
        <v>154</v>
      </c>
      <c r="F171" s="7" t="s">
        <v>154</v>
      </c>
      <c r="G171" s="7" t="s">
        <v>155</v>
      </c>
      <c r="H171" s="7" t="s">
        <v>354</v>
      </c>
      <c r="I171" s="7" t="s">
        <v>407</v>
      </c>
      <c r="J171" s="74">
        <v>45.4</v>
      </c>
      <c r="K171" s="74" t="s">
        <v>356</v>
      </c>
      <c r="L171" s="74">
        <v>45.4</v>
      </c>
      <c r="M171" s="7">
        <v>87</v>
      </c>
      <c r="N171" s="7"/>
      <c r="O171" s="438">
        <f t="shared" si="6"/>
        <v>3949.8</v>
      </c>
      <c r="P171" s="438">
        <v>15</v>
      </c>
      <c r="Q171" s="438">
        <f t="shared" si="7"/>
        <v>276.486</v>
      </c>
      <c r="R171" s="438">
        <v>800</v>
      </c>
      <c r="S171" s="439">
        <f t="shared" si="8"/>
        <v>2858.314</v>
      </c>
      <c r="T171" s="7"/>
      <c r="U171" s="456"/>
      <c r="V171" s="7"/>
      <c r="W171" s="417">
        <v>1</v>
      </c>
    </row>
    <row r="172" s="417" customFormat="1" ht="16" customHeight="1" spans="1:23">
      <c r="A172" s="449">
        <v>46180</v>
      </c>
      <c r="B172" s="449">
        <v>46181</v>
      </c>
      <c r="C172" s="442" t="s">
        <v>474</v>
      </c>
      <c r="D172" s="7" t="s">
        <v>233</v>
      </c>
      <c r="E172" s="7" t="s">
        <v>144</v>
      </c>
      <c r="F172" s="7" t="s">
        <v>144</v>
      </c>
      <c r="G172" s="7" t="s">
        <v>145</v>
      </c>
      <c r="H172" s="7" t="s">
        <v>354</v>
      </c>
      <c r="I172" s="7" t="s">
        <v>355</v>
      </c>
      <c r="J172" s="74">
        <v>44.32</v>
      </c>
      <c r="K172" s="74" t="s">
        <v>356</v>
      </c>
      <c r="L172" s="74">
        <v>44.3</v>
      </c>
      <c r="M172" s="7">
        <v>67</v>
      </c>
      <c r="N172" s="7"/>
      <c r="O172" s="438">
        <f t="shared" si="6"/>
        <v>2968.1</v>
      </c>
      <c r="P172" s="438">
        <v>15</v>
      </c>
      <c r="Q172" s="438">
        <f t="shared" si="7"/>
        <v>207.767</v>
      </c>
      <c r="R172" s="438">
        <v>600</v>
      </c>
      <c r="S172" s="439">
        <f t="shared" si="8"/>
        <v>2145.333</v>
      </c>
      <c r="T172" s="7"/>
      <c r="U172" s="456"/>
      <c r="V172" s="7"/>
      <c r="W172" s="417">
        <v>1</v>
      </c>
    </row>
    <row r="173" s="417" customFormat="1" ht="16" customHeight="1" spans="1:23">
      <c r="A173" s="449">
        <v>46180</v>
      </c>
      <c r="B173" s="449">
        <v>46181</v>
      </c>
      <c r="C173" s="442" t="s">
        <v>475</v>
      </c>
      <c r="D173" s="7" t="s">
        <v>233</v>
      </c>
      <c r="E173" s="7" t="s">
        <v>66</v>
      </c>
      <c r="F173" s="7" t="s">
        <v>66</v>
      </c>
      <c r="G173" s="7" t="s">
        <v>67</v>
      </c>
      <c r="H173" s="7" t="s">
        <v>354</v>
      </c>
      <c r="I173" s="7" t="s">
        <v>355</v>
      </c>
      <c r="J173" s="74">
        <v>40.46</v>
      </c>
      <c r="K173" s="74" t="s">
        <v>356</v>
      </c>
      <c r="L173" s="74">
        <v>40.46</v>
      </c>
      <c r="M173" s="7">
        <v>67</v>
      </c>
      <c r="N173" s="7"/>
      <c r="O173" s="438">
        <f t="shared" si="6"/>
        <v>2710.82</v>
      </c>
      <c r="P173" s="438">
        <v>15</v>
      </c>
      <c r="Q173" s="438">
        <f t="shared" si="7"/>
        <v>189.7574</v>
      </c>
      <c r="R173" s="438">
        <v>600</v>
      </c>
      <c r="S173" s="439">
        <f t="shared" si="8"/>
        <v>1906.0626</v>
      </c>
      <c r="T173" s="7"/>
      <c r="U173" s="456"/>
      <c r="V173" s="7"/>
      <c r="W173" s="417">
        <v>1</v>
      </c>
    </row>
    <row r="174" s="417" customFormat="1" ht="16" customHeight="1" spans="1:23">
      <c r="A174" s="449">
        <v>46180</v>
      </c>
      <c r="B174" s="449">
        <v>46181</v>
      </c>
      <c r="C174" s="442" t="s">
        <v>476</v>
      </c>
      <c r="D174" s="7" t="s">
        <v>233</v>
      </c>
      <c r="E174" s="7" t="s">
        <v>93</v>
      </c>
      <c r="F174" s="7" t="s">
        <v>93</v>
      </c>
      <c r="G174" s="7" t="s">
        <v>94</v>
      </c>
      <c r="H174" s="7" t="s">
        <v>354</v>
      </c>
      <c r="I174" s="7" t="s">
        <v>355</v>
      </c>
      <c r="J174" s="74">
        <v>39.22</v>
      </c>
      <c r="K174" s="74" t="s">
        <v>356</v>
      </c>
      <c r="L174" s="74">
        <v>39.2</v>
      </c>
      <c r="M174" s="7">
        <v>67</v>
      </c>
      <c r="N174" s="7"/>
      <c r="O174" s="438">
        <f t="shared" si="6"/>
        <v>2626.4</v>
      </c>
      <c r="P174" s="438">
        <v>15</v>
      </c>
      <c r="Q174" s="438">
        <f t="shared" si="7"/>
        <v>183.848</v>
      </c>
      <c r="R174" s="438">
        <v>600</v>
      </c>
      <c r="S174" s="439">
        <f t="shared" si="8"/>
        <v>1827.552</v>
      </c>
      <c r="T174" s="7"/>
      <c r="U174" s="456"/>
      <c r="V174" s="7"/>
      <c r="W174" s="417">
        <v>1</v>
      </c>
    </row>
    <row r="175" s="417" customFormat="1" ht="16" customHeight="1" spans="1:23">
      <c r="A175" s="449">
        <v>46180</v>
      </c>
      <c r="B175" s="449">
        <v>46182</v>
      </c>
      <c r="C175" s="442" t="s">
        <v>477</v>
      </c>
      <c r="D175" s="7" t="s">
        <v>233</v>
      </c>
      <c r="E175" s="7" t="s">
        <v>166</v>
      </c>
      <c r="F175" s="7" t="s">
        <v>166</v>
      </c>
      <c r="G175" s="7" t="s">
        <v>167</v>
      </c>
      <c r="H175" s="7" t="s">
        <v>354</v>
      </c>
      <c r="I175" s="7" t="s">
        <v>355</v>
      </c>
      <c r="J175" s="74">
        <v>41.8</v>
      </c>
      <c r="K175" s="74" t="s">
        <v>356</v>
      </c>
      <c r="L175" s="74">
        <v>41.78</v>
      </c>
      <c r="M175" s="7">
        <v>67</v>
      </c>
      <c r="N175" s="7"/>
      <c r="O175" s="438">
        <f t="shared" si="6"/>
        <v>2799.26</v>
      </c>
      <c r="P175" s="438">
        <v>15</v>
      </c>
      <c r="Q175" s="438">
        <f t="shared" si="7"/>
        <v>195.9482</v>
      </c>
      <c r="R175" s="438">
        <v>600</v>
      </c>
      <c r="S175" s="439">
        <f t="shared" si="8"/>
        <v>1988.3118</v>
      </c>
      <c r="T175" s="7"/>
      <c r="U175" s="456"/>
      <c r="V175" s="7"/>
      <c r="W175" s="417">
        <v>1</v>
      </c>
    </row>
    <row r="176" s="417" customFormat="1" ht="16" customHeight="1" spans="1:23">
      <c r="A176" s="449">
        <v>46180</v>
      </c>
      <c r="B176" s="449">
        <v>46181</v>
      </c>
      <c r="C176" s="442" t="s">
        <v>478</v>
      </c>
      <c r="D176" s="7" t="s">
        <v>233</v>
      </c>
      <c r="E176" s="7" t="s">
        <v>51</v>
      </c>
      <c r="F176" s="7" t="s">
        <v>51</v>
      </c>
      <c r="G176" s="7" t="s">
        <v>52</v>
      </c>
      <c r="H176" s="7" t="s">
        <v>354</v>
      </c>
      <c r="I176" s="7" t="s">
        <v>355</v>
      </c>
      <c r="J176" s="74">
        <v>41.88</v>
      </c>
      <c r="K176" s="74" t="s">
        <v>356</v>
      </c>
      <c r="L176" s="74">
        <v>41.88</v>
      </c>
      <c r="M176" s="7">
        <v>67</v>
      </c>
      <c r="N176" s="7"/>
      <c r="O176" s="438">
        <f t="shared" si="6"/>
        <v>2805.96</v>
      </c>
      <c r="P176" s="438">
        <v>15</v>
      </c>
      <c r="Q176" s="438">
        <f t="shared" si="7"/>
        <v>196.4172</v>
      </c>
      <c r="R176" s="438">
        <v>600</v>
      </c>
      <c r="S176" s="439">
        <f t="shared" si="8"/>
        <v>1994.5428</v>
      </c>
      <c r="T176" s="7"/>
      <c r="U176" s="456"/>
      <c r="V176" s="7"/>
      <c r="W176" s="417">
        <v>1</v>
      </c>
    </row>
    <row r="177" s="417" customFormat="1" ht="16" customHeight="1" spans="1:23">
      <c r="A177" s="449">
        <v>46180</v>
      </c>
      <c r="B177" s="449">
        <v>46182</v>
      </c>
      <c r="C177" s="442" t="s">
        <v>479</v>
      </c>
      <c r="D177" s="7" t="s">
        <v>233</v>
      </c>
      <c r="E177" s="7" t="s">
        <v>78</v>
      </c>
      <c r="F177" s="7" t="s">
        <v>78</v>
      </c>
      <c r="G177" s="7" t="s">
        <v>79</v>
      </c>
      <c r="H177" s="7" t="s">
        <v>354</v>
      </c>
      <c r="I177" s="7" t="s">
        <v>355</v>
      </c>
      <c r="J177" s="74">
        <v>42.3</v>
      </c>
      <c r="K177" s="74" t="s">
        <v>356</v>
      </c>
      <c r="L177" s="74">
        <v>42.26</v>
      </c>
      <c r="M177" s="7">
        <v>67</v>
      </c>
      <c r="N177" s="7"/>
      <c r="O177" s="438">
        <f t="shared" si="6"/>
        <v>2831.42</v>
      </c>
      <c r="P177" s="438">
        <v>15</v>
      </c>
      <c r="Q177" s="438">
        <f t="shared" si="7"/>
        <v>198.1994</v>
      </c>
      <c r="R177" s="438">
        <v>600</v>
      </c>
      <c r="S177" s="439">
        <f t="shared" si="8"/>
        <v>2018.2206</v>
      </c>
      <c r="T177" s="7"/>
      <c r="U177" s="456"/>
      <c r="V177" s="7"/>
      <c r="W177" s="417">
        <v>1</v>
      </c>
    </row>
    <row r="178" s="417" customFormat="1" ht="16" customHeight="1" spans="1:23">
      <c r="A178" s="449">
        <v>46181</v>
      </c>
      <c r="B178" s="449">
        <v>46182</v>
      </c>
      <c r="C178" s="442" t="s">
        <v>480</v>
      </c>
      <c r="D178" s="7" t="s">
        <v>233</v>
      </c>
      <c r="E178" s="7" t="s">
        <v>87</v>
      </c>
      <c r="F178" s="7" t="s">
        <v>87</v>
      </c>
      <c r="G178" s="7" t="s">
        <v>88</v>
      </c>
      <c r="H178" s="7" t="s">
        <v>354</v>
      </c>
      <c r="I178" s="7" t="s">
        <v>355</v>
      </c>
      <c r="J178" s="74">
        <v>41.04</v>
      </c>
      <c r="K178" s="74" t="s">
        <v>356</v>
      </c>
      <c r="L178" s="74">
        <v>41.04</v>
      </c>
      <c r="M178" s="7">
        <v>67</v>
      </c>
      <c r="N178" s="7"/>
      <c r="O178" s="438">
        <f t="shared" si="6"/>
        <v>2749.68</v>
      </c>
      <c r="P178" s="438">
        <v>15</v>
      </c>
      <c r="Q178" s="438">
        <f t="shared" si="7"/>
        <v>192.4776</v>
      </c>
      <c r="R178" s="438">
        <v>600</v>
      </c>
      <c r="S178" s="439">
        <f t="shared" si="8"/>
        <v>1942.2024</v>
      </c>
      <c r="T178" s="7"/>
      <c r="U178" s="456"/>
      <c r="V178" s="7"/>
      <c r="W178" s="417">
        <v>1</v>
      </c>
    </row>
    <row r="179" s="417" customFormat="1" ht="16" customHeight="1" spans="1:23">
      <c r="A179" s="449">
        <v>46181</v>
      </c>
      <c r="B179" s="449">
        <v>46182</v>
      </c>
      <c r="C179" s="442" t="s">
        <v>481</v>
      </c>
      <c r="D179" s="7" t="s">
        <v>233</v>
      </c>
      <c r="E179" s="7" t="s">
        <v>114</v>
      </c>
      <c r="F179" s="7" t="s">
        <v>114</v>
      </c>
      <c r="G179" s="7" t="s">
        <v>115</v>
      </c>
      <c r="H179" s="7" t="s">
        <v>354</v>
      </c>
      <c r="I179" s="7" t="s">
        <v>355</v>
      </c>
      <c r="J179" s="74">
        <v>41.98</v>
      </c>
      <c r="K179" s="74" t="s">
        <v>356</v>
      </c>
      <c r="L179" s="74">
        <v>41.98</v>
      </c>
      <c r="M179" s="7">
        <v>67</v>
      </c>
      <c r="N179" s="7"/>
      <c r="O179" s="438">
        <f t="shared" si="6"/>
        <v>2812.66</v>
      </c>
      <c r="P179" s="438">
        <v>15</v>
      </c>
      <c r="Q179" s="438">
        <f t="shared" si="7"/>
        <v>196.8862</v>
      </c>
      <c r="R179" s="438">
        <v>600</v>
      </c>
      <c r="S179" s="439">
        <f t="shared" si="8"/>
        <v>2000.7738</v>
      </c>
      <c r="T179" s="7"/>
      <c r="U179" s="456"/>
      <c r="V179" s="7"/>
      <c r="W179" s="417">
        <v>1</v>
      </c>
    </row>
    <row r="180" s="417" customFormat="1" ht="16" customHeight="1" spans="1:23">
      <c r="A180" s="449">
        <v>46181</v>
      </c>
      <c r="B180" s="449">
        <v>46182</v>
      </c>
      <c r="C180" s="442" t="s">
        <v>482</v>
      </c>
      <c r="D180" s="7" t="s">
        <v>233</v>
      </c>
      <c r="E180" s="7" t="s">
        <v>69</v>
      </c>
      <c r="F180" s="7" t="s">
        <v>69</v>
      </c>
      <c r="G180" s="7" t="s">
        <v>70</v>
      </c>
      <c r="H180" s="7" t="s">
        <v>354</v>
      </c>
      <c r="I180" s="7" t="s">
        <v>355</v>
      </c>
      <c r="J180" s="74">
        <v>40.46</v>
      </c>
      <c r="K180" s="74" t="s">
        <v>356</v>
      </c>
      <c r="L180" s="74">
        <v>40.46</v>
      </c>
      <c r="M180" s="7">
        <v>67</v>
      </c>
      <c r="N180" s="7"/>
      <c r="O180" s="438">
        <f t="shared" si="6"/>
        <v>2710.82</v>
      </c>
      <c r="P180" s="438">
        <v>15</v>
      </c>
      <c r="Q180" s="438">
        <f t="shared" si="7"/>
        <v>189.7574</v>
      </c>
      <c r="R180" s="438">
        <v>600</v>
      </c>
      <c r="S180" s="439">
        <f t="shared" si="8"/>
        <v>1906.0626</v>
      </c>
      <c r="T180" s="7"/>
      <c r="U180" s="456"/>
      <c r="V180" s="7"/>
      <c r="W180" s="417">
        <v>1</v>
      </c>
    </row>
    <row r="181" s="417" customFormat="1" ht="16" customHeight="1" spans="1:23">
      <c r="A181" s="449">
        <v>46181</v>
      </c>
      <c r="B181" s="449">
        <v>46183</v>
      </c>
      <c r="C181" s="442" t="s">
        <v>483</v>
      </c>
      <c r="D181" s="7" t="s">
        <v>233</v>
      </c>
      <c r="E181" s="7" t="s">
        <v>130</v>
      </c>
      <c r="F181" s="7" t="s">
        <v>130</v>
      </c>
      <c r="G181" s="7" t="s">
        <v>139</v>
      </c>
      <c r="H181" s="7" t="s">
        <v>354</v>
      </c>
      <c r="I181" s="7" t="s">
        <v>355</v>
      </c>
      <c r="J181" s="74">
        <v>39.26</v>
      </c>
      <c r="K181" s="74" t="s">
        <v>356</v>
      </c>
      <c r="L181" s="74">
        <v>39.24</v>
      </c>
      <c r="M181" s="7">
        <v>67</v>
      </c>
      <c r="N181" s="7"/>
      <c r="O181" s="438">
        <f t="shared" si="6"/>
        <v>2629.08</v>
      </c>
      <c r="P181" s="438">
        <v>15</v>
      </c>
      <c r="Q181" s="438">
        <f t="shared" si="7"/>
        <v>184.0356</v>
      </c>
      <c r="R181" s="438">
        <v>600</v>
      </c>
      <c r="S181" s="439">
        <f t="shared" si="8"/>
        <v>1830.0444</v>
      </c>
      <c r="T181" s="7"/>
      <c r="U181" s="456"/>
      <c r="V181" s="7"/>
      <c r="W181" s="417">
        <v>1</v>
      </c>
    </row>
    <row r="182" s="417" customFormat="1" ht="16" customHeight="1" spans="1:23">
      <c r="A182" s="449">
        <v>46181</v>
      </c>
      <c r="B182" s="449">
        <v>46183</v>
      </c>
      <c r="C182" s="442" t="s">
        <v>484</v>
      </c>
      <c r="D182" s="7" t="s">
        <v>233</v>
      </c>
      <c r="E182" s="7" t="s">
        <v>138</v>
      </c>
      <c r="F182" s="7" t="s">
        <v>138</v>
      </c>
      <c r="G182" s="7" t="s">
        <v>454</v>
      </c>
      <c r="H182" s="7" t="s">
        <v>354</v>
      </c>
      <c r="I182" s="7" t="s">
        <v>355</v>
      </c>
      <c r="J182" s="74">
        <v>44.92</v>
      </c>
      <c r="K182" s="74" t="s">
        <v>356</v>
      </c>
      <c r="L182" s="74">
        <v>44.88</v>
      </c>
      <c r="M182" s="7">
        <v>67</v>
      </c>
      <c r="N182" s="7"/>
      <c r="O182" s="438">
        <f t="shared" si="6"/>
        <v>3006.96</v>
      </c>
      <c r="P182" s="438">
        <v>15</v>
      </c>
      <c r="Q182" s="438">
        <f t="shared" si="7"/>
        <v>210.4872</v>
      </c>
      <c r="R182" s="438">
        <v>600</v>
      </c>
      <c r="S182" s="439">
        <f t="shared" si="8"/>
        <v>2181.4728</v>
      </c>
      <c r="T182" s="7"/>
      <c r="U182" s="456"/>
      <c r="V182" s="7"/>
      <c r="W182" s="417">
        <v>1</v>
      </c>
    </row>
    <row r="183" s="417" customFormat="1" ht="16" customHeight="1" spans="1:23">
      <c r="A183" s="449">
        <v>46181</v>
      </c>
      <c r="B183" s="449">
        <v>46183</v>
      </c>
      <c r="C183" s="442" t="s">
        <v>485</v>
      </c>
      <c r="D183" s="7" t="s">
        <v>233</v>
      </c>
      <c r="E183" s="7" t="s">
        <v>75</v>
      </c>
      <c r="F183" s="7" t="s">
        <v>75</v>
      </c>
      <c r="G183" s="7" t="s">
        <v>76</v>
      </c>
      <c r="H183" s="7" t="s">
        <v>354</v>
      </c>
      <c r="I183" s="7" t="s">
        <v>355</v>
      </c>
      <c r="J183" s="74">
        <v>41.42</v>
      </c>
      <c r="K183" s="74" t="s">
        <v>356</v>
      </c>
      <c r="L183" s="74">
        <v>41.42</v>
      </c>
      <c r="M183" s="7">
        <v>67</v>
      </c>
      <c r="N183" s="7"/>
      <c r="O183" s="438">
        <f t="shared" si="6"/>
        <v>2775.14</v>
      </c>
      <c r="P183" s="438">
        <v>15</v>
      </c>
      <c r="Q183" s="438">
        <f t="shared" si="7"/>
        <v>194.2598</v>
      </c>
      <c r="R183" s="438">
        <v>600</v>
      </c>
      <c r="S183" s="439">
        <f t="shared" si="8"/>
        <v>1965.8802</v>
      </c>
      <c r="T183" s="7"/>
      <c r="U183" s="456"/>
      <c r="V183" s="7"/>
      <c r="W183" s="417">
        <v>1</v>
      </c>
    </row>
    <row r="184" s="417" customFormat="1" ht="16" customHeight="1" spans="1:23">
      <c r="A184" s="449">
        <v>46181</v>
      </c>
      <c r="B184" s="449">
        <v>46181</v>
      </c>
      <c r="C184" s="7"/>
      <c r="D184" s="7" t="s">
        <v>235</v>
      </c>
      <c r="E184" s="7" t="s">
        <v>105</v>
      </c>
      <c r="F184" s="7" t="s">
        <v>105</v>
      </c>
      <c r="G184" s="7" t="s">
        <v>106</v>
      </c>
      <c r="H184" s="7" t="s">
        <v>368</v>
      </c>
      <c r="I184" s="7" t="s">
        <v>356</v>
      </c>
      <c r="J184" s="74">
        <v>42.1</v>
      </c>
      <c r="K184" s="74" t="s">
        <v>371</v>
      </c>
      <c r="L184" s="74">
        <v>41.92</v>
      </c>
      <c r="M184" s="7">
        <v>61</v>
      </c>
      <c r="N184" s="7"/>
      <c r="O184" s="438">
        <f t="shared" si="6"/>
        <v>2557.12</v>
      </c>
      <c r="P184" s="438">
        <v>15</v>
      </c>
      <c r="Q184" s="438">
        <f t="shared" si="7"/>
        <v>178.9984</v>
      </c>
      <c r="R184" s="438">
        <v>600</v>
      </c>
      <c r="S184" s="439">
        <f t="shared" si="8"/>
        <v>1763.1216</v>
      </c>
      <c r="T184" s="7"/>
      <c r="U184" s="456"/>
      <c r="V184" s="7"/>
      <c r="W184" s="417">
        <v>1</v>
      </c>
    </row>
    <row r="185" s="417" customFormat="1" ht="16" customHeight="1" spans="1:23">
      <c r="A185" s="449">
        <v>46181</v>
      </c>
      <c r="B185" s="449">
        <v>46181</v>
      </c>
      <c r="C185" s="7"/>
      <c r="D185" s="7" t="s">
        <v>235</v>
      </c>
      <c r="E185" s="7" t="s">
        <v>57</v>
      </c>
      <c r="F185" s="7" t="s">
        <v>57</v>
      </c>
      <c r="G185" s="7" t="s">
        <v>58</v>
      </c>
      <c r="H185" s="7" t="s">
        <v>368</v>
      </c>
      <c r="I185" s="7" t="s">
        <v>356</v>
      </c>
      <c r="J185" s="74">
        <v>41.38</v>
      </c>
      <c r="K185" s="74" t="s">
        <v>371</v>
      </c>
      <c r="L185" s="74">
        <v>41.2</v>
      </c>
      <c r="M185" s="7">
        <v>61</v>
      </c>
      <c r="N185" s="7"/>
      <c r="O185" s="438">
        <f t="shared" si="6"/>
        <v>2513.2</v>
      </c>
      <c r="P185" s="438">
        <v>15</v>
      </c>
      <c r="Q185" s="438">
        <f t="shared" si="7"/>
        <v>175.924</v>
      </c>
      <c r="R185" s="438">
        <v>600</v>
      </c>
      <c r="S185" s="439">
        <f t="shared" si="8"/>
        <v>1722.276</v>
      </c>
      <c r="T185" s="7"/>
      <c r="U185" s="456"/>
      <c r="V185" s="7"/>
      <c r="W185" s="417">
        <v>1</v>
      </c>
    </row>
    <row r="186" s="417" customFormat="1" ht="16" customHeight="1" spans="1:23">
      <c r="A186" s="449">
        <v>46181</v>
      </c>
      <c r="B186" s="449">
        <v>46184</v>
      </c>
      <c r="C186" s="7"/>
      <c r="D186" s="7" t="s">
        <v>235</v>
      </c>
      <c r="E186" s="7" t="s">
        <v>339</v>
      </c>
      <c r="F186" s="7" t="s">
        <v>339</v>
      </c>
      <c r="G186" s="7" t="s">
        <v>170</v>
      </c>
      <c r="H186" s="7" t="s">
        <v>368</v>
      </c>
      <c r="I186" s="7" t="s">
        <v>356</v>
      </c>
      <c r="J186" s="74">
        <v>41.82</v>
      </c>
      <c r="K186" s="74" t="s">
        <v>371</v>
      </c>
      <c r="L186" s="74">
        <v>41.53</v>
      </c>
      <c r="M186" s="7">
        <v>61</v>
      </c>
      <c r="N186" s="7"/>
      <c r="O186" s="438">
        <f t="shared" si="6"/>
        <v>2533.33</v>
      </c>
      <c r="P186" s="438">
        <v>15</v>
      </c>
      <c r="Q186" s="438">
        <f t="shared" si="7"/>
        <v>177.3331</v>
      </c>
      <c r="R186" s="438">
        <v>600</v>
      </c>
      <c r="S186" s="439">
        <f t="shared" si="8"/>
        <v>1740.9969</v>
      </c>
      <c r="T186" s="7"/>
      <c r="U186" s="456"/>
      <c r="V186" s="7"/>
      <c r="W186" s="417">
        <v>1</v>
      </c>
    </row>
    <row r="187" s="417" customFormat="1" ht="16" customHeight="1" spans="1:23">
      <c r="A187" s="449">
        <v>46181</v>
      </c>
      <c r="B187" s="449">
        <v>46181</v>
      </c>
      <c r="C187" s="7"/>
      <c r="D187" s="7" t="s">
        <v>235</v>
      </c>
      <c r="E187" s="7" t="s">
        <v>63</v>
      </c>
      <c r="F187" s="7" t="s">
        <v>63</v>
      </c>
      <c r="G187" s="7" t="s">
        <v>327</v>
      </c>
      <c r="H187" s="7" t="s">
        <v>368</v>
      </c>
      <c r="I187" s="7" t="s">
        <v>356</v>
      </c>
      <c r="J187" s="74">
        <v>41.74</v>
      </c>
      <c r="K187" s="74" t="s">
        <v>371</v>
      </c>
      <c r="L187" s="74">
        <v>41.44</v>
      </c>
      <c r="M187" s="7">
        <v>61</v>
      </c>
      <c r="N187" s="7"/>
      <c r="O187" s="438">
        <f t="shared" si="6"/>
        <v>2527.84</v>
      </c>
      <c r="P187" s="438">
        <v>15</v>
      </c>
      <c r="Q187" s="438">
        <f t="shared" si="7"/>
        <v>176.9488</v>
      </c>
      <c r="R187" s="438">
        <v>600</v>
      </c>
      <c r="S187" s="439">
        <f t="shared" si="8"/>
        <v>1735.8912</v>
      </c>
      <c r="T187" s="7"/>
      <c r="U187" s="456"/>
      <c r="V187" s="7"/>
      <c r="W187" s="417">
        <v>1</v>
      </c>
    </row>
    <row r="188" s="417" customFormat="1" ht="16" customHeight="1" spans="1:23">
      <c r="A188" s="449">
        <v>46181</v>
      </c>
      <c r="B188" s="449">
        <v>46181</v>
      </c>
      <c r="C188" s="7"/>
      <c r="D188" s="7" t="s">
        <v>235</v>
      </c>
      <c r="E188" s="7" t="s">
        <v>111</v>
      </c>
      <c r="F188" s="7" t="s">
        <v>111</v>
      </c>
      <c r="G188" s="7" t="s">
        <v>112</v>
      </c>
      <c r="H188" s="7" t="s">
        <v>368</v>
      </c>
      <c r="I188" s="7" t="s">
        <v>356</v>
      </c>
      <c r="J188" s="74">
        <v>42.94</v>
      </c>
      <c r="K188" s="74" t="s">
        <v>371</v>
      </c>
      <c r="L188" s="74">
        <v>42.75</v>
      </c>
      <c r="M188" s="7">
        <v>61</v>
      </c>
      <c r="N188" s="7"/>
      <c r="O188" s="438">
        <f t="shared" si="6"/>
        <v>2607.75</v>
      </c>
      <c r="P188" s="438">
        <v>15</v>
      </c>
      <c r="Q188" s="438">
        <f t="shared" si="7"/>
        <v>182.5425</v>
      </c>
      <c r="R188" s="438">
        <v>600</v>
      </c>
      <c r="S188" s="439">
        <f t="shared" si="8"/>
        <v>1810.2075</v>
      </c>
      <c r="T188" s="7"/>
      <c r="U188" s="456"/>
      <c r="V188" s="7"/>
      <c r="W188" s="417">
        <v>1</v>
      </c>
    </row>
    <row r="189" s="417" customFormat="1" ht="16" customHeight="1" spans="1:23">
      <c r="A189" s="449">
        <v>46181</v>
      </c>
      <c r="B189" s="449">
        <v>46181</v>
      </c>
      <c r="C189" s="7"/>
      <c r="D189" s="7" t="s">
        <v>235</v>
      </c>
      <c r="E189" s="7" t="s">
        <v>96</v>
      </c>
      <c r="F189" s="7" t="s">
        <v>96</v>
      </c>
      <c r="G189" s="7" t="s">
        <v>97</v>
      </c>
      <c r="H189" s="7" t="s">
        <v>368</v>
      </c>
      <c r="I189" s="7" t="s">
        <v>356</v>
      </c>
      <c r="J189" s="74">
        <v>42.46</v>
      </c>
      <c r="K189" s="74" t="s">
        <v>369</v>
      </c>
      <c r="L189" s="74">
        <v>42.44</v>
      </c>
      <c r="M189" s="457">
        <v>48</v>
      </c>
      <c r="N189" s="7"/>
      <c r="O189" s="438">
        <f t="shared" si="6"/>
        <v>2037.12</v>
      </c>
      <c r="P189" s="438">
        <v>15</v>
      </c>
      <c r="Q189" s="438">
        <f t="shared" si="7"/>
        <v>142.5984</v>
      </c>
      <c r="R189" s="438">
        <v>600</v>
      </c>
      <c r="S189" s="439">
        <f t="shared" si="8"/>
        <v>1279.5216</v>
      </c>
      <c r="T189" s="7"/>
      <c r="U189" s="456"/>
      <c r="V189" s="7"/>
      <c r="W189" s="417">
        <v>1</v>
      </c>
    </row>
    <row r="190" s="417" customFormat="1" ht="16" customHeight="1" spans="1:23">
      <c r="A190" s="449">
        <v>46181</v>
      </c>
      <c r="B190" s="449">
        <v>46181</v>
      </c>
      <c r="C190" s="7"/>
      <c r="D190" s="7" t="s">
        <v>235</v>
      </c>
      <c r="E190" s="7" t="s">
        <v>102</v>
      </c>
      <c r="F190" s="7" t="s">
        <v>102</v>
      </c>
      <c r="G190" s="7" t="s">
        <v>103</v>
      </c>
      <c r="H190" s="7" t="s">
        <v>368</v>
      </c>
      <c r="I190" s="7" t="s">
        <v>356</v>
      </c>
      <c r="J190" s="74">
        <v>44.68</v>
      </c>
      <c r="K190" s="74" t="s">
        <v>369</v>
      </c>
      <c r="L190" s="74">
        <v>42.82</v>
      </c>
      <c r="M190" s="442">
        <v>48</v>
      </c>
      <c r="N190" s="7"/>
      <c r="O190" s="438">
        <f t="shared" si="6"/>
        <v>2055.36</v>
      </c>
      <c r="P190" s="438">
        <v>15</v>
      </c>
      <c r="Q190" s="438">
        <f t="shared" si="7"/>
        <v>143.8752</v>
      </c>
      <c r="R190" s="438">
        <v>600</v>
      </c>
      <c r="S190" s="439">
        <f t="shared" si="8"/>
        <v>1296.4848</v>
      </c>
      <c r="T190" s="7"/>
      <c r="U190" s="456"/>
      <c r="V190" s="7"/>
      <c r="W190" s="417">
        <v>1</v>
      </c>
    </row>
    <row r="191" s="417" customFormat="1" ht="16" customHeight="1" spans="1:23">
      <c r="A191" s="449">
        <v>46181</v>
      </c>
      <c r="B191" s="449">
        <v>46181</v>
      </c>
      <c r="C191" s="7"/>
      <c r="D191" s="7" t="s">
        <v>235</v>
      </c>
      <c r="E191" s="7" t="s">
        <v>84</v>
      </c>
      <c r="F191" s="7" t="s">
        <v>84</v>
      </c>
      <c r="G191" s="7" t="s">
        <v>85</v>
      </c>
      <c r="H191" s="7" t="s">
        <v>368</v>
      </c>
      <c r="I191" s="7" t="s">
        <v>356</v>
      </c>
      <c r="J191" s="74">
        <v>43.04</v>
      </c>
      <c r="K191" s="74" t="s">
        <v>369</v>
      </c>
      <c r="L191" s="74">
        <v>43.08</v>
      </c>
      <c r="M191" s="457">
        <v>48</v>
      </c>
      <c r="N191" s="7"/>
      <c r="O191" s="438">
        <f t="shared" si="6"/>
        <v>2067.84</v>
      </c>
      <c r="P191" s="438">
        <v>15</v>
      </c>
      <c r="Q191" s="438">
        <f t="shared" si="7"/>
        <v>144.7488</v>
      </c>
      <c r="R191" s="438">
        <v>600</v>
      </c>
      <c r="S191" s="439">
        <f t="shared" si="8"/>
        <v>1308.0912</v>
      </c>
      <c r="T191" s="7"/>
      <c r="U191" s="456"/>
      <c r="V191" s="7"/>
      <c r="W191" s="417">
        <v>1</v>
      </c>
    </row>
    <row r="192" s="417" customFormat="1" ht="16" customHeight="1" spans="1:23">
      <c r="A192" s="449">
        <v>46181</v>
      </c>
      <c r="B192" s="449">
        <v>46182</v>
      </c>
      <c r="C192" s="7"/>
      <c r="D192" s="7" t="s">
        <v>235</v>
      </c>
      <c r="E192" s="7" t="s">
        <v>108</v>
      </c>
      <c r="F192" s="7" t="s">
        <v>108</v>
      </c>
      <c r="G192" s="7" t="s">
        <v>109</v>
      </c>
      <c r="H192" s="7" t="s">
        <v>368</v>
      </c>
      <c r="I192" s="7" t="s">
        <v>356</v>
      </c>
      <c r="J192" s="74">
        <v>42.48</v>
      </c>
      <c r="K192" s="74" t="s">
        <v>371</v>
      </c>
      <c r="L192" s="74">
        <v>42.28</v>
      </c>
      <c r="M192" s="7">
        <v>61</v>
      </c>
      <c r="N192" s="7"/>
      <c r="O192" s="438">
        <f t="shared" si="6"/>
        <v>2579.08</v>
      </c>
      <c r="P192" s="438">
        <v>15</v>
      </c>
      <c r="Q192" s="438">
        <f t="shared" si="7"/>
        <v>180.5356</v>
      </c>
      <c r="R192" s="438">
        <v>600</v>
      </c>
      <c r="S192" s="439">
        <f t="shared" si="8"/>
        <v>1783.5444</v>
      </c>
      <c r="T192" s="7"/>
      <c r="U192" s="456"/>
      <c r="V192" s="7"/>
      <c r="W192" s="417">
        <v>1</v>
      </c>
    </row>
    <row r="193" s="417" customFormat="1" ht="16" customHeight="1" spans="1:23">
      <c r="A193" s="449">
        <v>46181</v>
      </c>
      <c r="B193" s="449">
        <v>46182</v>
      </c>
      <c r="C193" s="7"/>
      <c r="D193" s="7" t="s">
        <v>235</v>
      </c>
      <c r="E193" s="7" t="s">
        <v>135</v>
      </c>
      <c r="F193" s="7" t="s">
        <v>135</v>
      </c>
      <c r="G193" s="7" t="s">
        <v>136</v>
      </c>
      <c r="H193" s="7" t="s">
        <v>368</v>
      </c>
      <c r="I193" s="7" t="s">
        <v>356</v>
      </c>
      <c r="J193" s="74">
        <v>42.66</v>
      </c>
      <c r="K193" s="74" t="s">
        <v>371</v>
      </c>
      <c r="L193" s="74">
        <v>42.51</v>
      </c>
      <c r="M193" s="7">
        <v>61</v>
      </c>
      <c r="N193" s="7"/>
      <c r="O193" s="438">
        <f t="shared" si="6"/>
        <v>2593.11</v>
      </c>
      <c r="P193" s="438">
        <v>15</v>
      </c>
      <c r="Q193" s="438">
        <f t="shared" si="7"/>
        <v>181.5177</v>
      </c>
      <c r="R193" s="438">
        <v>600</v>
      </c>
      <c r="S193" s="439">
        <f t="shared" si="8"/>
        <v>1796.5923</v>
      </c>
      <c r="T193" s="7"/>
      <c r="U193" s="456"/>
      <c r="V193" s="7"/>
      <c r="W193" s="417">
        <v>1</v>
      </c>
    </row>
    <row r="194" s="417" customFormat="1" ht="16" customHeight="1" spans="1:23">
      <c r="A194" s="449">
        <v>46181</v>
      </c>
      <c r="B194" s="449">
        <v>46182</v>
      </c>
      <c r="C194" s="7"/>
      <c r="D194" s="7" t="s">
        <v>235</v>
      </c>
      <c r="E194" s="7" t="s">
        <v>174</v>
      </c>
      <c r="F194" s="7" t="s">
        <v>174</v>
      </c>
      <c r="G194" s="7" t="s">
        <v>175</v>
      </c>
      <c r="H194" s="7" t="s">
        <v>368</v>
      </c>
      <c r="I194" s="7" t="s">
        <v>356</v>
      </c>
      <c r="J194" s="74">
        <v>42.4</v>
      </c>
      <c r="K194" s="74" t="s">
        <v>371</v>
      </c>
      <c r="L194" s="74">
        <v>42.22</v>
      </c>
      <c r="M194" s="7">
        <v>61</v>
      </c>
      <c r="N194" s="7"/>
      <c r="O194" s="438">
        <f t="shared" ref="O194:O257" si="9">L194*M194</f>
        <v>2575.42</v>
      </c>
      <c r="P194" s="438">
        <v>15</v>
      </c>
      <c r="Q194" s="438">
        <f t="shared" ref="Q194:Q257" si="10">O194*0.07</f>
        <v>180.2794</v>
      </c>
      <c r="R194" s="438">
        <v>600</v>
      </c>
      <c r="S194" s="439">
        <f t="shared" ref="S194:S257" si="11">O194-P194-R194-Q194</f>
        <v>1780.1406</v>
      </c>
      <c r="T194" s="7"/>
      <c r="U194" s="456"/>
      <c r="V194" s="7"/>
      <c r="W194" s="417">
        <v>1</v>
      </c>
    </row>
    <row r="195" s="417" customFormat="1" ht="16" customHeight="1" spans="1:23">
      <c r="A195" s="449">
        <v>46181</v>
      </c>
      <c r="B195" s="449">
        <v>46182</v>
      </c>
      <c r="C195" s="7"/>
      <c r="D195" s="7" t="s">
        <v>235</v>
      </c>
      <c r="E195" s="7" t="s">
        <v>132</v>
      </c>
      <c r="F195" s="7" t="s">
        <v>132</v>
      </c>
      <c r="G195" s="7" t="s">
        <v>133</v>
      </c>
      <c r="H195" s="7" t="s">
        <v>368</v>
      </c>
      <c r="I195" s="7" t="s">
        <v>356</v>
      </c>
      <c r="J195" s="74">
        <v>43.14</v>
      </c>
      <c r="K195" s="74" t="s">
        <v>371</v>
      </c>
      <c r="L195" s="74">
        <v>42.95</v>
      </c>
      <c r="M195" s="7">
        <v>61</v>
      </c>
      <c r="N195" s="7"/>
      <c r="O195" s="438">
        <f t="shared" si="9"/>
        <v>2619.95</v>
      </c>
      <c r="P195" s="438">
        <v>15</v>
      </c>
      <c r="Q195" s="438">
        <f t="shared" si="10"/>
        <v>183.3965</v>
      </c>
      <c r="R195" s="438">
        <v>600</v>
      </c>
      <c r="S195" s="439">
        <f t="shared" si="11"/>
        <v>1821.5535</v>
      </c>
      <c r="T195" s="7"/>
      <c r="U195" s="456"/>
      <c r="V195" s="7"/>
      <c r="W195" s="417">
        <v>1</v>
      </c>
    </row>
    <row r="196" s="417" customFormat="1" ht="16" customHeight="1" spans="1:23">
      <c r="A196" s="449">
        <v>46180</v>
      </c>
      <c r="B196" s="449">
        <v>46182</v>
      </c>
      <c r="C196" s="7" t="s">
        <v>486</v>
      </c>
      <c r="D196" s="7" t="s">
        <v>235</v>
      </c>
      <c r="E196" s="7" t="s">
        <v>177</v>
      </c>
      <c r="F196" s="7" t="s">
        <v>177</v>
      </c>
      <c r="G196" s="7" t="s">
        <v>178</v>
      </c>
      <c r="H196" s="7" t="s">
        <v>384</v>
      </c>
      <c r="I196" s="7" t="s">
        <v>356</v>
      </c>
      <c r="J196" s="74">
        <v>43.62</v>
      </c>
      <c r="K196" s="74" t="s">
        <v>371</v>
      </c>
      <c r="L196" s="74">
        <v>43.27</v>
      </c>
      <c r="M196" s="7">
        <v>61</v>
      </c>
      <c r="N196" s="7"/>
      <c r="O196" s="438">
        <f t="shared" si="9"/>
        <v>2639.47</v>
      </c>
      <c r="P196" s="438">
        <v>15</v>
      </c>
      <c r="Q196" s="438">
        <f t="shared" si="10"/>
        <v>184.7629</v>
      </c>
      <c r="R196" s="438">
        <v>600</v>
      </c>
      <c r="S196" s="439">
        <f t="shared" si="11"/>
        <v>1839.7071</v>
      </c>
      <c r="T196" s="7"/>
      <c r="U196" s="456"/>
      <c r="V196" s="7"/>
      <c r="W196" s="417">
        <v>1</v>
      </c>
    </row>
    <row r="197" s="417" customFormat="1" ht="16" customHeight="1" spans="1:23">
      <c r="A197" s="449">
        <v>46181</v>
      </c>
      <c r="B197" s="449">
        <v>46182</v>
      </c>
      <c r="C197" s="7"/>
      <c r="D197" s="7" t="s">
        <v>235</v>
      </c>
      <c r="E197" s="7" t="s">
        <v>60</v>
      </c>
      <c r="F197" s="7" t="s">
        <v>60</v>
      </c>
      <c r="G197" s="7" t="s">
        <v>61</v>
      </c>
      <c r="H197" s="7" t="s">
        <v>368</v>
      </c>
      <c r="I197" s="7" t="s">
        <v>356</v>
      </c>
      <c r="J197" s="74">
        <v>42.38</v>
      </c>
      <c r="K197" s="74" t="s">
        <v>371</v>
      </c>
      <c r="L197" s="74">
        <v>42.14</v>
      </c>
      <c r="M197" s="7">
        <v>61</v>
      </c>
      <c r="N197" s="7"/>
      <c r="O197" s="438">
        <f t="shared" si="9"/>
        <v>2570.54</v>
      </c>
      <c r="P197" s="438">
        <v>15</v>
      </c>
      <c r="Q197" s="438">
        <f t="shared" si="10"/>
        <v>179.9378</v>
      </c>
      <c r="R197" s="438">
        <v>600</v>
      </c>
      <c r="S197" s="439">
        <f t="shared" si="11"/>
        <v>1775.6022</v>
      </c>
      <c r="T197" s="7"/>
      <c r="U197" s="456"/>
      <c r="V197" s="7"/>
      <c r="W197" s="417">
        <v>1</v>
      </c>
    </row>
    <row r="198" s="417" customFormat="1" ht="16" customHeight="1" spans="1:23">
      <c r="A198" s="449">
        <v>46181</v>
      </c>
      <c r="B198" s="449">
        <v>46183</v>
      </c>
      <c r="C198" s="7"/>
      <c r="D198" s="7" t="s">
        <v>235</v>
      </c>
      <c r="E198" s="7" t="s">
        <v>127</v>
      </c>
      <c r="F198" s="7" t="s">
        <v>127</v>
      </c>
      <c r="G198" s="7" t="s">
        <v>128</v>
      </c>
      <c r="H198" s="7" t="s">
        <v>368</v>
      </c>
      <c r="I198" s="7" t="s">
        <v>356</v>
      </c>
      <c r="J198" s="74">
        <v>41.76</v>
      </c>
      <c r="K198" s="74" t="s">
        <v>371</v>
      </c>
      <c r="L198" s="74">
        <v>41.56</v>
      </c>
      <c r="M198" s="7">
        <v>61</v>
      </c>
      <c r="N198" s="7"/>
      <c r="O198" s="438">
        <f t="shared" si="9"/>
        <v>2535.16</v>
      </c>
      <c r="P198" s="438">
        <v>15</v>
      </c>
      <c r="Q198" s="438">
        <f t="shared" si="10"/>
        <v>177.4612</v>
      </c>
      <c r="R198" s="438">
        <v>600</v>
      </c>
      <c r="S198" s="439">
        <f t="shared" si="11"/>
        <v>1742.6988</v>
      </c>
      <c r="T198" s="7"/>
      <c r="U198" s="456"/>
      <c r="V198" s="7"/>
      <c r="W198" s="417">
        <v>1</v>
      </c>
    </row>
    <row r="199" s="417" customFormat="1" ht="16" customHeight="1" spans="1:23">
      <c r="A199" s="449">
        <v>46181</v>
      </c>
      <c r="B199" s="449">
        <v>46182</v>
      </c>
      <c r="C199" s="7"/>
      <c r="D199" s="7" t="s">
        <v>235</v>
      </c>
      <c r="E199" s="7" t="s">
        <v>81</v>
      </c>
      <c r="F199" s="7" t="s">
        <v>81</v>
      </c>
      <c r="G199" s="7" t="s">
        <v>82</v>
      </c>
      <c r="H199" s="7" t="s">
        <v>368</v>
      </c>
      <c r="I199" s="7" t="s">
        <v>356</v>
      </c>
      <c r="J199" s="74">
        <v>42.72</v>
      </c>
      <c r="K199" s="74" t="s">
        <v>371</v>
      </c>
      <c r="L199" s="74">
        <v>42.43</v>
      </c>
      <c r="M199" s="7">
        <v>61</v>
      </c>
      <c r="N199" s="7"/>
      <c r="O199" s="438">
        <f t="shared" si="9"/>
        <v>2588.23</v>
      </c>
      <c r="P199" s="438">
        <v>15</v>
      </c>
      <c r="Q199" s="438">
        <f t="shared" si="10"/>
        <v>181.1761</v>
      </c>
      <c r="R199" s="438">
        <v>600</v>
      </c>
      <c r="S199" s="439">
        <f t="shared" si="11"/>
        <v>1792.0539</v>
      </c>
      <c r="T199" s="7"/>
      <c r="U199" s="456"/>
      <c r="V199" s="7"/>
      <c r="W199" s="417">
        <v>1</v>
      </c>
    </row>
    <row r="200" s="417" customFormat="1" ht="16" customHeight="1" spans="1:23">
      <c r="A200" s="449">
        <v>46181</v>
      </c>
      <c r="B200" s="449">
        <v>46182</v>
      </c>
      <c r="C200" s="7"/>
      <c r="D200" s="7" t="s">
        <v>235</v>
      </c>
      <c r="E200" s="7" t="s">
        <v>144</v>
      </c>
      <c r="F200" s="7" t="s">
        <v>144</v>
      </c>
      <c r="G200" s="7" t="s">
        <v>145</v>
      </c>
      <c r="H200" s="7" t="s">
        <v>368</v>
      </c>
      <c r="I200" s="7" t="s">
        <v>356</v>
      </c>
      <c r="J200" s="74">
        <v>43</v>
      </c>
      <c r="K200" s="74" t="s">
        <v>371</v>
      </c>
      <c r="L200" s="74">
        <v>42.74</v>
      </c>
      <c r="M200" s="7">
        <v>61</v>
      </c>
      <c r="N200" s="7"/>
      <c r="O200" s="438">
        <f t="shared" si="9"/>
        <v>2607.14</v>
      </c>
      <c r="P200" s="438">
        <v>15</v>
      </c>
      <c r="Q200" s="438">
        <f t="shared" si="10"/>
        <v>182.4998</v>
      </c>
      <c r="R200" s="438">
        <v>600</v>
      </c>
      <c r="S200" s="439">
        <f t="shared" si="11"/>
        <v>1809.6402</v>
      </c>
      <c r="T200" s="7"/>
      <c r="U200" s="456"/>
      <c r="V200" s="7"/>
      <c r="W200" s="417">
        <v>1</v>
      </c>
    </row>
    <row r="201" s="417" customFormat="1" ht="16" customHeight="1" spans="1:23">
      <c r="A201" s="449">
        <v>46181</v>
      </c>
      <c r="B201" s="449">
        <v>46183</v>
      </c>
      <c r="C201" s="7"/>
      <c r="D201" s="7" t="s">
        <v>235</v>
      </c>
      <c r="E201" s="7" t="s">
        <v>93</v>
      </c>
      <c r="F201" s="7" t="s">
        <v>93</v>
      </c>
      <c r="G201" s="7" t="s">
        <v>94</v>
      </c>
      <c r="H201" s="7" t="s">
        <v>368</v>
      </c>
      <c r="I201" s="7" t="s">
        <v>356</v>
      </c>
      <c r="J201" s="74">
        <v>42.2</v>
      </c>
      <c r="K201" s="74" t="s">
        <v>371</v>
      </c>
      <c r="L201" s="74">
        <v>42.07</v>
      </c>
      <c r="M201" s="7">
        <v>61</v>
      </c>
      <c r="N201" s="7"/>
      <c r="O201" s="438">
        <f t="shared" si="9"/>
        <v>2566.27</v>
      </c>
      <c r="P201" s="438">
        <v>15</v>
      </c>
      <c r="Q201" s="438">
        <f t="shared" si="10"/>
        <v>179.6389</v>
      </c>
      <c r="R201" s="438">
        <v>600</v>
      </c>
      <c r="S201" s="439">
        <f t="shared" si="11"/>
        <v>1771.6311</v>
      </c>
      <c r="T201" s="7"/>
      <c r="U201" s="456"/>
      <c r="V201" s="7"/>
      <c r="W201" s="417">
        <v>1</v>
      </c>
    </row>
    <row r="202" s="417" customFormat="1" ht="16" customHeight="1" spans="1:23">
      <c r="A202" s="449">
        <v>46181</v>
      </c>
      <c r="B202" s="449">
        <v>46183</v>
      </c>
      <c r="C202" s="7" t="s">
        <v>487</v>
      </c>
      <c r="D202" s="7" t="s">
        <v>237</v>
      </c>
      <c r="E202" s="7" t="s">
        <v>151</v>
      </c>
      <c r="F202" s="7" t="s">
        <v>151</v>
      </c>
      <c r="G202" s="7" t="s">
        <v>152</v>
      </c>
      <c r="H202" s="7" t="s">
        <v>354</v>
      </c>
      <c r="I202" s="7" t="s">
        <v>407</v>
      </c>
      <c r="J202" s="74">
        <v>41.58</v>
      </c>
      <c r="K202" s="74" t="s">
        <v>356</v>
      </c>
      <c r="L202" s="74">
        <v>41.54</v>
      </c>
      <c r="M202" s="7">
        <v>87</v>
      </c>
      <c r="N202" s="7"/>
      <c r="O202" s="438">
        <f t="shared" si="9"/>
        <v>3613.98</v>
      </c>
      <c r="P202" s="438">
        <v>15</v>
      </c>
      <c r="Q202" s="438">
        <f t="shared" si="10"/>
        <v>252.9786</v>
      </c>
      <c r="R202" s="438">
        <v>800</v>
      </c>
      <c r="S202" s="439">
        <f t="shared" si="11"/>
        <v>2546.0014</v>
      </c>
      <c r="T202" s="7"/>
      <c r="U202" s="456"/>
      <c r="V202" s="7"/>
      <c r="W202" s="417">
        <v>1</v>
      </c>
    </row>
    <row r="203" s="417" customFormat="1" ht="16" customHeight="1" spans="1:23">
      <c r="A203" s="449">
        <v>46182</v>
      </c>
      <c r="B203" s="449">
        <v>46184</v>
      </c>
      <c r="C203" s="7" t="s">
        <v>488</v>
      </c>
      <c r="D203" s="7" t="s">
        <v>237</v>
      </c>
      <c r="E203" s="7" t="s">
        <v>117</v>
      </c>
      <c r="F203" s="7" t="s">
        <v>117</v>
      </c>
      <c r="G203" s="7" t="s">
        <v>118</v>
      </c>
      <c r="H203" s="7" t="s">
        <v>354</v>
      </c>
      <c r="I203" s="7" t="s">
        <v>407</v>
      </c>
      <c r="J203" s="74">
        <v>40.16</v>
      </c>
      <c r="K203" s="74" t="s">
        <v>356</v>
      </c>
      <c r="L203" s="74">
        <v>40.16</v>
      </c>
      <c r="M203" s="7">
        <v>87</v>
      </c>
      <c r="N203" s="7"/>
      <c r="O203" s="438">
        <f t="shared" si="9"/>
        <v>3493.92</v>
      </c>
      <c r="P203" s="438">
        <v>15</v>
      </c>
      <c r="Q203" s="438">
        <f t="shared" si="10"/>
        <v>244.5744</v>
      </c>
      <c r="R203" s="438">
        <v>800</v>
      </c>
      <c r="S203" s="439">
        <f t="shared" si="11"/>
        <v>2434.3456</v>
      </c>
      <c r="T203" s="7"/>
      <c r="U203" s="456"/>
      <c r="V203" s="7"/>
      <c r="W203" s="417">
        <v>1</v>
      </c>
    </row>
    <row r="204" s="417" customFormat="1" ht="16" customHeight="1" spans="1:23">
      <c r="A204" s="449">
        <v>46182</v>
      </c>
      <c r="B204" s="449">
        <v>46184</v>
      </c>
      <c r="C204" s="7" t="s">
        <v>489</v>
      </c>
      <c r="D204" s="7" t="s">
        <v>237</v>
      </c>
      <c r="E204" s="7" t="s">
        <v>177</v>
      </c>
      <c r="F204" s="7" t="s">
        <v>177</v>
      </c>
      <c r="G204" s="7" t="s">
        <v>178</v>
      </c>
      <c r="H204" s="7" t="s">
        <v>354</v>
      </c>
      <c r="I204" s="7" t="s">
        <v>407</v>
      </c>
      <c r="J204" s="74">
        <v>44.42</v>
      </c>
      <c r="K204" s="74" t="s">
        <v>356</v>
      </c>
      <c r="L204" s="74">
        <v>44.42</v>
      </c>
      <c r="M204" s="7">
        <v>87</v>
      </c>
      <c r="N204" s="7"/>
      <c r="O204" s="438">
        <f t="shared" si="9"/>
        <v>3864.54</v>
      </c>
      <c r="P204" s="438">
        <v>15</v>
      </c>
      <c r="Q204" s="438">
        <f t="shared" si="10"/>
        <v>270.5178</v>
      </c>
      <c r="R204" s="438">
        <v>800</v>
      </c>
      <c r="S204" s="439">
        <f t="shared" si="11"/>
        <v>2779.0222</v>
      </c>
      <c r="T204" s="7"/>
      <c r="U204" s="456"/>
      <c r="V204" s="7"/>
      <c r="W204" s="417">
        <v>1</v>
      </c>
    </row>
    <row r="205" s="417" customFormat="1" ht="16" customHeight="1" spans="1:23">
      <c r="A205" s="449">
        <v>46181</v>
      </c>
      <c r="B205" s="449">
        <v>46183</v>
      </c>
      <c r="C205" s="442" t="s">
        <v>490</v>
      </c>
      <c r="D205" s="7" t="s">
        <v>233</v>
      </c>
      <c r="E205" s="7" t="s">
        <v>57</v>
      </c>
      <c r="F205" s="7" t="s">
        <v>57</v>
      </c>
      <c r="G205" s="7" t="s">
        <v>58</v>
      </c>
      <c r="H205" s="7" t="s">
        <v>354</v>
      </c>
      <c r="I205" s="7" t="s">
        <v>355</v>
      </c>
      <c r="J205" s="74">
        <v>39.76</v>
      </c>
      <c r="K205" s="74" t="s">
        <v>356</v>
      </c>
      <c r="L205" s="74">
        <v>39.76</v>
      </c>
      <c r="M205" s="7">
        <v>67</v>
      </c>
      <c r="N205" s="7"/>
      <c r="O205" s="438">
        <f t="shared" si="9"/>
        <v>2663.92</v>
      </c>
      <c r="P205" s="438">
        <v>15</v>
      </c>
      <c r="Q205" s="438">
        <f t="shared" si="10"/>
        <v>186.4744</v>
      </c>
      <c r="R205" s="438">
        <v>600</v>
      </c>
      <c r="S205" s="439">
        <f t="shared" si="11"/>
        <v>1862.4456</v>
      </c>
      <c r="T205" s="7"/>
      <c r="U205" s="456"/>
      <c r="V205" s="7"/>
      <c r="W205" s="417">
        <v>1</v>
      </c>
    </row>
    <row r="206" s="417" customFormat="1" ht="16" customHeight="1" spans="1:23">
      <c r="A206" s="449">
        <v>46181</v>
      </c>
      <c r="B206" s="449">
        <v>46182</v>
      </c>
      <c r="C206" s="442" t="s">
        <v>491</v>
      </c>
      <c r="D206" s="7" t="s">
        <v>233</v>
      </c>
      <c r="E206" s="7" t="s">
        <v>111</v>
      </c>
      <c r="F206" s="7" t="s">
        <v>111</v>
      </c>
      <c r="G206" s="7" t="s">
        <v>112</v>
      </c>
      <c r="H206" s="7" t="s">
        <v>354</v>
      </c>
      <c r="I206" s="7" t="s">
        <v>355</v>
      </c>
      <c r="J206" s="74">
        <v>39.54</v>
      </c>
      <c r="K206" s="74" t="s">
        <v>356</v>
      </c>
      <c r="L206" s="74">
        <v>39.54</v>
      </c>
      <c r="M206" s="7">
        <v>67</v>
      </c>
      <c r="N206" s="7"/>
      <c r="O206" s="438">
        <f t="shared" si="9"/>
        <v>2649.18</v>
      </c>
      <c r="P206" s="438">
        <v>15</v>
      </c>
      <c r="Q206" s="438">
        <f t="shared" si="10"/>
        <v>185.4426</v>
      </c>
      <c r="R206" s="438">
        <v>600</v>
      </c>
      <c r="S206" s="439">
        <f t="shared" si="11"/>
        <v>1848.7374</v>
      </c>
      <c r="T206" s="7"/>
      <c r="U206" s="456"/>
      <c r="V206" s="7"/>
      <c r="W206" s="417">
        <v>1</v>
      </c>
    </row>
    <row r="207" s="417" customFormat="1" ht="16" customHeight="1" spans="1:23">
      <c r="A207" s="449">
        <v>46182</v>
      </c>
      <c r="B207" s="449">
        <v>46182</v>
      </c>
      <c r="C207" s="442" t="s">
        <v>492</v>
      </c>
      <c r="D207" s="7" t="s">
        <v>233</v>
      </c>
      <c r="E207" s="7" t="s">
        <v>96</v>
      </c>
      <c r="F207" s="7" t="s">
        <v>96</v>
      </c>
      <c r="G207" s="7" t="s">
        <v>97</v>
      </c>
      <c r="H207" s="7" t="s">
        <v>354</v>
      </c>
      <c r="I207" s="7" t="s">
        <v>355</v>
      </c>
      <c r="J207" s="74">
        <v>39.48</v>
      </c>
      <c r="K207" s="74" t="s">
        <v>356</v>
      </c>
      <c r="L207" s="74">
        <v>39.46</v>
      </c>
      <c r="M207" s="7">
        <v>67</v>
      </c>
      <c r="N207" s="7"/>
      <c r="O207" s="438">
        <f t="shared" si="9"/>
        <v>2643.82</v>
      </c>
      <c r="P207" s="438">
        <v>15</v>
      </c>
      <c r="Q207" s="438">
        <f t="shared" si="10"/>
        <v>185.0674</v>
      </c>
      <c r="R207" s="438">
        <v>600</v>
      </c>
      <c r="S207" s="439">
        <f t="shared" si="11"/>
        <v>1843.7526</v>
      </c>
      <c r="T207" s="7"/>
      <c r="U207" s="456"/>
      <c r="V207" s="7"/>
      <c r="W207" s="417">
        <v>1</v>
      </c>
    </row>
    <row r="208" s="417" customFormat="1" ht="16" customHeight="1" spans="1:23">
      <c r="A208" s="449">
        <v>46181</v>
      </c>
      <c r="B208" s="449">
        <v>46183</v>
      </c>
      <c r="C208" s="442" t="s">
        <v>493</v>
      </c>
      <c r="D208" s="7" t="s">
        <v>233</v>
      </c>
      <c r="E208" s="7" t="s">
        <v>105</v>
      </c>
      <c r="F208" s="7" t="s">
        <v>105</v>
      </c>
      <c r="G208" s="7" t="s">
        <v>106</v>
      </c>
      <c r="H208" s="7" t="s">
        <v>354</v>
      </c>
      <c r="I208" s="7" t="s">
        <v>355</v>
      </c>
      <c r="J208" s="74">
        <v>39.68</v>
      </c>
      <c r="K208" s="74" t="s">
        <v>356</v>
      </c>
      <c r="L208" s="74">
        <v>39.68</v>
      </c>
      <c r="M208" s="7">
        <v>67</v>
      </c>
      <c r="N208" s="7"/>
      <c r="O208" s="438">
        <f t="shared" si="9"/>
        <v>2658.56</v>
      </c>
      <c r="P208" s="438">
        <v>15</v>
      </c>
      <c r="Q208" s="438">
        <f t="shared" si="10"/>
        <v>186.0992</v>
      </c>
      <c r="R208" s="438">
        <v>600</v>
      </c>
      <c r="S208" s="439">
        <f t="shared" si="11"/>
        <v>1857.4608</v>
      </c>
      <c r="T208" s="7"/>
      <c r="U208" s="456"/>
      <c r="V208" s="7"/>
      <c r="W208" s="417">
        <v>1</v>
      </c>
    </row>
    <row r="209" s="417" customFormat="1" ht="16" customHeight="1" spans="1:23">
      <c r="A209" s="449">
        <v>46182</v>
      </c>
      <c r="B209" s="449">
        <v>46183</v>
      </c>
      <c r="C209" s="442" t="s">
        <v>494</v>
      </c>
      <c r="D209" s="7" t="s">
        <v>233</v>
      </c>
      <c r="E209" s="7" t="s">
        <v>102</v>
      </c>
      <c r="F209" s="7" t="s">
        <v>102</v>
      </c>
      <c r="G209" s="7" t="s">
        <v>103</v>
      </c>
      <c r="H209" s="7" t="s">
        <v>354</v>
      </c>
      <c r="I209" s="7" t="s">
        <v>355</v>
      </c>
      <c r="J209" s="74">
        <v>41.12</v>
      </c>
      <c r="K209" s="74" t="s">
        <v>356</v>
      </c>
      <c r="L209" s="74">
        <v>41.1</v>
      </c>
      <c r="M209" s="7">
        <v>67</v>
      </c>
      <c r="N209" s="7"/>
      <c r="O209" s="438">
        <f t="shared" si="9"/>
        <v>2753.7</v>
      </c>
      <c r="P209" s="438">
        <v>15</v>
      </c>
      <c r="Q209" s="438">
        <f t="shared" si="10"/>
        <v>192.759</v>
      </c>
      <c r="R209" s="438">
        <v>600</v>
      </c>
      <c r="S209" s="439">
        <f t="shared" si="11"/>
        <v>1945.941</v>
      </c>
      <c r="T209" s="7"/>
      <c r="U209" s="456"/>
      <c r="V209" s="7"/>
      <c r="W209" s="417">
        <v>1</v>
      </c>
    </row>
    <row r="210" s="417" customFormat="1" ht="16" customHeight="1" spans="1:23">
      <c r="A210" s="449">
        <v>46182</v>
      </c>
      <c r="B210" s="449">
        <v>46183</v>
      </c>
      <c r="C210" s="442" t="s">
        <v>495</v>
      </c>
      <c r="D210" s="7" t="s">
        <v>233</v>
      </c>
      <c r="E210" s="7" t="s">
        <v>135</v>
      </c>
      <c r="F210" s="7" t="s">
        <v>135</v>
      </c>
      <c r="G210" s="7" t="s">
        <v>136</v>
      </c>
      <c r="H210" s="7" t="s">
        <v>354</v>
      </c>
      <c r="I210" s="7" t="s">
        <v>355</v>
      </c>
      <c r="J210" s="74">
        <v>42.56</v>
      </c>
      <c r="K210" s="74" t="s">
        <v>356</v>
      </c>
      <c r="L210" s="74">
        <v>42.5</v>
      </c>
      <c r="M210" s="7">
        <v>67</v>
      </c>
      <c r="N210" s="7"/>
      <c r="O210" s="438">
        <f t="shared" si="9"/>
        <v>2847.5</v>
      </c>
      <c r="P210" s="438">
        <v>15</v>
      </c>
      <c r="Q210" s="438">
        <f t="shared" si="10"/>
        <v>199.325</v>
      </c>
      <c r="R210" s="438">
        <v>600</v>
      </c>
      <c r="S210" s="439">
        <f t="shared" si="11"/>
        <v>2033.175</v>
      </c>
      <c r="T210" s="7"/>
      <c r="U210" s="456"/>
      <c r="V210" s="7"/>
      <c r="W210" s="417">
        <v>1</v>
      </c>
    </row>
    <row r="211" s="417" customFormat="1" ht="16" customHeight="1" spans="1:23">
      <c r="A211" s="449">
        <v>46182</v>
      </c>
      <c r="B211" s="449">
        <v>46183</v>
      </c>
      <c r="C211" s="442" t="s">
        <v>496</v>
      </c>
      <c r="D211" s="7" t="s">
        <v>233</v>
      </c>
      <c r="E211" s="7" t="s">
        <v>63</v>
      </c>
      <c r="F211" s="7" t="s">
        <v>63</v>
      </c>
      <c r="G211" s="7" t="s">
        <v>327</v>
      </c>
      <c r="H211" s="7" t="s">
        <v>354</v>
      </c>
      <c r="I211" s="7" t="s">
        <v>355</v>
      </c>
      <c r="J211" s="74">
        <v>38.76</v>
      </c>
      <c r="K211" s="74" t="s">
        <v>356</v>
      </c>
      <c r="L211" s="74">
        <v>38.76</v>
      </c>
      <c r="M211" s="7">
        <v>67</v>
      </c>
      <c r="N211" s="7"/>
      <c r="O211" s="438">
        <f t="shared" si="9"/>
        <v>2596.92</v>
      </c>
      <c r="P211" s="438">
        <v>15</v>
      </c>
      <c r="Q211" s="438">
        <f t="shared" si="10"/>
        <v>181.7844</v>
      </c>
      <c r="R211" s="438">
        <v>600</v>
      </c>
      <c r="S211" s="439">
        <f t="shared" si="11"/>
        <v>1800.1356</v>
      </c>
      <c r="T211" s="7"/>
      <c r="U211" s="456"/>
      <c r="V211" s="7"/>
      <c r="W211" s="417">
        <v>1</v>
      </c>
    </row>
    <row r="212" s="417" customFormat="1" ht="16" customHeight="1" spans="1:23">
      <c r="A212" s="449">
        <v>46182</v>
      </c>
      <c r="B212" s="449">
        <v>46183</v>
      </c>
      <c r="C212" s="442" t="s">
        <v>497</v>
      </c>
      <c r="D212" s="7" t="s">
        <v>233</v>
      </c>
      <c r="E212" s="7" t="s">
        <v>132</v>
      </c>
      <c r="F212" s="7" t="s">
        <v>132</v>
      </c>
      <c r="G212" s="7" t="s">
        <v>133</v>
      </c>
      <c r="H212" s="7" t="s">
        <v>354</v>
      </c>
      <c r="I212" s="7" t="s">
        <v>355</v>
      </c>
      <c r="J212" s="74">
        <v>40.62</v>
      </c>
      <c r="K212" s="74" t="s">
        <v>356</v>
      </c>
      <c r="L212" s="74">
        <v>40.6</v>
      </c>
      <c r="M212" s="7">
        <v>67</v>
      </c>
      <c r="N212" s="7"/>
      <c r="O212" s="438">
        <f t="shared" si="9"/>
        <v>2720.2</v>
      </c>
      <c r="P212" s="438">
        <v>15</v>
      </c>
      <c r="Q212" s="438">
        <f t="shared" si="10"/>
        <v>190.414</v>
      </c>
      <c r="R212" s="438">
        <v>600</v>
      </c>
      <c r="S212" s="439">
        <f t="shared" si="11"/>
        <v>1914.786</v>
      </c>
      <c r="T212" s="7"/>
      <c r="U212" s="456"/>
      <c r="V212" s="7"/>
      <c r="W212" s="417">
        <v>1</v>
      </c>
    </row>
    <row r="213" s="417" customFormat="1" ht="16" customHeight="1" spans="1:23">
      <c r="A213" s="449">
        <v>46182</v>
      </c>
      <c r="B213" s="449">
        <v>46183</v>
      </c>
      <c r="C213" s="442" t="s">
        <v>498</v>
      </c>
      <c r="D213" s="7" t="s">
        <v>233</v>
      </c>
      <c r="E213" s="7" t="s">
        <v>144</v>
      </c>
      <c r="F213" s="7" t="s">
        <v>144</v>
      </c>
      <c r="G213" s="7" t="s">
        <v>145</v>
      </c>
      <c r="H213" s="7" t="s">
        <v>354</v>
      </c>
      <c r="I213" s="7" t="s">
        <v>355</v>
      </c>
      <c r="J213" s="74">
        <v>43.14</v>
      </c>
      <c r="K213" s="74" t="s">
        <v>356</v>
      </c>
      <c r="L213" s="74">
        <v>43.12</v>
      </c>
      <c r="M213" s="7">
        <v>67</v>
      </c>
      <c r="N213" s="7"/>
      <c r="O213" s="438">
        <f t="shared" si="9"/>
        <v>2889.04</v>
      </c>
      <c r="P213" s="438">
        <v>15</v>
      </c>
      <c r="Q213" s="438">
        <f t="shared" si="10"/>
        <v>202.2328</v>
      </c>
      <c r="R213" s="438">
        <v>600</v>
      </c>
      <c r="S213" s="439">
        <f t="shared" si="11"/>
        <v>2071.8072</v>
      </c>
      <c r="T213" s="7"/>
      <c r="U213" s="7"/>
      <c r="V213" s="7"/>
      <c r="W213" s="417">
        <v>1</v>
      </c>
    </row>
    <row r="214" s="417" customFormat="1" ht="16" customHeight="1" spans="1:23">
      <c r="A214" s="449">
        <v>46182</v>
      </c>
      <c r="B214" s="449">
        <v>46183</v>
      </c>
      <c r="C214" s="442" t="s">
        <v>499</v>
      </c>
      <c r="D214" s="7" t="s">
        <v>233</v>
      </c>
      <c r="E214" s="7" t="s">
        <v>141</v>
      </c>
      <c r="F214" s="7" t="s">
        <v>141</v>
      </c>
      <c r="G214" s="7" t="s">
        <v>142</v>
      </c>
      <c r="H214" s="7" t="s">
        <v>354</v>
      </c>
      <c r="I214" s="7" t="s">
        <v>355</v>
      </c>
      <c r="J214" s="74">
        <v>43.34</v>
      </c>
      <c r="K214" s="74" t="s">
        <v>356</v>
      </c>
      <c r="L214" s="74">
        <v>43.34</v>
      </c>
      <c r="M214" s="7">
        <v>67</v>
      </c>
      <c r="N214" s="7"/>
      <c r="O214" s="438">
        <f t="shared" si="9"/>
        <v>2903.78</v>
      </c>
      <c r="P214" s="438">
        <v>15</v>
      </c>
      <c r="Q214" s="438">
        <f t="shared" si="10"/>
        <v>203.2646</v>
      </c>
      <c r="R214" s="438">
        <v>600</v>
      </c>
      <c r="S214" s="439">
        <f t="shared" si="11"/>
        <v>2085.5154</v>
      </c>
      <c r="T214" s="7"/>
      <c r="U214" s="7"/>
      <c r="V214" s="7"/>
      <c r="W214" s="417">
        <v>1</v>
      </c>
    </row>
    <row r="215" s="417" customFormat="1" ht="16" customHeight="1" spans="1:23">
      <c r="A215" s="449">
        <v>46182</v>
      </c>
      <c r="B215" s="449">
        <v>46183</v>
      </c>
      <c r="C215" s="442" t="s">
        <v>500</v>
      </c>
      <c r="D215" s="7" t="s">
        <v>233</v>
      </c>
      <c r="E215" s="7" t="s">
        <v>81</v>
      </c>
      <c r="F215" s="7" t="s">
        <v>81</v>
      </c>
      <c r="G215" s="7" t="s">
        <v>82</v>
      </c>
      <c r="H215" s="7" t="s">
        <v>354</v>
      </c>
      <c r="I215" s="7" t="s">
        <v>355</v>
      </c>
      <c r="J215" s="74">
        <v>40.82</v>
      </c>
      <c r="K215" s="74" t="s">
        <v>356</v>
      </c>
      <c r="L215" s="74">
        <v>40.8</v>
      </c>
      <c r="M215" s="7">
        <v>67</v>
      </c>
      <c r="N215" s="7"/>
      <c r="O215" s="438">
        <f t="shared" si="9"/>
        <v>2733.6</v>
      </c>
      <c r="P215" s="438">
        <v>15</v>
      </c>
      <c r="Q215" s="438">
        <f t="shared" si="10"/>
        <v>191.352</v>
      </c>
      <c r="R215" s="438">
        <v>600</v>
      </c>
      <c r="S215" s="439">
        <f t="shared" si="11"/>
        <v>1927.248</v>
      </c>
      <c r="T215" s="7"/>
      <c r="U215" s="7"/>
      <c r="V215" s="7"/>
      <c r="W215" s="417">
        <v>1</v>
      </c>
    </row>
    <row r="216" s="417" customFormat="1" ht="16" customHeight="1" spans="1:23">
      <c r="A216" s="449">
        <v>46182</v>
      </c>
      <c r="B216" s="449">
        <v>46183</v>
      </c>
      <c r="C216" s="7"/>
      <c r="D216" s="7" t="s">
        <v>235</v>
      </c>
      <c r="E216" s="7" t="s">
        <v>54</v>
      </c>
      <c r="F216" s="7" t="s">
        <v>54</v>
      </c>
      <c r="G216" s="7" t="s">
        <v>55</v>
      </c>
      <c r="H216" s="7" t="s">
        <v>368</v>
      </c>
      <c r="I216" s="7" t="s">
        <v>356</v>
      </c>
      <c r="J216" s="74">
        <v>43.44</v>
      </c>
      <c r="K216" s="74" t="s">
        <v>371</v>
      </c>
      <c r="L216" s="74">
        <v>43.21</v>
      </c>
      <c r="M216" s="7">
        <v>61</v>
      </c>
      <c r="N216" s="7"/>
      <c r="O216" s="438">
        <f t="shared" si="9"/>
        <v>2635.81</v>
      </c>
      <c r="P216" s="438">
        <v>15</v>
      </c>
      <c r="Q216" s="438">
        <f t="shared" si="10"/>
        <v>184.5067</v>
      </c>
      <c r="R216" s="438">
        <v>600</v>
      </c>
      <c r="S216" s="439">
        <f t="shared" si="11"/>
        <v>1836.3033</v>
      </c>
      <c r="T216" s="7"/>
      <c r="U216" s="7"/>
      <c r="V216" s="7"/>
      <c r="W216" s="417">
        <v>1</v>
      </c>
    </row>
    <row r="217" s="417" customFormat="1" ht="16" customHeight="1" spans="1:23">
      <c r="A217" s="449">
        <v>46182</v>
      </c>
      <c r="B217" s="449">
        <v>46183</v>
      </c>
      <c r="C217" s="7"/>
      <c r="D217" s="7" t="s">
        <v>235</v>
      </c>
      <c r="E217" s="7" t="s">
        <v>66</v>
      </c>
      <c r="F217" s="7" t="s">
        <v>66</v>
      </c>
      <c r="G217" s="7" t="s">
        <v>67</v>
      </c>
      <c r="H217" s="7" t="s">
        <v>368</v>
      </c>
      <c r="I217" s="7" t="s">
        <v>356</v>
      </c>
      <c r="J217" s="74">
        <v>42.86</v>
      </c>
      <c r="K217" s="74" t="s">
        <v>371</v>
      </c>
      <c r="L217" s="74">
        <v>42.59</v>
      </c>
      <c r="M217" s="7">
        <v>61</v>
      </c>
      <c r="N217" s="7"/>
      <c r="O217" s="438">
        <f t="shared" si="9"/>
        <v>2597.99</v>
      </c>
      <c r="P217" s="438">
        <v>15</v>
      </c>
      <c r="Q217" s="438">
        <f t="shared" si="10"/>
        <v>181.8593</v>
      </c>
      <c r="R217" s="438">
        <v>600</v>
      </c>
      <c r="S217" s="439">
        <f t="shared" si="11"/>
        <v>1801.1307</v>
      </c>
      <c r="T217" s="7"/>
      <c r="U217" s="7"/>
      <c r="V217" s="7"/>
      <c r="W217" s="417">
        <v>1</v>
      </c>
    </row>
    <row r="218" s="417" customFormat="1" ht="16" customHeight="1" spans="1:23">
      <c r="A218" s="449">
        <v>46182</v>
      </c>
      <c r="B218" s="449">
        <v>46183</v>
      </c>
      <c r="C218" s="7"/>
      <c r="D218" s="7" t="s">
        <v>235</v>
      </c>
      <c r="E218" s="7" t="s">
        <v>72</v>
      </c>
      <c r="F218" s="7" t="s">
        <v>72</v>
      </c>
      <c r="G218" s="7" t="s">
        <v>73</v>
      </c>
      <c r="H218" s="7" t="s">
        <v>368</v>
      </c>
      <c r="I218" s="7" t="s">
        <v>356</v>
      </c>
      <c r="J218" s="74">
        <v>43.2</v>
      </c>
      <c r="K218" s="74" t="s">
        <v>371</v>
      </c>
      <c r="L218" s="74">
        <v>43.07</v>
      </c>
      <c r="M218" s="7">
        <v>61</v>
      </c>
      <c r="N218" s="7"/>
      <c r="O218" s="438">
        <f t="shared" si="9"/>
        <v>2627.27</v>
      </c>
      <c r="P218" s="438">
        <v>15</v>
      </c>
      <c r="Q218" s="438">
        <f t="shared" si="10"/>
        <v>183.9089</v>
      </c>
      <c r="R218" s="438">
        <v>600</v>
      </c>
      <c r="S218" s="439">
        <f t="shared" si="11"/>
        <v>1828.3611</v>
      </c>
      <c r="T218" s="7"/>
      <c r="U218" s="7"/>
      <c r="V218" s="7"/>
      <c r="W218" s="417">
        <v>1</v>
      </c>
    </row>
    <row r="219" s="417" customFormat="1" ht="16" customHeight="1" spans="1:23">
      <c r="A219" s="449">
        <v>46182</v>
      </c>
      <c r="B219" s="449">
        <v>46183</v>
      </c>
      <c r="C219" s="7"/>
      <c r="D219" s="7" t="s">
        <v>235</v>
      </c>
      <c r="E219" s="7" t="s">
        <v>51</v>
      </c>
      <c r="F219" s="7" t="s">
        <v>51</v>
      </c>
      <c r="G219" s="7" t="s">
        <v>52</v>
      </c>
      <c r="H219" s="7" t="s">
        <v>368</v>
      </c>
      <c r="I219" s="7" t="s">
        <v>356</v>
      </c>
      <c r="J219" s="74">
        <v>44.08</v>
      </c>
      <c r="K219" s="74" t="s">
        <v>371</v>
      </c>
      <c r="L219" s="74">
        <v>43.63</v>
      </c>
      <c r="M219" s="7">
        <v>61</v>
      </c>
      <c r="N219" s="7"/>
      <c r="O219" s="438">
        <f t="shared" si="9"/>
        <v>2661.43</v>
      </c>
      <c r="P219" s="438">
        <v>15</v>
      </c>
      <c r="Q219" s="438">
        <f t="shared" si="10"/>
        <v>186.3001</v>
      </c>
      <c r="R219" s="438">
        <v>600</v>
      </c>
      <c r="S219" s="439">
        <f t="shared" si="11"/>
        <v>1860.1299</v>
      </c>
      <c r="T219" s="7"/>
      <c r="U219" s="7"/>
      <c r="V219" s="7"/>
      <c r="W219" s="417">
        <v>1</v>
      </c>
    </row>
    <row r="220" s="417" customFormat="1" ht="16" customHeight="1" spans="1:23">
      <c r="A220" s="449">
        <v>46182</v>
      </c>
      <c r="B220" s="449">
        <v>46182</v>
      </c>
      <c r="C220" s="7"/>
      <c r="D220" s="7" t="s">
        <v>235</v>
      </c>
      <c r="E220" s="7" t="s">
        <v>172</v>
      </c>
      <c r="F220" s="7" t="s">
        <v>172</v>
      </c>
      <c r="G220" s="7" t="s">
        <v>122</v>
      </c>
      <c r="H220" s="7" t="s">
        <v>368</v>
      </c>
      <c r="I220" s="7" t="s">
        <v>356</v>
      </c>
      <c r="J220" s="74">
        <v>42</v>
      </c>
      <c r="K220" s="74" t="s">
        <v>369</v>
      </c>
      <c r="L220" s="74">
        <v>41.76</v>
      </c>
      <c r="M220" s="442">
        <v>48</v>
      </c>
      <c r="N220" s="7"/>
      <c r="O220" s="438">
        <f t="shared" si="9"/>
        <v>2004.48</v>
      </c>
      <c r="P220" s="438">
        <v>15</v>
      </c>
      <c r="Q220" s="438">
        <f t="shared" si="10"/>
        <v>140.3136</v>
      </c>
      <c r="R220" s="438">
        <v>600</v>
      </c>
      <c r="S220" s="439">
        <f t="shared" si="11"/>
        <v>1249.1664</v>
      </c>
      <c r="T220" s="7"/>
      <c r="U220" s="7"/>
      <c r="V220" s="7"/>
      <c r="W220" s="417">
        <v>1</v>
      </c>
    </row>
    <row r="221" s="417" customFormat="1" ht="16" customHeight="1" spans="1:23">
      <c r="A221" s="449">
        <v>46182</v>
      </c>
      <c r="B221" s="449">
        <v>46183</v>
      </c>
      <c r="C221" s="7"/>
      <c r="D221" s="7" t="s">
        <v>235</v>
      </c>
      <c r="E221" s="7" t="s">
        <v>99</v>
      </c>
      <c r="F221" s="7" t="s">
        <v>99</v>
      </c>
      <c r="G221" s="7" t="s">
        <v>100</v>
      </c>
      <c r="H221" s="7" t="s">
        <v>368</v>
      </c>
      <c r="I221" s="7" t="s">
        <v>356</v>
      </c>
      <c r="J221" s="74">
        <v>42.3</v>
      </c>
      <c r="K221" s="74" t="s">
        <v>369</v>
      </c>
      <c r="L221" s="74">
        <v>42.1</v>
      </c>
      <c r="M221" s="457">
        <v>48</v>
      </c>
      <c r="N221" s="7"/>
      <c r="O221" s="438">
        <f t="shared" si="9"/>
        <v>2020.8</v>
      </c>
      <c r="P221" s="438">
        <v>15</v>
      </c>
      <c r="Q221" s="438">
        <f t="shared" si="10"/>
        <v>141.456</v>
      </c>
      <c r="R221" s="438">
        <v>600</v>
      </c>
      <c r="S221" s="439">
        <f t="shared" si="11"/>
        <v>1264.344</v>
      </c>
      <c r="T221" s="7"/>
      <c r="U221" s="7"/>
      <c r="V221" s="7"/>
      <c r="W221" s="417">
        <v>1</v>
      </c>
    </row>
    <row r="222" s="417" customFormat="1" ht="16" customHeight="1" spans="1:23">
      <c r="A222" s="449">
        <v>46182</v>
      </c>
      <c r="B222" s="449">
        <v>46183</v>
      </c>
      <c r="C222" s="7"/>
      <c r="D222" s="7" t="s">
        <v>235</v>
      </c>
      <c r="E222" s="7" t="s">
        <v>114</v>
      </c>
      <c r="F222" s="7" t="s">
        <v>114</v>
      </c>
      <c r="G222" s="7" t="s">
        <v>115</v>
      </c>
      <c r="H222" s="7" t="s">
        <v>368</v>
      </c>
      <c r="I222" s="7" t="s">
        <v>356</v>
      </c>
      <c r="J222" s="74">
        <v>42.1</v>
      </c>
      <c r="K222" s="74" t="s">
        <v>371</v>
      </c>
      <c r="L222" s="74">
        <v>41.96</v>
      </c>
      <c r="M222" s="7">
        <v>61</v>
      </c>
      <c r="N222" s="7"/>
      <c r="O222" s="438">
        <f t="shared" si="9"/>
        <v>2559.56</v>
      </c>
      <c r="P222" s="438">
        <v>15</v>
      </c>
      <c r="Q222" s="438">
        <f t="shared" si="10"/>
        <v>179.1692</v>
      </c>
      <c r="R222" s="438">
        <v>600</v>
      </c>
      <c r="S222" s="439">
        <f t="shared" si="11"/>
        <v>1765.3908</v>
      </c>
      <c r="T222" s="7"/>
      <c r="U222" s="7"/>
      <c r="V222" s="7"/>
      <c r="W222" s="417">
        <v>1</v>
      </c>
    </row>
    <row r="223" s="417" customFormat="1" ht="16" customHeight="1" spans="1:23">
      <c r="A223" s="449">
        <v>46182</v>
      </c>
      <c r="B223" s="449">
        <v>46183</v>
      </c>
      <c r="C223" s="7"/>
      <c r="D223" s="7" t="s">
        <v>235</v>
      </c>
      <c r="E223" s="7" t="s">
        <v>78</v>
      </c>
      <c r="F223" s="7" t="s">
        <v>78</v>
      </c>
      <c r="G223" s="7" t="s">
        <v>79</v>
      </c>
      <c r="H223" s="7" t="s">
        <v>368</v>
      </c>
      <c r="I223" s="7" t="s">
        <v>356</v>
      </c>
      <c r="J223" s="74">
        <v>40.98</v>
      </c>
      <c r="K223" s="74" t="s">
        <v>371</v>
      </c>
      <c r="L223" s="74">
        <v>40.83</v>
      </c>
      <c r="M223" s="7">
        <v>61</v>
      </c>
      <c r="N223" s="7"/>
      <c r="O223" s="438">
        <f t="shared" si="9"/>
        <v>2490.63</v>
      </c>
      <c r="P223" s="438">
        <v>15</v>
      </c>
      <c r="Q223" s="438">
        <f t="shared" si="10"/>
        <v>174.3441</v>
      </c>
      <c r="R223" s="438">
        <v>600</v>
      </c>
      <c r="S223" s="439">
        <f t="shared" si="11"/>
        <v>1701.2859</v>
      </c>
      <c r="T223" s="7"/>
      <c r="U223" s="7"/>
      <c r="V223" s="7"/>
      <c r="W223" s="417">
        <v>1</v>
      </c>
    </row>
    <row r="224" s="417" customFormat="1" ht="16" customHeight="1" spans="1:23">
      <c r="A224" s="449">
        <v>46182</v>
      </c>
      <c r="B224" s="449">
        <v>46184</v>
      </c>
      <c r="C224" s="7"/>
      <c r="D224" s="7" t="s">
        <v>235</v>
      </c>
      <c r="E224" s="7" t="s">
        <v>166</v>
      </c>
      <c r="F224" s="7" t="s">
        <v>166</v>
      </c>
      <c r="G224" s="7" t="s">
        <v>167</v>
      </c>
      <c r="H224" s="7" t="s">
        <v>368</v>
      </c>
      <c r="I224" s="7" t="s">
        <v>356</v>
      </c>
      <c r="J224" s="74">
        <v>47.08</v>
      </c>
      <c r="K224" s="74" t="s">
        <v>371</v>
      </c>
      <c r="L224" s="74">
        <v>46.86</v>
      </c>
      <c r="M224" s="7">
        <v>61</v>
      </c>
      <c r="N224" s="7"/>
      <c r="O224" s="438">
        <f t="shared" si="9"/>
        <v>2858.46</v>
      </c>
      <c r="P224" s="438">
        <v>15</v>
      </c>
      <c r="Q224" s="438">
        <f t="shared" si="10"/>
        <v>200.0922</v>
      </c>
      <c r="R224" s="438">
        <v>600</v>
      </c>
      <c r="S224" s="439">
        <f t="shared" si="11"/>
        <v>2043.3678</v>
      </c>
      <c r="T224" s="7"/>
      <c r="U224" s="7"/>
      <c r="V224" s="7"/>
      <c r="W224" s="417">
        <v>1</v>
      </c>
    </row>
    <row r="225" s="417" customFormat="1" ht="16" customHeight="1" spans="1:23">
      <c r="A225" s="449">
        <v>46182</v>
      </c>
      <c r="B225" s="449">
        <v>46183</v>
      </c>
      <c r="C225" s="7"/>
      <c r="D225" s="7" t="s">
        <v>235</v>
      </c>
      <c r="E225" s="7" t="s">
        <v>87</v>
      </c>
      <c r="F225" s="7" t="s">
        <v>87</v>
      </c>
      <c r="G225" s="7" t="s">
        <v>88</v>
      </c>
      <c r="H225" s="7" t="s">
        <v>368</v>
      </c>
      <c r="I225" s="7" t="s">
        <v>356</v>
      </c>
      <c r="J225" s="74">
        <v>40.32</v>
      </c>
      <c r="K225" s="74" t="s">
        <v>371</v>
      </c>
      <c r="L225" s="74">
        <v>40.16</v>
      </c>
      <c r="M225" s="7">
        <v>61</v>
      </c>
      <c r="N225" s="7"/>
      <c r="O225" s="438">
        <f t="shared" si="9"/>
        <v>2449.76</v>
      </c>
      <c r="P225" s="438">
        <v>15</v>
      </c>
      <c r="Q225" s="438">
        <f t="shared" si="10"/>
        <v>171.4832</v>
      </c>
      <c r="R225" s="438">
        <v>600</v>
      </c>
      <c r="S225" s="439">
        <f t="shared" si="11"/>
        <v>1663.2768</v>
      </c>
      <c r="T225" s="7"/>
      <c r="U225" s="7"/>
      <c r="V225" s="7"/>
      <c r="W225" s="417">
        <v>1</v>
      </c>
    </row>
    <row r="226" s="417" customFormat="1" ht="16" customHeight="1" spans="1:23">
      <c r="A226" s="449">
        <v>46181</v>
      </c>
      <c r="B226" s="449">
        <v>46182</v>
      </c>
      <c r="C226" s="7"/>
      <c r="D226" s="7" t="s">
        <v>235</v>
      </c>
      <c r="E226" s="7" t="s">
        <v>141</v>
      </c>
      <c r="F226" s="7" t="s">
        <v>141</v>
      </c>
      <c r="G226" s="7" t="s">
        <v>142</v>
      </c>
      <c r="H226" s="7" t="s">
        <v>368</v>
      </c>
      <c r="I226" s="7" t="s">
        <v>356</v>
      </c>
      <c r="J226" s="74">
        <v>44.24</v>
      </c>
      <c r="K226" s="74" t="s">
        <v>371</v>
      </c>
      <c r="L226" s="74">
        <v>43.92</v>
      </c>
      <c r="M226" s="7">
        <v>61</v>
      </c>
      <c r="N226" s="7"/>
      <c r="O226" s="438">
        <f t="shared" si="9"/>
        <v>2679.12</v>
      </c>
      <c r="P226" s="438">
        <v>15</v>
      </c>
      <c r="Q226" s="438">
        <f t="shared" si="10"/>
        <v>187.5384</v>
      </c>
      <c r="R226" s="438">
        <v>600</v>
      </c>
      <c r="S226" s="439">
        <f t="shared" si="11"/>
        <v>1876.5816</v>
      </c>
      <c r="T226" s="7"/>
      <c r="U226" s="7"/>
      <c r="V226" s="7"/>
      <c r="W226" s="417">
        <v>1</v>
      </c>
    </row>
    <row r="227" s="417" customFormat="1" ht="16" customHeight="1" spans="1:23">
      <c r="A227" s="449">
        <v>46182</v>
      </c>
      <c r="B227" s="449">
        <v>46184</v>
      </c>
      <c r="C227" s="7" t="s">
        <v>501</v>
      </c>
      <c r="D227" s="7" t="s">
        <v>235</v>
      </c>
      <c r="E227" s="7" t="s">
        <v>154</v>
      </c>
      <c r="F227" s="7" t="s">
        <v>154</v>
      </c>
      <c r="G227" s="7" t="s">
        <v>155</v>
      </c>
      <c r="H227" s="7" t="s">
        <v>384</v>
      </c>
      <c r="I227" s="7" t="s">
        <v>356</v>
      </c>
      <c r="J227" s="74">
        <v>43.66</v>
      </c>
      <c r="K227" s="74" t="s">
        <v>371</v>
      </c>
      <c r="L227" s="74">
        <v>42.92</v>
      </c>
      <c r="M227" s="7">
        <v>61</v>
      </c>
      <c r="N227" s="7"/>
      <c r="O227" s="438">
        <f t="shared" si="9"/>
        <v>2618.12</v>
      </c>
      <c r="P227" s="438">
        <v>15</v>
      </c>
      <c r="Q227" s="438">
        <f t="shared" si="10"/>
        <v>183.2684</v>
      </c>
      <c r="R227" s="438">
        <v>600</v>
      </c>
      <c r="S227" s="439">
        <f t="shared" si="11"/>
        <v>1819.8516</v>
      </c>
      <c r="T227" s="7"/>
      <c r="U227" s="7"/>
      <c r="V227" s="7"/>
      <c r="W227" s="417">
        <v>1</v>
      </c>
    </row>
    <row r="228" s="417" customFormat="1" ht="16" customHeight="1" spans="1:23">
      <c r="A228" s="449">
        <v>46182</v>
      </c>
      <c r="B228" s="449">
        <v>46184</v>
      </c>
      <c r="C228" s="7" t="s">
        <v>502</v>
      </c>
      <c r="D228" s="7" t="s">
        <v>235</v>
      </c>
      <c r="E228" s="7" t="s">
        <v>338</v>
      </c>
      <c r="F228" s="7" t="s">
        <v>338</v>
      </c>
      <c r="G228" s="417" t="s">
        <v>158</v>
      </c>
      <c r="H228" s="7" t="s">
        <v>384</v>
      </c>
      <c r="I228" s="7" t="s">
        <v>356</v>
      </c>
      <c r="J228" s="74">
        <v>43.48</v>
      </c>
      <c r="K228" s="74" t="s">
        <v>371</v>
      </c>
      <c r="L228" s="74">
        <v>43.01</v>
      </c>
      <c r="M228" s="7">
        <v>61</v>
      </c>
      <c r="N228" s="7"/>
      <c r="O228" s="438">
        <f t="shared" si="9"/>
        <v>2623.61</v>
      </c>
      <c r="P228" s="438">
        <v>15</v>
      </c>
      <c r="Q228" s="438">
        <f t="shared" si="10"/>
        <v>183.6527</v>
      </c>
      <c r="R228" s="438">
        <v>600</v>
      </c>
      <c r="S228" s="439">
        <f t="shared" si="11"/>
        <v>1824.9573</v>
      </c>
      <c r="T228" s="7"/>
      <c r="U228" s="7"/>
      <c r="V228" s="7"/>
      <c r="W228" s="417">
        <v>1</v>
      </c>
    </row>
    <row r="229" s="417" customFormat="1" ht="16" customHeight="1" spans="1:23">
      <c r="A229" s="449">
        <v>46182</v>
      </c>
      <c r="B229" s="449">
        <v>46184</v>
      </c>
      <c r="C229" s="7" t="s">
        <v>503</v>
      </c>
      <c r="D229" s="7" t="s">
        <v>235</v>
      </c>
      <c r="E229" s="7" t="s">
        <v>160</v>
      </c>
      <c r="F229" s="7" t="s">
        <v>160</v>
      </c>
      <c r="G229" s="7" t="s">
        <v>161</v>
      </c>
      <c r="H229" s="7" t="s">
        <v>384</v>
      </c>
      <c r="I229" s="7" t="s">
        <v>356</v>
      </c>
      <c r="J229" s="74">
        <v>42.28</v>
      </c>
      <c r="K229" s="74" t="s">
        <v>371</v>
      </c>
      <c r="L229" s="74">
        <v>41.86</v>
      </c>
      <c r="M229" s="7">
        <v>61</v>
      </c>
      <c r="N229" s="7"/>
      <c r="O229" s="438">
        <f t="shared" si="9"/>
        <v>2553.46</v>
      </c>
      <c r="P229" s="438">
        <v>15</v>
      </c>
      <c r="Q229" s="438">
        <f t="shared" si="10"/>
        <v>178.7422</v>
      </c>
      <c r="R229" s="438">
        <v>600</v>
      </c>
      <c r="S229" s="439">
        <f t="shared" si="11"/>
        <v>1759.7178</v>
      </c>
      <c r="T229" s="7"/>
      <c r="U229" s="7"/>
      <c r="V229" s="7"/>
      <c r="W229" s="417">
        <v>1</v>
      </c>
    </row>
    <row r="230" s="417" customFormat="1" ht="16" customHeight="1" spans="1:23">
      <c r="A230" s="449">
        <v>46182</v>
      </c>
      <c r="B230" s="449">
        <v>46184</v>
      </c>
      <c r="C230" s="7" t="s">
        <v>504</v>
      </c>
      <c r="D230" s="7" t="s">
        <v>235</v>
      </c>
      <c r="E230" s="7" t="s">
        <v>163</v>
      </c>
      <c r="F230" s="7" t="s">
        <v>163</v>
      </c>
      <c r="G230" s="7" t="s">
        <v>164</v>
      </c>
      <c r="H230" s="7" t="s">
        <v>384</v>
      </c>
      <c r="I230" s="7" t="s">
        <v>356</v>
      </c>
      <c r="J230" s="74">
        <v>40.94</v>
      </c>
      <c r="K230" s="74" t="s">
        <v>371</v>
      </c>
      <c r="L230" s="74">
        <v>40.26</v>
      </c>
      <c r="M230" s="7">
        <v>61</v>
      </c>
      <c r="N230" s="7"/>
      <c r="O230" s="438">
        <f t="shared" si="9"/>
        <v>2455.86</v>
      </c>
      <c r="P230" s="438">
        <v>15</v>
      </c>
      <c r="Q230" s="438">
        <f t="shared" si="10"/>
        <v>171.9102</v>
      </c>
      <c r="R230" s="438">
        <v>600</v>
      </c>
      <c r="S230" s="439">
        <f t="shared" si="11"/>
        <v>1668.9498</v>
      </c>
      <c r="T230" s="7"/>
      <c r="U230" s="7"/>
      <c r="V230" s="7"/>
      <c r="W230" s="417">
        <v>1</v>
      </c>
    </row>
    <row r="231" s="417" customFormat="1" ht="16" customHeight="1" spans="1:23">
      <c r="A231" s="449">
        <v>46183</v>
      </c>
      <c r="B231" s="449">
        <v>46184</v>
      </c>
      <c r="C231" s="7" t="s">
        <v>505</v>
      </c>
      <c r="D231" s="7" t="s">
        <v>237</v>
      </c>
      <c r="E231" s="7" t="s">
        <v>174</v>
      </c>
      <c r="F231" s="7" t="s">
        <v>174</v>
      </c>
      <c r="G231" s="7" t="s">
        <v>175</v>
      </c>
      <c r="H231" s="7" t="s">
        <v>354</v>
      </c>
      <c r="I231" s="7" t="s">
        <v>407</v>
      </c>
      <c r="J231" s="74">
        <v>44.24</v>
      </c>
      <c r="K231" s="74" t="s">
        <v>356</v>
      </c>
      <c r="L231" s="74">
        <v>44.22</v>
      </c>
      <c r="M231" s="7">
        <v>87</v>
      </c>
      <c r="N231" s="7"/>
      <c r="O231" s="438">
        <f t="shared" si="9"/>
        <v>3847.14</v>
      </c>
      <c r="P231" s="438">
        <v>15</v>
      </c>
      <c r="Q231" s="438">
        <f t="shared" si="10"/>
        <v>269.2998</v>
      </c>
      <c r="R231" s="438">
        <v>800</v>
      </c>
      <c r="S231" s="439">
        <f t="shared" si="11"/>
        <v>2762.8402</v>
      </c>
      <c r="T231" s="7"/>
      <c r="U231" s="7"/>
      <c r="V231" s="7"/>
      <c r="W231" s="417">
        <v>1</v>
      </c>
    </row>
    <row r="232" s="417" customFormat="1" ht="16" customHeight="1" spans="1:23">
      <c r="A232" s="449">
        <v>46182</v>
      </c>
      <c r="B232" s="449">
        <v>46183</v>
      </c>
      <c r="C232" s="606" t="s">
        <v>506</v>
      </c>
      <c r="D232" s="7" t="s">
        <v>234</v>
      </c>
      <c r="E232" s="7" t="s">
        <v>84</v>
      </c>
      <c r="F232" s="7" t="s">
        <v>84</v>
      </c>
      <c r="G232" s="7" t="s">
        <v>85</v>
      </c>
      <c r="H232" s="7" t="s">
        <v>354</v>
      </c>
      <c r="I232" s="7" t="s">
        <v>507</v>
      </c>
      <c r="J232" s="74">
        <v>38.92</v>
      </c>
      <c r="K232" s="74" t="s">
        <v>356</v>
      </c>
      <c r="L232" s="74">
        <v>38.92</v>
      </c>
      <c r="M232" s="7">
        <v>71</v>
      </c>
      <c r="N232" s="7"/>
      <c r="O232" s="438">
        <f t="shared" si="9"/>
        <v>2763.32</v>
      </c>
      <c r="P232" s="438">
        <v>15</v>
      </c>
      <c r="Q232" s="438">
        <f t="shared" si="10"/>
        <v>193.4324</v>
      </c>
      <c r="R232" s="438">
        <v>600</v>
      </c>
      <c r="S232" s="439">
        <f t="shared" si="11"/>
        <v>1954.8876</v>
      </c>
      <c r="T232" s="7"/>
      <c r="U232" s="7"/>
      <c r="V232" s="7"/>
      <c r="W232" s="417">
        <v>1</v>
      </c>
    </row>
    <row r="233" s="417" customFormat="1" ht="16" customHeight="1" spans="1:23">
      <c r="A233" s="449">
        <v>46182</v>
      </c>
      <c r="B233" s="449">
        <v>46183</v>
      </c>
      <c r="C233" s="606" t="s">
        <v>508</v>
      </c>
      <c r="D233" s="7" t="s">
        <v>234</v>
      </c>
      <c r="E233" s="7" t="s">
        <v>108</v>
      </c>
      <c r="F233" s="7" t="s">
        <v>108</v>
      </c>
      <c r="G233" s="7" t="s">
        <v>109</v>
      </c>
      <c r="H233" s="7" t="s">
        <v>354</v>
      </c>
      <c r="I233" s="7" t="s">
        <v>507</v>
      </c>
      <c r="J233" s="74">
        <v>38.88</v>
      </c>
      <c r="K233" s="74" t="s">
        <v>356</v>
      </c>
      <c r="L233" s="74">
        <v>38.88</v>
      </c>
      <c r="M233" s="7">
        <v>71</v>
      </c>
      <c r="N233" s="7"/>
      <c r="O233" s="438">
        <f t="shared" si="9"/>
        <v>2760.48</v>
      </c>
      <c r="P233" s="438">
        <v>15</v>
      </c>
      <c r="Q233" s="438">
        <f t="shared" si="10"/>
        <v>193.2336</v>
      </c>
      <c r="R233" s="438">
        <v>600</v>
      </c>
      <c r="S233" s="439">
        <f t="shared" si="11"/>
        <v>1952.2464</v>
      </c>
      <c r="T233" s="7"/>
      <c r="U233" s="7"/>
      <c r="V233" s="7"/>
      <c r="W233" s="417">
        <v>1</v>
      </c>
    </row>
    <row r="234" s="417" customFormat="1" ht="16" customHeight="1" spans="1:23">
      <c r="A234" s="449">
        <v>46183</v>
      </c>
      <c r="B234" s="449">
        <v>46184</v>
      </c>
      <c r="C234" s="606" t="s">
        <v>509</v>
      </c>
      <c r="D234" s="7" t="s">
        <v>234</v>
      </c>
      <c r="E234" s="7" t="s">
        <v>93</v>
      </c>
      <c r="F234" s="7" t="s">
        <v>93</v>
      </c>
      <c r="G234" s="7" t="s">
        <v>94</v>
      </c>
      <c r="H234" s="7" t="s">
        <v>354</v>
      </c>
      <c r="I234" s="7" t="s">
        <v>507</v>
      </c>
      <c r="J234" s="74">
        <v>38.78</v>
      </c>
      <c r="K234" s="74" t="s">
        <v>356</v>
      </c>
      <c r="L234" s="74">
        <v>38.78</v>
      </c>
      <c r="M234" s="7">
        <v>71</v>
      </c>
      <c r="N234" s="7"/>
      <c r="O234" s="438">
        <f t="shared" si="9"/>
        <v>2753.38</v>
      </c>
      <c r="P234" s="438">
        <v>15</v>
      </c>
      <c r="Q234" s="438">
        <f t="shared" si="10"/>
        <v>192.7366</v>
      </c>
      <c r="R234" s="438">
        <v>600</v>
      </c>
      <c r="S234" s="439">
        <f t="shared" si="11"/>
        <v>1945.6434</v>
      </c>
      <c r="T234" s="7"/>
      <c r="U234" s="7"/>
      <c r="V234" s="7"/>
      <c r="W234" s="417">
        <v>1</v>
      </c>
    </row>
    <row r="235" s="417" customFormat="1" ht="16" customHeight="1" spans="1:23">
      <c r="A235" s="449">
        <v>46183</v>
      </c>
      <c r="B235" s="449">
        <v>46184</v>
      </c>
      <c r="C235" s="606" t="s">
        <v>510</v>
      </c>
      <c r="D235" s="7" t="s">
        <v>234</v>
      </c>
      <c r="E235" s="7" t="s">
        <v>72</v>
      </c>
      <c r="F235" s="7" t="s">
        <v>72</v>
      </c>
      <c r="G235" s="7" t="s">
        <v>73</v>
      </c>
      <c r="H235" s="7" t="s">
        <v>354</v>
      </c>
      <c r="I235" s="7" t="s">
        <v>507</v>
      </c>
      <c r="J235" s="74">
        <v>38.66</v>
      </c>
      <c r="K235" s="74" t="s">
        <v>356</v>
      </c>
      <c r="L235" s="74">
        <v>38.66</v>
      </c>
      <c r="M235" s="7">
        <v>71</v>
      </c>
      <c r="N235" s="7"/>
      <c r="O235" s="438">
        <f t="shared" si="9"/>
        <v>2744.86</v>
      </c>
      <c r="P235" s="438">
        <v>15</v>
      </c>
      <c r="Q235" s="438">
        <f t="shared" si="10"/>
        <v>192.1402</v>
      </c>
      <c r="R235" s="438">
        <v>600</v>
      </c>
      <c r="S235" s="439">
        <f t="shared" si="11"/>
        <v>1937.7198</v>
      </c>
      <c r="T235" s="7"/>
      <c r="U235" s="7"/>
      <c r="V235" s="7"/>
      <c r="W235" s="417">
        <v>1</v>
      </c>
    </row>
    <row r="236" s="417" customFormat="1" ht="16" customHeight="1" spans="1:23">
      <c r="A236" s="449">
        <v>46183</v>
      </c>
      <c r="B236" s="449">
        <v>46184</v>
      </c>
      <c r="C236" s="606" t="s">
        <v>511</v>
      </c>
      <c r="D236" s="7" t="s">
        <v>234</v>
      </c>
      <c r="E236" s="7" t="s">
        <v>99</v>
      </c>
      <c r="F236" s="7" t="s">
        <v>99</v>
      </c>
      <c r="G236" s="7" t="s">
        <v>100</v>
      </c>
      <c r="H236" s="7" t="s">
        <v>354</v>
      </c>
      <c r="I236" s="7" t="s">
        <v>507</v>
      </c>
      <c r="J236" s="74">
        <v>38.76</v>
      </c>
      <c r="K236" s="74" t="s">
        <v>356</v>
      </c>
      <c r="L236" s="74">
        <v>38.74</v>
      </c>
      <c r="M236" s="7">
        <v>71</v>
      </c>
      <c r="N236" s="7"/>
      <c r="O236" s="438">
        <f t="shared" si="9"/>
        <v>2750.54</v>
      </c>
      <c r="P236" s="438">
        <v>15</v>
      </c>
      <c r="Q236" s="438">
        <f t="shared" si="10"/>
        <v>192.5378</v>
      </c>
      <c r="R236" s="438">
        <v>600</v>
      </c>
      <c r="S236" s="439">
        <f t="shared" si="11"/>
        <v>1943.0022</v>
      </c>
      <c r="T236" s="7"/>
      <c r="U236" s="7"/>
      <c r="V236" s="7"/>
      <c r="W236" s="417">
        <v>1</v>
      </c>
    </row>
    <row r="237" s="417" customFormat="1" ht="16" customHeight="1" spans="1:23">
      <c r="A237" s="449">
        <v>46182</v>
      </c>
      <c r="B237" s="449">
        <v>46183</v>
      </c>
      <c r="C237" s="442" t="s">
        <v>512</v>
      </c>
      <c r="D237" s="7" t="s">
        <v>233</v>
      </c>
      <c r="E237" s="7" t="s">
        <v>60</v>
      </c>
      <c r="F237" s="7" t="s">
        <v>60</v>
      </c>
      <c r="G237" s="7" t="s">
        <v>61</v>
      </c>
      <c r="H237" s="7" t="s">
        <v>354</v>
      </c>
      <c r="I237" s="7" t="s">
        <v>355</v>
      </c>
      <c r="J237" s="74">
        <v>39.32</v>
      </c>
      <c r="K237" s="74" t="s">
        <v>356</v>
      </c>
      <c r="L237" s="74">
        <v>39.32</v>
      </c>
      <c r="M237" s="7">
        <v>67</v>
      </c>
      <c r="N237" s="7"/>
      <c r="O237" s="438">
        <f t="shared" si="9"/>
        <v>2634.44</v>
      </c>
      <c r="P237" s="438">
        <v>15</v>
      </c>
      <c r="Q237" s="438">
        <f t="shared" si="10"/>
        <v>184.4108</v>
      </c>
      <c r="R237" s="438">
        <v>600</v>
      </c>
      <c r="S237" s="439">
        <f t="shared" si="11"/>
        <v>1835.0292</v>
      </c>
      <c r="T237" s="7"/>
      <c r="U237" s="7"/>
      <c r="V237" s="7"/>
      <c r="W237" s="417">
        <v>1</v>
      </c>
    </row>
    <row r="238" s="417" customFormat="1" ht="16" customHeight="1" spans="1:23">
      <c r="A238" s="449">
        <v>46183</v>
      </c>
      <c r="B238" s="449">
        <v>46184</v>
      </c>
      <c r="C238" s="442" t="s">
        <v>513</v>
      </c>
      <c r="D238" s="7" t="s">
        <v>233</v>
      </c>
      <c r="E238" s="7" t="s">
        <v>172</v>
      </c>
      <c r="F238" s="7" t="s">
        <v>172</v>
      </c>
      <c r="G238" s="7" t="s">
        <v>122</v>
      </c>
      <c r="H238" s="7" t="s">
        <v>354</v>
      </c>
      <c r="I238" s="7" t="s">
        <v>355</v>
      </c>
      <c r="J238" s="74">
        <v>38.66</v>
      </c>
      <c r="K238" s="74" t="s">
        <v>356</v>
      </c>
      <c r="L238" s="74">
        <v>38.66</v>
      </c>
      <c r="M238" s="7">
        <v>67</v>
      </c>
      <c r="N238" s="7"/>
      <c r="O238" s="438">
        <f t="shared" si="9"/>
        <v>2590.22</v>
      </c>
      <c r="P238" s="438">
        <v>15</v>
      </c>
      <c r="Q238" s="438">
        <f t="shared" si="10"/>
        <v>181.3154</v>
      </c>
      <c r="R238" s="438">
        <v>600</v>
      </c>
      <c r="S238" s="439">
        <f t="shared" si="11"/>
        <v>1793.9046</v>
      </c>
      <c r="T238" s="7"/>
      <c r="U238" s="7"/>
      <c r="V238" s="7"/>
      <c r="W238" s="417">
        <v>1</v>
      </c>
    </row>
    <row r="239" s="417" customFormat="1" ht="16" customHeight="1" spans="1:23">
      <c r="A239" s="449">
        <v>46183</v>
      </c>
      <c r="B239" s="449">
        <v>46184</v>
      </c>
      <c r="C239" s="442" t="s">
        <v>514</v>
      </c>
      <c r="D239" s="7" t="s">
        <v>233</v>
      </c>
      <c r="E239" s="7" t="s">
        <v>127</v>
      </c>
      <c r="F239" s="7" t="s">
        <v>127</v>
      </c>
      <c r="G239" s="7" t="s">
        <v>128</v>
      </c>
      <c r="H239" s="7" t="s">
        <v>354</v>
      </c>
      <c r="I239" s="7" t="s">
        <v>355</v>
      </c>
      <c r="J239" s="74">
        <v>38.66</v>
      </c>
      <c r="K239" s="74" t="s">
        <v>356</v>
      </c>
      <c r="L239" s="74">
        <v>38.66</v>
      </c>
      <c r="M239" s="7">
        <v>67</v>
      </c>
      <c r="N239" s="7"/>
      <c r="O239" s="438">
        <f t="shared" si="9"/>
        <v>2590.22</v>
      </c>
      <c r="P239" s="438">
        <v>15</v>
      </c>
      <c r="Q239" s="438">
        <f t="shared" si="10"/>
        <v>181.3154</v>
      </c>
      <c r="R239" s="438">
        <v>600</v>
      </c>
      <c r="S239" s="439">
        <f t="shared" si="11"/>
        <v>1793.9046</v>
      </c>
      <c r="T239" s="7"/>
      <c r="U239" s="7"/>
      <c r="V239" s="7"/>
      <c r="W239" s="417">
        <v>1</v>
      </c>
    </row>
    <row r="240" s="417" customFormat="1" ht="16" customHeight="1" spans="1:23">
      <c r="A240" s="449">
        <v>46183</v>
      </c>
      <c r="B240" s="449">
        <v>46184</v>
      </c>
      <c r="C240" s="442" t="s">
        <v>515</v>
      </c>
      <c r="D240" s="7" t="s">
        <v>233</v>
      </c>
      <c r="E240" s="7" t="s">
        <v>54</v>
      </c>
      <c r="F240" s="7" t="s">
        <v>54</v>
      </c>
      <c r="G240" s="7" t="s">
        <v>55</v>
      </c>
      <c r="H240" s="7" t="s">
        <v>354</v>
      </c>
      <c r="I240" s="7" t="s">
        <v>355</v>
      </c>
      <c r="J240" s="74">
        <v>42.3</v>
      </c>
      <c r="K240" s="74" t="s">
        <v>356</v>
      </c>
      <c r="L240" s="74">
        <v>42.3</v>
      </c>
      <c r="M240" s="7">
        <v>67</v>
      </c>
      <c r="N240" s="7"/>
      <c r="O240" s="438">
        <f t="shared" si="9"/>
        <v>2834.1</v>
      </c>
      <c r="P240" s="438">
        <v>15</v>
      </c>
      <c r="Q240" s="438">
        <f t="shared" si="10"/>
        <v>198.387</v>
      </c>
      <c r="R240" s="438">
        <v>600</v>
      </c>
      <c r="S240" s="439">
        <f t="shared" si="11"/>
        <v>2020.713</v>
      </c>
      <c r="T240" s="7"/>
      <c r="U240" s="7"/>
      <c r="V240" s="7"/>
      <c r="W240" s="417">
        <v>1</v>
      </c>
    </row>
    <row r="241" s="417" customFormat="1" ht="16" customHeight="1" spans="1:23">
      <c r="A241" s="449">
        <v>46183</v>
      </c>
      <c r="B241" s="449">
        <v>46184</v>
      </c>
      <c r="C241" s="442" t="s">
        <v>516</v>
      </c>
      <c r="D241" s="7" t="s">
        <v>233</v>
      </c>
      <c r="E241" s="7" t="s">
        <v>66</v>
      </c>
      <c r="F241" s="7" t="s">
        <v>66</v>
      </c>
      <c r="G241" s="7" t="s">
        <v>67</v>
      </c>
      <c r="H241" s="7" t="s">
        <v>354</v>
      </c>
      <c r="I241" s="7" t="s">
        <v>355</v>
      </c>
      <c r="J241" s="74">
        <v>40.8</v>
      </c>
      <c r="K241" s="74" t="s">
        <v>356</v>
      </c>
      <c r="L241" s="74">
        <v>40.74</v>
      </c>
      <c r="M241" s="7">
        <v>67</v>
      </c>
      <c r="N241" s="7"/>
      <c r="O241" s="438">
        <f t="shared" si="9"/>
        <v>2729.58</v>
      </c>
      <c r="P241" s="438">
        <v>15</v>
      </c>
      <c r="Q241" s="438">
        <f t="shared" si="10"/>
        <v>191.0706</v>
      </c>
      <c r="R241" s="438">
        <v>600</v>
      </c>
      <c r="S241" s="439">
        <f t="shared" si="11"/>
        <v>1923.5094</v>
      </c>
      <c r="T241" s="7"/>
      <c r="U241" s="7"/>
      <c r="V241" s="7"/>
      <c r="W241" s="417">
        <v>1</v>
      </c>
    </row>
    <row r="242" s="417" customFormat="1" ht="16" customHeight="1" spans="1:23">
      <c r="A242" s="449">
        <v>46183</v>
      </c>
      <c r="B242" s="449">
        <v>46184</v>
      </c>
      <c r="C242" s="442" t="s">
        <v>517</v>
      </c>
      <c r="D242" s="7" t="s">
        <v>233</v>
      </c>
      <c r="E242" s="7" t="s">
        <v>114</v>
      </c>
      <c r="F242" s="7" t="s">
        <v>114</v>
      </c>
      <c r="G242" s="7" t="s">
        <v>115</v>
      </c>
      <c r="H242" s="7" t="s">
        <v>354</v>
      </c>
      <c r="I242" s="7" t="s">
        <v>355</v>
      </c>
      <c r="J242" s="74">
        <v>41.88</v>
      </c>
      <c r="K242" s="74" t="s">
        <v>356</v>
      </c>
      <c r="L242" s="74">
        <v>41.84</v>
      </c>
      <c r="M242" s="7">
        <v>67</v>
      </c>
      <c r="N242" s="7"/>
      <c r="O242" s="438">
        <f t="shared" si="9"/>
        <v>2803.28</v>
      </c>
      <c r="P242" s="438">
        <v>15</v>
      </c>
      <c r="Q242" s="438">
        <f t="shared" si="10"/>
        <v>196.2296</v>
      </c>
      <c r="R242" s="438">
        <v>600</v>
      </c>
      <c r="S242" s="439">
        <f t="shared" si="11"/>
        <v>1992.0504</v>
      </c>
      <c r="T242" s="7"/>
      <c r="U242" s="7"/>
      <c r="V242" s="7"/>
      <c r="W242" s="417">
        <v>1</v>
      </c>
    </row>
    <row r="243" s="417" customFormat="1" ht="16" customHeight="1" spans="1:23">
      <c r="A243" s="449">
        <v>46183</v>
      </c>
      <c r="B243" s="449">
        <v>46184</v>
      </c>
      <c r="C243" s="442" t="s">
        <v>518</v>
      </c>
      <c r="D243" s="7" t="s">
        <v>233</v>
      </c>
      <c r="E243" s="7" t="s">
        <v>78</v>
      </c>
      <c r="F243" s="7" t="s">
        <v>78</v>
      </c>
      <c r="G243" s="7" t="s">
        <v>79</v>
      </c>
      <c r="H243" s="7" t="s">
        <v>354</v>
      </c>
      <c r="I243" s="7" t="s">
        <v>355</v>
      </c>
      <c r="J243" s="74">
        <v>40.46</v>
      </c>
      <c r="K243" s="74" t="s">
        <v>356</v>
      </c>
      <c r="L243" s="74">
        <v>40.38</v>
      </c>
      <c r="M243" s="7">
        <v>67</v>
      </c>
      <c r="N243" s="7"/>
      <c r="O243" s="438">
        <f t="shared" si="9"/>
        <v>2705.46</v>
      </c>
      <c r="P243" s="438">
        <v>15</v>
      </c>
      <c r="Q243" s="438">
        <f t="shared" si="10"/>
        <v>189.3822</v>
      </c>
      <c r="R243" s="438">
        <v>600</v>
      </c>
      <c r="S243" s="439">
        <f t="shared" si="11"/>
        <v>1901.0778</v>
      </c>
      <c r="T243" s="7"/>
      <c r="U243" s="7"/>
      <c r="V243" s="7"/>
      <c r="W243" s="417">
        <v>1</v>
      </c>
    </row>
    <row r="244" s="417" customFormat="1" ht="16" customHeight="1" spans="1:23">
      <c r="A244" s="449">
        <v>46183</v>
      </c>
      <c r="B244" s="449">
        <v>46184</v>
      </c>
      <c r="C244" s="442" t="s">
        <v>519</v>
      </c>
      <c r="D244" s="7" t="s">
        <v>233</v>
      </c>
      <c r="E244" s="7" t="s">
        <v>51</v>
      </c>
      <c r="F244" s="7" t="s">
        <v>51</v>
      </c>
      <c r="G244" s="7" t="s">
        <v>52</v>
      </c>
      <c r="H244" s="7" t="s">
        <v>354</v>
      </c>
      <c r="I244" s="7" t="s">
        <v>355</v>
      </c>
      <c r="J244" s="74">
        <v>41.86</v>
      </c>
      <c r="K244" s="74" t="s">
        <v>356</v>
      </c>
      <c r="L244" s="74">
        <v>41.82</v>
      </c>
      <c r="M244" s="7">
        <v>67</v>
      </c>
      <c r="N244" s="7"/>
      <c r="O244" s="438">
        <f t="shared" si="9"/>
        <v>2801.94</v>
      </c>
      <c r="P244" s="438">
        <v>15</v>
      </c>
      <c r="Q244" s="438">
        <f t="shared" si="10"/>
        <v>196.1358</v>
      </c>
      <c r="R244" s="438">
        <v>600</v>
      </c>
      <c r="S244" s="439">
        <f t="shared" si="11"/>
        <v>1990.8042</v>
      </c>
      <c r="T244" s="7"/>
      <c r="U244" s="7"/>
      <c r="V244" s="7"/>
      <c r="W244" s="417">
        <v>1</v>
      </c>
    </row>
    <row r="245" s="417" customFormat="1" ht="16" customHeight="1" spans="1:23">
      <c r="A245" s="449">
        <v>46183</v>
      </c>
      <c r="B245" s="449">
        <v>46183</v>
      </c>
      <c r="C245" s="7"/>
      <c r="D245" s="7" t="s">
        <v>235</v>
      </c>
      <c r="E245" s="7" t="s">
        <v>69</v>
      </c>
      <c r="F245" s="7" t="s">
        <v>69</v>
      </c>
      <c r="G245" s="7" t="s">
        <v>70</v>
      </c>
      <c r="H245" s="7" t="s">
        <v>368</v>
      </c>
      <c r="I245" s="7" t="s">
        <v>356</v>
      </c>
      <c r="J245" s="74">
        <v>43.38</v>
      </c>
      <c r="K245" s="74" t="s">
        <v>369</v>
      </c>
      <c r="L245" s="74">
        <v>43.34</v>
      </c>
      <c r="M245" s="457">
        <v>48</v>
      </c>
      <c r="N245" s="7"/>
      <c r="O245" s="438">
        <f t="shared" si="9"/>
        <v>2080.32</v>
      </c>
      <c r="P245" s="438">
        <v>15</v>
      </c>
      <c r="Q245" s="438">
        <f t="shared" si="10"/>
        <v>145.6224</v>
      </c>
      <c r="R245" s="438">
        <v>600</v>
      </c>
      <c r="S245" s="439">
        <f t="shared" si="11"/>
        <v>1319.6976</v>
      </c>
      <c r="T245" s="7"/>
      <c r="U245" s="7"/>
      <c r="V245" s="7"/>
      <c r="W245" s="417">
        <v>1</v>
      </c>
    </row>
    <row r="246" s="417" customFormat="1" ht="16" customHeight="1" spans="1:23">
      <c r="A246" s="449">
        <v>46183</v>
      </c>
      <c r="B246" s="449">
        <v>46184</v>
      </c>
      <c r="C246" s="7"/>
      <c r="D246" s="7" t="s">
        <v>235</v>
      </c>
      <c r="E246" s="7" t="s">
        <v>96</v>
      </c>
      <c r="F246" s="7" t="s">
        <v>96</v>
      </c>
      <c r="G246" s="7" t="s">
        <v>97</v>
      </c>
      <c r="H246" s="7" t="s">
        <v>368</v>
      </c>
      <c r="I246" s="7" t="s">
        <v>356</v>
      </c>
      <c r="J246" s="74">
        <v>41.56</v>
      </c>
      <c r="K246" s="74" t="s">
        <v>371</v>
      </c>
      <c r="L246" s="74">
        <v>41.38</v>
      </c>
      <c r="M246" s="7">
        <v>61</v>
      </c>
      <c r="N246" s="7"/>
      <c r="O246" s="438">
        <f t="shared" si="9"/>
        <v>2524.18</v>
      </c>
      <c r="P246" s="438">
        <v>15</v>
      </c>
      <c r="Q246" s="438">
        <f t="shared" si="10"/>
        <v>176.6926</v>
      </c>
      <c r="R246" s="438">
        <v>600</v>
      </c>
      <c r="S246" s="439">
        <f t="shared" si="11"/>
        <v>1732.4874</v>
      </c>
      <c r="T246" s="7"/>
      <c r="U246" s="7"/>
      <c r="V246" s="7"/>
      <c r="W246" s="417">
        <v>1</v>
      </c>
    </row>
    <row r="247" s="417" customFormat="1" ht="16" customHeight="1" spans="1:23">
      <c r="A247" s="449">
        <v>46183</v>
      </c>
      <c r="B247" s="449">
        <v>46184</v>
      </c>
      <c r="C247" s="7"/>
      <c r="D247" s="7" t="s">
        <v>235</v>
      </c>
      <c r="E247" s="7" t="s">
        <v>124</v>
      </c>
      <c r="F247" s="7" t="s">
        <v>124</v>
      </c>
      <c r="G247" s="7" t="s">
        <v>125</v>
      </c>
      <c r="H247" s="7" t="s">
        <v>368</v>
      </c>
      <c r="I247" s="7" t="s">
        <v>356</v>
      </c>
      <c r="J247" s="74">
        <v>42.38</v>
      </c>
      <c r="K247" s="74" t="s">
        <v>371</v>
      </c>
      <c r="L247" s="74">
        <v>42.21</v>
      </c>
      <c r="M247" s="7">
        <v>61</v>
      </c>
      <c r="N247" s="7"/>
      <c r="O247" s="438">
        <f t="shared" si="9"/>
        <v>2574.81</v>
      </c>
      <c r="P247" s="438">
        <v>15</v>
      </c>
      <c r="Q247" s="438">
        <f t="shared" si="10"/>
        <v>180.2367</v>
      </c>
      <c r="R247" s="438">
        <v>600</v>
      </c>
      <c r="S247" s="439">
        <f t="shared" si="11"/>
        <v>1779.5733</v>
      </c>
      <c r="T247" s="7"/>
      <c r="U247" s="7"/>
      <c r="V247" s="7"/>
      <c r="W247" s="417">
        <v>1</v>
      </c>
    </row>
    <row r="248" s="417" customFormat="1" ht="16" customHeight="1" spans="1:23">
      <c r="A248" s="449">
        <v>46183</v>
      </c>
      <c r="B248" s="449">
        <v>46184</v>
      </c>
      <c r="C248" s="7"/>
      <c r="D248" s="7" t="s">
        <v>235</v>
      </c>
      <c r="E248" s="7" t="s">
        <v>111</v>
      </c>
      <c r="F248" s="7" t="s">
        <v>111</v>
      </c>
      <c r="G248" s="7" t="s">
        <v>112</v>
      </c>
      <c r="H248" s="7" t="s">
        <v>368</v>
      </c>
      <c r="I248" s="7" t="s">
        <v>356</v>
      </c>
      <c r="J248" s="74">
        <v>41.92</v>
      </c>
      <c r="K248" s="74" t="s">
        <v>371</v>
      </c>
      <c r="L248" s="74">
        <v>41.77</v>
      </c>
      <c r="M248" s="7">
        <v>61</v>
      </c>
      <c r="N248" s="7"/>
      <c r="O248" s="438">
        <f t="shared" si="9"/>
        <v>2547.97</v>
      </c>
      <c r="P248" s="438">
        <v>15</v>
      </c>
      <c r="Q248" s="438">
        <f t="shared" si="10"/>
        <v>178.3579</v>
      </c>
      <c r="R248" s="438">
        <v>600</v>
      </c>
      <c r="S248" s="439">
        <f t="shared" si="11"/>
        <v>1754.6121</v>
      </c>
      <c r="T248" s="7"/>
      <c r="U248" s="7"/>
      <c r="V248" s="7"/>
      <c r="W248" s="417">
        <v>1</v>
      </c>
    </row>
    <row r="249" s="417" customFormat="1" ht="16" customHeight="1" spans="1:23">
      <c r="A249" s="449">
        <v>46183</v>
      </c>
      <c r="B249" s="449">
        <v>46184</v>
      </c>
      <c r="C249" s="7"/>
      <c r="D249" s="7" t="s">
        <v>235</v>
      </c>
      <c r="E249" s="7" t="s">
        <v>135</v>
      </c>
      <c r="F249" s="7" t="s">
        <v>135</v>
      </c>
      <c r="G249" s="7" t="s">
        <v>136</v>
      </c>
      <c r="H249" s="7" t="s">
        <v>368</v>
      </c>
      <c r="I249" s="7" t="s">
        <v>356</v>
      </c>
      <c r="J249" s="74">
        <v>42.42</v>
      </c>
      <c r="K249" s="74" t="s">
        <v>371</v>
      </c>
      <c r="L249" s="74">
        <v>42.25</v>
      </c>
      <c r="M249" s="7">
        <v>61</v>
      </c>
      <c r="N249" s="7"/>
      <c r="O249" s="438">
        <f t="shared" si="9"/>
        <v>2577.25</v>
      </c>
      <c r="P249" s="438">
        <v>15</v>
      </c>
      <c r="Q249" s="438">
        <f t="shared" si="10"/>
        <v>180.4075</v>
      </c>
      <c r="R249" s="438">
        <v>600</v>
      </c>
      <c r="S249" s="439">
        <f t="shared" si="11"/>
        <v>1781.8425</v>
      </c>
      <c r="T249" s="7"/>
      <c r="U249" s="7"/>
      <c r="V249" s="7"/>
      <c r="W249" s="417">
        <v>1</v>
      </c>
    </row>
    <row r="250" s="417" customFormat="1" ht="16" customHeight="1" spans="1:23">
      <c r="A250" s="449">
        <v>46183</v>
      </c>
      <c r="B250" s="449">
        <v>46184</v>
      </c>
      <c r="C250" s="7"/>
      <c r="D250" s="7" t="s">
        <v>235</v>
      </c>
      <c r="E250" s="7" t="s">
        <v>130</v>
      </c>
      <c r="F250" s="7" t="s">
        <v>130</v>
      </c>
      <c r="G250" s="7" t="s">
        <v>139</v>
      </c>
      <c r="H250" s="7" t="s">
        <v>368</v>
      </c>
      <c r="I250" s="7" t="s">
        <v>356</v>
      </c>
      <c r="J250" s="74">
        <v>43.32</v>
      </c>
      <c r="K250" s="74" t="s">
        <v>371</v>
      </c>
      <c r="L250" s="74">
        <v>43.12</v>
      </c>
      <c r="M250" s="7">
        <v>61</v>
      </c>
      <c r="N250" s="7"/>
      <c r="O250" s="438">
        <f t="shared" si="9"/>
        <v>2630.32</v>
      </c>
      <c r="P250" s="438">
        <v>15</v>
      </c>
      <c r="Q250" s="438">
        <f t="shared" si="10"/>
        <v>184.1224</v>
      </c>
      <c r="R250" s="438">
        <v>600</v>
      </c>
      <c r="S250" s="439">
        <f t="shared" si="11"/>
        <v>1831.1976</v>
      </c>
      <c r="T250" s="7"/>
      <c r="U250" s="7"/>
      <c r="V250" s="7"/>
      <c r="W250" s="417">
        <v>1</v>
      </c>
    </row>
    <row r="251" s="417" customFormat="1" ht="16" customHeight="1" spans="1:23">
      <c r="A251" s="449">
        <v>46183</v>
      </c>
      <c r="B251" s="449">
        <v>46184</v>
      </c>
      <c r="C251" s="7"/>
      <c r="D251" s="7" t="s">
        <v>235</v>
      </c>
      <c r="E251" s="7" t="s">
        <v>138</v>
      </c>
      <c r="F251" s="7" t="s">
        <v>138</v>
      </c>
      <c r="G251" s="7" t="s">
        <v>454</v>
      </c>
      <c r="H251" s="7" t="s">
        <v>368</v>
      </c>
      <c r="I251" s="7" t="s">
        <v>356</v>
      </c>
      <c r="J251" s="74">
        <v>42.38</v>
      </c>
      <c r="K251" s="74" t="s">
        <v>371</v>
      </c>
      <c r="L251" s="74">
        <v>42.09</v>
      </c>
      <c r="M251" s="7">
        <v>61</v>
      </c>
      <c r="N251" s="7"/>
      <c r="O251" s="438">
        <f t="shared" si="9"/>
        <v>2567.49</v>
      </c>
      <c r="P251" s="438">
        <v>15</v>
      </c>
      <c r="Q251" s="438">
        <f t="shared" si="10"/>
        <v>179.7243</v>
      </c>
      <c r="R251" s="438">
        <v>600</v>
      </c>
      <c r="S251" s="439">
        <f t="shared" si="11"/>
        <v>1772.7657</v>
      </c>
      <c r="T251" s="7"/>
      <c r="U251" s="7"/>
      <c r="V251" s="7"/>
      <c r="W251" s="417">
        <v>1</v>
      </c>
    </row>
    <row r="252" s="417" customFormat="1" ht="16" customHeight="1" spans="1:23">
      <c r="A252" s="449">
        <v>46183</v>
      </c>
      <c r="B252" s="449">
        <v>46184</v>
      </c>
      <c r="C252" s="7"/>
      <c r="D252" s="7" t="s">
        <v>235</v>
      </c>
      <c r="E252" s="7" t="s">
        <v>105</v>
      </c>
      <c r="F252" s="7" t="s">
        <v>105</v>
      </c>
      <c r="G252" s="7" t="s">
        <v>106</v>
      </c>
      <c r="H252" s="7" t="s">
        <v>368</v>
      </c>
      <c r="I252" s="7" t="s">
        <v>356</v>
      </c>
      <c r="J252" s="74">
        <v>40.72</v>
      </c>
      <c r="K252" s="74" t="s">
        <v>371</v>
      </c>
      <c r="L252" s="74">
        <v>40.54</v>
      </c>
      <c r="M252" s="7">
        <v>61</v>
      </c>
      <c r="N252" s="7"/>
      <c r="O252" s="438">
        <f t="shared" si="9"/>
        <v>2472.94</v>
      </c>
      <c r="P252" s="438">
        <v>15</v>
      </c>
      <c r="Q252" s="438">
        <f t="shared" si="10"/>
        <v>173.1058</v>
      </c>
      <c r="R252" s="438">
        <v>600</v>
      </c>
      <c r="S252" s="439">
        <f t="shared" si="11"/>
        <v>1684.8342</v>
      </c>
      <c r="T252" s="7"/>
      <c r="U252" s="7"/>
      <c r="V252" s="7"/>
      <c r="W252" s="417">
        <v>1</v>
      </c>
    </row>
    <row r="253" s="417" customFormat="1" ht="16" customHeight="1" spans="1:23">
      <c r="A253" s="449">
        <v>46183</v>
      </c>
      <c r="B253" s="449">
        <v>46183</v>
      </c>
      <c r="C253" s="7"/>
      <c r="D253" s="7" t="s">
        <v>235</v>
      </c>
      <c r="E253" s="7" t="s">
        <v>102</v>
      </c>
      <c r="F253" s="7" t="s">
        <v>102</v>
      </c>
      <c r="G253" s="7" t="s">
        <v>103</v>
      </c>
      <c r="H253" s="7" t="s">
        <v>368</v>
      </c>
      <c r="I253" s="7" t="s">
        <v>356</v>
      </c>
      <c r="J253" s="74">
        <v>42.68</v>
      </c>
      <c r="K253" s="74" t="s">
        <v>369</v>
      </c>
      <c r="L253" s="74">
        <v>42.6</v>
      </c>
      <c r="M253" s="442">
        <v>48</v>
      </c>
      <c r="N253" s="7"/>
      <c r="O253" s="438">
        <f t="shared" si="9"/>
        <v>2044.8</v>
      </c>
      <c r="P253" s="438">
        <v>15</v>
      </c>
      <c r="Q253" s="438">
        <f t="shared" si="10"/>
        <v>143.136</v>
      </c>
      <c r="R253" s="438">
        <v>600</v>
      </c>
      <c r="S253" s="439">
        <f t="shared" si="11"/>
        <v>1286.664</v>
      </c>
      <c r="T253" s="7"/>
      <c r="U253" s="7"/>
      <c r="V253" s="7"/>
      <c r="W253" s="417">
        <v>1</v>
      </c>
    </row>
    <row r="254" s="417" customFormat="1" ht="16" customHeight="1" spans="1:23">
      <c r="A254" s="449">
        <v>46183</v>
      </c>
      <c r="B254" s="449">
        <v>46183</v>
      </c>
      <c r="C254" s="7"/>
      <c r="D254" s="7" t="s">
        <v>235</v>
      </c>
      <c r="E254" s="7" t="s">
        <v>57</v>
      </c>
      <c r="F254" s="7" t="s">
        <v>57</v>
      </c>
      <c r="G254" s="7" t="s">
        <v>58</v>
      </c>
      <c r="H254" s="7" t="s">
        <v>368</v>
      </c>
      <c r="I254" s="7" t="s">
        <v>356</v>
      </c>
      <c r="J254" s="74">
        <v>42.06</v>
      </c>
      <c r="K254" s="74" t="s">
        <v>369</v>
      </c>
      <c r="L254" s="74">
        <v>42.04</v>
      </c>
      <c r="M254" s="457">
        <v>48</v>
      </c>
      <c r="N254" s="7"/>
      <c r="O254" s="438">
        <f t="shared" si="9"/>
        <v>2017.92</v>
      </c>
      <c r="P254" s="438">
        <v>15</v>
      </c>
      <c r="Q254" s="438">
        <f t="shared" si="10"/>
        <v>141.2544</v>
      </c>
      <c r="R254" s="438">
        <v>600</v>
      </c>
      <c r="S254" s="439">
        <f t="shared" si="11"/>
        <v>1261.6656</v>
      </c>
      <c r="T254" s="7"/>
      <c r="U254" s="7"/>
      <c r="V254" s="7"/>
      <c r="W254" s="417">
        <v>1</v>
      </c>
    </row>
    <row r="255" s="417" customFormat="1" ht="16" customHeight="1" spans="1:23">
      <c r="A255" s="449">
        <v>46183</v>
      </c>
      <c r="B255" s="449">
        <v>46185</v>
      </c>
      <c r="C255" s="7"/>
      <c r="D255" s="7" t="s">
        <v>235</v>
      </c>
      <c r="E255" s="7" t="s">
        <v>75</v>
      </c>
      <c r="F255" s="7" t="s">
        <v>75</v>
      </c>
      <c r="G255" s="7" t="s">
        <v>76</v>
      </c>
      <c r="H255" s="7" t="s">
        <v>368</v>
      </c>
      <c r="I255" s="7" t="s">
        <v>356</v>
      </c>
      <c r="J255" s="74">
        <v>41.96</v>
      </c>
      <c r="K255" s="74" t="s">
        <v>371</v>
      </c>
      <c r="L255" s="74">
        <v>41.77</v>
      </c>
      <c r="M255" s="7">
        <v>61</v>
      </c>
      <c r="N255" s="7"/>
      <c r="O255" s="438">
        <f t="shared" si="9"/>
        <v>2547.97</v>
      </c>
      <c r="P255" s="438">
        <v>15</v>
      </c>
      <c r="Q255" s="438">
        <f t="shared" si="10"/>
        <v>178.3579</v>
      </c>
      <c r="R255" s="438">
        <v>600</v>
      </c>
      <c r="S255" s="439">
        <f t="shared" si="11"/>
        <v>1754.6121</v>
      </c>
      <c r="T255" s="7"/>
      <c r="U255" s="7"/>
      <c r="V255" s="7"/>
      <c r="W255" s="417">
        <v>1</v>
      </c>
    </row>
    <row r="256" s="417" customFormat="1" ht="16" customHeight="1" spans="1:23">
      <c r="A256" s="449">
        <v>46183</v>
      </c>
      <c r="B256" s="449">
        <v>46183</v>
      </c>
      <c r="C256" s="7"/>
      <c r="D256" s="7" t="s">
        <v>235</v>
      </c>
      <c r="E256" s="7" t="s">
        <v>63</v>
      </c>
      <c r="F256" s="7" t="s">
        <v>63</v>
      </c>
      <c r="G256" s="7" t="s">
        <v>327</v>
      </c>
      <c r="H256" s="7" t="s">
        <v>368</v>
      </c>
      <c r="I256" s="7" t="s">
        <v>356</v>
      </c>
      <c r="J256" s="74">
        <v>42.04</v>
      </c>
      <c r="K256" s="74" t="s">
        <v>369</v>
      </c>
      <c r="L256" s="74">
        <v>42.02</v>
      </c>
      <c r="M256" s="442">
        <v>48</v>
      </c>
      <c r="N256" s="7"/>
      <c r="O256" s="438">
        <f t="shared" si="9"/>
        <v>2016.96</v>
      </c>
      <c r="P256" s="438">
        <v>15</v>
      </c>
      <c r="Q256" s="438">
        <f t="shared" si="10"/>
        <v>141.1872</v>
      </c>
      <c r="R256" s="438">
        <v>600</v>
      </c>
      <c r="S256" s="439">
        <f t="shared" si="11"/>
        <v>1260.7728</v>
      </c>
      <c r="T256" s="7"/>
      <c r="U256" s="7"/>
      <c r="V256" s="7"/>
      <c r="W256" s="417">
        <v>1</v>
      </c>
    </row>
    <row r="257" s="417" customFormat="1" ht="16" customHeight="1" spans="1:23">
      <c r="A257" s="449">
        <v>46183</v>
      </c>
      <c r="B257" s="449">
        <v>46183</v>
      </c>
      <c r="C257" s="7"/>
      <c r="D257" s="7" t="s">
        <v>235</v>
      </c>
      <c r="E257" s="7" t="s">
        <v>151</v>
      </c>
      <c r="F257" s="7" t="s">
        <v>151</v>
      </c>
      <c r="G257" s="7" t="s">
        <v>152</v>
      </c>
      <c r="H257" s="7" t="s">
        <v>368</v>
      </c>
      <c r="I257" s="7" t="s">
        <v>356</v>
      </c>
      <c r="J257" s="74">
        <v>41.06</v>
      </c>
      <c r="K257" s="74" t="s">
        <v>369</v>
      </c>
      <c r="L257" s="74">
        <v>41.04</v>
      </c>
      <c r="M257" s="457">
        <v>48</v>
      </c>
      <c r="N257" s="7"/>
      <c r="O257" s="438">
        <f t="shared" si="9"/>
        <v>1969.92</v>
      </c>
      <c r="P257" s="438">
        <v>15</v>
      </c>
      <c r="Q257" s="438">
        <f t="shared" si="10"/>
        <v>137.8944</v>
      </c>
      <c r="R257" s="438">
        <v>600</v>
      </c>
      <c r="S257" s="439">
        <f t="shared" si="11"/>
        <v>1217.0256</v>
      </c>
      <c r="T257" s="7"/>
      <c r="U257" s="7"/>
      <c r="V257" s="7"/>
      <c r="W257" s="417">
        <v>1</v>
      </c>
    </row>
    <row r="258" s="417" customFormat="1" ht="16" customHeight="1" spans="1:23">
      <c r="A258" s="449">
        <v>46183</v>
      </c>
      <c r="B258" s="449">
        <v>46183</v>
      </c>
      <c r="C258" s="7"/>
      <c r="D258" s="7" t="s">
        <v>235</v>
      </c>
      <c r="E258" s="7" t="s">
        <v>81</v>
      </c>
      <c r="F258" s="7" t="s">
        <v>81</v>
      </c>
      <c r="G258" s="7" t="s">
        <v>82</v>
      </c>
      <c r="H258" s="7" t="s">
        <v>368</v>
      </c>
      <c r="I258" s="7" t="s">
        <v>356</v>
      </c>
      <c r="J258" s="74">
        <v>42.26</v>
      </c>
      <c r="K258" s="74" t="s">
        <v>369</v>
      </c>
      <c r="L258" s="74">
        <v>42.22</v>
      </c>
      <c r="M258" s="457">
        <v>48</v>
      </c>
      <c r="N258" s="7"/>
      <c r="O258" s="438">
        <f t="shared" ref="O258:O321" si="12">L258*M258</f>
        <v>2026.56</v>
      </c>
      <c r="P258" s="438">
        <v>15</v>
      </c>
      <c r="Q258" s="438">
        <f t="shared" ref="Q258:Q321" si="13">O258*0.07</f>
        <v>141.8592</v>
      </c>
      <c r="R258" s="438">
        <v>600</v>
      </c>
      <c r="S258" s="439">
        <f t="shared" ref="S258:S321" si="14">O258-P258-R258-Q258</f>
        <v>1269.7008</v>
      </c>
      <c r="T258" s="7"/>
      <c r="U258" s="7"/>
      <c r="V258" s="7"/>
      <c r="W258" s="417">
        <v>1</v>
      </c>
    </row>
    <row r="259" s="417" customFormat="1" ht="16" customHeight="1" spans="1:23">
      <c r="A259" s="449">
        <v>46183</v>
      </c>
      <c r="B259" s="449">
        <v>46184</v>
      </c>
      <c r="C259" s="7"/>
      <c r="D259" s="7" t="s">
        <v>235</v>
      </c>
      <c r="E259" s="7" t="s">
        <v>108</v>
      </c>
      <c r="F259" s="7" t="s">
        <v>108</v>
      </c>
      <c r="G259" s="7" t="s">
        <v>109</v>
      </c>
      <c r="H259" s="7" t="s">
        <v>368</v>
      </c>
      <c r="I259" s="7" t="s">
        <v>356</v>
      </c>
      <c r="J259" s="74">
        <v>41.7</v>
      </c>
      <c r="K259" s="74" t="s">
        <v>369</v>
      </c>
      <c r="L259" s="74">
        <v>41.7</v>
      </c>
      <c r="M259" s="442">
        <v>48</v>
      </c>
      <c r="N259" s="7"/>
      <c r="O259" s="438">
        <f t="shared" si="12"/>
        <v>2001.6</v>
      </c>
      <c r="P259" s="438">
        <v>15</v>
      </c>
      <c r="Q259" s="438">
        <f t="shared" si="13"/>
        <v>140.112</v>
      </c>
      <c r="R259" s="438">
        <v>600</v>
      </c>
      <c r="S259" s="439">
        <f t="shared" si="14"/>
        <v>1246.488</v>
      </c>
      <c r="T259" s="7"/>
      <c r="U259" s="7"/>
      <c r="V259" s="7"/>
      <c r="W259" s="417">
        <v>1</v>
      </c>
    </row>
    <row r="260" s="417" customFormat="1" ht="16" customHeight="1" spans="1:23">
      <c r="A260" s="449">
        <v>46183</v>
      </c>
      <c r="B260" s="449">
        <v>46184</v>
      </c>
      <c r="C260" s="7"/>
      <c r="D260" s="7" t="s">
        <v>235</v>
      </c>
      <c r="E260" s="7" t="s">
        <v>60</v>
      </c>
      <c r="F260" s="7" t="s">
        <v>60</v>
      </c>
      <c r="G260" s="7" t="s">
        <v>61</v>
      </c>
      <c r="H260" s="7" t="s">
        <v>368</v>
      </c>
      <c r="I260" s="7" t="s">
        <v>356</v>
      </c>
      <c r="J260" s="74">
        <v>42.56</v>
      </c>
      <c r="K260" s="74" t="s">
        <v>369</v>
      </c>
      <c r="L260" s="74">
        <v>42.58</v>
      </c>
      <c r="M260" s="457">
        <v>48</v>
      </c>
      <c r="N260" s="7"/>
      <c r="O260" s="438">
        <f t="shared" si="12"/>
        <v>2043.84</v>
      </c>
      <c r="P260" s="438">
        <v>15</v>
      </c>
      <c r="Q260" s="438">
        <f t="shared" si="13"/>
        <v>143.0688</v>
      </c>
      <c r="R260" s="438">
        <v>600</v>
      </c>
      <c r="S260" s="439">
        <f t="shared" si="14"/>
        <v>1285.7712</v>
      </c>
      <c r="T260" s="7"/>
      <c r="U260" s="7"/>
      <c r="V260" s="7"/>
      <c r="W260" s="417">
        <v>1</v>
      </c>
    </row>
    <row r="261" s="417" customFormat="1" ht="16" customHeight="1" spans="1:23">
      <c r="A261" s="449">
        <v>46182</v>
      </c>
      <c r="B261" s="449">
        <v>46183</v>
      </c>
      <c r="C261" s="7"/>
      <c r="D261" s="7" t="s">
        <v>235</v>
      </c>
      <c r="E261" s="7" t="s">
        <v>180</v>
      </c>
      <c r="F261" s="7" t="s">
        <v>180</v>
      </c>
      <c r="G261" s="7" t="s">
        <v>181</v>
      </c>
      <c r="H261" s="7" t="s">
        <v>368</v>
      </c>
      <c r="I261" s="7" t="s">
        <v>356</v>
      </c>
      <c r="J261" s="74">
        <v>43.1</v>
      </c>
      <c r="K261" s="74" t="s">
        <v>371</v>
      </c>
      <c r="L261" s="74">
        <v>42.95</v>
      </c>
      <c r="M261" s="7">
        <v>61</v>
      </c>
      <c r="N261" s="7"/>
      <c r="O261" s="438">
        <f t="shared" si="12"/>
        <v>2619.95</v>
      </c>
      <c r="P261" s="438">
        <v>15</v>
      </c>
      <c r="Q261" s="438">
        <f t="shared" si="13"/>
        <v>183.3965</v>
      </c>
      <c r="R261" s="438">
        <v>600</v>
      </c>
      <c r="S261" s="439">
        <f t="shared" si="14"/>
        <v>1821.5535</v>
      </c>
      <c r="T261" s="7"/>
      <c r="U261" s="7"/>
      <c r="V261" s="7"/>
      <c r="W261" s="417">
        <v>1</v>
      </c>
    </row>
    <row r="262" s="417" customFormat="1" ht="16" customHeight="1" spans="1:23">
      <c r="A262" s="449">
        <v>46183</v>
      </c>
      <c r="B262" s="449">
        <v>46184</v>
      </c>
      <c r="C262" s="7"/>
      <c r="D262" s="7" t="s">
        <v>235</v>
      </c>
      <c r="E262" s="7" t="s">
        <v>132</v>
      </c>
      <c r="F262" s="7" t="s">
        <v>132</v>
      </c>
      <c r="G262" s="7" t="s">
        <v>133</v>
      </c>
      <c r="H262" s="7" t="s">
        <v>368</v>
      </c>
      <c r="I262" s="7" t="s">
        <v>356</v>
      </c>
      <c r="J262" s="74">
        <v>41.32</v>
      </c>
      <c r="K262" s="74" t="s">
        <v>369</v>
      </c>
      <c r="L262" s="74">
        <v>41.28</v>
      </c>
      <c r="M262" s="442">
        <v>48</v>
      </c>
      <c r="N262" s="7"/>
      <c r="O262" s="438">
        <f t="shared" si="12"/>
        <v>1981.44</v>
      </c>
      <c r="P262" s="438">
        <v>15</v>
      </c>
      <c r="Q262" s="438">
        <f t="shared" si="13"/>
        <v>138.7008</v>
      </c>
      <c r="R262" s="438">
        <v>600</v>
      </c>
      <c r="S262" s="439">
        <f t="shared" si="14"/>
        <v>1227.7392</v>
      </c>
      <c r="T262" s="7"/>
      <c r="U262" s="7"/>
      <c r="V262" s="7"/>
      <c r="W262" s="417">
        <v>1</v>
      </c>
    </row>
    <row r="263" s="417" customFormat="1" ht="16" customHeight="1" spans="1:23">
      <c r="A263" s="449">
        <v>46183</v>
      </c>
      <c r="B263" s="449">
        <v>46184</v>
      </c>
      <c r="C263" s="7"/>
      <c r="D263" s="7" t="s">
        <v>235</v>
      </c>
      <c r="E263" s="7" t="s">
        <v>141</v>
      </c>
      <c r="F263" s="7" t="s">
        <v>141</v>
      </c>
      <c r="G263" s="7" t="s">
        <v>142</v>
      </c>
      <c r="H263" s="7" t="s">
        <v>368</v>
      </c>
      <c r="I263" s="7" t="s">
        <v>356</v>
      </c>
      <c r="J263" s="74">
        <v>42.06</v>
      </c>
      <c r="K263" s="74" t="s">
        <v>369</v>
      </c>
      <c r="L263" s="74">
        <v>42.04</v>
      </c>
      <c r="M263" s="457">
        <v>48</v>
      </c>
      <c r="N263" s="7"/>
      <c r="O263" s="438">
        <f t="shared" si="12"/>
        <v>2017.92</v>
      </c>
      <c r="P263" s="438">
        <v>15</v>
      </c>
      <c r="Q263" s="438">
        <f t="shared" si="13"/>
        <v>141.2544</v>
      </c>
      <c r="R263" s="438">
        <v>600</v>
      </c>
      <c r="S263" s="439">
        <f t="shared" si="14"/>
        <v>1261.6656</v>
      </c>
      <c r="T263" s="7"/>
      <c r="U263" s="7"/>
      <c r="V263" s="7"/>
      <c r="W263" s="417">
        <v>1</v>
      </c>
    </row>
    <row r="264" s="418" customFormat="1" ht="16" customHeight="1" spans="1:23">
      <c r="A264" s="458">
        <v>46183</v>
      </c>
      <c r="B264" s="458">
        <v>46185</v>
      </c>
      <c r="C264" s="451"/>
      <c r="D264" s="451" t="s">
        <v>235</v>
      </c>
      <c r="E264" s="451" t="s">
        <v>84</v>
      </c>
      <c r="F264" s="451" t="s">
        <v>84</v>
      </c>
      <c r="G264" s="451" t="s">
        <v>85</v>
      </c>
      <c r="H264" s="451" t="s">
        <v>368</v>
      </c>
      <c r="I264" s="451" t="s">
        <v>356</v>
      </c>
      <c r="J264" s="74">
        <v>41.22</v>
      </c>
      <c r="K264" s="451" t="s">
        <v>369</v>
      </c>
      <c r="L264" s="74">
        <v>41.16</v>
      </c>
      <c r="M264" s="459">
        <v>48</v>
      </c>
      <c r="N264" s="451"/>
      <c r="O264" s="438">
        <f t="shared" si="12"/>
        <v>1975.68</v>
      </c>
      <c r="P264" s="460">
        <v>15</v>
      </c>
      <c r="Q264" s="460">
        <f t="shared" si="13"/>
        <v>138.2976</v>
      </c>
      <c r="R264" s="460">
        <v>600</v>
      </c>
      <c r="S264" s="461">
        <f t="shared" si="14"/>
        <v>1222.3824</v>
      </c>
      <c r="T264" s="7"/>
      <c r="U264" s="7"/>
      <c r="V264" s="7"/>
      <c r="W264" s="417">
        <v>1</v>
      </c>
    </row>
    <row r="265" s="417" customFormat="1" ht="16" customHeight="1" spans="1:23">
      <c r="A265" s="449">
        <v>46184</v>
      </c>
      <c r="B265" s="449">
        <v>46184</v>
      </c>
      <c r="C265" s="7" t="s">
        <v>520</v>
      </c>
      <c r="D265" s="7" t="s">
        <v>237</v>
      </c>
      <c r="E265" s="7" t="s">
        <v>69</v>
      </c>
      <c r="F265" s="7" t="s">
        <v>69</v>
      </c>
      <c r="G265" s="7" t="s">
        <v>70</v>
      </c>
      <c r="H265" s="7" t="s">
        <v>354</v>
      </c>
      <c r="I265" s="7" t="s">
        <v>407</v>
      </c>
      <c r="J265" s="74">
        <v>43.36</v>
      </c>
      <c r="K265" s="74" t="s">
        <v>356</v>
      </c>
      <c r="L265" s="74">
        <v>43.36</v>
      </c>
      <c r="M265" s="7">
        <v>87</v>
      </c>
      <c r="N265" s="7"/>
      <c r="O265" s="438">
        <f t="shared" si="12"/>
        <v>3772.32</v>
      </c>
      <c r="P265" s="438">
        <v>15</v>
      </c>
      <c r="Q265" s="438">
        <f t="shared" si="13"/>
        <v>264.0624</v>
      </c>
      <c r="R265" s="438">
        <v>800</v>
      </c>
      <c r="S265" s="439">
        <f t="shared" si="14"/>
        <v>2693.2576</v>
      </c>
      <c r="T265" s="7"/>
      <c r="U265" s="7"/>
      <c r="V265" s="7"/>
      <c r="W265" s="417">
        <v>1</v>
      </c>
    </row>
    <row r="266" s="417" customFormat="1" ht="16" customHeight="1" spans="1:23">
      <c r="A266" s="449">
        <v>46184</v>
      </c>
      <c r="B266" s="449">
        <v>46185</v>
      </c>
      <c r="C266" s="7" t="s">
        <v>521</v>
      </c>
      <c r="D266" s="7" t="s">
        <v>237</v>
      </c>
      <c r="E266" s="7" t="s">
        <v>180</v>
      </c>
      <c r="F266" s="7" t="s">
        <v>180</v>
      </c>
      <c r="G266" s="7" t="s">
        <v>181</v>
      </c>
      <c r="H266" s="7" t="s">
        <v>354</v>
      </c>
      <c r="I266" s="7" t="s">
        <v>407</v>
      </c>
      <c r="J266" s="74">
        <v>41.92</v>
      </c>
      <c r="K266" s="74" t="s">
        <v>356</v>
      </c>
      <c r="L266" s="74">
        <v>41.92</v>
      </c>
      <c r="M266" s="7">
        <v>87</v>
      </c>
      <c r="N266" s="7"/>
      <c r="O266" s="438">
        <f t="shared" si="12"/>
        <v>3647.04</v>
      </c>
      <c r="P266" s="438">
        <v>15</v>
      </c>
      <c r="Q266" s="438">
        <f t="shared" si="13"/>
        <v>255.2928</v>
      </c>
      <c r="R266" s="438">
        <v>800</v>
      </c>
      <c r="S266" s="439">
        <f t="shared" si="14"/>
        <v>2576.7472</v>
      </c>
      <c r="T266" s="7"/>
      <c r="U266" s="7"/>
      <c r="V266" s="7"/>
      <c r="W266" s="417">
        <v>1</v>
      </c>
    </row>
    <row r="267" s="417" customFormat="1" ht="16" customHeight="1" spans="1:23">
      <c r="A267" s="449">
        <v>46184</v>
      </c>
      <c r="B267" s="449">
        <v>46185</v>
      </c>
      <c r="C267" s="7" t="s">
        <v>522</v>
      </c>
      <c r="D267" s="7" t="s">
        <v>237</v>
      </c>
      <c r="E267" s="7" t="s">
        <v>338</v>
      </c>
      <c r="F267" s="7" t="s">
        <v>338</v>
      </c>
      <c r="G267" s="7" t="s">
        <v>158</v>
      </c>
      <c r="H267" s="7" t="s">
        <v>354</v>
      </c>
      <c r="I267" s="7" t="s">
        <v>407</v>
      </c>
      <c r="J267" s="74">
        <v>42.44</v>
      </c>
      <c r="K267" s="74" t="s">
        <v>356</v>
      </c>
      <c r="L267" s="74">
        <v>42.38</v>
      </c>
      <c r="M267" s="7">
        <v>87</v>
      </c>
      <c r="N267" s="7"/>
      <c r="O267" s="438">
        <f t="shared" si="12"/>
        <v>3687.06</v>
      </c>
      <c r="P267" s="438">
        <v>15</v>
      </c>
      <c r="Q267" s="438">
        <f t="shared" si="13"/>
        <v>258.0942</v>
      </c>
      <c r="R267" s="438">
        <v>800</v>
      </c>
      <c r="S267" s="439">
        <f t="shared" si="14"/>
        <v>2613.9658</v>
      </c>
      <c r="T267" s="7"/>
      <c r="U267" s="7"/>
      <c r="V267" s="7"/>
      <c r="W267" s="417">
        <v>1</v>
      </c>
    </row>
    <row r="268" s="417" customFormat="1" ht="16" customHeight="1" spans="1:23">
      <c r="A268" s="449">
        <v>46184</v>
      </c>
      <c r="B268" s="449">
        <v>46185</v>
      </c>
      <c r="C268" s="7" t="s">
        <v>523</v>
      </c>
      <c r="D268" s="7" t="s">
        <v>237</v>
      </c>
      <c r="E268" s="7" t="s">
        <v>160</v>
      </c>
      <c r="F268" s="7" t="s">
        <v>160</v>
      </c>
      <c r="G268" s="7" t="s">
        <v>161</v>
      </c>
      <c r="H268" s="7" t="s">
        <v>354</v>
      </c>
      <c r="I268" s="7" t="s">
        <v>407</v>
      </c>
      <c r="J268" s="74">
        <v>43.22</v>
      </c>
      <c r="K268" s="74" t="s">
        <v>356</v>
      </c>
      <c r="L268" s="74">
        <v>43.22</v>
      </c>
      <c r="M268" s="7">
        <v>87</v>
      </c>
      <c r="N268" s="7"/>
      <c r="O268" s="438">
        <f t="shared" si="12"/>
        <v>3760.14</v>
      </c>
      <c r="P268" s="438">
        <v>15</v>
      </c>
      <c r="Q268" s="438">
        <f t="shared" si="13"/>
        <v>263.2098</v>
      </c>
      <c r="R268" s="438">
        <v>800</v>
      </c>
      <c r="S268" s="439">
        <f t="shared" si="14"/>
        <v>2681.9302</v>
      </c>
      <c r="T268" s="7"/>
      <c r="U268" s="7"/>
      <c r="V268" s="7"/>
      <c r="W268" s="417">
        <v>1</v>
      </c>
    </row>
    <row r="269" s="417" customFormat="1" ht="16" customHeight="1" spans="1:23">
      <c r="A269" s="449">
        <v>46184</v>
      </c>
      <c r="B269" s="449">
        <v>46185</v>
      </c>
      <c r="C269" s="7" t="s">
        <v>524</v>
      </c>
      <c r="D269" s="7" t="s">
        <v>237</v>
      </c>
      <c r="E269" s="7" t="s">
        <v>154</v>
      </c>
      <c r="F269" s="7" t="s">
        <v>154</v>
      </c>
      <c r="G269" s="7" t="s">
        <v>155</v>
      </c>
      <c r="H269" s="7" t="s">
        <v>354</v>
      </c>
      <c r="I269" s="7" t="s">
        <v>407</v>
      </c>
      <c r="J269" s="74">
        <v>44.76</v>
      </c>
      <c r="K269" s="74" t="s">
        <v>356</v>
      </c>
      <c r="L269" s="74">
        <v>44.76</v>
      </c>
      <c r="M269" s="7">
        <v>87</v>
      </c>
      <c r="N269" s="7"/>
      <c r="O269" s="438">
        <f t="shared" si="12"/>
        <v>3894.12</v>
      </c>
      <c r="P269" s="438">
        <v>15</v>
      </c>
      <c r="Q269" s="438">
        <f t="shared" si="13"/>
        <v>272.5884</v>
      </c>
      <c r="R269" s="438">
        <v>800</v>
      </c>
      <c r="S269" s="439">
        <f t="shared" si="14"/>
        <v>2806.5316</v>
      </c>
      <c r="T269" s="7"/>
      <c r="U269" s="7"/>
      <c r="V269" s="7"/>
      <c r="W269" s="417">
        <v>1</v>
      </c>
    </row>
    <row r="270" s="417" customFormat="1" ht="16" customHeight="1" spans="1:23">
      <c r="A270" s="449">
        <v>46184</v>
      </c>
      <c r="B270" s="449">
        <v>46185</v>
      </c>
      <c r="C270" s="7" t="s">
        <v>525</v>
      </c>
      <c r="D270" s="7" t="s">
        <v>237</v>
      </c>
      <c r="E270" s="7" t="s">
        <v>163</v>
      </c>
      <c r="F270" s="7" t="s">
        <v>163</v>
      </c>
      <c r="G270" s="7" t="s">
        <v>164</v>
      </c>
      <c r="H270" s="7" t="s">
        <v>354</v>
      </c>
      <c r="I270" s="7" t="s">
        <v>407</v>
      </c>
      <c r="J270" s="74">
        <v>43.66</v>
      </c>
      <c r="K270" s="74" t="s">
        <v>356</v>
      </c>
      <c r="L270" s="74">
        <v>43.6</v>
      </c>
      <c r="M270" s="7">
        <v>87</v>
      </c>
      <c r="N270" s="7"/>
      <c r="O270" s="438">
        <f t="shared" si="12"/>
        <v>3793.2</v>
      </c>
      <c r="P270" s="438">
        <v>15</v>
      </c>
      <c r="Q270" s="438">
        <f t="shared" si="13"/>
        <v>265.524</v>
      </c>
      <c r="R270" s="438">
        <v>800</v>
      </c>
      <c r="S270" s="439">
        <f t="shared" si="14"/>
        <v>2712.676</v>
      </c>
      <c r="T270" s="7"/>
      <c r="U270" s="7"/>
      <c r="V270" s="7"/>
      <c r="W270" s="417">
        <v>1</v>
      </c>
    </row>
    <row r="271" s="417" customFormat="1" ht="16" customHeight="1" spans="1:23">
      <c r="A271" s="449">
        <v>46184</v>
      </c>
      <c r="B271" s="449">
        <v>46186</v>
      </c>
      <c r="C271" s="7" t="s">
        <v>526</v>
      </c>
      <c r="D271" s="7" t="s">
        <v>237</v>
      </c>
      <c r="E271" s="7" t="s">
        <v>339</v>
      </c>
      <c r="F271" s="7" t="s">
        <v>339</v>
      </c>
      <c r="G271" s="7" t="s">
        <v>170</v>
      </c>
      <c r="H271" s="7" t="s">
        <v>354</v>
      </c>
      <c r="I271" s="7" t="s">
        <v>407</v>
      </c>
      <c r="J271" s="74">
        <v>45.04</v>
      </c>
      <c r="K271" s="74" t="s">
        <v>356</v>
      </c>
      <c r="L271" s="74">
        <v>45.04</v>
      </c>
      <c r="M271" s="7">
        <v>87</v>
      </c>
      <c r="N271" s="7"/>
      <c r="O271" s="438">
        <f t="shared" si="12"/>
        <v>3918.48</v>
      </c>
      <c r="P271" s="438">
        <v>15</v>
      </c>
      <c r="Q271" s="438">
        <f t="shared" si="13"/>
        <v>274.2936</v>
      </c>
      <c r="R271" s="438">
        <v>800</v>
      </c>
      <c r="S271" s="439">
        <f t="shared" si="14"/>
        <v>2829.1864</v>
      </c>
      <c r="T271" s="7"/>
      <c r="U271" s="7"/>
      <c r="V271" s="7"/>
      <c r="W271" s="417">
        <v>1</v>
      </c>
    </row>
    <row r="272" s="417" customFormat="1" ht="16" customHeight="1" spans="1:23">
      <c r="A272" s="449">
        <v>46183</v>
      </c>
      <c r="B272" s="449">
        <v>46185</v>
      </c>
      <c r="C272" s="442" t="s">
        <v>527</v>
      </c>
      <c r="D272" s="7" t="s">
        <v>233</v>
      </c>
      <c r="E272" s="7" t="s">
        <v>87</v>
      </c>
      <c r="F272" s="7" t="s">
        <v>87</v>
      </c>
      <c r="G272" s="7" t="s">
        <v>88</v>
      </c>
      <c r="H272" s="7" t="s">
        <v>354</v>
      </c>
      <c r="I272" s="7" t="s">
        <v>355</v>
      </c>
      <c r="J272" s="74">
        <v>41.54</v>
      </c>
      <c r="K272" s="74" t="s">
        <v>356</v>
      </c>
      <c r="L272" s="74">
        <v>41.5</v>
      </c>
      <c r="M272" s="7">
        <v>67</v>
      </c>
      <c r="N272" s="7"/>
      <c r="O272" s="438">
        <f t="shared" si="12"/>
        <v>2780.5</v>
      </c>
      <c r="P272" s="438">
        <v>15</v>
      </c>
      <c r="Q272" s="438">
        <f t="shared" si="13"/>
        <v>194.635</v>
      </c>
      <c r="R272" s="438">
        <v>600</v>
      </c>
      <c r="S272" s="439">
        <f t="shared" si="14"/>
        <v>1970.865</v>
      </c>
      <c r="T272" s="7"/>
      <c r="U272" s="7"/>
      <c r="V272" s="7"/>
      <c r="W272" s="417">
        <v>1</v>
      </c>
    </row>
    <row r="273" s="417" customFormat="1" ht="16" customHeight="1" spans="1:23">
      <c r="A273" s="449">
        <v>46184</v>
      </c>
      <c r="B273" s="449">
        <v>46185</v>
      </c>
      <c r="C273" s="442" t="s">
        <v>528</v>
      </c>
      <c r="D273" s="7" t="s">
        <v>233</v>
      </c>
      <c r="E273" s="7" t="s">
        <v>57</v>
      </c>
      <c r="F273" s="7" t="s">
        <v>57</v>
      </c>
      <c r="G273" s="7" t="s">
        <v>58</v>
      </c>
      <c r="H273" s="7" t="s">
        <v>354</v>
      </c>
      <c r="I273" s="7" t="s">
        <v>355</v>
      </c>
      <c r="J273" s="74">
        <v>40</v>
      </c>
      <c r="K273" s="74" t="s">
        <v>356</v>
      </c>
      <c r="L273" s="74">
        <v>40</v>
      </c>
      <c r="M273" s="7">
        <v>67</v>
      </c>
      <c r="N273" s="7"/>
      <c r="O273" s="438">
        <f t="shared" si="12"/>
        <v>2680</v>
      </c>
      <c r="P273" s="438">
        <v>15</v>
      </c>
      <c r="Q273" s="438">
        <f t="shared" si="13"/>
        <v>187.6</v>
      </c>
      <c r="R273" s="438">
        <v>600</v>
      </c>
      <c r="S273" s="439">
        <f t="shared" si="14"/>
        <v>1877.4</v>
      </c>
      <c r="T273" s="7"/>
      <c r="U273" s="7"/>
      <c r="V273" s="7"/>
      <c r="W273" s="417">
        <v>1</v>
      </c>
    </row>
    <row r="274" s="417" customFormat="1" ht="16" customHeight="1" spans="1:23">
      <c r="A274" s="449">
        <v>46184</v>
      </c>
      <c r="B274" s="449">
        <v>46184</v>
      </c>
      <c r="C274" s="442" t="s">
        <v>529</v>
      </c>
      <c r="D274" s="7" t="s">
        <v>233</v>
      </c>
      <c r="E274" s="7" t="s">
        <v>102</v>
      </c>
      <c r="F274" s="7" t="s">
        <v>102</v>
      </c>
      <c r="G274" s="7" t="s">
        <v>103</v>
      </c>
      <c r="H274" s="7" t="s">
        <v>354</v>
      </c>
      <c r="I274" s="7" t="s">
        <v>355</v>
      </c>
      <c r="J274" s="74">
        <v>41.32</v>
      </c>
      <c r="K274" s="74" t="s">
        <v>356</v>
      </c>
      <c r="L274" s="74">
        <v>41.28</v>
      </c>
      <c r="M274" s="7">
        <v>67</v>
      </c>
      <c r="N274" s="7"/>
      <c r="O274" s="438">
        <f t="shared" si="12"/>
        <v>2765.76</v>
      </c>
      <c r="P274" s="438">
        <v>15</v>
      </c>
      <c r="Q274" s="438">
        <f t="shared" si="13"/>
        <v>193.6032</v>
      </c>
      <c r="R274" s="438">
        <v>600</v>
      </c>
      <c r="S274" s="439">
        <f t="shared" si="14"/>
        <v>1957.1568</v>
      </c>
      <c r="T274" s="7"/>
      <c r="U274" s="7"/>
      <c r="V274" s="7"/>
      <c r="W274" s="417">
        <v>1</v>
      </c>
    </row>
    <row r="275" s="417" customFormat="1" ht="16" customHeight="1" spans="1:23">
      <c r="A275" s="449">
        <v>46184</v>
      </c>
      <c r="B275" s="449">
        <v>46185</v>
      </c>
      <c r="C275" s="442" t="s">
        <v>530</v>
      </c>
      <c r="D275" s="7" t="s">
        <v>233</v>
      </c>
      <c r="E275" s="7" t="s">
        <v>111</v>
      </c>
      <c r="F275" s="7" t="s">
        <v>111</v>
      </c>
      <c r="G275" s="7" t="s">
        <v>112</v>
      </c>
      <c r="H275" s="7" t="s">
        <v>354</v>
      </c>
      <c r="I275" s="7" t="s">
        <v>355</v>
      </c>
      <c r="J275" s="74">
        <v>41.66</v>
      </c>
      <c r="K275" s="74" t="s">
        <v>356</v>
      </c>
      <c r="L275" s="74">
        <v>41.64</v>
      </c>
      <c r="M275" s="7">
        <v>67</v>
      </c>
      <c r="N275" s="7"/>
      <c r="O275" s="438">
        <f t="shared" si="12"/>
        <v>2789.88</v>
      </c>
      <c r="P275" s="438">
        <v>15</v>
      </c>
      <c r="Q275" s="438">
        <f t="shared" si="13"/>
        <v>195.2916</v>
      </c>
      <c r="R275" s="438">
        <v>600</v>
      </c>
      <c r="S275" s="439">
        <f t="shared" si="14"/>
        <v>1979.5884</v>
      </c>
      <c r="T275" s="7"/>
      <c r="U275" s="7"/>
      <c r="V275" s="7"/>
      <c r="W275" s="417">
        <v>1</v>
      </c>
    </row>
    <row r="276" s="417" customFormat="1" ht="16" customHeight="1" spans="1:23">
      <c r="A276" s="449">
        <v>46184</v>
      </c>
      <c r="B276" s="449">
        <v>46185</v>
      </c>
      <c r="C276" s="442" t="s">
        <v>531</v>
      </c>
      <c r="D276" s="7" t="s">
        <v>233</v>
      </c>
      <c r="E276" s="7" t="s">
        <v>96</v>
      </c>
      <c r="F276" s="7" t="s">
        <v>96</v>
      </c>
      <c r="G276" s="7" t="s">
        <v>97</v>
      </c>
      <c r="H276" s="7" t="s">
        <v>354</v>
      </c>
      <c r="I276" s="7" t="s">
        <v>355</v>
      </c>
      <c r="J276" s="74">
        <v>39.44</v>
      </c>
      <c r="K276" s="74" t="s">
        <v>356</v>
      </c>
      <c r="L276" s="74">
        <v>39.44</v>
      </c>
      <c r="M276" s="7">
        <v>67</v>
      </c>
      <c r="N276" s="7"/>
      <c r="O276" s="438">
        <f t="shared" si="12"/>
        <v>2642.48</v>
      </c>
      <c r="P276" s="438">
        <v>15</v>
      </c>
      <c r="Q276" s="438">
        <f t="shared" si="13"/>
        <v>184.9736</v>
      </c>
      <c r="R276" s="438">
        <v>600</v>
      </c>
      <c r="S276" s="439">
        <f t="shared" si="14"/>
        <v>1842.5064</v>
      </c>
      <c r="T276" s="7"/>
      <c r="U276" s="7"/>
      <c r="V276" s="7"/>
      <c r="W276" s="417">
        <v>1</v>
      </c>
    </row>
    <row r="277" s="417" customFormat="1" ht="16" customHeight="1" spans="1:23">
      <c r="A277" s="449">
        <v>46184</v>
      </c>
      <c r="B277" s="449">
        <v>46185</v>
      </c>
      <c r="C277" s="442" t="s">
        <v>532</v>
      </c>
      <c r="D277" s="7" t="s">
        <v>233</v>
      </c>
      <c r="E277" s="7" t="s">
        <v>60</v>
      </c>
      <c r="F277" s="7" t="s">
        <v>60</v>
      </c>
      <c r="G277" s="7" t="s">
        <v>61</v>
      </c>
      <c r="H277" s="7" t="s">
        <v>354</v>
      </c>
      <c r="I277" s="7" t="s">
        <v>355</v>
      </c>
      <c r="J277" s="74">
        <v>40.52</v>
      </c>
      <c r="K277" s="74" t="s">
        <v>356</v>
      </c>
      <c r="L277" s="74">
        <v>40.48</v>
      </c>
      <c r="M277" s="7">
        <v>67</v>
      </c>
      <c r="N277" s="7"/>
      <c r="O277" s="438">
        <f t="shared" si="12"/>
        <v>2712.16</v>
      </c>
      <c r="P277" s="438">
        <v>15</v>
      </c>
      <c r="Q277" s="438">
        <f t="shared" si="13"/>
        <v>189.8512</v>
      </c>
      <c r="R277" s="438">
        <v>600</v>
      </c>
      <c r="S277" s="439">
        <f t="shared" si="14"/>
        <v>1907.3088</v>
      </c>
      <c r="T277" s="7"/>
      <c r="U277" s="7"/>
      <c r="V277" s="7"/>
      <c r="W277" s="417">
        <v>1</v>
      </c>
    </row>
    <row r="278" s="417" customFormat="1" ht="16" customHeight="1" spans="1:23">
      <c r="A278" s="449">
        <v>46184</v>
      </c>
      <c r="B278" s="449">
        <v>46186</v>
      </c>
      <c r="C278" s="442" t="s">
        <v>533</v>
      </c>
      <c r="D278" s="7" t="s">
        <v>233</v>
      </c>
      <c r="E278" s="7" t="s">
        <v>141</v>
      </c>
      <c r="F278" s="7" t="s">
        <v>141</v>
      </c>
      <c r="G278" s="7" t="s">
        <v>142</v>
      </c>
      <c r="H278" s="7" t="s">
        <v>354</v>
      </c>
      <c r="I278" s="7" t="s">
        <v>355</v>
      </c>
      <c r="J278" s="74">
        <v>44.1</v>
      </c>
      <c r="K278" s="74" t="s">
        <v>356</v>
      </c>
      <c r="L278" s="74">
        <v>44.1</v>
      </c>
      <c r="M278" s="7">
        <v>67</v>
      </c>
      <c r="N278" s="7"/>
      <c r="O278" s="438">
        <f t="shared" si="12"/>
        <v>2954.7</v>
      </c>
      <c r="P278" s="438">
        <v>15</v>
      </c>
      <c r="Q278" s="438">
        <f t="shared" si="13"/>
        <v>206.829</v>
      </c>
      <c r="R278" s="438">
        <v>600</v>
      </c>
      <c r="S278" s="439">
        <f t="shared" si="14"/>
        <v>2132.871</v>
      </c>
      <c r="T278" s="7"/>
      <c r="U278" s="7"/>
      <c r="V278" s="7"/>
      <c r="W278" s="417">
        <v>1</v>
      </c>
    </row>
    <row r="279" s="417" customFormat="1" ht="16" customHeight="1" spans="1:23">
      <c r="A279" s="449">
        <v>46184</v>
      </c>
      <c r="B279" s="449">
        <v>46184</v>
      </c>
      <c r="C279" s="7"/>
      <c r="D279" s="7" t="s">
        <v>235</v>
      </c>
      <c r="E279" s="7" t="s">
        <v>144</v>
      </c>
      <c r="F279" s="7" t="s">
        <v>144</v>
      </c>
      <c r="G279" s="7" t="s">
        <v>145</v>
      </c>
      <c r="H279" s="7" t="s">
        <v>368</v>
      </c>
      <c r="I279" s="7" t="s">
        <v>356</v>
      </c>
      <c r="J279" s="74">
        <v>44.26</v>
      </c>
      <c r="K279" s="74" t="s">
        <v>369</v>
      </c>
      <c r="L279" s="74">
        <v>42.26</v>
      </c>
      <c r="M279" s="442">
        <v>48</v>
      </c>
      <c r="N279" s="7"/>
      <c r="O279" s="438">
        <f t="shared" si="12"/>
        <v>2028.48</v>
      </c>
      <c r="P279" s="438">
        <v>15</v>
      </c>
      <c r="Q279" s="438">
        <f t="shared" si="13"/>
        <v>141.9936</v>
      </c>
      <c r="R279" s="438">
        <v>600</v>
      </c>
      <c r="S279" s="439">
        <f t="shared" si="14"/>
        <v>1271.4864</v>
      </c>
      <c r="T279" s="7"/>
      <c r="U279" s="7"/>
      <c r="V279" s="7"/>
      <c r="W279" s="417">
        <v>1</v>
      </c>
    </row>
    <row r="280" s="418" customFormat="1" ht="16" customHeight="1" spans="1:23">
      <c r="A280" s="458">
        <v>46184</v>
      </c>
      <c r="B280" s="458">
        <v>46185</v>
      </c>
      <c r="C280" s="451"/>
      <c r="D280" s="451" t="s">
        <v>235</v>
      </c>
      <c r="E280" s="451" t="s">
        <v>127</v>
      </c>
      <c r="F280" s="451" t="s">
        <v>127</v>
      </c>
      <c r="G280" s="451" t="s">
        <v>128</v>
      </c>
      <c r="H280" s="451" t="s">
        <v>368</v>
      </c>
      <c r="I280" s="451" t="s">
        <v>356</v>
      </c>
      <c r="J280" s="74">
        <v>41.08</v>
      </c>
      <c r="K280" s="451" t="s">
        <v>369</v>
      </c>
      <c r="L280" s="74">
        <v>41.06</v>
      </c>
      <c r="M280" s="462">
        <v>48</v>
      </c>
      <c r="N280" s="451"/>
      <c r="O280" s="438">
        <f t="shared" si="12"/>
        <v>1970.88</v>
      </c>
      <c r="P280" s="460">
        <v>15</v>
      </c>
      <c r="Q280" s="460">
        <f t="shared" si="13"/>
        <v>137.9616</v>
      </c>
      <c r="R280" s="460">
        <v>600</v>
      </c>
      <c r="S280" s="461">
        <f t="shared" si="14"/>
        <v>1217.9184</v>
      </c>
      <c r="T280" s="7"/>
      <c r="U280" s="7"/>
      <c r="V280" s="7"/>
      <c r="W280" s="417">
        <v>1</v>
      </c>
    </row>
    <row r="281" s="417" customFormat="1" ht="16" customHeight="1" spans="1:23">
      <c r="A281" s="449">
        <v>46184</v>
      </c>
      <c r="B281" s="449">
        <v>46184</v>
      </c>
      <c r="C281" s="7"/>
      <c r="D281" s="7" t="s">
        <v>235</v>
      </c>
      <c r="E281" s="7" t="s">
        <v>172</v>
      </c>
      <c r="F281" s="7" t="s">
        <v>172</v>
      </c>
      <c r="G281" s="7" t="s">
        <v>122</v>
      </c>
      <c r="H281" s="7" t="s">
        <v>368</v>
      </c>
      <c r="I281" s="7" t="s">
        <v>356</v>
      </c>
      <c r="J281" s="74">
        <v>40.28</v>
      </c>
      <c r="K281" s="74" t="s">
        <v>369</v>
      </c>
      <c r="L281" s="74">
        <v>40.26</v>
      </c>
      <c r="M281" s="457">
        <v>48</v>
      </c>
      <c r="N281" s="7"/>
      <c r="O281" s="438">
        <f t="shared" si="12"/>
        <v>1932.48</v>
      </c>
      <c r="P281" s="438">
        <v>15</v>
      </c>
      <c r="Q281" s="438">
        <f t="shared" si="13"/>
        <v>135.2736</v>
      </c>
      <c r="R281" s="438">
        <v>600</v>
      </c>
      <c r="S281" s="439">
        <f t="shared" si="14"/>
        <v>1182.2064</v>
      </c>
      <c r="T281" s="7"/>
      <c r="U281" s="7"/>
      <c r="V281" s="7"/>
      <c r="W281" s="417">
        <v>1</v>
      </c>
    </row>
    <row r="282" s="417" customFormat="1" ht="16" customHeight="1" spans="1:23">
      <c r="A282" s="449">
        <v>46184</v>
      </c>
      <c r="B282" s="449">
        <v>46184</v>
      </c>
      <c r="C282" s="7"/>
      <c r="D282" s="7" t="s">
        <v>235</v>
      </c>
      <c r="E282" s="7" t="s">
        <v>72</v>
      </c>
      <c r="F282" s="7" t="s">
        <v>72</v>
      </c>
      <c r="G282" s="7" t="s">
        <v>73</v>
      </c>
      <c r="H282" s="7" t="s">
        <v>368</v>
      </c>
      <c r="I282" s="7" t="s">
        <v>356</v>
      </c>
      <c r="J282" s="74">
        <v>41</v>
      </c>
      <c r="K282" s="74" t="s">
        <v>369</v>
      </c>
      <c r="L282" s="74">
        <v>40.96</v>
      </c>
      <c r="M282" s="457">
        <v>48</v>
      </c>
      <c r="N282" s="7"/>
      <c r="O282" s="438">
        <f t="shared" si="12"/>
        <v>1966.08</v>
      </c>
      <c r="P282" s="438">
        <v>15</v>
      </c>
      <c r="Q282" s="438">
        <f t="shared" si="13"/>
        <v>137.6256</v>
      </c>
      <c r="R282" s="438">
        <v>600</v>
      </c>
      <c r="S282" s="439">
        <f t="shared" si="14"/>
        <v>1213.4544</v>
      </c>
      <c r="T282" s="7"/>
      <c r="U282" s="7"/>
      <c r="V282" s="7"/>
      <c r="W282" s="417">
        <v>1</v>
      </c>
    </row>
    <row r="283" s="417" customFormat="1" ht="16" customHeight="1" spans="1:23">
      <c r="A283" s="449">
        <v>46184</v>
      </c>
      <c r="B283" s="449">
        <v>46188</v>
      </c>
      <c r="C283" s="7"/>
      <c r="D283" s="7" t="s">
        <v>235</v>
      </c>
      <c r="E283" s="7" t="s">
        <v>90</v>
      </c>
      <c r="F283" s="7" t="s">
        <v>90</v>
      </c>
      <c r="G283" s="7" t="s">
        <v>91</v>
      </c>
      <c r="H283" s="7" t="s">
        <v>368</v>
      </c>
      <c r="I283" s="7" t="s">
        <v>356</v>
      </c>
      <c r="J283" s="74">
        <v>42.36</v>
      </c>
      <c r="K283" s="74" t="s">
        <v>369</v>
      </c>
      <c r="L283" s="74">
        <v>42.36</v>
      </c>
      <c r="M283" s="442">
        <v>48</v>
      </c>
      <c r="N283" s="7"/>
      <c r="O283" s="438">
        <f t="shared" si="12"/>
        <v>2033.28</v>
      </c>
      <c r="P283" s="438">
        <v>15</v>
      </c>
      <c r="Q283" s="438">
        <f t="shared" si="13"/>
        <v>142.3296</v>
      </c>
      <c r="R283" s="438">
        <v>600</v>
      </c>
      <c r="S283" s="439">
        <f t="shared" si="14"/>
        <v>1275.9504</v>
      </c>
      <c r="T283" s="7"/>
      <c r="U283" s="7"/>
      <c r="V283" s="7"/>
      <c r="W283" s="417">
        <v>1</v>
      </c>
    </row>
    <row r="284" s="417" customFormat="1" ht="16" customHeight="1" spans="1:23">
      <c r="A284" s="449">
        <v>46184</v>
      </c>
      <c r="B284" s="449">
        <v>46185</v>
      </c>
      <c r="C284" s="7"/>
      <c r="D284" s="7" t="s">
        <v>235</v>
      </c>
      <c r="E284" s="7" t="s">
        <v>93</v>
      </c>
      <c r="F284" s="7" t="s">
        <v>93</v>
      </c>
      <c r="G284" s="7" t="s">
        <v>94</v>
      </c>
      <c r="H284" s="7" t="s">
        <v>368</v>
      </c>
      <c r="I284" s="7" t="s">
        <v>356</v>
      </c>
      <c r="J284" s="74">
        <v>42.3</v>
      </c>
      <c r="K284" s="74" t="s">
        <v>369</v>
      </c>
      <c r="L284" s="74">
        <v>42.28</v>
      </c>
      <c r="M284" s="457">
        <v>48</v>
      </c>
      <c r="N284" s="7"/>
      <c r="O284" s="438">
        <f t="shared" si="12"/>
        <v>2029.44</v>
      </c>
      <c r="P284" s="438">
        <v>15</v>
      </c>
      <c r="Q284" s="438">
        <f t="shared" si="13"/>
        <v>142.0608</v>
      </c>
      <c r="R284" s="438">
        <v>600</v>
      </c>
      <c r="S284" s="439">
        <f t="shared" si="14"/>
        <v>1272.3792</v>
      </c>
      <c r="T284" s="7"/>
      <c r="U284" s="7"/>
      <c r="V284" s="7"/>
      <c r="W284" s="417">
        <v>1</v>
      </c>
    </row>
    <row r="285" s="417" customFormat="1" ht="16" customHeight="1" spans="1:23">
      <c r="A285" s="449">
        <v>46184</v>
      </c>
      <c r="B285" s="449">
        <v>46185</v>
      </c>
      <c r="C285" s="7" t="s">
        <v>534</v>
      </c>
      <c r="D285" s="7" t="s">
        <v>235</v>
      </c>
      <c r="E285" s="7" t="s">
        <v>177</v>
      </c>
      <c r="F285" s="7" t="s">
        <v>177</v>
      </c>
      <c r="G285" s="7" t="s">
        <v>178</v>
      </c>
      <c r="H285" s="7" t="s">
        <v>384</v>
      </c>
      <c r="I285" s="7" t="s">
        <v>356</v>
      </c>
      <c r="J285" s="74">
        <v>41.14</v>
      </c>
      <c r="K285" s="74" t="s">
        <v>371</v>
      </c>
      <c r="L285" s="74">
        <v>40.96</v>
      </c>
      <c r="M285" s="7">
        <v>61</v>
      </c>
      <c r="N285" s="7"/>
      <c r="O285" s="438">
        <f t="shared" si="12"/>
        <v>2498.56</v>
      </c>
      <c r="P285" s="438">
        <v>15</v>
      </c>
      <c r="Q285" s="438">
        <f t="shared" si="13"/>
        <v>174.8992</v>
      </c>
      <c r="R285" s="438">
        <v>600</v>
      </c>
      <c r="S285" s="439">
        <f t="shared" si="14"/>
        <v>1708.6608</v>
      </c>
      <c r="T285" s="7"/>
      <c r="U285" s="7"/>
      <c r="V285" s="7"/>
      <c r="W285" s="417">
        <v>1</v>
      </c>
    </row>
    <row r="286" s="417" customFormat="1" ht="16" customHeight="1" spans="1:23">
      <c r="A286" s="449">
        <v>46184</v>
      </c>
      <c r="B286" s="449">
        <v>46185</v>
      </c>
      <c r="C286" s="7"/>
      <c r="D286" s="7" t="s">
        <v>235</v>
      </c>
      <c r="E286" s="7" t="s">
        <v>117</v>
      </c>
      <c r="F286" s="7" t="s">
        <v>117</v>
      </c>
      <c r="G286" s="7" t="s">
        <v>118</v>
      </c>
      <c r="H286" s="7" t="s">
        <v>384</v>
      </c>
      <c r="I286" s="7" t="s">
        <v>356</v>
      </c>
      <c r="J286" s="74">
        <v>42.12</v>
      </c>
      <c r="K286" s="74" t="s">
        <v>369</v>
      </c>
      <c r="L286" s="74">
        <v>42.16</v>
      </c>
      <c r="M286" s="457">
        <v>48</v>
      </c>
      <c r="N286" s="7"/>
      <c r="O286" s="438">
        <f t="shared" si="12"/>
        <v>2023.68</v>
      </c>
      <c r="P286" s="438">
        <v>15</v>
      </c>
      <c r="Q286" s="438">
        <f t="shared" si="13"/>
        <v>141.6576</v>
      </c>
      <c r="R286" s="438">
        <v>600</v>
      </c>
      <c r="S286" s="439">
        <f t="shared" si="14"/>
        <v>1267.0224</v>
      </c>
      <c r="T286" s="7"/>
      <c r="U286" s="7"/>
      <c r="V286" s="7"/>
      <c r="W286" s="417">
        <v>1</v>
      </c>
    </row>
    <row r="287" s="417" customFormat="1" ht="16" customHeight="1" spans="1:23">
      <c r="A287" s="449">
        <v>46184</v>
      </c>
      <c r="B287" s="449">
        <v>46185</v>
      </c>
      <c r="C287" s="7"/>
      <c r="D287" s="7" t="s">
        <v>235</v>
      </c>
      <c r="E287" s="7" t="s">
        <v>148</v>
      </c>
      <c r="F287" s="7" t="s">
        <v>148</v>
      </c>
      <c r="G287" s="7" t="s">
        <v>149</v>
      </c>
      <c r="H287" s="7" t="s">
        <v>384</v>
      </c>
      <c r="I287" s="7" t="s">
        <v>356</v>
      </c>
      <c r="J287" s="74">
        <v>43.16</v>
      </c>
      <c r="K287" s="74" t="s">
        <v>369</v>
      </c>
      <c r="L287" s="74">
        <v>43.16</v>
      </c>
      <c r="M287" s="442">
        <v>48</v>
      </c>
      <c r="N287" s="7"/>
      <c r="O287" s="438">
        <f t="shared" si="12"/>
        <v>2071.68</v>
      </c>
      <c r="P287" s="438">
        <v>15</v>
      </c>
      <c r="Q287" s="438">
        <f t="shared" si="13"/>
        <v>145.0176</v>
      </c>
      <c r="R287" s="438">
        <v>600</v>
      </c>
      <c r="S287" s="439">
        <f t="shared" si="14"/>
        <v>1311.6624</v>
      </c>
      <c r="T287" s="7"/>
      <c r="U287" s="7"/>
      <c r="V287" s="7"/>
      <c r="W287" s="417">
        <v>1</v>
      </c>
    </row>
    <row r="288" s="417" customFormat="1" ht="16" customHeight="1" spans="1:23">
      <c r="A288" s="449">
        <v>46184</v>
      </c>
      <c r="B288" s="449">
        <v>46185</v>
      </c>
      <c r="C288" s="7"/>
      <c r="D288" s="7" t="s">
        <v>235</v>
      </c>
      <c r="E288" s="7" t="s">
        <v>54</v>
      </c>
      <c r="F288" s="7" t="s">
        <v>54</v>
      </c>
      <c r="G288" s="7" t="s">
        <v>55</v>
      </c>
      <c r="H288" s="7" t="s">
        <v>384</v>
      </c>
      <c r="I288" s="7" t="s">
        <v>356</v>
      </c>
      <c r="J288" s="74">
        <v>42.24</v>
      </c>
      <c r="K288" s="74" t="s">
        <v>369</v>
      </c>
      <c r="L288" s="74">
        <v>42.2</v>
      </c>
      <c r="M288" s="457">
        <v>48</v>
      </c>
      <c r="N288" s="7"/>
      <c r="O288" s="438">
        <f t="shared" si="12"/>
        <v>2025.6</v>
      </c>
      <c r="P288" s="438">
        <v>15</v>
      </c>
      <c r="Q288" s="438">
        <f t="shared" si="13"/>
        <v>141.792</v>
      </c>
      <c r="R288" s="438">
        <v>600</v>
      </c>
      <c r="S288" s="439">
        <f t="shared" si="14"/>
        <v>1268.808</v>
      </c>
      <c r="T288" s="7"/>
      <c r="U288" s="7"/>
      <c r="V288" s="7"/>
      <c r="W288" s="417">
        <v>1</v>
      </c>
    </row>
    <row r="289" s="417" customFormat="1" ht="16" customHeight="1" spans="1:23">
      <c r="A289" s="449">
        <v>46184</v>
      </c>
      <c r="B289" s="449">
        <v>46185</v>
      </c>
      <c r="C289" s="7"/>
      <c r="D289" s="7" t="s">
        <v>235</v>
      </c>
      <c r="E289" s="7" t="s">
        <v>99</v>
      </c>
      <c r="F289" s="7" t="s">
        <v>99</v>
      </c>
      <c r="G289" s="7" t="s">
        <v>100</v>
      </c>
      <c r="H289" s="7" t="s">
        <v>384</v>
      </c>
      <c r="I289" s="7" t="s">
        <v>356</v>
      </c>
      <c r="J289" s="74">
        <v>42.28</v>
      </c>
      <c r="K289" s="74" t="s">
        <v>369</v>
      </c>
      <c r="L289" s="74">
        <v>42.26</v>
      </c>
      <c r="M289" s="457">
        <v>48</v>
      </c>
      <c r="N289" s="7"/>
      <c r="O289" s="438">
        <f t="shared" si="12"/>
        <v>2028.48</v>
      </c>
      <c r="P289" s="438">
        <v>15</v>
      </c>
      <c r="Q289" s="438">
        <f t="shared" si="13"/>
        <v>141.9936</v>
      </c>
      <c r="R289" s="438">
        <v>600</v>
      </c>
      <c r="S289" s="439">
        <f t="shared" si="14"/>
        <v>1271.4864</v>
      </c>
      <c r="T289" s="7"/>
      <c r="U289" s="7"/>
      <c r="V289" s="7"/>
      <c r="W289" s="417">
        <v>1</v>
      </c>
    </row>
    <row r="290" s="417" customFormat="1" ht="16" customHeight="1" spans="1:23">
      <c r="A290" s="449">
        <v>46184</v>
      </c>
      <c r="B290" s="449">
        <v>46185</v>
      </c>
      <c r="C290" s="7"/>
      <c r="D290" s="7" t="s">
        <v>235</v>
      </c>
      <c r="E290" s="7" t="s">
        <v>66</v>
      </c>
      <c r="F290" s="7" t="s">
        <v>66</v>
      </c>
      <c r="G290" s="7" t="s">
        <v>67</v>
      </c>
      <c r="H290" s="7" t="s">
        <v>384</v>
      </c>
      <c r="I290" s="7" t="s">
        <v>356</v>
      </c>
      <c r="J290" s="74">
        <v>41.4</v>
      </c>
      <c r="K290" s="74" t="s">
        <v>369</v>
      </c>
      <c r="L290" s="74">
        <v>41.48</v>
      </c>
      <c r="M290" s="442">
        <v>48</v>
      </c>
      <c r="N290" s="7"/>
      <c r="O290" s="438">
        <f t="shared" si="12"/>
        <v>1991.04</v>
      </c>
      <c r="P290" s="438">
        <v>15</v>
      </c>
      <c r="Q290" s="438">
        <f t="shared" si="13"/>
        <v>139.3728</v>
      </c>
      <c r="R290" s="438">
        <v>600</v>
      </c>
      <c r="S290" s="439">
        <f t="shared" si="14"/>
        <v>1236.6672</v>
      </c>
      <c r="T290" s="7"/>
      <c r="U290" s="7"/>
      <c r="V290" s="7"/>
      <c r="W290" s="417">
        <v>1</v>
      </c>
    </row>
    <row r="291" s="417" customFormat="1" ht="16" customHeight="1" spans="1:23">
      <c r="A291" s="449">
        <v>46184</v>
      </c>
      <c r="B291" s="449">
        <v>46186</v>
      </c>
      <c r="C291" s="7"/>
      <c r="D291" s="7" t="s">
        <v>235</v>
      </c>
      <c r="E291" s="7" t="s">
        <v>174</v>
      </c>
      <c r="F291" s="7" t="s">
        <v>174</v>
      </c>
      <c r="G291" s="7" t="s">
        <v>175</v>
      </c>
      <c r="H291" s="7" t="s">
        <v>384</v>
      </c>
      <c r="I291" s="7" t="s">
        <v>356</v>
      </c>
      <c r="J291" s="74">
        <v>44.54</v>
      </c>
      <c r="K291" s="74" t="s">
        <v>371</v>
      </c>
      <c r="L291" s="74">
        <v>44.33</v>
      </c>
      <c r="M291" s="7">
        <v>61</v>
      </c>
      <c r="N291" s="7"/>
      <c r="O291" s="438">
        <f t="shared" si="12"/>
        <v>2704.13</v>
      </c>
      <c r="P291" s="438">
        <v>15</v>
      </c>
      <c r="Q291" s="438">
        <f t="shared" si="13"/>
        <v>189.2891</v>
      </c>
      <c r="R291" s="438">
        <v>600</v>
      </c>
      <c r="S291" s="439">
        <f t="shared" si="14"/>
        <v>1899.8409</v>
      </c>
      <c r="T291" s="7"/>
      <c r="U291" s="7"/>
      <c r="V291" s="7"/>
      <c r="W291" s="417">
        <v>1</v>
      </c>
    </row>
    <row r="292" s="417" customFormat="1" ht="16" customHeight="1" spans="1:23">
      <c r="A292" s="449">
        <v>46184</v>
      </c>
      <c r="B292" s="449">
        <v>46185</v>
      </c>
      <c r="C292" s="7"/>
      <c r="D292" s="7" t="s">
        <v>235</v>
      </c>
      <c r="E292" s="7" t="s">
        <v>114</v>
      </c>
      <c r="F292" s="7" t="s">
        <v>114</v>
      </c>
      <c r="G292" s="7" t="s">
        <v>115</v>
      </c>
      <c r="H292" s="7" t="s">
        <v>384</v>
      </c>
      <c r="I292" s="7" t="s">
        <v>356</v>
      </c>
      <c r="J292" s="74">
        <v>43.98</v>
      </c>
      <c r="K292" s="74" t="s">
        <v>371</v>
      </c>
      <c r="L292" s="74">
        <v>43.82</v>
      </c>
      <c r="M292" s="7">
        <v>61</v>
      </c>
      <c r="N292" s="7"/>
      <c r="O292" s="438">
        <f t="shared" si="12"/>
        <v>2673.02</v>
      </c>
      <c r="P292" s="438">
        <v>15</v>
      </c>
      <c r="Q292" s="438">
        <f t="shared" si="13"/>
        <v>187.1114</v>
      </c>
      <c r="R292" s="438">
        <v>600</v>
      </c>
      <c r="S292" s="439">
        <f t="shared" si="14"/>
        <v>1870.9086</v>
      </c>
      <c r="T292" s="7"/>
      <c r="U292" s="7"/>
      <c r="V292" s="7"/>
      <c r="W292" s="417">
        <v>1</v>
      </c>
    </row>
    <row r="293" s="417" customFormat="1" ht="16" customHeight="1" spans="1:23">
      <c r="A293" s="449">
        <v>46184</v>
      </c>
      <c r="B293" s="449">
        <v>46185</v>
      </c>
      <c r="C293" s="7"/>
      <c r="D293" s="7" t="s">
        <v>235</v>
      </c>
      <c r="E293" s="7" t="s">
        <v>51</v>
      </c>
      <c r="F293" s="7" t="s">
        <v>51</v>
      </c>
      <c r="G293" s="7" t="s">
        <v>52</v>
      </c>
      <c r="H293" s="7" t="s">
        <v>384</v>
      </c>
      <c r="I293" s="7" t="s">
        <v>356</v>
      </c>
      <c r="J293" s="74">
        <v>44.38</v>
      </c>
      <c r="K293" s="74" t="s">
        <v>369</v>
      </c>
      <c r="L293" s="74">
        <v>44.3</v>
      </c>
      <c r="M293" s="457">
        <v>48</v>
      </c>
      <c r="N293" s="7"/>
      <c r="O293" s="438">
        <f t="shared" si="12"/>
        <v>2126.4</v>
      </c>
      <c r="P293" s="438">
        <v>15</v>
      </c>
      <c r="Q293" s="438">
        <f t="shared" si="13"/>
        <v>148.848</v>
      </c>
      <c r="R293" s="438">
        <v>600</v>
      </c>
      <c r="S293" s="439">
        <f t="shared" si="14"/>
        <v>1362.552</v>
      </c>
      <c r="T293" s="7"/>
      <c r="U293" s="7"/>
      <c r="V293" s="7"/>
      <c r="W293" s="417">
        <v>1</v>
      </c>
    </row>
    <row r="294" s="417" customFormat="1" ht="16" customHeight="1" spans="1:23">
      <c r="A294" s="449">
        <v>46184</v>
      </c>
      <c r="B294" s="449">
        <v>46186</v>
      </c>
      <c r="C294" s="7"/>
      <c r="D294" s="7" t="s">
        <v>235</v>
      </c>
      <c r="E294" s="7" t="s">
        <v>78</v>
      </c>
      <c r="F294" s="7" t="s">
        <v>78</v>
      </c>
      <c r="G294" s="7" t="s">
        <v>79</v>
      </c>
      <c r="H294" s="7" t="s">
        <v>384</v>
      </c>
      <c r="I294" s="7" t="s">
        <v>356</v>
      </c>
      <c r="J294" s="74">
        <v>43.66</v>
      </c>
      <c r="K294" s="74" t="s">
        <v>371</v>
      </c>
      <c r="L294" s="74">
        <v>43.53</v>
      </c>
      <c r="M294" s="7">
        <v>61</v>
      </c>
      <c r="N294" s="7"/>
      <c r="O294" s="438">
        <f t="shared" si="12"/>
        <v>2655.33</v>
      </c>
      <c r="P294" s="438">
        <v>15</v>
      </c>
      <c r="Q294" s="438">
        <f t="shared" si="13"/>
        <v>185.8731</v>
      </c>
      <c r="R294" s="438">
        <v>600</v>
      </c>
      <c r="S294" s="439">
        <f t="shared" si="14"/>
        <v>1854.4569</v>
      </c>
      <c r="T294" s="7"/>
      <c r="U294" s="7"/>
      <c r="V294" s="7"/>
      <c r="W294" s="417">
        <v>1</v>
      </c>
    </row>
    <row r="295" s="417" customFormat="1" ht="16" customHeight="1" spans="1:23">
      <c r="A295" s="449">
        <v>46184</v>
      </c>
      <c r="B295" s="449">
        <v>46185</v>
      </c>
      <c r="C295" s="7"/>
      <c r="D295" s="7" t="s">
        <v>235</v>
      </c>
      <c r="E295" s="7" t="s">
        <v>102</v>
      </c>
      <c r="F295" s="7" t="s">
        <v>102</v>
      </c>
      <c r="G295" s="7" t="s">
        <v>103</v>
      </c>
      <c r="H295" s="7" t="s">
        <v>384</v>
      </c>
      <c r="I295" s="7" t="s">
        <v>356</v>
      </c>
      <c r="J295" s="74">
        <v>42.86</v>
      </c>
      <c r="K295" s="74" t="s">
        <v>369</v>
      </c>
      <c r="L295" s="74">
        <v>42.78</v>
      </c>
      <c r="M295" s="457">
        <v>48</v>
      </c>
      <c r="N295" s="7"/>
      <c r="O295" s="438">
        <f t="shared" si="12"/>
        <v>2053.44</v>
      </c>
      <c r="P295" s="438">
        <v>15</v>
      </c>
      <c r="Q295" s="438">
        <f t="shared" si="13"/>
        <v>143.7408</v>
      </c>
      <c r="R295" s="438">
        <v>600</v>
      </c>
      <c r="S295" s="439">
        <f t="shared" si="14"/>
        <v>1294.6992</v>
      </c>
      <c r="T295" s="7"/>
      <c r="U295" s="7"/>
      <c r="V295" s="7"/>
      <c r="W295" s="417">
        <v>1</v>
      </c>
    </row>
    <row r="296" s="417" customFormat="1" ht="16" customHeight="1" spans="1:23">
      <c r="A296" s="449">
        <v>46184</v>
      </c>
      <c r="B296" s="449">
        <v>46185</v>
      </c>
      <c r="C296" s="7" t="s">
        <v>535</v>
      </c>
      <c r="D296" s="7" t="s">
        <v>237</v>
      </c>
      <c r="E296" s="164" t="s">
        <v>166</v>
      </c>
      <c r="F296" s="164" t="s">
        <v>166</v>
      </c>
      <c r="G296" s="7" t="s">
        <v>167</v>
      </c>
      <c r="H296" s="7" t="s">
        <v>354</v>
      </c>
      <c r="I296" s="7" t="s">
        <v>407</v>
      </c>
      <c r="J296" s="74">
        <v>46.88</v>
      </c>
      <c r="K296" s="74" t="s">
        <v>356</v>
      </c>
      <c r="L296" s="74">
        <v>46.88</v>
      </c>
      <c r="M296" s="7">
        <v>87</v>
      </c>
      <c r="N296" s="7"/>
      <c r="O296" s="438">
        <f t="shared" si="12"/>
        <v>4078.56</v>
      </c>
      <c r="P296" s="438">
        <v>15</v>
      </c>
      <c r="Q296" s="438">
        <f t="shared" si="13"/>
        <v>285.4992</v>
      </c>
      <c r="R296" s="438">
        <v>800</v>
      </c>
      <c r="S296" s="439">
        <f t="shared" si="14"/>
        <v>2978.0608</v>
      </c>
      <c r="T296" s="7"/>
      <c r="U296" s="7"/>
      <c r="V296" s="7"/>
      <c r="W296" s="417">
        <v>1</v>
      </c>
    </row>
    <row r="297" s="417" customFormat="1" ht="16" customHeight="1" spans="1:23">
      <c r="A297" s="449">
        <v>46185</v>
      </c>
      <c r="B297" s="449">
        <v>46186</v>
      </c>
      <c r="C297" s="7" t="s">
        <v>536</v>
      </c>
      <c r="D297" s="7" t="s">
        <v>237</v>
      </c>
      <c r="E297" s="7" t="s">
        <v>108</v>
      </c>
      <c r="F297" s="7" t="s">
        <v>108</v>
      </c>
      <c r="G297" s="7" t="s">
        <v>109</v>
      </c>
      <c r="H297" s="7" t="s">
        <v>354</v>
      </c>
      <c r="I297" s="7" t="s">
        <v>407</v>
      </c>
      <c r="J297" s="74">
        <v>43.48</v>
      </c>
      <c r="K297" s="74" t="s">
        <v>356</v>
      </c>
      <c r="L297" s="74">
        <v>43.46</v>
      </c>
      <c r="M297" s="7">
        <v>87</v>
      </c>
      <c r="N297" s="7"/>
      <c r="O297" s="438">
        <f t="shared" si="12"/>
        <v>3781.02</v>
      </c>
      <c r="P297" s="438">
        <v>15</v>
      </c>
      <c r="Q297" s="438">
        <f t="shared" si="13"/>
        <v>264.6714</v>
      </c>
      <c r="R297" s="438">
        <v>800</v>
      </c>
      <c r="S297" s="439">
        <f t="shared" si="14"/>
        <v>2701.3486</v>
      </c>
      <c r="T297" s="7"/>
      <c r="U297" s="7"/>
      <c r="V297" s="7"/>
      <c r="W297" s="417">
        <v>1</v>
      </c>
    </row>
    <row r="298" s="417" customFormat="1" ht="16" customHeight="1" spans="1:23">
      <c r="A298" s="449">
        <v>46185</v>
      </c>
      <c r="B298" s="449">
        <v>46187</v>
      </c>
      <c r="C298" s="7" t="s">
        <v>537</v>
      </c>
      <c r="D298" s="7" t="s">
        <v>237</v>
      </c>
      <c r="E298" s="7" t="s">
        <v>183</v>
      </c>
      <c r="F298" s="7" t="s">
        <v>183</v>
      </c>
      <c r="G298" s="7" t="s">
        <v>184</v>
      </c>
      <c r="H298" s="7" t="s">
        <v>354</v>
      </c>
      <c r="I298" s="7" t="s">
        <v>407</v>
      </c>
      <c r="J298" s="74">
        <v>47.9</v>
      </c>
      <c r="K298" s="74" t="s">
        <v>356</v>
      </c>
      <c r="L298" s="74">
        <v>47.9</v>
      </c>
      <c r="M298" s="7">
        <v>87</v>
      </c>
      <c r="N298" s="7"/>
      <c r="O298" s="438">
        <f t="shared" si="12"/>
        <v>4167.3</v>
      </c>
      <c r="P298" s="438">
        <v>15</v>
      </c>
      <c r="Q298" s="438">
        <f t="shared" si="13"/>
        <v>291.711</v>
      </c>
      <c r="R298" s="438">
        <v>800</v>
      </c>
      <c r="S298" s="439">
        <f t="shared" si="14"/>
        <v>3060.589</v>
      </c>
      <c r="T298" s="7"/>
      <c r="U298" s="7"/>
      <c r="V298" s="7"/>
      <c r="W298" s="417">
        <v>1</v>
      </c>
    </row>
    <row r="299" s="417" customFormat="1" ht="16" customHeight="1" spans="1:23">
      <c r="A299" s="449">
        <v>46185</v>
      </c>
      <c r="B299" s="449">
        <v>46186</v>
      </c>
      <c r="C299" s="7" t="s">
        <v>538</v>
      </c>
      <c r="D299" s="7" t="s">
        <v>237</v>
      </c>
      <c r="E299" s="7" t="s">
        <v>75</v>
      </c>
      <c r="F299" s="7" t="s">
        <v>75</v>
      </c>
      <c r="G299" s="7" t="s">
        <v>76</v>
      </c>
      <c r="H299" s="7" t="s">
        <v>354</v>
      </c>
      <c r="I299" s="7" t="s">
        <v>407</v>
      </c>
      <c r="J299" s="74">
        <v>44.06</v>
      </c>
      <c r="K299" s="74" t="s">
        <v>356</v>
      </c>
      <c r="L299" s="74">
        <v>44.06</v>
      </c>
      <c r="M299" s="7">
        <v>87</v>
      </c>
      <c r="N299" s="7"/>
      <c r="O299" s="438">
        <f t="shared" si="12"/>
        <v>3833.22</v>
      </c>
      <c r="P299" s="438">
        <v>15</v>
      </c>
      <c r="Q299" s="438">
        <f t="shared" si="13"/>
        <v>268.3254</v>
      </c>
      <c r="R299" s="438">
        <v>800</v>
      </c>
      <c r="S299" s="439">
        <f t="shared" si="14"/>
        <v>2749.8946</v>
      </c>
      <c r="T299" s="7"/>
      <c r="U299" s="7"/>
      <c r="V299" s="7"/>
      <c r="W299" s="417">
        <v>1</v>
      </c>
    </row>
    <row r="300" s="417" customFormat="1" ht="16" customHeight="1" spans="1:23">
      <c r="A300" s="449">
        <v>46184</v>
      </c>
      <c r="B300" s="449">
        <v>46185</v>
      </c>
      <c r="C300" s="607" t="s">
        <v>539</v>
      </c>
      <c r="D300" s="7" t="s">
        <v>234</v>
      </c>
      <c r="E300" s="7" t="s">
        <v>81</v>
      </c>
      <c r="F300" s="7" t="s">
        <v>81</v>
      </c>
      <c r="G300" s="7" t="s">
        <v>82</v>
      </c>
      <c r="H300" s="7" t="s">
        <v>354</v>
      </c>
      <c r="I300" s="7" t="s">
        <v>507</v>
      </c>
      <c r="J300" s="74">
        <v>38.28</v>
      </c>
      <c r="K300" s="74" t="s">
        <v>356</v>
      </c>
      <c r="L300" s="74">
        <v>38.28</v>
      </c>
      <c r="M300" s="7">
        <v>71</v>
      </c>
      <c r="N300" s="7"/>
      <c r="O300" s="438">
        <f t="shared" si="12"/>
        <v>2717.88</v>
      </c>
      <c r="P300" s="438">
        <v>15</v>
      </c>
      <c r="Q300" s="438">
        <f t="shared" si="13"/>
        <v>190.2516</v>
      </c>
      <c r="R300" s="438">
        <v>600</v>
      </c>
      <c r="S300" s="439">
        <f t="shared" si="14"/>
        <v>1912.6284</v>
      </c>
      <c r="T300" s="7"/>
      <c r="U300" s="7"/>
      <c r="V300" s="7"/>
      <c r="W300" s="417">
        <v>1</v>
      </c>
    </row>
    <row r="301" s="417" customFormat="1" ht="16" customHeight="1" spans="1:23">
      <c r="A301" s="449">
        <v>46184</v>
      </c>
      <c r="B301" s="449">
        <v>46185</v>
      </c>
      <c r="C301" s="606" t="s">
        <v>540</v>
      </c>
      <c r="D301" s="7" t="s">
        <v>234</v>
      </c>
      <c r="E301" s="7" t="s">
        <v>132</v>
      </c>
      <c r="F301" s="7" t="s">
        <v>132</v>
      </c>
      <c r="G301" s="7" t="s">
        <v>133</v>
      </c>
      <c r="H301" s="7" t="s">
        <v>354</v>
      </c>
      <c r="I301" s="7" t="s">
        <v>507</v>
      </c>
      <c r="J301" s="74">
        <v>38.88</v>
      </c>
      <c r="K301" s="74" t="s">
        <v>356</v>
      </c>
      <c r="L301" s="74">
        <v>38.84</v>
      </c>
      <c r="M301" s="7">
        <v>71</v>
      </c>
      <c r="N301" s="7"/>
      <c r="O301" s="438">
        <f t="shared" si="12"/>
        <v>2757.64</v>
      </c>
      <c r="P301" s="438">
        <v>15</v>
      </c>
      <c r="Q301" s="438">
        <f t="shared" si="13"/>
        <v>193.0348</v>
      </c>
      <c r="R301" s="438">
        <v>600</v>
      </c>
      <c r="S301" s="439">
        <f t="shared" si="14"/>
        <v>1949.6052</v>
      </c>
      <c r="T301" s="7"/>
      <c r="U301" s="7"/>
      <c r="V301" s="7"/>
      <c r="W301" s="417">
        <v>1</v>
      </c>
    </row>
    <row r="302" s="417" customFormat="1" ht="16" customHeight="1" spans="1:23">
      <c r="A302" s="449">
        <v>46184</v>
      </c>
      <c r="B302" s="449">
        <v>46185</v>
      </c>
      <c r="C302" s="442" t="s">
        <v>541</v>
      </c>
      <c r="D302" s="7" t="s">
        <v>233</v>
      </c>
      <c r="E302" s="7" t="s">
        <v>124</v>
      </c>
      <c r="F302" s="7" t="s">
        <v>124</v>
      </c>
      <c r="G302" s="7" t="s">
        <v>125</v>
      </c>
      <c r="H302" s="7" t="s">
        <v>354</v>
      </c>
      <c r="I302" s="7" t="s">
        <v>355</v>
      </c>
      <c r="J302" s="74">
        <v>40.62</v>
      </c>
      <c r="K302" s="74" t="s">
        <v>356</v>
      </c>
      <c r="L302" s="74">
        <v>40.6</v>
      </c>
      <c r="M302" s="7">
        <v>67</v>
      </c>
      <c r="N302" s="7"/>
      <c r="O302" s="438">
        <f t="shared" si="12"/>
        <v>2720.2</v>
      </c>
      <c r="P302" s="438">
        <v>15</v>
      </c>
      <c r="Q302" s="438">
        <f t="shared" si="13"/>
        <v>190.414</v>
      </c>
      <c r="R302" s="438">
        <v>600</v>
      </c>
      <c r="S302" s="439">
        <f t="shared" si="14"/>
        <v>1914.786</v>
      </c>
      <c r="T302" s="7"/>
      <c r="U302" s="7"/>
      <c r="V302" s="7"/>
      <c r="W302" s="417">
        <v>1</v>
      </c>
    </row>
    <row r="303" s="417" customFormat="1" ht="16" customHeight="1" spans="1:23">
      <c r="A303" s="449">
        <v>46184</v>
      </c>
      <c r="B303" s="449">
        <v>46186</v>
      </c>
      <c r="C303" s="442" t="s">
        <v>542</v>
      </c>
      <c r="D303" s="7" t="s">
        <v>233</v>
      </c>
      <c r="E303" s="7" t="s">
        <v>151</v>
      </c>
      <c r="F303" s="7" t="s">
        <v>151</v>
      </c>
      <c r="G303" s="7" t="s">
        <v>152</v>
      </c>
      <c r="H303" s="7" t="s">
        <v>354</v>
      </c>
      <c r="I303" s="7" t="s">
        <v>355</v>
      </c>
      <c r="J303" s="74">
        <v>41.88</v>
      </c>
      <c r="K303" s="74" t="s">
        <v>356</v>
      </c>
      <c r="L303" s="74">
        <v>41.88</v>
      </c>
      <c r="M303" s="7">
        <v>67</v>
      </c>
      <c r="N303" s="7"/>
      <c r="O303" s="438">
        <f t="shared" si="12"/>
        <v>2805.96</v>
      </c>
      <c r="P303" s="438">
        <v>15</v>
      </c>
      <c r="Q303" s="438">
        <f t="shared" si="13"/>
        <v>196.4172</v>
      </c>
      <c r="R303" s="438">
        <v>600</v>
      </c>
      <c r="S303" s="439">
        <f t="shared" si="14"/>
        <v>1994.5428</v>
      </c>
      <c r="T303" s="7"/>
      <c r="U303" s="7"/>
      <c r="V303" s="7"/>
      <c r="W303" s="417">
        <v>1</v>
      </c>
    </row>
    <row r="304" s="417" customFormat="1" ht="16" customHeight="1" spans="1:23">
      <c r="A304" s="449">
        <v>46184</v>
      </c>
      <c r="B304" s="449">
        <v>46185</v>
      </c>
      <c r="C304" s="442" t="s">
        <v>543</v>
      </c>
      <c r="D304" s="7" t="s">
        <v>233</v>
      </c>
      <c r="E304" s="7" t="s">
        <v>63</v>
      </c>
      <c r="F304" s="7" t="s">
        <v>63</v>
      </c>
      <c r="G304" s="7" t="s">
        <v>327</v>
      </c>
      <c r="H304" s="7" t="s">
        <v>354</v>
      </c>
      <c r="I304" s="7" t="s">
        <v>355</v>
      </c>
      <c r="J304" s="74">
        <v>40.44</v>
      </c>
      <c r="K304" s="74" t="s">
        <v>356</v>
      </c>
      <c r="L304" s="74">
        <v>40.4</v>
      </c>
      <c r="M304" s="7">
        <v>67</v>
      </c>
      <c r="N304" s="7"/>
      <c r="O304" s="438">
        <f t="shared" si="12"/>
        <v>2706.8</v>
      </c>
      <c r="P304" s="438">
        <v>15</v>
      </c>
      <c r="Q304" s="438">
        <f t="shared" si="13"/>
        <v>189.476</v>
      </c>
      <c r="R304" s="438">
        <v>600</v>
      </c>
      <c r="S304" s="439">
        <f t="shared" si="14"/>
        <v>1902.324</v>
      </c>
      <c r="T304" s="7"/>
      <c r="U304" s="7"/>
      <c r="V304" s="7"/>
      <c r="W304" s="417">
        <v>1</v>
      </c>
    </row>
    <row r="305" s="417" customFormat="1" ht="16" customHeight="1" spans="1:23">
      <c r="A305" s="449">
        <v>46185</v>
      </c>
      <c r="B305" s="449">
        <v>46186</v>
      </c>
      <c r="C305" s="442" t="s">
        <v>544</v>
      </c>
      <c r="D305" s="7" t="s">
        <v>233</v>
      </c>
      <c r="E305" s="7" t="s">
        <v>130</v>
      </c>
      <c r="F305" s="7" t="s">
        <v>130</v>
      </c>
      <c r="G305" s="7" t="s">
        <v>139</v>
      </c>
      <c r="H305" s="7" t="s">
        <v>354</v>
      </c>
      <c r="I305" s="7" t="s">
        <v>355</v>
      </c>
      <c r="J305" s="74">
        <v>39.52</v>
      </c>
      <c r="K305" s="74" t="s">
        <v>356</v>
      </c>
      <c r="L305" s="74">
        <v>39.52</v>
      </c>
      <c r="M305" s="7">
        <v>67</v>
      </c>
      <c r="N305" s="7"/>
      <c r="O305" s="438">
        <f t="shared" si="12"/>
        <v>2647.84</v>
      </c>
      <c r="P305" s="438">
        <v>15</v>
      </c>
      <c r="Q305" s="438">
        <f t="shared" si="13"/>
        <v>185.3488</v>
      </c>
      <c r="R305" s="438">
        <v>600</v>
      </c>
      <c r="S305" s="439">
        <f t="shared" si="14"/>
        <v>1847.4912</v>
      </c>
      <c r="T305" s="7"/>
      <c r="U305" s="7"/>
      <c r="V305" s="7"/>
      <c r="W305" s="417">
        <v>1</v>
      </c>
    </row>
    <row r="306" s="417" customFormat="1" ht="16" customHeight="1" spans="1:23">
      <c r="A306" s="449">
        <v>46185</v>
      </c>
      <c r="B306" s="449">
        <v>46186</v>
      </c>
      <c r="C306" s="442" t="s">
        <v>545</v>
      </c>
      <c r="D306" s="7" t="s">
        <v>233</v>
      </c>
      <c r="E306" s="7" t="s">
        <v>138</v>
      </c>
      <c r="F306" s="7" t="s">
        <v>138</v>
      </c>
      <c r="G306" s="7" t="s">
        <v>454</v>
      </c>
      <c r="H306" s="7" t="s">
        <v>354</v>
      </c>
      <c r="I306" s="7" t="s">
        <v>355</v>
      </c>
      <c r="J306" s="74">
        <v>44.04</v>
      </c>
      <c r="K306" s="74" t="s">
        <v>356</v>
      </c>
      <c r="L306" s="74">
        <v>44</v>
      </c>
      <c r="M306" s="7">
        <v>67</v>
      </c>
      <c r="N306" s="7"/>
      <c r="O306" s="438">
        <f t="shared" si="12"/>
        <v>2948</v>
      </c>
      <c r="P306" s="438">
        <v>15</v>
      </c>
      <c r="Q306" s="438">
        <f t="shared" si="13"/>
        <v>206.36</v>
      </c>
      <c r="R306" s="438">
        <v>600</v>
      </c>
      <c r="S306" s="439">
        <f t="shared" si="14"/>
        <v>2126.64</v>
      </c>
      <c r="T306" s="7"/>
      <c r="U306" s="7"/>
      <c r="V306" s="7"/>
      <c r="W306" s="417">
        <v>1</v>
      </c>
    </row>
    <row r="307" s="417" customFormat="1" ht="16" customHeight="1" spans="1:23">
      <c r="A307" s="449">
        <v>46185</v>
      </c>
      <c r="B307" s="449">
        <v>46186</v>
      </c>
      <c r="C307" s="442" t="s">
        <v>546</v>
      </c>
      <c r="D307" s="7" t="s">
        <v>233</v>
      </c>
      <c r="E307" s="7" t="s">
        <v>172</v>
      </c>
      <c r="F307" s="7" t="s">
        <v>172</v>
      </c>
      <c r="G307" s="7" t="s">
        <v>122</v>
      </c>
      <c r="H307" s="7" t="s">
        <v>354</v>
      </c>
      <c r="I307" s="7" t="s">
        <v>355</v>
      </c>
      <c r="J307" s="74">
        <v>39.2</v>
      </c>
      <c r="K307" s="74" t="s">
        <v>356</v>
      </c>
      <c r="L307" s="74">
        <v>39.2</v>
      </c>
      <c r="M307" s="7">
        <v>67</v>
      </c>
      <c r="N307" s="7"/>
      <c r="O307" s="438">
        <f t="shared" si="12"/>
        <v>2626.4</v>
      </c>
      <c r="P307" s="438">
        <v>15</v>
      </c>
      <c r="Q307" s="438">
        <f t="shared" si="13"/>
        <v>183.848</v>
      </c>
      <c r="R307" s="438">
        <v>600</v>
      </c>
      <c r="S307" s="439">
        <f t="shared" si="14"/>
        <v>1827.552</v>
      </c>
      <c r="T307" s="7"/>
      <c r="U307" s="7"/>
      <c r="V307" s="7"/>
      <c r="W307" s="417">
        <v>1</v>
      </c>
    </row>
    <row r="308" s="417" customFormat="1" ht="16" customHeight="1" spans="1:23">
      <c r="A308" s="449">
        <v>46185</v>
      </c>
      <c r="B308" s="449">
        <v>46186</v>
      </c>
      <c r="C308" s="442" t="s">
        <v>547</v>
      </c>
      <c r="D308" s="7" t="s">
        <v>233</v>
      </c>
      <c r="E308" s="7" t="s">
        <v>105</v>
      </c>
      <c r="F308" s="7" t="s">
        <v>105</v>
      </c>
      <c r="G308" s="7" t="s">
        <v>106</v>
      </c>
      <c r="H308" s="7" t="s">
        <v>354</v>
      </c>
      <c r="I308" s="7" t="s">
        <v>355</v>
      </c>
      <c r="J308" s="74">
        <v>40.32</v>
      </c>
      <c r="K308" s="74" t="s">
        <v>356</v>
      </c>
      <c r="L308" s="74">
        <v>40.3</v>
      </c>
      <c r="M308" s="7">
        <v>67</v>
      </c>
      <c r="N308" s="7"/>
      <c r="O308" s="438">
        <f t="shared" si="12"/>
        <v>2700.1</v>
      </c>
      <c r="P308" s="438">
        <v>15</v>
      </c>
      <c r="Q308" s="438">
        <f t="shared" si="13"/>
        <v>189.007</v>
      </c>
      <c r="R308" s="438">
        <v>600</v>
      </c>
      <c r="S308" s="439">
        <f t="shared" si="14"/>
        <v>1896.093</v>
      </c>
      <c r="T308" s="7"/>
      <c r="U308" s="7"/>
      <c r="V308" s="7"/>
      <c r="W308" s="417">
        <v>1</v>
      </c>
    </row>
    <row r="309" s="417" customFormat="1" ht="16" customHeight="1" spans="1:23">
      <c r="A309" s="449">
        <v>46185</v>
      </c>
      <c r="B309" s="449">
        <v>46186</v>
      </c>
      <c r="C309" s="442" t="s">
        <v>548</v>
      </c>
      <c r="D309" s="7" t="s">
        <v>233</v>
      </c>
      <c r="E309" s="7" t="s">
        <v>72</v>
      </c>
      <c r="F309" s="7" t="s">
        <v>72</v>
      </c>
      <c r="G309" s="7" t="s">
        <v>73</v>
      </c>
      <c r="H309" s="7" t="s">
        <v>354</v>
      </c>
      <c r="I309" s="7" t="s">
        <v>355</v>
      </c>
      <c r="J309" s="74">
        <v>41.46</v>
      </c>
      <c r="K309" s="74" t="s">
        <v>356</v>
      </c>
      <c r="L309" s="74">
        <v>41.44</v>
      </c>
      <c r="M309" s="7">
        <v>67</v>
      </c>
      <c r="N309" s="7"/>
      <c r="O309" s="438">
        <f t="shared" si="12"/>
        <v>2776.48</v>
      </c>
      <c r="P309" s="438">
        <v>15</v>
      </c>
      <c r="Q309" s="438">
        <f t="shared" si="13"/>
        <v>194.3536</v>
      </c>
      <c r="R309" s="438">
        <v>600</v>
      </c>
      <c r="S309" s="439">
        <f t="shared" si="14"/>
        <v>1967.1264</v>
      </c>
      <c r="T309" s="7"/>
      <c r="U309" s="7"/>
      <c r="V309" s="7"/>
      <c r="W309" s="417">
        <v>1</v>
      </c>
    </row>
    <row r="310" s="417" customFormat="1" ht="16" customHeight="1" spans="1:23">
      <c r="A310" s="449">
        <v>46185</v>
      </c>
      <c r="B310" s="449">
        <v>46186</v>
      </c>
      <c r="C310" s="442" t="s">
        <v>549</v>
      </c>
      <c r="D310" s="7" t="s">
        <v>233</v>
      </c>
      <c r="E310" s="7" t="s">
        <v>135</v>
      </c>
      <c r="F310" s="7" t="s">
        <v>135</v>
      </c>
      <c r="G310" s="7" t="s">
        <v>136</v>
      </c>
      <c r="H310" s="7" t="s">
        <v>354</v>
      </c>
      <c r="I310" s="7" t="s">
        <v>355</v>
      </c>
      <c r="J310" s="74">
        <v>43.76</v>
      </c>
      <c r="K310" s="74" t="s">
        <v>356</v>
      </c>
      <c r="L310" s="74">
        <v>43.76</v>
      </c>
      <c r="M310" s="7">
        <v>67</v>
      </c>
      <c r="N310" s="7"/>
      <c r="O310" s="438">
        <f t="shared" si="12"/>
        <v>2931.92</v>
      </c>
      <c r="P310" s="438">
        <v>15</v>
      </c>
      <c r="Q310" s="438">
        <f t="shared" si="13"/>
        <v>205.2344</v>
      </c>
      <c r="R310" s="438">
        <v>600</v>
      </c>
      <c r="S310" s="439">
        <f t="shared" si="14"/>
        <v>2111.6856</v>
      </c>
      <c r="T310" s="7"/>
      <c r="U310" s="7"/>
      <c r="V310" s="7"/>
      <c r="W310" s="417">
        <v>1</v>
      </c>
    </row>
    <row r="311" s="417" customFormat="1" ht="16" customHeight="1" spans="1:23">
      <c r="A311" s="449">
        <v>46185</v>
      </c>
      <c r="B311" s="449">
        <v>46186</v>
      </c>
      <c r="C311" s="442" t="s">
        <v>550</v>
      </c>
      <c r="D311" s="7" t="s">
        <v>233</v>
      </c>
      <c r="E311" s="7" t="s">
        <v>93</v>
      </c>
      <c r="F311" s="7" t="s">
        <v>93</v>
      </c>
      <c r="G311" s="7" t="s">
        <v>94</v>
      </c>
      <c r="H311" s="7" t="s">
        <v>354</v>
      </c>
      <c r="I311" s="7" t="s">
        <v>355</v>
      </c>
      <c r="J311" s="74">
        <v>40.24</v>
      </c>
      <c r="K311" s="74" t="s">
        <v>356</v>
      </c>
      <c r="L311" s="74">
        <v>40.22</v>
      </c>
      <c r="M311" s="7">
        <v>67</v>
      </c>
      <c r="N311" s="7"/>
      <c r="O311" s="438">
        <f t="shared" si="12"/>
        <v>2694.74</v>
      </c>
      <c r="P311" s="438">
        <v>15</v>
      </c>
      <c r="Q311" s="438">
        <f t="shared" si="13"/>
        <v>188.6318</v>
      </c>
      <c r="R311" s="438">
        <v>600</v>
      </c>
      <c r="S311" s="439">
        <f t="shared" si="14"/>
        <v>1891.1082</v>
      </c>
      <c r="T311" s="7"/>
      <c r="U311" s="7"/>
      <c r="V311" s="7"/>
      <c r="W311" s="417">
        <v>1</v>
      </c>
    </row>
    <row r="312" s="417" customFormat="1" ht="16" customHeight="1" spans="1:23">
      <c r="A312" s="449">
        <v>46184</v>
      </c>
      <c r="B312" s="449">
        <v>46185</v>
      </c>
      <c r="C312" s="442" t="s">
        <v>551</v>
      </c>
      <c r="D312" s="7" t="s">
        <v>233</v>
      </c>
      <c r="E312" s="7" t="s">
        <v>144</v>
      </c>
      <c r="F312" s="7" t="s">
        <v>144</v>
      </c>
      <c r="G312" s="7" t="s">
        <v>145</v>
      </c>
      <c r="H312" s="7" t="s">
        <v>354</v>
      </c>
      <c r="I312" s="7" t="s">
        <v>355</v>
      </c>
      <c r="J312" s="74">
        <v>43.16</v>
      </c>
      <c r="K312" s="74" t="s">
        <v>356</v>
      </c>
      <c r="L312" s="74">
        <v>43.14</v>
      </c>
      <c r="M312" s="7">
        <v>67</v>
      </c>
      <c r="N312" s="7"/>
      <c r="O312" s="438">
        <f t="shared" si="12"/>
        <v>2890.38</v>
      </c>
      <c r="P312" s="438">
        <v>15</v>
      </c>
      <c r="Q312" s="438">
        <f t="shared" si="13"/>
        <v>202.3266</v>
      </c>
      <c r="R312" s="438">
        <v>600</v>
      </c>
      <c r="S312" s="439">
        <f t="shared" si="14"/>
        <v>2073.0534</v>
      </c>
      <c r="T312" s="7"/>
      <c r="U312" s="7"/>
      <c r="V312" s="7"/>
      <c r="W312" s="417">
        <v>1</v>
      </c>
    </row>
    <row r="313" s="417" customFormat="1" ht="16" customHeight="1" spans="1:23">
      <c r="A313" s="449">
        <v>46185</v>
      </c>
      <c r="B313" s="449">
        <v>46186</v>
      </c>
      <c r="C313" s="442" t="s">
        <v>552</v>
      </c>
      <c r="D313" s="7" t="s">
        <v>233</v>
      </c>
      <c r="E313" s="7" t="s">
        <v>84</v>
      </c>
      <c r="F313" s="7" t="s">
        <v>84</v>
      </c>
      <c r="G313" s="7" t="s">
        <v>85</v>
      </c>
      <c r="H313" s="7" t="s">
        <v>354</v>
      </c>
      <c r="I313" s="7" t="s">
        <v>355</v>
      </c>
      <c r="J313" s="74">
        <v>41.96</v>
      </c>
      <c r="K313" s="74" t="s">
        <v>356</v>
      </c>
      <c r="L313" s="74">
        <v>41.96</v>
      </c>
      <c r="M313" s="7">
        <v>67</v>
      </c>
      <c r="N313" s="7"/>
      <c r="O313" s="438">
        <f t="shared" si="12"/>
        <v>2811.32</v>
      </c>
      <c r="P313" s="438">
        <v>15</v>
      </c>
      <c r="Q313" s="438">
        <f t="shared" si="13"/>
        <v>196.7924</v>
      </c>
      <c r="R313" s="438">
        <v>600</v>
      </c>
      <c r="S313" s="439">
        <f t="shared" si="14"/>
        <v>1999.5276</v>
      </c>
      <c r="T313" s="7"/>
      <c r="U313" s="7"/>
      <c r="V313" s="7"/>
      <c r="W313" s="417">
        <v>1</v>
      </c>
    </row>
    <row r="314" s="417" customFormat="1" ht="16" customHeight="1" spans="1:23">
      <c r="A314" s="449">
        <v>46185</v>
      </c>
      <c r="B314" s="449">
        <v>46186</v>
      </c>
      <c r="C314" s="442" t="s">
        <v>553</v>
      </c>
      <c r="D314" s="7" t="s">
        <v>233</v>
      </c>
      <c r="E314" s="7" t="s">
        <v>114</v>
      </c>
      <c r="F314" s="7" t="s">
        <v>114</v>
      </c>
      <c r="G314" s="7" t="s">
        <v>115</v>
      </c>
      <c r="H314" s="7" t="s">
        <v>354</v>
      </c>
      <c r="I314" s="7" t="s">
        <v>355</v>
      </c>
      <c r="J314" s="74">
        <v>42.08</v>
      </c>
      <c r="K314" s="74" t="s">
        <v>356</v>
      </c>
      <c r="L314" s="74">
        <v>42.08</v>
      </c>
      <c r="M314" s="7">
        <v>67</v>
      </c>
      <c r="N314" s="7"/>
      <c r="O314" s="438">
        <f t="shared" si="12"/>
        <v>2819.36</v>
      </c>
      <c r="P314" s="438">
        <v>15</v>
      </c>
      <c r="Q314" s="438">
        <f t="shared" si="13"/>
        <v>197.3552</v>
      </c>
      <c r="R314" s="438">
        <v>600</v>
      </c>
      <c r="S314" s="439">
        <f t="shared" si="14"/>
        <v>2007.0048</v>
      </c>
      <c r="T314" s="7"/>
      <c r="U314" s="7"/>
      <c r="V314" s="7"/>
      <c r="W314" s="417">
        <v>1</v>
      </c>
    </row>
    <row r="315" s="417" customFormat="1" ht="16" customHeight="1" spans="1:23">
      <c r="A315" s="449">
        <v>46185</v>
      </c>
      <c r="B315" s="449">
        <v>46185</v>
      </c>
      <c r="C315" s="7"/>
      <c r="D315" s="417" t="s">
        <v>235</v>
      </c>
      <c r="E315" s="7" t="s">
        <v>69</v>
      </c>
      <c r="F315" s="7" t="s">
        <v>69</v>
      </c>
      <c r="G315" s="7" t="s">
        <v>70</v>
      </c>
      <c r="H315" s="7" t="s">
        <v>368</v>
      </c>
      <c r="I315" s="7" t="s">
        <v>356</v>
      </c>
      <c r="J315" s="74">
        <v>44.58</v>
      </c>
      <c r="K315" s="74" t="s">
        <v>369</v>
      </c>
      <c r="L315" s="74">
        <v>44.52</v>
      </c>
      <c r="M315" s="457">
        <v>48</v>
      </c>
      <c r="N315" s="7"/>
      <c r="O315" s="438">
        <f t="shared" si="12"/>
        <v>2136.96</v>
      </c>
      <c r="P315" s="438">
        <v>15</v>
      </c>
      <c r="Q315" s="438">
        <f t="shared" si="13"/>
        <v>149.5872</v>
      </c>
      <c r="R315" s="438">
        <v>600</v>
      </c>
      <c r="S315" s="439">
        <f t="shared" si="14"/>
        <v>1372.3728</v>
      </c>
      <c r="T315" s="7"/>
      <c r="U315" s="7"/>
      <c r="V315" s="7"/>
      <c r="W315" s="417">
        <v>1</v>
      </c>
    </row>
    <row r="316" s="417" customFormat="1" ht="16" customHeight="1" spans="1:23">
      <c r="A316" s="449">
        <v>46185</v>
      </c>
      <c r="B316" s="449">
        <v>46186</v>
      </c>
      <c r="C316" s="7"/>
      <c r="D316" s="7" t="s">
        <v>235</v>
      </c>
      <c r="E316" s="7" t="s">
        <v>111</v>
      </c>
      <c r="F316" s="7" t="s">
        <v>111</v>
      </c>
      <c r="G316" s="7" t="s">
        <v>112</v>
      </c>
      <c r="H316" s="7" t="s">
        <v>368</v>
      </c>
      <c r="I316" s="7" t="s">
        <v>356</v>
      </c>
      <c r="J316" s="74">
        <v>43.82</v>
      </c>
      <c r="K316" s="74" t="s">
        <v>371</v>
      </c>
      <c r="L316" s="74">
        <v>43.62</v>
      </c>
      <c r="M316" s="7">
        <v>61</v>
      </c>
      <c r="N316" s="7"/>
      <c r="O316" s="438">
        <f t="shared" si="12"/>
        <v>2660.82</v>
      </c>
      <c r="P316" s="438">
        <v>15</v>
      </c>
      <c r="Q316" s="438">
        <f t="shared" si="13"/>
        <v>186.2574</v>
      </c>
      <c r="R316" s="438">
        <v>600</v>
      </c>
      <c r="S316" s="439">
        <f t="shared" si="14"/>
        <v>1859.5626</v>
      </c>
      <c r="T316" s="7"/>
      <c r="U316" s="7"/>
      <c r="V316" s="7"/>
      <c r="W316" s="417">
        <v>1</v>
      </c>
    </row>
    <row r="317" s="417" customFormat="1" ht="16" customHeight="1" spans="1:23">
      <c r="A317" s="449">
        <v>46185</v>
      </c>
      <c r="B317" s="449">
        <v>46185</v>
      </c>
      <c r="C317" s="7"/>
      <c r="D317" s="7" t="s">
        <v>235</v>
      </c>
      <c r="E317" s="7" t="s">
        <v>87</v>
      </c>
      <c r="F317" s="7" t="s">
        <v>87</v>
      </c>
      <c r="G317" s="7" t="s">
        <v>88</v>
      </c>
      <c r="H317" s="7" t="s">
        <v>368</v>
      </c>
      <c r="I317" s="7" t="s">
        <v>356</v>
      </c>
      <c r="J317" s="74">
        <v>43.54</v>
      </c>
      <c r="K317" s="74" t="s">
        <v>369</v>
      </c>
      <c r="L317" s="74">
        <v>43.46</v>
      </c>
      <c r="M317" s="457">
        <v>48</v>
      </c>
      <c r="N317" s="7"/>
      <c r="O317" s="438">
        <f t="shared" si="12"/>
        <v>2086.08</v>
      </c>
      <c r="P317" s="438">
        <v>15</v>
      </c>
      <c r="Q317" s="438">
        <f t="shared" si="13"/>
        <v>146.0256</v>
      </c>
      <c r="R317" s="438">
        <v>600</v>
      </c>
      <c r="S317" s="439">
        <f t="shared" si="14"/>
        <v>1325.0544</v>
      </c>
      <c r="T317" s="7"/>
      <c r="U317" s="7"/>
      <c r="V317" s="7"/>
      <c r="W317" s="417">
        <v>1</v>
      </c>
    </row>
    <row r="318" s="417" customFormat="1" ht="16" customHeight="1" spans="1:23">
      <c r="A318" s="449">
        <v>46185</v>
      </c>
      <c r="B318" s="449">
        <v>46185</v>
      </c>
      <c r="C318" s="7"/>
      <c r="D318" s="7" t="s">
        <v>235</v>
      </c>
      <c r="E318" s="7" t="s">
        <v>57</v>
      </c>
      <c r="F318" s="7" t="s">
        <v>57</v>
      </c>
      <c r="G318" s="7" t="s">
        <v>58</v>
      </c>
      <c r="H318" s="7" t="s">
        <v>368</v>
      </c>
      <c r="I318" s="7" t="s">
        <v>356</v>
      </c>
      <c r="J318" s="74">
        <v>43.66</v>
      </c>
      <c r="K318" s="74" t="s">
        <v>369</v>
      </c>
      <c r="L318" s="74">
        <v>43.56</v>
      </c>
      <c r="M318" s="457">
        <v>48</v>
      </c>
      <c r="N318" s="7"/>
      <c r="O318" s="438">
        <f t="shared" si="12"/>
        <v>2090.88</v>
      </c>
      <c r="P318" s="438">
        <v>15</v>
      </c>
      <c r="Q318" s="438">
        <f t="shared" si="13"/>
        <v>146.3616</v>
      </c>
      <c r="R318" s="438">
        <v>600</v>
      </c>
      <c r="S318" s="439">
        <f t="shared" si="14"/>
        <v>1329.5184</v>
      </c>
      <c r="T318" s="7"/>
      <c r="U318" s="7"/>
      <c r="V318" s="7"/>
      <c r="W318" s="417">
        <v>1</v>
      </c>
    </row>
    <row r="319" s="417" customFormat="1" ht="16" customHeight="1" spans="1:23">
      <c r="A319" s="449">
        <v>46185</v>
      </c>
      <c r="B319" s="449">
        <v>46187</v>
      </c>
      <c r="C319" s="7" t="s">
        <v>554</v>
      </c>
      <c r="D319" s="7" t="s">
        <v>235</v>
      </c>
      <c r="E319" s="7" t="s">
        <v>338</v>
      </c>
      <c r="F319" s="7" t="s">
        <v>338</v>
      </c>
      <c r="G319" s="7" t="s">
        <v>158</v>
      </c>
      <c r="H319" s="7" t="s">
        <v>384</v>
      </c>
      <c r="I319" s="7" t="s">
        <v>356</v>
      </c>
      <c r="J319" s="74">
        <v>45</v>
      </c>
      <c r="K319" s="74" t="s">
        <v>371</v>
      </c>
      <c r="L319" s="74">
        <v>44.77</v>
      </c>
      <c r="M319" s="7">
        <v>61</v>
      </c>
      <c r="N319" s="7"/>
      <c r="O319" s="438">
        <f t="shared" si="12"/>
        <v>2730.97</v>
      </c>
      <c r="P319" s="438">
        <v>15</v>
      </c>
      <c r="Q319" s="438">
        <f t="shared" si="13"/>
        <v>191.1679</v>
      </c>
      <c r="R319" s="438">
        <v>600</v>
      </c>
      <c r="S319" s="439">
        <f t="shared" si="14"/>
        <v>1924.8021</v>
      </c>
      <c r="T319" s="7"/>
      <c r="U319" s="7"/>
      <c r="V319" s="7"/>
      <c r="W319" s="417">
        <v>1</v>
      </c>
    </row>
    <row r="320" s="417" customFormat="1" ht="16" customHeight="1" spans="1:23">
      <c r="A320" s="449">
        <v>46185</v>
      </c>
      <c r="B320" s="449">
        <v>46187</v>
      </c>
      <c r="C320" s="7" t="s">
        <v>555</v>
      </c>
      <c r="D320" s="7" t="s">
        <v>235</v>
      </c>
      <c r="E320" s="7" t="s">
        <v>45</v>
      </c>
      <c r="F320" s="7" t="s">
        <v>45</v>
      </c>
      <c r="G320" s="7" t="s">
        <v>193</v>
      </c>
      <c r="H320" s="7" t="s">
        <v>384</v>
      </c>
      <c r="I320" s="7" t="s">
        <v>356</v>
      </c>
      <c r="J320" s="74">
        <v>41.9</v>
      </c>
      <c r="K320" s="74" t="s">
        <v>371</v>
      </c>
      <c r="L320" s="74">
        <v>41.74</v>
      </c>
      <c r="M320" s="7">
        <v>61</v>
      </c>
      <c r="N320" s="7"/>
      <c r="O320" s="438">
        <f t="shared" si="12"/>
        <v>2546.14</v>
      </c>
      <c r="P320" s="438">
        <v>15</v>
      </c>
      <c r="Q320" s="438">
        <f t="shared" si="13"/>
        <v>178.2298</v>
      </c>
      <c r="R320" s="438">
        <v>600</v>
      </c>
      <c r="S320" s="439">
        <f t="shared" si="14"/>
        <v>1752.9102</v>
      </c>
      <c r="T320" s="7"/>
      <c r="U320" s="7"/>
      <c r="V320" s="7"/>
      <c r="W320" s="417">
        <v>1</v>
      </c>
    </row>
    <row r="321" s="417" customFormat="1" ht="16" customHeight="1" spans="1:23">
      <c r="A321" s="449">
        <v>46185</v>
      </c>
      <c r="B321" s="449">
        <v>46186</v>
      </c>
      <c r="C321" s="7"/>
      <c r="D321" s="7" t="s">
        <v>235</v>
      </c>
      <c r="E321" s="7" t="s">
        <v>63</v>
      </c>
      <c r="F321" s="7" t="s">
        <v>63</v>
      </c>
      <c r="G321" s="7" t="s">
        <v>327</v>
      </c>
      <c r="H321" s="7" t="s">
        <v>368</v>
      </c>
      <c r="I321" s="7" t="s">
        <v>356</v>
      </c>
      <c r="J321" s="74">
        <v>44.34</v>
      </c>
      <c r="K321" s="74" t="s">
        <v>369</v>
      </c>
      <c r="L321" s="74">
        <v>44.18</v>
      </c>
      <c r="M321" s="457">
        <v>48</v>
      </c>
      <c r="N321" s="7"/>
      <c r="O321" s="438">
        <f t="shared" si="12"/>
        <v>2120.64</v>
      </c>
      <c r="P321" s="464">
        <v>15</v>
      </c>
      <c r="Q321" s="465">
        <f t="shared" si="13"/>
        <v>148.4448</v>
      </c>
      <c r="R321" s="464">
        <v>600</v>
      </c>
      <c r="S321" s="439">
        <f t="shared" si="14"/>
        <v>1357.1952</v>
      </c>
      <c r="T321" s="7"/>
      <c r="U321" s="7"/>
      <c r="V321" s="7"/>
      <c r="W321" s="417">
        <v>1</v>
      </c>
    </row>
    <row r="322" s="417" customFormat="1" ht="16" customHeight="1" spans="1:23">
      <c r="A322" s="449">
        <v>46185</v>
      </c>
      <c r="B322" s="449">
        <v>46187</v>
      </c>
      <c r="C322" s="7"/>
      <c r="D322" s="7" t="s">
        <v>235</v>
      </c>
      <c r="E322" s="7" t="s">
        <v>124</v>
      </c>
      <c r="F322" s="7" t="s">
        <v>124</v>
      </c>
      <c r="G322" s="7" t="s">
        <v>125</v>
      </c>
      <c r="H322" s="7" t="s">
        <v>368</v>
      </c>
      <c r="I322" s="7" t="s">
        <v>356</v>
      </c>
      <c r="J322" s="74">
        <v>43.94</v>
      </c>
      <c r="K322" s="74" t="s">
        <v>371</v>
      </c>
      <c r="L322" s="74">
        <v>43.7</v>
      </c>
      <c r="M322" s="7">
        <v>61</v>
      </c>
      <c r="N322" s="7"/>
      <c r="O322" s="438">
        <f t="shared" ref="O322:O385" si="15">L322*M322</f>
        <v>2665.7</v>
      </c>
      <c r="P322" s="464">
        <v>15</v>
      </c>
      <c r="Q322" s="465">
        <f t="shared" ref="Q322:Q385" si="16">O322*0.07</f>
        <v>186.599</v>
      </c>
      <c r="R322" s="464">
        <v>600</v>
      </c>
      <c r="S322" s="439">
        <f t="shared" ref="S322:S385" si="17">O322-P322-R322-Q322</f>
        <v>1864.101</v>
      </c>
      <c r="T322" s="7"/>
      <c r="U322" s="7"/>
      <c r="V322" s="7"/>
      <c r="W322" s="417">
        <v>1</v>
      </c>
    </row>
    <row r="323" s="417" customFormat="1" ht="16" customHeight="1" spans="1:23">
      <c r="A323" s="449">
        <v>46185</v>
      </c>
      <c r="B323" s="449">
        <v>46186</v>
      </c>
      <c r="C323" s="7"/>
      <c r="D323" s="7" t="s">
        <v>235</v>
      </c>
      <c r="E323" s="7" t="s">
        <v>96</v>
      </c>
      <c r="F323" s="7" t="s">
        <v>96</v>
      </c>
      <c r="G323" s="7" t="s">
        <v>97</v>
      </c>
      <c r="H323" s="7" t="s">
        <v>368</v>
      </c>
      <c r="I323" s="7" t="s">
        <v>356</v>
      </c>
      <c r="J323" s="74">
        <v>42</v>
      </c>
      <c r="K323" s="74" t="s">
        <v>369</v>
      </c>
      <c r="L323" s="74">
        <v>41.9</v>
      </c>
      <c r="M323" s="457">
        <v>48</v>
      </c>
      <c r="N323" s="7"/>
      <c r="O323" s="438">
        <f t="shared" si="15"/>
        <v>2011.2</v>
      </c>
      <c r="P323" s="464">
        <v>15</v>
      </c>
      <c r="Q323" s="465">
        <f t="shared" si="16"/>
        <v>140.784</v>
      </c>
      <c r="R323" s="464">
        <v>600</v>
      </c>
      <c r="S323" s="439">
        <f t="shared" si="17"/>
        <v>1255.416</v>
      </c>
      <c r="T323" s="7"/>
      <c r="U323" s="7"/>
      <c r="V323" s="7"/>
      <c r="W323" s="417">
        <v>1</v>
      </c>
    </row>
    <row r="324" s="417" customFormat="1" ht="16" customHeight="1" spans="1:23">
      <c r="A324" s="449">
        <v>46185</v>
      </c>
      <c r="B324" s="449">
        <v>46186</v>
      </c>
      <c r="C324" s="7"/>
      <c r="D324" s="7" t="s">
        <v>235</v>
      </c>
      <c r="E324" s="7" t="s">
        <v>60</v>
      </c>
      <c r="F324" s="7" t="s">
        <v>60</v>
      </c>
      <c r="G324" s="7" t="s">
        <v>61</v>
      </c>
      <c r="H324" s="7" t="s">
        <v>368</v>
      </c>
      <c r="I324" s="7" t="s">
        <v>356</v>
      </c>
      <c r="J324" s="74">
        <v>42.44</v>
      </c>
      <c r="K324" s="74" t="s">
        <v>371</v>
      </c>
      <c r="L324" s="74">
        <v>42.24</v>
      </c>
      <c r="M324" s="7">
        <v>61</v>
      </c>
      <c r="N324" s="7"/>
      <c r="O324" s="438">
        <f t="shared" si="15"/>
        <v>2576.64</v>
      </c>
      <c r="P324" s="464">
        <v>15</v>
      </c>
      <c r="Q324" s="465">
        <f t="shared" si="16"/>
        <v>180.3648</v>
      </c>
      <c r="R324" s="464">
        <v>600</v>
      </c>
      <c r="S324" s="439">
        <f t="shared" si="17"/>
        <v>1781.2752</v>
      </c>
      <c r="T324" s="7"/>
      <c r="U324" s="7"/>
      <c r="V324" s="7"/>
      <c r="W324" s="417">
        <v>1</v>
      </c>
    </row>
    <row r="325" s="417" customFormat="1" ht="16" customHeight="1" spans="1:23">
      <c r="A325" s="449">
        <v>46185</v>
      </c>
      <c r="B325" s="449">
        <v>46187</v>
      </c>
      <c r="C325" s="7" t="s">
        <v>556</v>
      </c>
      <c r="D325" s="7" t="s">
        <v>235</v>
      </c>
      <c r="E325" s="7" t="s">
        <v>163</v>
      </c>
      <c r="F325" s="7" t="s">
        <v>163</v>
      </c>
      <c r="G325" s="7" t="s">
        <v>164</v>
      </c>
      <c r="H325" s="7" t="s">
        <v>384</v>
      </c>
      <c r="I325" s="7" t="s">
        <v>356</v>
      </c>
      <c r="J325" s="74">
        <v>44.42</v>
      </c>
      <c r="K325" s="74" t="s">
        <v>371</v>
      </c>
      <c r="L325" s="74">
        <v>44.15</v>
      </c>
      <c r="M325" s="7">
        <v>61</v>
      </c>
      <c r="N325" s="7"/>
      <c r="O325" s="438">
        <f t="shared" si="15"/>
        <v>2693.15</v>
      </c>
      <c r="P325" s="464">
        <v>15</v>
      </c>
      <c r="Q325" s="465">
        <f t="shared" si="16"/>
        <v>188.5205</v>
      </c>
      <c r="R325" s="464">
        <v>600</v>
      </c>
      <c r="S325" s="439">
        <f t="shared" si="17"/>
        <v>1889.6295</v>
      </c>
      <c r="T325" s="7"/>
      <c r="U325" s="7"/>
      <c r="V325" s="7"/>
      <c r="W325" s="417">
        <v>1</v>
      </c>
    </row>
    <row r="326" s="417" customFormat="1" ht="16" customHeight="1" spans="1:23">
      <c r="A326" s="449">
        <v>46185</v>
      </c>
      <c r="B326" s="449">
        <v>46187</v>
      </c>
      <c r="C326" s="7" t="s">
        <v>557</v>
      </c>
      <c r="D326" s="7" t="s">
        <v>235</v>
      </c>
      <c r="E326" s="7" t="s">
        <v>154</v>
      </c>
      <c r="F326" s="7" t="s">
        <v>154</v>
      </c>
      <c r="G326" s="7" t="s">
        <v>184</v>
      </c>
      <c r="H326" s="7" t="s">
        <v>384</v>
      </c>
      <c r="I326" s="7" t="s">
        <v>356</v>
      </c>
      <c r="J326" s="74">
        <v>43.38</v>
      </c>
      <c r="K326" s="74" t="s">
        <v>371</v>
      </c>
      <c r="L326" s="74">
        <v>42.81</v>
      </c>
      <c r="M326" s="7">
        <v>61</v>
      </c>
      <c r="N326" s="7"/>
      <c r="O326" s="438">
        <f t="shared" si="15"/>
        <v>2611.41</v>
      </c>
      <c r="P326" s="464">
        <v>15</v>
      </c>
      <c r="Q326" s="465">
        <f t="shared" si="16"/>
        <v>182.7987</v>
      </c>
      <c r="R326" s="464">
        <v>600</v>
      </c>
      <c r="S326" s="439">
        <f t="shared" si="17"/>
        <v>1813.6113</v>
      </c>
      <c r="T326" s="7"/>
      <c r="U326" s="7"/>
      <c r="V326" s="7"/>
      <c r="W326" s="417">
        <v>1</v>
      </c>
    </row>
    <row r="327" s="417" customFormat="1" ht="16" customHeight="1" spans="1:23">
      <c r="A327" s="449">
        <v>46185</v>
      </c>
      <c r="B327" s="449">
        <v>46187</v>
      </c>
      <c r="C327" s="7"/>
      <c r="D327" s="7" t="s">
        <v>235</v>
      </c>
      <c r="E327" s="7" t="s">
        <v>132</v>
      </c>
      <c r="F327" s="7" t="s">
        <v>132</v>
      </c>
      <c r="G327" s="7" t="s">
        <v>133</v>
      </c>
      <c r="H327" s="7" t="s">
        <v>368</v>
      </c>
      <c r="I327" s="7" t="s">
        <v>356</v>
      </c>
      <c r="J327" s="74">
        <v>42.1</v>
      </c>
      <c r="K327" s="74" t="s">
        <v>371</v>
      </c>
      <c r="L327" s="74">
        <v>41.9</v>
      </c>
      <c r="M327" s="7">
        <v>61</v>
      </c>
      <c r="N327" s="7"/>
      <c r="O327" s="438">
        <f t="shared" si="15"/>
        <v>2555.9</v>
      </c>
      <c r="P327" s="464">
        <v>15</v>
      </c>
      <c r="Q327" s="465">
        <f t="shared" si="16"/>
        <v>178.913</v>
      </c>
      <c r="R327" s="464">
        <v>600</v>
      </c>
      <c r="S327" s="439">
        <f t="shared" si="17"/>
        <v>1761.987</v>
      </c>
      <c r="T327" s="7"/>
      <c r="U327" s="7"/>
      <c r="V327" s="7"/>
      <c r="W327" s="417">
        <v>1</v>
      </c>
    </row>
    <row r="328" s="417" customFormat="1" ht="16" customHeight="1" spans="1:23">
      <c r="A328" s="449">
        <v>46185</v>
      </c>
      <c r="B328" s="449">
        <v>46187</v>
      </c>
      <c r="C328" s="7" t="s">
        <v>558</v>
      </c>
      <c r="D328" s="7" t="s">
        <v>235</v>
      </c>
      <c r="E328" s="7" t="s">
        <v>160</v>
      </c>
      <c r="F328" s="7" t="s">
        <v>160</v>
      </c>
      <c r="G328" s="7" t="s">
        <v>161</v>
      </c>
      <c r="H328" s="7" t="s">
        <v>384</v>
      </c>
      <c r="I328" s="7" t="s">
        <v>356</v>
      </c>
      <c r="J328" s="74">
        <v>45.78</v>
      </c>
      <c r="K328" s="74" t="s">
        <v>371</v>
      </c>
      <c r="L328" s="74">
        <v>45.44</v>
      </c>
      <c r="M328" s="7">
        <v>61</v>
      </c>
      <c r="N328" s="7"/>
      <c r="O328" s="438">
        <f t="shared" si="15"/>
        <v>2771.84</v>
      </c>
      <c r="P328" s="464">
        <v>15</v>
      </c>
      <c r="Q328" s="465">
        <f t="shared" si="16"/>
        <v>194.0288</v>
      </c>
      <c r="R328" s="464">
        <v>600</v>
      </c>
      <c r="S328" s="439">
        <f t="shared" si="17"/>
        <v>1962.8112</v>
      </c>
      <c r="T328" s="7"/>
      <c r="U328" s="7"/>
      <c r="V328" s="7"/>
      <c r="W328" s="417">
        <v>1</v>
      </c>
    </row>
    <row r="329" s="417" customFormat="1" ht="16" customHeight="1" spans="1:23">
      <c r="A329" s="449">
        <v>46185</v>
      </c>
      <c r="B329" s="449">
        <v>46186</v>
      </c>
      <c r="C329" s="7"/>
      <c r="D329" s="7" t="s">
        <v>235</v>
      </c>
      <c r="E329" s="7" t="s">
        <v>81</v>
      </c>
      <c r="F329" s="7" t="s">
        <v>81</v>
      </c>
      <c r="G329" s="7" t="s">
        <v>82</v>
      </c>
      <c r="H329" s="7" t="s">
        <v>368</v>
      </c>
      <c r="I329" s="7" t="s">
        <v>356</v>
      </c>
      <c r="J329" s="74">
        <v>43.48</v>
      </c>
      <c r="K329" s="74" t="s">
        <v>371</v>
      </c>
      <c r="L329" s="74">
        <v>43.3</v>
      </c>
      <c r="M329" s="7">
        <v>61</v>
      </c>
      <c r="N329" s="7"/>
      <c r="O329" s="438">
        <f t="shared" si="15"/>
        <v>2641.3</v>
      </c>
      <c r="P329" s="464">
        <v>15</v>
      </c>
      <c r="Q329" s="465">
        <f t="shared" si="16"/>
        <v>184.891</v>
      </c>
      <c r="R329" s="464">
        <v>600</v>
      </c>
      <c r="S329" s="439">
        <f t="shared" si="17"/>
        <v>1841.409</v>
      </c>
      <c r="T329" s="7"/>
      <c r="U329" s="7"/>
      <c r="V329" s="7"/>
      <c r="W329" s="417">
        <v>1</v>
      </c>
    </row>
    <row r="330" s="417" customFormat="1" ht="16" customHeight="1" spans="1:23">
      <c r="A330" s="449">
        <v>46186</v>
      </c>
      <c r="B330" s="449">
        <v>46187</v>
      </c>
      <c r="C330" s="7" t="s">
        <v>559</v>
      </c>
      <c r="D330" s="7" t="s">
        <v>237</v>
      </c>
      <c r="E330" s="7" t="s">
        <v>117</v>
      </c>
      <c r="F330" s="7" t="s">
        <v>117</v>
      </c>
      <c r="G330" s="7" t="s">
        <v>118</v>
      </c>
      <c r="H330" s="7" t="s">
        <v>354</v>
      </c>
      <c r="I330" s="7" t="s">
        <v>407</v>
      </c>
      <c r="J330" s="74">
        <v>40.44</v>
      </c>
      <c r="K330" s="74" t="s">
        <v>356</v>
      </c>
      <c r="L330" s="74">
        <v>40.44</v>
      </c>
      <c r="M330" s="7">
        <v>87</v>
      </c>
      <c r="N330" s="7"/>
      <c r="O330" s="438">
        <f t="shared" si="15"/>
        <v>3518.28</v>
      </c>
      <c r="P330" s="438">
        <v>15</v>
      </c>
      <c r="Q330" s="438">
        <f t="shared" si="16"/>
        <v>246.2796</v>
      </c>
      <c r="R330" s="438">
        <v>800</v>
      </c>
      <c r="S330" s="439">
        <f t="shared" si="17"/>
        <v>2457.0004</v>
      </c>
      <c r="T330" s="7"/>
      <c r="U330" s="7"/>
      <c r="V330" s="7"/>
      <c r="W330" s="466">
        <v>1</v>
      </c>
    </row>
    <row r="331" s="417" customFormat="1" ht="16" customHeight="1" spans="1:23">
      <c r="A331" s="449">
        <v>46186</v>
      </c>
      <c r="B331" s="449">
        <v>46187</v>
      </c>
      <c r="C331" s="7" t="s">
        <v>560</v>
      </c>
      <c r="D331" s="7" t="s">
        <v>237</v>
      </c>
      <c r="E331" s="7" t="s">
        <v>127</v>
      </c>
      <c r="F331" s="7" t="s">
        <v>127</v>
      </c>
      <c r="G331" s="7" t="s">
        <v>128</v>
      </c>
      <c r="H331" s="7" t="s">
        <v>354</v>
      </c>
      <c r="I331" s="7" t="s">
        <v>407</v>
      </c>
      <c r="J331" s="74">
        <v>40.42</v>
      </c>
      <c r="K331" s="74" t="s">
        <v>356</v>
      </c>
      <c r="L331" s="74">
        <v>40.42</v>
      </c>
      <c r="M331" s="7">
        <v>87</v>
      </c>
      <c r="N331" s="7"/>
      <c r="O331" s="438">
        <f t="shared" si="15"/>
        <v>3516.54</v>
      </c>
      <c r="P331" s="438">
        <v>15</v>
      </c>
      <c r="Q331" s="438">
        <f t="shared" si="16"/>
        <v>246.1578</v>
      </c>
      <c r="R331" s="438">
        <v>800</v>
      </c>
      <c r="S331" s="439">
        <f t="shared" si="17"/>
        <v>2455.3822</v>
      </c>
      <c r="T331" s="7"/>
      <c r="U331" s="7"/>
      <c r="V331" s="7"/>
      <c r="W331" s="466">
        <v>1</v>
      </c>
    </row>
    <row r="332" s="417" customFormat="1" ht="16" customHeight="1" spans="1:23">
      <c r="A332" s="449">
        <v>46186</v>
      </c>
      <c r="B332" s="449">
        <v>46187</v>
      </c>
      <c r="C332" s="7" t="s">
        <v>561</v>
      </c>
      <c r="D332" s="7" t="s">
        <v>237</v>
      </c>
      <c r="E332" s="7" t="s">
        <v>148</v>
      </c>
      <c r="F332" s="7" t="s">
        <v>148</v>
      </c>
      <c r="G332" s="7" t="s">
        <v>149</v>
      </c>
      <c r="H332" s="7" t="s">
        <v>354</v>
      </c>
      <c r="I332" s="7" t="s">
        <v>407</v>
      </c>
      <c r="J332" s="74">
        <v>45.98</v>
      </c>
      <c r="K332" s="74" t="s">
        <v>356</v>
      </c>
      <c r="L332" s="74">
        <v>45.98</v>
      </c>
      <c r="M332" s="7">
        <v>87</v>
      </c>
      <c r="N332" s="7"/>
      <c r="O332" s="438">
        <f t="shared" si="15"/>
        <v>4000.26</v>
      </c>
      <c r="P332" s="438">
        <v>15</v>
      </c>
      <c r="Q332" s="438">
        <f t="shared" si="16"/>
        <v>280.0182</v>
      </c>
      <c r="R332" s="438">
        <v>800</v>
      </c>
      <c r="S332" s="439">
        <f t="shared" si="17"/>
        <v>2905.2418</v>
      </c>
      <c r="T332" s="7"/>
      <c r="U332" s="7"/>
      <c r="V332" s="7"/>
      <c r="W332" s="466">
        <v>1</v>
      </c>
    </row>
    <row r="333" s="417" customFormat="1" ht="16" customHeight="1" spans="1:23">
      <c r="A333" s="467">
        <v>46186</v>
      </c>
      <c r="B333" s="467">
        <v>46187</v>
      </c>
      <c r="C333" s="468" t="s">
        <v>562</v>
      </c>
      <c r="D333" s="7" t="s">
        <v>237</v>
      </c>
      <c r="E333" s="468" t="s">
        <v>87</v>
      </c>
      <c r="F333" s="468" t="s">
        <v>87</v>
      </c>
      <c r="G333" s="468" t="s">
        <v>88</v>
      </c>
      <c r="H333" s="7" t="s">
        <v>354</v>
      </c>
      <c r="I333" s="7" t="s">
        <v>407</v>
      </c>
      <c r="J333" s="469">
        <v>44.14</v>
      </c>
      <c r="K333" s="74" t="s">
        <v>356</v>
      </c>
      <c r="L333" s="469">
        <v>44.14</v>
      </c>
      <c r="M333" s="7">
        <v>87</v>
      </c>
      <c r="N333" s="468"/>
      <c r="O333" s="438">
        <f t="shared" si="15"/>
        <v>3840.18</v>
      </c>
      <c r="P333" s="438">
        <v>15</v>
      </c>
      <c r="Q333" s="438">
        <f t="shared" si="16"/>
        <v>268.8126</v>
      </c>
      <c r="R333" s="438">
        <v>800</v>
      </c>
      <c r="S333" s="439">
        <f t="shared" si="17"/>
        <v>2756.3674</v>
      </c>
      <c r="T333" s="468"/>
      <c r="U333" s="468"/>
      <c r="V333" s="468"/>
      <c r="W333" s="417">
        <v>1</v>
      </c>
    </row>
    <row r="334" s="417" customFormat="1" ht="16" customHeight="1" spans="1:23">
      <c r="A334" s="449">
        <v>46186</v>
      </c>
      <c r="B334" s="467">
        <v>46188</v>
      </c>
      <c r="C334" s="7" t="s">
        <v>563</v>
      </c>
      <c r="D334" s="7" t="s">
        <v>237</v>
      </c>
      <c r="E334" s="7" t="s">
        <v>177</v>
      </c>
      <c r="F334" s="7" t="s">
        <v>177</v>
      </c>
      <c r="G334" s="7" t="s">
        <v>178</v>
      </c>
      <c r="H334" s="7" t="s">
        <v>354</v>
      </c>
      <c r="I334" s="7" t="s">
        <v>407</v>
      </c>
      <c r="J334" s="74">
        <v>44.14</v>
      </c>
      <c r="K334" s="74" t="s">
        <v>356</v>
      </c>
      <c r="L334" s="74">
        <v>44.14</v>
      </c>
      <c r="M334" s="7">
        <v>87</v>
      </c>
      <c r="N334" s="7"/>
      <c r="O334" s="438">
        <f t="shared" si="15"/>
        <v>3840.18</v>
      </c>
      <c r="P334" s="438">
        <v>15</v>
      </c>
      <c r="Q334" s="438">
        <f t="shared" si="16"/>
        <v>268.8126</v>
      </c>
      <c r="R334" s="438">
        <v>800</v>
      </c>
      <c r="S334" s="439">
        <f t="shared" si="17"/>
        <v>2756.3674</v>
      </c>
      <c r="T334" s="7"/>
      <c r="U334" s="7"/>
      <c r="V334" s="7"/>
      <c r="W334" s="417">
        <v>1</v>
      </c>
    </row>
    <row r="335" s="417" customFormat="1" ht="16" customHeight="1" spans="1:23">
      <c r="A335" s="449">
        <v>46186</v>
      </c>
      <c r="B335" s="449">
        <v>46187</v>
      </c>
      <c r="C335" s="7" t="s">
        <v>564</v>
      </c>
      <c r="D335" s="7" t="s">
        <v>236</v>
      </c>
      <c r="E335" s="7" t="s">
        <v>81</v>
      </c>
      <c r="F335" s="7" t="s">
        <v>81</v>
      </c>
      <c r="G335" s="7" t="s">
        <v>82</v>
      </c>
      <c r="H335" s="7" t="s">
        <v>354</v>
      </c>
      <c r="I335" s="7" t="s">
        <v>369</v>
      </c>
      <c r="J335" s="74">
        <v>40.42</v>
      </c>
      <c r="K335" s="74" t="s">
        <v>356</v>
      </c>
      <c r="L335" s="74">
        <v>40.38</v>
      </c>
      <c r="M335" s="7">
        <v>68</v>
      </c>
      <c r="N335" s="7"/>
      <c r="O335" s="438">
        <f t="shared" si="15"/>
        <v>2745.84</v>
      </c>
      <c r="P335" s="464">
        <v>15</v>
      </c>
      <c r="Q335" s="465">
        <f t="shared" si="16"/>
        <v>192.2088</v>
      </c>
      <c r="R335" s="438">
        <v>600</v>
      </c>
      <c r="S335" s="439">
        <f t="shared" si="17"/>
        <v>1938.6312</v>
      </c>
      <c r="T335" s="7"/>
      <c r="U335" s="7"/>
      <c r="V335" s="7"/>
      <c r="W335" s="417">
        <v>1</v>
      </c>
    </row>
    <row r="336" s="417" customFormat="1" ht="16" customHeight="1" spans="1:23">
      <c r="A336" s="449">
        <v>46186</v>
      </c>
      <c r="B336" s="449">
        <v>46187</v>
      </c>
      <c r="C336" s="7" t="s">
        <v>565</v>
      </c>
      <c r="D336" s="7" t="s">
        <v>236</v>
      </c>
      <c r="E336" s="7" t="s">
        <v>96</v>
      </c>
      <c r="F336" s="7" t="s">
        <v>96</v>
      </c>
      <c r="G336" s="7" t="s">
        <v>97</v>
      </c>
      <c r="H336" s="7" t="s">
        <v>354</v>
      </c>
      <c r="I336" s="7" t="s">
        <v>369</v>
      </c>
      <c r="J336" s="74">
        <v>37.16</v>
      </c>
      <c r="K336" s="74" t="s">
        <v>356</v>
      </c>
      <c r="L336" s="74">
        <v>37.1</v>
      </c>
      <c r="M336" s="7">
        <v>68</v>
      </c>
      <c r="N336" s="7"/>
      <c r="O336" s="438">
        <f t="shared" si="15"/>
        <v>2522.8</v>
      </c>
      <c r="P336" s="464">
        <v>15</v>
      </c>
      <c r="Q336" s="465">
        <f t="shared" si="16"/>
        <v>176.596</v>
      </c>
      <c r="R336" s="438">
        <v>600</v>
      </c>
      <c r="S336" s="439">
        <f t="shared" si="17"/>
        <v>1731.204</v>
      </c>
      <c r="T336" s="7"/>
      <c r="U336" s="7"/>
      <c r="V336" s="7"/>
      <c r="W336" s="417">
        <v>1</v>
      </c>
    </row>
    <row r="337" s="417" customFormat="1" ht="16" customHeight="1" spans="1:23">
      <c r="A337" s="449">
        <v>46185</v>
      </c>
      <c r="B337" s="449">
        <v>46187</v>
      </c>
      <c r="C337" s="442" t="s">
        <v>566</v>
      </c>
      <c r="D337" s="7" t="s">
        <v>233</v>
      </c>
      <c r="E337" s="7" t="s">
        <v>66</v>
      </c>
      <c r="F337" s="7" t="s">
        <v>66</v>
      </c>
      <c r="G337" s="7" t="s">
        <v>67</v>
      </c>
      <c r="H337" s="7" t="s">
        <v>354</v>
      </c>
      <c r="I337" s="7" t="s">
        <v>355</v>
      </c>
      <c r="J337" s="74">
        <v>40.46</v>
      </c>
      <c r="K337" s="74" t="s">
        <v>356</v>
      </c>
      <c r="L337" s="74">
        <v>40.44</v>
      </c>
      <c r="M337" s="7">
        <v>67</v>
      </c>
      <c r="N337" s="7"/>
      <c r="O337" s="438">
        <f t="shared" si="15"/>
        <v>2709.48</v>
      </c>
      <c r="P337" s="464">
        <v>15</v>
      </c>
      <c r="Q337" s="465">
        <f t="shared" si="16"/>
        <v>189.6636</v>
      </c>
      <c r="R337" s="438">
        <v>600</v>
      </c>
      <c r="S337" s="439">
        <f t="shared" si="17"/>
        <v>1904.8164</v>
      </c>
      <c r="T337" s="7"/>
      <c r="U337" s="7"/>
      <c r="V337" s="7"/>
      <c r="W337" s="417">
        <v>1</v>
      </c>
    </row>
    <row r="338" s="417" customFormat="1" ht="16" customHeight="1" spans="1:23">
      <c r="A338" s="449">
        <v>46185</v>
      </c>
      <c r="B338" s="449">
        <v>46186</v>
      </c>
      <c r="C338" s="442" t="s">
        <v>567</v>
      </c>
      <c r="D338" s="7" t="s">
        <v>233</v>
      </c>
      <c r="E338" s="7" t="s">
        <v>99</v>
      </c>
      <c r="F338" s="7" t="s">
        <v>99</v>
      </c>
      <c r="G338" s="7" t="s">
        <v>100</v>
      </c>
      <c r="H338" s="7" t="s">
        <v>354</v>
      </c>
      <c r="I338" s="7" t="s">
        <v>355</v>
      </c>
      <c r="J338" s="74">
        <v>39.08</v>
      </c>
      <c r="K338" s="74" t="s">
        <v>356</v>
      </c>
      <c r="L338" s="74">
        <v>39.06</v>
      </c>
      <c r="M338" s="7">
        <v>67</v>
      </c>
      <c r="N338" s="7"/>
      <c r="O338" s="438">
        <f t="shared" si="15"/>
        <v>2617.02</v>
      </c>
      <c r="P338" s="464">
        <v>15</v>
      </c>
      <c r="Q338" s="465">
        <f t="shared" si="16"/>
        <v>183.1914</v>
      </c>
      <c r="R338" s="438">
        <v>600</v>
      </c>
      <c r="S338" s="439">
        <f t="shared" si="17"/>
        <v>1818.8286</v>
      </c>
      <c r="T338" s="7"/>
      <c r="U338" s="7"/>
      <c r="V338" s="7"/>
      <c r="W338" s="417">
        <v>1</v>
      </c>
    </row>
    <row r="339" s="417" customFormat="1" ht="16" customHeight="1" spans="1:23">
      <c r="A339" s="449">
        <v>46185</v>
      </c>
      <c r="B339" s="449">
        <v>46186</v>
      </c>
      <c r="C339" s="442" t="s">
        <v>568</v>
      </c>
      <c r="D339" s="7" t="s">
        <v>233</v>
      </c>
      <c r="E339" s="7" t="s">
        <v>54</v>
      </c>
      <c r="F339" s="7" t="s">
        <v>54</v>
      </c>
      <c r="G339" s="7" t="s">
        <v>55</v>
      </c>
      <c r="H339" s="7" t="s">
        <v>354</v>
      </c>
      <c r="I339" s="7" t="s">
        <v>355</v>
      </c>
      <c r="J339" s="74">
        <v>42.68</v>
      </c>
      <c r="K339" s="74" t="s">
        <v>356</v>
      </c>
      <c r="L339" s="74">
        <v>42.66</v>
      </c>
      <c r="M339" s="7">
        <v>67</v>
      </c>
      <c r="N339" s="7"/>
      <c r="O339" s="438">
        <f t="shared" si="15"/>
        <v>2858.22</v>
      </c>
      <c r="P339" s="464">
        <v>15</v>
      </c>
      <c r="Q339" s="465">
        <f t="shared" si="16"/>
        <v>200.0754</v>
      </c>
      <c r="R339" s="438">
        <v>600</v>
      </c>
      <c r="S339" s="439">
        <f t="shared" si="17"/>
        <v>2043.1446</v>
      </c>
      <c r="T339" s="7"/>
      <c r="U339" s="7"/>
      <c r="V339" s="7"/>
      <c r="W339" s="417">
        <v>1</v>
      </c>
    </row>
    <row r="340" s="417" customFormat="1" ht="16" customHeight="1" spans="1:23">
      <c r="A340" s="449">
        <v>46186</v>
      </c>
      <c r="B340" s="449">
        <v>46186</v>
      </c>
      <c r="C340" s="442" t="s">
        <v>569</v>
      </c>
      <c r="D340" s="7" t="s">
        <v>233</v>
      </c>
      <c r="E340" s="7" t="s">
        <v>69</v>
      </c>
      <c r="F340" s="7" t="s">
        <v>69</v>
      </c>
      <c r="G340" s="7" t="s">
        <v>70</v>
      </c>
      <c r="H340" s="7" t="s">
        <v>354</v>
      </c>
      <c r="I340" s="7" t="s">
        <v>355</v>
      </c>
      <c r="J340" s="74">
        <v>40.4</v>
      </c>
      <c r="K340" s="74" t="s">
        <v>356</v>
      </c>
      <c r="L340" s="74">
        <v>40.4</v>
      </c>
      <c r="M340" s="7">
        <v>67</v>
      </c>
      <c r="N340" s="7"/>
      <c r="O340" s="438">
        <f t="shared" si="15"/>
        <v>2706.8</v>
      </c>
      <c r="P340" s="464">
        <v>15</v>
      </c>
      <c r="Q340" s="465">
        <f t="shared" si="16"/>
        <v>189.476</v>
      </c>
      <c r="R340" s="438">
        <v>600</v>
      </c>
      <c r="S340" s="439">
        <f t="shared" si="17"/>
        <v>1902.324</v>
      </c>
      <c r="T340" s="7"/>
      <c r="U340" s="7"/>
      <c r="V340" s="7"/>
      <c r="W340" s="417">
        <v>1</v>
      </c>
    </row>
    <row r="341" s="417" customFormat="1" ht="16" customHeight="1" spans="1:23">
      <c r="A341" s="449">
        <v>46186</v>
      </c>
      <c r="B341" s="449">
        <v>46187</v>
      </c>
      <c r="C341" s="442" t="s">
        <v>570</v>
      </c>
      <c r="D341" s="7" t="s">
        <v>233</v>
      </c>
      <c r="E341" s="7" t="s">
        <v>57</v>
      </c>
      <c r="F341" s="7" t="s">
        <v>57</v>
      </c>
      <c r="G341" s="7" t="s">
        <v>58</v>
      </c>
      <c r="H341" s="7" t="s">
        <v>354</v>
      </c>
      <c r="I341" s="7" t="s">
        <v>355</v>
      </c>
      <c r="J341" s="74">
        <v>40.28</v>
      </c>
      <c r="K341" s="74" t="s">
        <v>356</v>
      </c>
      <c r="L341" s="74">
        <v>40.24</v>
      </c>
      <c r="M341" s="7">
        <v>67</v>
      </c>
      <c r="N341" s="7"/>
      <c r="O341" s="438">
        <f t="shared" si="15"/>
        <v>2696.08</v>
      </c>
      <c r="P341" s="464">
        <v>15</v>
      </c>
      <c r="Q341" s="465">
        <f t="shared" si="16"/>
        <v>188.7256</v>
      </c>
      <c r="R341" s="438">
        <v>600</v>
      </c>
      <c r="S341" s="439">
        <f t="shared" si="17"/>
        <v>1892.3544</v>
      </c>
      <c r="T341" s="7"/>
      <c r="U341" s="7"/>
      <c r="V341" s="7"/>
      <c r="W341" s="417">
        <v>1</v>
      </c>
    </row>
    <row r="342" s="417" customFormat="1" ht="16" customHeight="1" spans="1:23">
      <c r="A342" s="449">
        <v>46186</v>
      </c>
      <c r="B342" s="449">
        <v>46187</v>
      </c>
      <c r="C342" s="442" t="s">
        <v>571</v>
      </c>
      <c r="D342" s="7" t="s">
        <v>233</v>
      </c>
      <c r="E342" s="7" t="s">
        <v>51</v>
      </c>
      <c r="F342" s="7" t="s">
        <v>51</v>
      </c>
      <c r="G342" s="7" t="s">
        <v>52</v>
      </c>
      <c r="H342" s="7" t="s">
        <v>354</v>
      </c>
      <c r="I342" s="7" t="s">
        <v>355</v>
      </c>
      <c r="J342" s="74">
        <v>42.28</v>
      </c>
      <c r="K342" s="74" t="s">
        <v>356</v>
      </c>
      <c r="L342" s="74">
        <v>42.24</v>
      </c>
      <c r="M342" s="7">
        <v>67</v>
      </c>
      <c r="N342" s="7"/>
      <c r="O342" s="438">
        <f t="shared" si="15"/>
        <v>2830.08</v>
      </c>
      <c r="P342" s="464">
        <v>15</v>
      </c>
      <c r="Q342" s="465">
        <f t="shared" si="16"/>
        <v>198.1056</v>
      </c>
      <c r="R342" s="438">
        <v>600</v>
      </c>
      <c r="S342" s="439">
        <f t="shared" si="17"/>
        <v>2016.9744</v>
      </c>
      <c r="T342" s="7"/>
      <c r="U342" s="7"/>
      <c r="V342" s="7"/>
      <c r="W342" s="417">
        <v>1</v>
      </c>
    </row>
    <row r="343" s="417" customFormat="1" ht="16" customHeight="1" spans="1:23">
      <c r="A343" s="449">
        <v>46186</v>
      </c>
      <c r="B343" s="449">
        <v>46187</v>
      </c>
      <c r="C343" s="442" t="s">
        <v>572</v>
      </c>
      <c r="D343" s="7" t="s">
        <v>233</v>
      </c>
      <c r="E343" s="7" t="s">
        <v>102</v>
      </c>
      <c r="F343" s="7" t="s">
        <v>102</v>
      </c>
      <c r="G343" s="7" t="s">
        <v>103</v>
      </c>
      <c r="H343" s="7" t="s">
        <v>354</v>
      </c>
      <c r="I343" s="7" t="s">
        <v>355</v>
      </c>
      <c r="J343" s="74">
        <v>39.58</v>
      </c>
      <c r="K343" s="74" t="s">
        <v>356</v>
      </c>
      <c r="L343" s="74">
        <v>39.56</v>
      </c>
      <c r="M343" s="7">
        <v>67</v>
      </c>
      <c r="N343" s="7"/>
      <c r="O343" s="438">
        <f t="shared" si="15"/>
        <v>2650.52</v>
      </c>
      <c r="P343" s="464">
        <v>15</v>
      </c>
      <c r="Q343" s="465">
        <f t="shared" si="16"/>
        <v>185.5364</v>
      </c>
      <c r="R343" s="438">
        <v>600</v>
      </c>
      <c r="S343" s="439">
        <f t="shared" si="17"/>
        <v>1849.9836</v>
      </c>
      <c r="T343" s="7"/>
      <c r="U343" s="7"/>
      <c r="V343" s="7"/>
      <c r="W343" s="417">
        <v>1</v>
      </c>
    </row>
    <row r="344" s="417" customFormat="1" ht="16" customHeight="1" spans="1:23">
      <c r="A344" s="449">
        <v>46186</v>
      </c>
      <c r="B344" s="449">
        <v>46187</v>
      </c>
      <c r="C344" s="442" t="s">
        <v>573</v>
      </c>
      <c r="D344" s="7" t="s">
        <v>233</v>
      </c>
      <c r="E344" s="7" t="s">
        <v>78</v>
      </c>
      <c r="F344" s="7" t="s">
        <v>78</v>
      </c>
      <c r="G344" s="7" t="s">
        <v>79</v>
      </c>
      <c r="H344" s="7" t="s">
        <v>354</v>
      </c>
      <c r="I344" s="7" t="s">
        <v>355</v>
      </c>
      <c r="J344" s="74">
        <v>39.84</v>
      </c>
      <c r="K344" s="74" t="s">
        <v>356</v>
      </c>
      <c r="L344" s="74">
        <v>39.82</v>
      </c>
      <c r="M344" s="7">
        <v>67</v>
      </c>
      <c r="N344" s="7"/>
      <c r="O344" s="438">
        <f t="shared" si="15"/>
        <v>2667.94</v>
      </c>
      <c r="P344" s="464">
        <v>15</v>
      </c>
      <c r="Q344" s="465">
        <f t="shared" si="16"/>
        <v>186.7558</v>
      </c>
      <c r="R344" s="438">
        <v>600</v>
      </c>
      <c r="S344" s="439">
        <f t="shared" si="17"/>
        <v>1866.1842</v>
      </c>
      <c r="T344" s="7"/>
      <c r="U344" s="7"/>
      <c r="V344" s="7"/>
      <c r="W344" s="417">
        <v>1</v>
      </c>
    </row>
    <row r="345" s="417" customFormat="1" ht="16" customHeight="1" spans="1:23">
      <c r="A345" s="449">
        <v>46186</v>
      </c>
      <c r="B345" s="449">
        <v>46187</v>
      </c>
      <c r="C345" s="442" t="s">
        <v>574</v>
      </c>
      <c r="D345" s="7" t="s">
        <v>233</v>
      </c>
      <c r="E345" s="7" t="s">
        <v>111</v>
      </c>
      <c r="F345" s="7" t="s">
        <v>111</v>
      </c>
      <c r="G345" s="7" t="s">
        <v>112</v>
      </c>
      <c r="H345" s="7" t="s">
        <v>354</v>
      </c>
      <c r="I345" s="7" t="s">
        <v>355</v>
      </c>
      <c r="J345" s="74">
        <v>40.5</v>
      </c>
      <c r="K345" s="74" t="s">
        <v>356</v>
      </c>
      <c r="L345" s="74">
        <v>40.46</v>
      </c>
      <c r="M345" s="7">
        <v>67</v>
      </c>
      <c r="N345" s="7"/>
      <c r="O345" s="438">
        <f t="shared" si="15"/>
        <v>2710.82</v>
      </c>
      <c r="P345" s="464">
        <v>15</v>
      </c>
      <c r="Q345" s="465">
        <f t="shared" si="16"/>
        <v>189.7574</v>
      </c>
      <c r="R345" s="438">
        <v>600</v>
      </c>
      <c r="S345" s="439">
        <f t="shared" si="17"/>
        <v>1906.0626</v>
      </c>
      <c r="T345" s="7"/>
      <c r="U345" s="7"/>
      <c r="V345" s="7"/>
      <c r="W345" s="417">
        <v>1</v>
      </c>
    </row>
    <row r="346" s="417" customFormat="1" ht="16" customHeight="1" spans="1:23">
      <c r="A346" s="449">
        <v>46186</v>
      </c>
      <c r="B346" s="449">
        <v>46186</v>
      </c>
      <c r="C346" s="7"/>
      <c r="D346" s="7" t="s">
        <v>235</v>
      </c>
      <c r="E346" s="7" t="s">
        <v>141</v>
      </c>
      <c r="F346" s="7" t="s">
        <v>141</v>
      </c>
      <c r="G346" s="7" t="s">
        <v>142</v>
      </c>
      <c r="H346" s="7" t="s">
        <v>368</v>
      </c>
      <c r="I346" s="7" t="s">
        <v>356</v>
      </c>
      <c r="J346" s="74">
        <v>44.18</v>
      </c>
      <c r="K346" s="74" t="s">
        <v>371</v>
      </c>
      <c r="L346" s="74">
        <v>43.97</v>
      </c>
      <c r="M346" s="7">
        <v>61</v>
      </c>
      <c r="N346" s="7"/>
      <c r="O346" s="438">
        <f t="shared" si="15"/>
        <v>2682.17</v>
      </c>
      <c r="P346" s="464">
        <v>15</v>
      </c>
      <c r="Q346" s="465">
        <f t="shared" si="16"/>
        <v>187.7519</v>
      </c>
      <c r="R346" s="464">
        <v>600</v>
      </c>
      <c r="S346" s="439">
        <f t="shared" si="17"/>
        <v>1879.4181</v>
      </c>
      <c r="T346" s="7"/>
      <c r="U346" s="7"/>
      <c r="V346" s="7"/>
      <c r="W346" s="417">
        <v>1</v>
      </c>
    </row>
    <row r="347" s="417" customFormat="1" ht="16" customHeight="1" spans="1:23">
      <c r="A347" s="449">
        <v>46186</v>
      </c>
      <c r="B347" s="449">
        <v>46187</v>
      </c>
      <c r="C347" s="7"/>
      <c r="D347" s="7" t="s">
        <v>235</v>
      </c>
      <c r="E347" s="7" t="s">
        <v>172</v>
      </c>
      <c r="F347" s="7" t="s">
        <v>172</v>
      </c>
      <c r="G347" s="7" t="s">
        <v>122</v>
      </c>
      <c r="H347" s="7" t="s">
        <v>368</v>
      </c>
      <c r="I347" s="7" t="s">
        <v>356</v>
      </c>
      <c r="J347" s="74">
        <v>45.32</v>
      </c>
      <c r="K347" s="74" t="s">
        <v>371</v>
      </c>
      <c r="L347" s="74">
        <v>45.16</v>
      </c>
      <c r="M347" s="7">
        <v>61</v>
      </c>
      <c r="N347" s="7"/>
      <c r="O347" s="438">
        <f t="shared" si="15"/>
        <v>2754.76</v>
      </c>
      <c r="P347" s="464">
        <v>15</v>
      </c>
      <c r="Q347" s="465">
        <f t="shared" si="16"/>
        <v>192.8332</v>
      </c>
      <c r="R347" s="464">
        <v>600</v>
      </c>
      <c r="S347" s="439">
        <f t="shared" si="17"/>
        <v>1946.9268</v>
      </c>
      <c r="T347" s="7"/>
      <c r="U347" s="7"/>
      <c r="V347" s="7"/>
      <c r="W347" s="417">
        <v>1</v>
      </c>
    </row>
    <row r="348" s="417" customFormat="1" ht="16" customHeight="1" spans="1:23">
      <c r="A348" s="449">
        <v>46186</v>
      </c>
      <c r="B348" s="449">
        <v>46187</v>
      </c>
      <c r="C348" s="7"/>
      <c r="D348" s="7" t="s">
        <v>235</v>
      </c>
      <c r="E348" s="7" t="s">
        <v>72</v>
      </c>
      <c r="F348" s="7" t="s">
        <v>72</v>
      </c>
      <c r="G348" s="7" t="s">
        <v>73</v>
      </c>
      <c r="H348" s="7" t="s">
        <v>368</v>
      </c>
      <c r="I348" s="7" t="s">
        <v>356</v>
      </c>
      <c r="J348" s="74">
        <v>44.58</v>
      </c>
      <c r="K348" s="74" t="s">
        <v>371</v>
      </c>
      <c r="L348" s="74">
        <v>44.39</v>
      </c>
      <c r="M348" s="7">
        <v>61</v>
      </c>
      <c r="N348" s="7"/>
      <c r="O348" s="438">
        <f t="shared" si="15"/>
        <v>2707.79</v>
      </c>
      <c r="P348" s="464">
        <v>15</v>
      </c>
      <c r="Q348" s="465">
        <f t="shared" si="16"/>
        <v>189.5453</v>
      </c>
      <c r="R348" s="464">
        <v>600</v>
      </c>
      <c r="S348" s="439">
        <f t="shared" si="17"/>
        <v>1903.2447</v>
      </c>
      <c r="T348" s="7"/>
      <c r="U348" s="7"/>
      <c r="V348" s="7"/>
      <c r="W348" s="417">
        <v>1</v>
      </c>
    </row>
    <row r="349" s="417" customFormat="1" ht="16" customHeight="1" spans="1:23">
      <c r="A349" s="449">
        <v>46186</v>
      </c>
      <c r="B349" s="449">
        <v>46187</v>
      </c>
      <c r="C349" s="7"/>
      <c r="D349" s="7" t="s">
        <v>235</v>
      </c>
      <c r="E349" s="7" t="s">
        <v>105</v>
      </c>
      <c r="F349" s="7" t="s">
        <v>105</v>
      </c>
      <c r="G349" s="7" t="s">
        <v>106</v>
      </c>
      <c r="H349" s="7" t="s">
        <v>368</v>
      </c>
      <c r="I349" s="7" t="s">
        <v>356</v>
      </c>
      <c r="J349" s="74">
        <v>43.3</v>
      </c>
      <c r="K349" s="74" t="s">
        <v>371</v>
      </c>
      <c r="L349" s="74">
        <v>43.12</v>
      </c>
      <c r="M349" s="7">
        <v>61</v>
      </c>
      <c r="N349" s="7"/>
      <c r="O349" s="438">
        <f t="shared" si="15"/>
        <v>2630.32</v>
      </c>
      <c r="P349" s="464">
        <v>15</v>
      </c>
      <c r="Q349" s="465">
        <f t="shared" si="16"/>
        <v>184.1224</v>
      </c>
      <c r="R349" s="464">
        <v>600</v>
      </c>
      <c r="S349" s="439">
        <f t="shared" si="17"/>
        <v>1831.1976</v>
      </c>
      <c r="T349" s="7"/>
      <c r="U349" s="7"/>
      <c r="V349" s="7"/>
      <c r="W349" s="417">
        <v>1</v>
      </c>
    </row>
    <row r="350" s="417" customFormat="1" ht="16" customHeight="1" spans="1:23">
      <c r="A350" s="449">
        <v>46185</v>
      </c>
      <c r="B350" s="449">
        <v>46186</v>
      </c>
      <c r="C350" s="7"/>
      <c r="D350" s="7" t="s">
        <v>235</v>
      </c>
      <c r="E350" s="7" t="s">
        <v>144</v>
      </c>
      <c r="F350" s="7" t="s">
        <v>144</v>
      </c>
      <c r="G350" s="7" t="s">
        <v>145</v>
      </c>
      <c r="H350" s="7" t="s">
        <v>368</v>
      </c>
      <c r="I350" s="7" t="s">
        <v>356</v>
      </c>
      <c r="J350" s="74">
        <v>44.28</v>
      </c>
      <c r="K350" s="74" t="s">
        <v>371</v>
      </c>
      <c r="L350" s="74">
        <v>42.67</v>
      </c>
      <c r="M350" s="7">
        <v>61</v>
      </c>
      <c r="N350" s="7"/>
      <c r="O350" s="438">
        <f t="shared" si="15"/>
        <v>2602.87</v>
      </c>
      <c r="P350" s="464">
        <v>15</v>
      </c>
      <c r="Q350" s="465">
        <f t="shared" si="16"/>
        <v>182.2009</v>
      </c>
      <c r="R350" s="464">
        <v>600</v>
      </c>
      <c r="S350" s="439">
        <f t="shared" si="17"/>
        <v>1805.6691</v>
      </c>
      <c r="T350" s="7"/>
      <c r="U350" s="7"/>
      <c r="V350" s="7"/>
      <c r="W350" s="417">
        <v>1</v>
      </c>
    </row>
    <row r="351" s="417" customFormat="1" ht="16" customHeight="1" spans="1:23">
      <c r="A351" s="449">
        <v>46186</v>
      </c>
      <c r="B351" s="449">
        <v>46187</v>
      </c>
      <c r="C351" s="7"/>
      <c r="D351" s="7" t="s">
        <v>235</v>
      </c>
      <c r="E351" s="7" t="s">
        <v>108</v>
      </c>
      <c r="F351" s="7" t="s">
        <v>108</v>
      </c>
      <c r="G351" s="7" t="s">
        <v>109</v>
      </c>
      <c r="H351" s="7" t="s">
        <v>368</v>
      </c>
      <c r="I351" s="7" t="s">
        <v>356</v>
      </c>
      <c r="J351" s="74">
        <v>45.22</v>
      </c>
      <c r="K351" s="74" t="s">
        <v>369</v>
      </c>
      <c r="L351" s="74">
        <v>45.2</v>
      </c>
      <c r="M351" s="442">
        <v>48</v>
      </c>
      <c r="N351" s="7"/>
      <c r="O351" s="438">
        <f t="shared" si="15"/>
        <v>2169.6</v>
      </c>
      <c r="P351" s="464">
        <v>15</v>
      </c>
      <c r="Q351" s="465">
        <f t="shared" si="16"/>
        <v>151.872</v>
      </c>
      <c r="R351" s="464">
        <v>600</v>
      </c>
      <c r="S351" s="439">
        <f t="shared" si="17"/>
        <v>1402.728</v>
      </c>
      <c r="T351" s="7"/>
      <c r="U351" s="7"/>
      <c r="V351" s="7"/>
      <c r="W351" s="417">
        <v>1</v>
      </c>
    </row>
    <row r="352" s="417" customFormat="1" ht="16" customHeight="1" spans="1:23">
      <c r="A352" s="449">
        <v>46186</v>
      </c>
      <c r="B352" s="449">
        <v>46187</v>
      </c>
      <c r="C352" s="7"/>
      <c r="D352" s="7" t="s">
        <v>235</v>
      </c>
      <c r="E352" s="7" t="s">
        <v>75</v>
      </c>
      <c r="F352" s="7" t="s">
        <v>75</v>
      </c>
      <c r="G352" s="7" t="s">
        <v>76</v>
      </c>
      <c r="H352" s="7" t="s">
        <v>368</v>
      </c>
      <c r="I352" s="7" t="s">
        <v>356</v>
      </c>
      <c r="J352" s="74">
        <v>44.56</v>
      </c>
      <c r="K352" s="74" t="s">
        <v>369</v>
      </c>
      <c r="L352" s="74">
        <v>43.96</v>
      </c>
      <c r="M352" s="442">
        <v>48</v>
      </c>
      <c r="N352" s="7"/>
      <c r="O352" s="438">
        <f t="shared" si="15"/>
        <v>2110.08</v>
      </c>
      <c r="P352" s="464">
        <v>15</v>
      </c>
      <c r="Q352" s="465">
        <f t="shared" si="16"/>
        <v>147.7056</v>
      </c>
      <c r="R352" s="464">
        <v>600</v>
      </c>
      <c r="S352" s="439">
        <f t="shared" si="17"/>
        <v>1347.3744</v>
      </c>
      <c r="T352" s="7"/>
      <c r="U352" s="7"/>
      <c r="V352" s="7"/>
      <c r="W352" s="417">
        <v>1</v>
      </c>
    </row>
    <row r="353" s="417" customFormat="1" ht="16" customHeight="1" spans="1:23">
      <c r="A353" s="449">
        <v>46186</v>
      </c>
      <c r="B353" s="449">
        <v>46187</v>
      </c>
      <c r="C353" s="7"/>
      <c r="D353" s="7" t="s">
        <v>235</v>
      </c>
      <c r="E353" s="7" t="s">
        <v>135</v>
      </c>
      <c r="F353" s="7" t="s">
        <v>135</v>
      </c>
      <c r="G353" s="7" t="s">
        <v>136</v>
      </c>
      <c r="H353" s="7" t="s">
        <v>368</v>
      </c>
      <c r="I353" s="7" t="s">
        <v>356</v>
      </c>
      <c r="J353" s="74">
        <v>44.6</v>
      </c>
      <c r="K353" s="74" t="s">
        <v>369</v>
      </c>
      <c r="L353" s="74">
        <v>44.14</v>
      </c>
      <c r="M353" s="442">
        <v>48</v>
      </c>
      <c r="N353" s="7"/>
      <c r="O353" s="438">
        <f t="shared" si="15"/>
        <v>2118.72</v>
      </c>
      <c r="P353" s="464">
        <v>15</v>
      </c>
      <c r="Q353" s="465">
        <f t="shared" si="16"/>
        <v>148.3104</v>
      </c>
      <c r="R353" s="464">
        <v>600</v>
      </c>
      <c r="S353" s="439">
        <f t="shared" si="17"/>
        <v>1355.4096</v>
      </c>
      <c r="T353" s="7"/>
      <c r="U353" s="7"/>
      <c r="V353" s="7"/>
      <c r="W353" s="417">
        <v>1</v>
      </c>
    </row>
    <row r="354" s="417" customFormat="1" ht="16" customHeight="1" spans="1:23">
      <c r="A354" s="449">
        <v>46186</v>
      </c>
      <c r="B354" s="449">
        <v>46187</v>
      </c>
      <c r="C354" s="7"/>
      <c r="D354" s="7" t="s">
        <v>235</v>
      </c>
      <c r="E354" s="7" t="s">
        <v>339</v>
      </c>
      <c r="F354" s="7" t="s">
        <v>339</v>
      </c>
      <c r="G354" s="7" t="s">
        <v>170</v>
      </c>
      <c r="H354" s="7" t="s">
        <v>368</v>
      </c>
      <c r="I354" s="7" t="s">
        <v>356</v>
      </c>
      <c r="J354" s="74">
        <v>45.48</v>
      </c>
      <c r="K354" s="74" t="s">
        <v>371</v>
      </c>
      <c r="L354" s="74">
        <v>45.35</v>
      </c>
      <c r="M354" s="7">
        <v>61</v>
      </c>
      <c r="N354" s="7"/>
      <c r="O354" s="438">
        <f t="shared" si="15"/>
        <v>2766.35</v>
      </c>
      <c r="P354" s="464">
        <v>15</v>
      </c>
      <c r="Q354" s="465">
        <f t="shared" si="16"/>
        <v>193.6445</v>
      </c>
      <c r="R354" s="464">
        <v>600</v>
      </c>
      <c r="S354" s="439">
        <f t="shared" si="17"/>
        <v>1957.7055</v>
      </c>
      <c r="T354" s="7"/>
      <c r="U354" s="7"/>
      <c r="V354" s="468"/>
      <c r="W354" s="417">
        <v>1</v>
      </c>
    </row>
    <row r="355" s="417" customFormat="1" ht="16" customHeight="1" spans="1:23">
      <c r="A355" s="449">
        <v>46186</v>
      </c>
      <c r="B355" s="449">
        <v>46187</v>
      </c>
      <c r="C355" s="7"/>
      <c r="D355" s="7" t="s">
        <v>235</v>
      </c>
      <c r="E355" s="7" t="s">
        <v>138</v>
      </c>
      <c r="F355" s="7" t="s">
        <v>138</v>
      </c>
      <c r="G355" s="7" t="s">
        <v>454</v>
      </c>
      <c r="H355" s="7" t="s">
        <v>368</v>
      </c>
      <c r="I355" s="7" t="s">
        <v>356</v>
      </c>
      <c r="J355" s="74">
        <v>45.64</v>
      </c>
      <c r="K355" s="74" t="s">
        <v>369</v>
      </c>
      <c r="L355" s="74">
        <v>45.62</v>
      </c>
      <c r="M355" s="442">
        <v>48</v>
      </c>
      <c r="N355" s="7"/>
      <c r="O355" s="438">
        <f t="shared" si="15"/>
        <v>2189.76</v>
      </c>
      <c r="P355" s="464">
        <v>15</v>
      </c>
      <c r="Q355" s="465">
        <f t="shared" si="16"/>
        <v>153.2832</v>
      </c>
      <c r="R355" s="464">
        <v>600</v>
      </c>
      <c r="S355" s="439">
        <f t="shared" si="17"/>
        <v>1421.4768</v>
      </c>
      <c r="T355" s="7"/>
      <c r="U355" s="7"/>
      <c r="V355" s="7"/>
      <c r="W355" s="417">
        <v>1</v>
      </c>
    </row>
    <row r="356" s="417" customFormat="1" ht="16" customHeight="1" spans="1:23">
      <c r="A356" s="449">
        <v>46186</v>
      </c>
      <c r="B356" s="449">
        <v>46187</v>
      </c>
      <c r="C356" s="7"/>
      <c r="D356" s="7" t="s">
        <v>235</v>
      </c>
      <c r="E356" s="7" t="s">
        <v>130</v>
      </c>
      <c r="F356" s="7" t="s">
        <v>130</v>
      </c>
      <c r="G356" s="7" t="s">
        <v>139</v>
      </c>
      <c r="H356" s="7" t="s">
        <v>368</v>
      </c>
      <c r="I356" s="7" t="s">
        <v>356</v>
      </c>
      <c r="J356" s="74">
        <v>45.14</v>
      </c>
      <c r="K356" s="74" t="s">
        <v>369</v>
      </c>
      <c r="L356" s="74">
        <v>44.92</v>
      </c>
      <c r="M356" s="442">
        <v>48</v>
      </c>
      <c r="N356" s="7"/>
      <c r="O356" s="438">
        <f t="shared" si="15"/>
        <v>2156.16</v>
      </c>
      <c r="P356" s="464">
        <v>15</v>
      </c>
      <c r="Q356" s="465">
        <f t="shared" si="16"/>
        <v>150.9312</v>
      </c>
      <c r="R356" s="464">
        <v>600</v>
      </c>
      <c r="S356" s="439">
        <f t="shared" si="17"/>
        <v>1390.2288</v>
      </c>
      <c r="T356" s="7"/>
      <c r="U356" s="7"/>
      <c r="V356" s="7"/>
      <c r="W356" s="417">
        <v>1</v>
      </c>
    </row>
    <row r="357" s="417" customFormat="1" ht="16" customHeight="1" spans="1:23">
      <c r="A357" s="449">
        <v>46186</v>
      </c>
      <c r="B357" s="449">
        <v>46187</v>
      </c>
      <c r="C357" s="7"/>
      <c r="D357" s="7" t="s">
        <v>235</v>
      </c>
      <c r="E357" s="7" t="s">
        <v>93</v>
      </c>
      <c r="F357" s="7" t="s">
        <v>93</v>
      </c>
      <c r="G357" s="7" t="s">
        <v>94</v>
      </c>
      <c r="H357" s="7" t="s">
        <v>368</v>
      </c>
      <c r="I357" s="7" t="s">
        <v>356</v>
      </c>
      <c r="J357" s="74">
        <v>43.66</v>
      </c>
      <c r="K357" s="74" t="s">
        <v>369</v>
      </c>
      <c r="L357" s="74">
        <v>43.52</v>
      </c>
      <c r="M357" s="442">
        <v>48</v>
      </c>
      <c r="N357" s="7"/>
      <c r="O357" s="438">
        <f t="shared" si="15"/>
        <v>2088.96</v>
      </c>
      <c r="P357" s="464">
        <v>15</v>
      </c>
      <c r="Q357" s="465">
        <f t="shared" si="16"/>
        <v>146.2272</v>
      </c>
      <c r="R357" s="464">
        <v>600</v>
      </c>
      <c r="S357" s="439">
        <f t="shared" si="17"/>
        <v>1327.7328</v>
      </c>
      <c r="T357" s="7"/>
      <c r="U357" s="7"/>
      <c r="V357" s="7"/>
      <c r="W357" s="417">
        <v>1</v>
      </c>
    </row>
    <row r="358" s="417" customFormat="1" ht="16" customHeight="1" spans="1:23">
      <c r="A358" s="449">
        <v>46186</v>
      </c>
      <c r="B358" s="449">
        <v>46187</v>
      </c>
      <c r="C358" s="7"/>
      <c r="D358" s="7" t="s">
        <v>235</v>
      </c>
      <c r="E358" s="7" t="s">
        <v>151</v>
      </c>
      <c r="F358" s="7" t="s">
        <v>151</v>
      </c>
      <c r="G358" s="7" t="s">
        <v>152</v>
      </c>
      <c r="H358" s="7" t="s">
        <v>368</v>
      </c>
      <c r="I358" s="7" t="s">
        <v>356</v>
      </c>
      <c r="J358" s="74">
        <v>45.4</v>
      </c>
      <c r="K358" s="74" t="s">
        <v>369</v>
      </c>
      <c r="L358" s="74">
        <v>45.32</v>
      </c>
      <c r="M358" s="442">
        <v>48</v>
      </c>
      <c r="N358" s="7"/>
      <c r="O358" s="438">
        <f t="shared" si="15"/>
        <v>2175.36</v>
      </c>
      <c r="P358" s="464">
        <v>15</v>
      </c>
      <c r="Q358" s="465">
        <f t="shared" si="16"/>
        <v>152.2752</v>
      </c>
      <c r="R358" s="464">
        <v>600</v>
      </c>
      <c r="S358" s="439">
        <f t="shared" si="17"/>
        <v>1408.0848</v>
      </c>
      <c r="T358" s="7"/>
      <c r="U358" s="7"/>
      <c r="V358" s="7"/>
      <c r="W358" s="417">
        <v>1</v>
      </c>
    </row>
    <row r="359" s="417" customFormat="1" ht="16" customHeight="1" spans="1:23">
      <c r="A359" s="449">
        <v>46186</v>
      </c>
      <c r="B359" s="449">
        <v>46187</v>
      </c>
      <c r="C359" s="7"/>
      <c r="D359" s="7" t="s">
        <v>235</v>
      </c>
      <c r="E359" s="7" t="s">
        <v>114</v>
      </c>
      <c r="F359" s="7" t="s">
        <v>114</v>
      </c>
      <c r="G359" s="7" t="s">
        <v>115</v>
      </c>
      <c r="H359" s="7" t="s">
        <v>368</v>
      </c>
      <c r="I359" s="7" t="s">
        <v>356</v>
      </c>
      <c r="J359" s="74">
        <v>43.8</v>
      </c>
      <c r="K359" s="74" t="s">
        <v>369</v>
      </c>
      <c r="L359" s="74">
        <v>43.7</v>
      </c>
      <c r="M359" s="442">
        <v>48</v>
      </c>
      <c r="N359" s="7"/>
      <c r="O359" s="438">
        <f t="shared" si="15"/>
        <v>2097.6</v>
      </c>
      <c r="P359" s="464">
        <v>15</v>
      </c>
      <c r="Q359" s="465">
        <f t="shared" si="16"/>
        <v>146.832</v>
      </c>
      <c r="R359" s="464">
        <v>600</v>
      </c>
      <c r="S359" s="439">
        <f t="shared" si="17"/>
        <v>1335.768</v>
      </c>
      <c r="T359" s="7"/>
      <c r="U359" s="7"/>
      <c r="V359" s="7"/>
      <c r="W359" s="417">
        <v>1</v>
      </c>
    </row>
    <row r="360" s="417" customFormat="1" ht="16" customHeight="1" spans="1:23">
      <c r="A360" s="449">
        <v>46187</v>
      </c>
      <c r="B360" s="449">
        <v>46188</v>
      </c>
      <c r="C360" s="7" t="s">
        <v>575</v>
      </c>
      <c r="D360" s="7" t="s">
        <v>237</v>
      </c>
      <c r="E360" s="7" t="s">
        <v>174</v>
      </c>
      <c r="F360" s="7" t="s">
        <v>174</v>
      </c>
      <c r="G360" s="7" t="s">
        <v>175</v>
      </c>
      <c r="H360" s="7" t="s">
        <v>354</v>
      </c>
      <c r="I360" s="7" t="s">
        <v>407</v>
      </c>
      <c r="J360" s="74">
        <v>44.22</v>
      </c>
      <c r="K360" s="74" t="s">
        <v>356</v>
      </c>
      <c r="L360" s="74">
        <v>44.22</v>
      </c>
      <c r="M360" s="7">
        <v>87</v>
      </c>
      <c r="N360" s="7"/>
      <c r="O360" s="438">
        <f t="shared" si="15"/>
        <v>3847.14</v>
      </c>
      <c r="P360" s="438">
        <v>15</v>
      </c>
      <c r="Q360" s="438">
        <f t="shared" si="16"/>
        <v>269.2998</v>
      </c>
      <c r="R360" s="438">
        <v>800</v>
      </c>
      <c r="S360" s="439">
        <f t="shared" si="17"/>
        <v>2762.8402</v>
      </c>
      <c r="T360" s="7"/>
      <c r="U360" s="7"/>
      <c r="V360" s="7"/>
      <c r="W360" s="417">
        <v>1</v>
      </c>
    </row>
    <row r="361" s="417" customFormat="1" ht="16" customHeight="1" spans="1:23">
      <c r="A361" s="449">
        <v>46187</v>
      </c>
      <c r="B361" s="449">
        <v>46188</v>
      </c>
      <c r="C361" s="7" t="s">
        <v>576</v>
      </c>
      <c r="D361" s="7" t="s">
        <v>237</v>
      </c>
      <c r="E361" s="7" t="s">
        <v>189</v>
      </c>
      <c r="F361" s="7" t="s">
        <v>189</v>
      </c>
      <c r="G361" s="7" t="s">
        <v>190</v>
      </c>
      <c r="H361" s="7" t="s">
        <v>354</v>
      </c>
      <c r="I361" s="7" t="s">
        <v>407</v>
      </c>
      <c r="J361" s="74">
        <v>42.54</v>
      </c>
      <c r="K361" s="74" t="s">
        <v>356</v>
      </c>
      <c r="L361" s="74">
        <v>42.48</v>
      </c>
      <c r="M361" s="7">
        <v>87</v>
      </c>
      <c r="N361" s="7"/>
      <c r="O361" s="438">
        <f t="shared" si="15"/>
        <v>3695.76</v>
      </c>
      <c r="P361" s="438">
        <v>15</v>
      </c>
      <c r="Q361" s="438">
        <f t="shared" si="16"/>
        <v>258.7032</v>
      </c>
      <c r="R361" s="438">
        <v>800</v>
      </c>
      <c r="S361" s="439">
        <f t="shared" si="17"/>
        <v>2622.0568</v>
      </c>
      <c r="T361" s="7"/>
      <c r="U361" s="7"/>
      <c r="V361" s="7"/>
      <c r="W361" s="417">
        <v>1</v>
      </c>
    </row>
    <row r="362" s="417" customFormat="1" ht="16" customHeight="1" spans="1:23">
      <c r="A362" s="449">
        <v>46187</v>
      </c>
      <c r="B362" s="449">
        <v>46188</v>
      </c>
      <c r="C362" s="7" t="s">
        <v>577</v>
      </c>
      <c r="D362" s="7" t="s">
        <v>237</v>
      </c>
      <c r="E362" s="7" t="s">
        <v>180</v>
      </c>
      <c r="F362" s="7" t="s">
        <v>180</v>
      </c>
      <c r="G362" s="7" t="s">
        <v>181</v>
      </c>
      <c r="H362" s="7" t="s">
        <v>354</v>
      </c>
      <c r="I362" s="7" t="s">
        <v>407</v>
      </c>
      <c r="J362" s="74">
        <v>44.28</v>
      </c>
      <c r="K362" s="74" t="s">
        <v>356</v>
      </c>
      <c r="L362" s="74">
        <v>44.28</v>
      </c>
      <c r="M362" s="7">
        <v>87</v>
      </c>
      <c r="N362" s="7"/>
      <c r="O362" s="438">
        <f t="shared" si="15"/>
        <v>3852.36</v>
      </c>
      <c r="P362" s="438">
        <v>15</v>
      </c>
      <c r="Q362" s="438">
        <f t="shared" si="16"/>
        <v>269.6652</v>
      </c>
      <c r="R362" s="438">
        <v>800</v>
      </c>
      <c r="S362" s="439">
        <f t="shared" si="17"/>
        <v>2767.6948</v>
      </c>
      <c r="T362" s="7"/>
      <c r="U362" s="7"/>
      <c r="V362" s="7"/>
      <c r="W362" s="417">
        <v>1</v>
      </c>
    </row>
    <row r="363" s="417" customFormat="1" ht="16" customHeight="1" spans="1:23">
      <c r="A363" s="449">
        <v>46187</v>
      </c>
      <c r="B363" s="449">
        <v>46188</v>
      </c>
      <c r="C363" s="7" t="s">
        <v>578</v>
      </c>
      <c r="D363" s="7" t="s">
        <v>237</v>
      </c>
      <c r="E363" s="7" t="s">
        <v>192</v>
      </c>
      <c r="F363" s="7" t="s">
        <v>192</v>
      </c>
      <c r="G363" s="7" t="s">
        <v>193</v>
      </c>
      <c r="H363" s="7" t="s">
        <v>354</v>
      </c>
      <c r="I363" s="7" t="s">
        <v>407</v>
      </c>
      <c r="J363" s="74">
        <v>43.16</v>
      </c>
      <c r="K363" s="74" t="s">
        <v>356</v>
      </c>
      <c r="L363" s="74">
        <v>43.14</v>
      </c>
      <c r="M363" s="7">
        <v>87</v>
      </c>
      <c r="N363" s="7"/>
      <c r="O363" s="438">
        <f t="shared" si="15"/>
        <v>3753.18</v>
      </c>
      <c r="P363" s="438">
        <v>15</v>
      </c>
      <c r="Q363" s="438">
        <f t="shared" si="16"/>
        <v>262.7226</v>
      </c>
      <c r="R363" s="438">
        <v>800</v>
      </c>
      <c r="S363" s="439">
        <f t="shared" si="17"/>
        <v>2675.4574</v>
      </c>
      <c r="T363" s="7"/>
      <c r="U363" s="7"/>
      <c r="V363" s="7"/>
      <c r="W363" s="417">
        <v>1</v>
      </c>
    </row>
    <row r="364" s="414" customFormat="1" ht="16" customHeight="1" spans="1:23">
      <c r="A364" s="470">
        <v>46187</v>
      </c>
      <c r="B364" s="470">
        <v>46188</v>
      </c>
      <c r="C364" s="74" t="s">
        <v>579</v>
      </c>
      <c r="D364" s="74" t="s">
        <v>237</v>
      </c>
      <c r="E364" s="74" t="s">
        <v>195</v>
      </c>
      <c r="F364" s="74" t="s">
        <v>195</v>
      </c>
      <c r="G364" s="74" t="s">
        <v>196</v>
      </c>
      <c r="H364" s="74" t="s">
        <v>354</v>
      </c>
      <c r="I364" s="74" t="s">
        <v>407</v>
      </c>
      <c r="J364" s="74">
        <v>43.82</v>
      </c>
      <c r="K364" s="74" t="s">
        <v>356</v>
      </c>
      <c r="L364" s="74">
        <v>43.8</v>
      </c>
      <c r="M364" s="74">
        <v>87</v>
      </c>
      <c r="N364" s="74"/>
      <c r="O364" s="438">
        <f t="shared" si="15"/>
        <v>3810.6</v>
      </c>
      <c r="P364" s="438">
        <v>15</v>
      </c>
      <c r="Q364" s="438">
        <f t="shared" si="16"/>
        <v>266.742</v>
      </c>
      <c r="R364" s="438">
        <v>800</v>
      </c>
      <c r="S364" s="439">
        <f t="shared" si="17"/>
        <v>2728.858</v>
      </c>
      <c r="T364" s="74"/>
      <c r="U364" s="74"/>
      <c r="V364" s="74"/>
      <c r="W364" s="414">
        <v>1</v>
      </c>
    </row>
    <row r="365" s="417" customFormat="1" ht="16" customHeight="1" spans="1:23">
      <c r="A365" s="449">
        <v>46187</v>
      </c>
      <c r="B365" s="449">
        <v>46188</v>
      </c>
      <c r="C365" s="7" t="s">
        <v>580</v>
      </c>
      <c r="D365" s="7" t="s">
        <v>237</v>
      </c>
      <c r="E365" s="7" t="s">
        <v>166</v>
      </c>
      <c r="F365" s="7" t="s">
        <v>166</v>
      </c>
      <c r="G365" s="7" t="s">
        <v>167</v>
      </c>
      <c r="H365" s="7" t="s">
        <v>354</v>
      </c>
      <c r="I365" s="7" t="s">
        <v>407</v>
      </c>
      <c r="J365" s="74">
        <v>48.02</v>
      </c>
      <c r="K365" s="74" t="s">
        <v>356</v>
      </c>
      <c r="L365" s="74">
        <v>48.02</v>
      </c>
      <c r="M365" s="7">
        <v>87</v>
      </c>
      <c r="N365" s="7"/>
      <c r="O365" s="438">
        <f t="shared" si="15"/>
        <v>4177.74</v>
      </c>
      <c r="P365" s="438">
        <v>15</v>
      </c>
      <c r="Q365" s="438">
        <f t="shared" si="16"/>
        <v>292.4418</v>
      </c>
      <c r="R365" s="438">
        <v>800</v>
      </c>
      <c r="S365" s="439">
        <f t="shared" si="17"/>
        <v>3070.2982</v>
      </c>
      <c r="T365" s="7"/>
      <c r="U365" s="7"/>
      <c r="V365" s="7"/>
      <c r="W365" s="417">
        <v>1</v>
      </c>
    </row>
    <row r="366" s="417" customFormat="1" ht="16" customHeight="1" spans="1:23">
      <c r="A366" s="449">
        <v>46187</v>
      </c>
      <c r="B366" s="449">
        <v>46187</v>
      </c>
      <c r="C366" s="7" t="s">
        <v>581</v>
      </c>
      <c r="D366" s="7" t="s">
        <v>236</v>
      </c>
      <c r="E366" s="7" t="s">
        <v>60</v>
      </c>
      <c r="F366" s="7" t="s">
        <v>60</v>
      </c>
      <c r="G366" s="7" t="s">
        <v>61</v>
      </c>
      <c r="H366" s="7" t="s">
        <v>354</v>
      </c>
      <c r="I366" s="7" t="s">
        <v>369</v>
      </c>
      <c r="J366" s="74">
        <v>38.46</v>
      </c>
      <c r="K366" s="74" t="s">
        <v>356</v>
      </c>
      <c r="L366" s="74">
        <v>38.44</v>
      </c>
      <c r="M366" s="7">
        <v>68</v>
      </c>
      <c r="N366" s="7"/>
      <c r="O366" s="438">
        <f t="shared" si="15"/>
        <v>2613.92</v>
      </c>
      <c r="P366" s="464">
        <v>15</v>
      </c>
      <c r="Q366" s="465">
        <f t="shared" si="16"/>
        <v>182.9744</v>
      </c>
      <c r="R366" s="438">
        <v>600</v>
      </c>
      <c r="S366" s="439">
        <f t="shared" si="17"/>
        <v>1815.9456</v>
      </c>
      <c r="T366" s="7"/>
      <c r="U366" s="7"/>
      <c r="V366" s="7"/>
      <c r="W366" s="417">
        <v>1</v>
      </c>
    </row>
    <row r="367" s="417" customFormat="1" ht="16" customHeight="1" spans="1:23">
      <c r="A367" s="449">
        <v>46186</v>
      </c>
      <c r="B367" s="449">
        <v>46187</v>
      </c>
      <c r="C367" s="442" t="s">
        <v>582</v>
      </c>
      <c r="D367" s="7" t="s">
        <v>233</v>
      </c>
      <c r="E367" s="7" t="s">
        <v>144</v>
      </c>
      <c r="F367" s="7" t="s">
        <v>144</v>
      </c>
      <c r="G367" s="7" t="s">
        <v>145</v>
      </c>
      <c r="H367" s="7" t="s">
        <v>354</v>
      </c>
      <c r="I367" s="7" t="s">
        <v>355</v>
      </c>
      <c r="J367" s="74">
        <v>45.88</v>
      </c>
      <c r="K367" s="74" t="s">
        <v>356</v>
      </c>
      <c r="L367" s="74">
        <v>45.82</v>
      </c>
      <c r="M367" s="7">
        <v>67</v>
      </c>
      <c r="N367" s="7"/>
      <c r="O367" s="438">
        <f t="shared" si="15"/>
        <v>3069.94</v>
      </c>
      <c r="P367" s="464">
        <v>15</v>
      </c>
      <c r="Q367" s="465">
        <f t="shared" si="16"/>
        <v>214.8958</v>
      </c>
      <c r="R367" s="438">
        <v>600</v>
      </c>
      <c r="S367" s="439">
        <f t="shared" si="17"/>
        <v>2240.0442</v>
      </c>
      <c r="T367" s="7"/>
      <c r="U367" s="7"/>
      <c r="V367" s="7"/>
      <c r="W367" s="417">
        <v>1</v>
      </c>
    </row>
    <row r="368" s="417" customFormat="1" ht="16" customHeight="1" spans="1:23">
      <c r="A368" s="449">
        <v>46186</v>
      </c>
      <c r="B368" s="449">
        <v>46187</v>
      </c>
      <c r="C368" s="442" t="s">
        <v>583</v>
      </c>
      <c r="D368" s="7" t="s">
        <v>233</v>
      </c>
      <c r="E368" s="7" t="s">
        <v>141</v>
      </c>
      <c r="F368" s="7" t="s">
        <v>141</v>
      </c>
      <c r="G368" s="7" t="s">
        <v>142</v>
      </c>
      <c r="H368" s="7" t="s">
        <v>354</v>
      </c>
      <c r="I368" s="7" t="s">
        <v>355</v>
      </c>
      <c r="J368" s="74">
        <v>42.54</v>
      </c>
      <c r="K368" s="74" t="s">
        <v>356</v>
      </c>
      <c r="L368" s="74">
        <v>42.52</v>
      </c>
      <c r="M368" s="7">
        <v>67</v>
      </c>
      <c r="N368" s="7"/>
      <c r="O368" s="438">
        <f t="shared" si="15"/>
        <v>2848.84</v>
      </c>
      <c r="P368" s="464">
        <v>15</v>
      </c>
      <c r="Q368" s="465">
        <f t="shared" si="16"/>
        <v>199.4188</v>
      </c>
      <c r="R368" s="438">
        <v>600</v>
      </c>
      <c r="S368" s="439">
        <f t="shared" si="17"/>
        <v>2034.4212</v>
      </c>
      <c r="T368" s="7"/>
      <c r="U368" s="7"/>
      <c r="V368" s="7"/>
      <c r="W368" s="417">
        <v>1</v>
      </c>
    </row>
    <row r="369" s="417" customFormat="1" ht="16" customHeight="1" spans="1:23">
      <c r="A369" s="449">
        <v>46187</v>
      </c>
      <c r="B369" s="449">
        <v>46188</v>
      </c>
      <c r="C369" s="442" t="s">
        <v>584</v>
      </c>
      <c r="D369" s="7" t="s">
        <v>233</v>
      </c>
      <c r="E369" s="7" t="s">
        <v>63</v>
      </c>
      <c r="F369" s="7" t="s">
        <v>63</v>
      </c>
      <c r="G369" s="7" t="s">
        <v>327</v>
      </c>
      <c r="H369" s="7" t="s">
        <v>354</v>
      </c>
      <c r="I369" s="7" t="s">
        <v>355</v>
      </c>
      <c r="J369" s="74">
        <v>39.02</v>
      </c>
      <c r="K369" s="74" t="s">
        <v>356</v>
      </c>
      <c r="L369" s="74">
        <v>39.02</v>
      </c>
      <c r="M369" s="7">
        <v>67</v>
      </c>
      <c r="N369" s="7"/>
      <c r="O369" s="438">
        <f t="shared" si="15"/>
        <v>2614.34</v>
      </c>
      <c r="P369" s="464">
        <v>15</v>
      </c>
      <c r="Q369" s="465">
        <f t="shared" si="16"/>
        <v>183.0038</v>
      </c>
      <c r="R369" s="438">
        <v>600</v>
      </c>
      <c r="S369" s="439">
        <f t="shared" si="17"/>
        <v>1816.3362</v>
      </c>
      <c r="T369" s="7"/>
      <c r="U369" s="7"/>
      <c r="V369" s="7"/>
      <c r="W369" s="417">
        <v>1</v>
      </c>
    </row>
    <row r="370" s="417" customFormat="1" ht="16" customHeight="1" spans="1:23">
      <c r="A370" s="449">
        <v>46187</v>
      </c>
      <c r="B370" s="449">
        <v>46187</v>
      </c>
      <c r="C370" s="442" t="s">
        <v>585</v>
      </c>
      <c r="D370" s="7" t="s">
        <v>233</v>
      </c>
      <c r="E370" s="7" t="s">
        <v>132</v>
      </c>
      <c r="F370" s="7" t="s">
        <v>132</v>
      </c>
      <c r="G370" s="7" t="s">
        <v>133</v>
      </c>
      <c r="H370" s="7" t="s">
        <v>354</v>
      </c>
      <c r="I370" s="7" t="s">
        <v>355</v>
      </c>
      <c r="J370" s="74">
        <v>40.94</v>
      </c>
      <c r="K370" s="74" t="s">
        <v>356</v>
      </c>
      <c r="L370" s="74">
        <v>40.94</v>
      </c>
      <c r="M370" s="7">
        <v>67</v>
      </c>
      <c r="N370" s="7"/>
      <c r="O370" s="438">
        <f t="shared" si="15"/>
        <v>2742.98</v>
      </c>
      <c r="P370" s="464">
        <v>15</v>
      </c>
      <c r="Q370" s="465">
        <f t="shared" si="16"/>
        <v>192.0086</v>
      </c>
      <c r="R370" s="438">
        <v>600</v>
      </c>
      <c r="S370" s="439">
        <f t="shared" si="17"/>
        <v>1935.9714</v>
      </c>
      <c r="T370" s="7"/>
      <c r="U370" s="7"/>
      <c r="V370" s="7"/>
      <c r="W370" s="417">
        <v>1</v>
      </c>
    </row>
    <row r="371" s="417" customFormat="1" ht="16" customHeight="1" spans="1:23">
      <c r="A371" s="449">
        <v>46187</v>
      </c>
      <c r="B371" s="449">
        <v>46188</v>
      </c>
      <c r="C371" s="442" t="s">
        <v>586</v>
      </c>
      <c r="D371" s="7" t="s">
        <v>233</v>
      </c>
      <c r="E371" s="7" t="s">
        <v>105</v>
      </c>
      <c r="F371" s="7" t="s">
        <v>105</v>
      </c>
      <c r="G371" s="7" t="s">
        <v>106</v>
      </c>
      <c r="H371" s="7" t="s">
        <v>354</v>
      </c>
      <c r="I371" s="7" t="s">
        <v>355</v>
      </c>
      <c r="J371" s="74">
        <v>39.58</v>
      </c>
      <c r="K371" s="74" t="s">
        <v>356</v>
      </c>
      <c r="L371" s="74">
        <v>39.58</v>
      </c>
      <c r="M371" s="7">
        <v>67</v>
      </c>
      <c r="N371" s="7"/>
      <c r="O371" s="438">
        <f t="shared" si="15"/>
        <v>2651.86</v>
      </c>
      <c r="P371" s="464">
        <v>15</v>
      </c>
      <c r="Q371" s="465">
        <f t="shared" si="16"/>
        <v>185.6302</v>
      </c>
      <c r="R371" s="438">
        <v>600</v>
      </c>
      <c r="S371" s="439">
        <f t="shared" si="17"/>
        <v>1851.2298</v>
      </c>
      <c r="T371" s="7"/>
      <c r="U371" s="7"/>
      <c r="V371" s="7"/>
      <c r="W371" s="417">
        <v>1</v>
      </c>
    </row>
    <row r="372" s="417" customFormat="1" ht="16" customHeight="1" spans="1:23">
      <c r="A372" s="449">
        <v>46187</v>
      </c>
      <c r="B372" s="449">
        <v>46188</v>
      </c>
      <c r="C372" s="442" t="s">
        <v>587</v>
      </c>
      <c r="D372" s="7" t="s">
        <v>233</v>
      </c>
      <c r="E372" s="7" t="s">
        <v>72</v>
      </c>
      <c r="F372" s="7" t="s">
        <v>72</v>
      </c>
      <c r="G372" s="7" t="s">
        <v>73</v>
      </c>
      <c r="H372" s="7" t="s">
        <v>354</v>
      </c>
      <c r="I372" s="7" t="s">
        <v>355</v>
      </c>
      <c r="J372" s="74">
        <v>39.46</v>
      </c>
      <c r="K372" s="74" t="s">
        <v>356</v>
      </c>
      <c r="L372" s="74">
        <v>39.46</v>
      </c>
      <c r="M372" s="7">
        <v>67</v>
      </c>
      <c r="N372" s="7"/>
      <c r="O372" s="438">
        <f t="shared" si="15"/>
        <v>2643.82</v>
      </c>
      <c r="P372" s="464">
        <v>15</v>
      </c>
      <c r="Q372" s="465">
        <f t="shared" si="16"/>
        <v>185.0674</v>
      </c>
      <c r="R372" s="438">
        <v>600</v>
      </c>
      <c r="S372" s="439">
        <f t="shared" si="17"/>
        <v>1843.7526</v>
      </c>
      <c r="T372" s="7"/>
      <c r="U372" s="7"/>
      <c r="V372" s="7"/>
      <c r="W372" s="417">
        <v>1</v>
      </c>
    </row>
    <row r="373" s="417" customFormat="1" ht="16" customHeight="1" spans="1:23">
      <c r="A373" s="449">
        <v>46187</v>
      </c>
      <c r="B373" s="449">
        <v>46187</v>
      </c>
      <c r="C373" s="7"/>
      <c r="D373" s="7" t="s">
        <v>235</v>
      </c>
      <c r="E373" s="7" t="s">
        <v>84</v>
      </c>
      <c r="F373" s="7" t="s">
        <v>84</v>
      </c>
      <c r="G373" s="7" t="s">
        <v>85</v>
      </c>
      <c r="H373" s="7" t="s">
        <v>368</v>
      </c>
      <c r="I373" s="7" t="s">
        <v>356</v>
      </c>
      <c r="J373" s="74">
        <v>45.4</v>
      </c>
      <c r="K373" s="74" t="s">
        <v>369</v>
      </c>
      <c r="L373" s="74">
        <v>45.24</v>
      </c>
      <c r="M373" s="442">
        <v>48</v>
      </c>
      <c r="N373" s="7"/>
      <c r="O373" s="438">
        <f t="shared" si="15"/>
        <v>2171.52</v>
      </c>
      <c r="P373" s="464">
        <v>15</v>
      </c>
      <c r="Q373" s="465">
        <f t="shared" si="16"/>
        <v>152.0064</v>
      </c>
      <c r="R373" s="438">
        <v>600</v>
      </c>
      <c r="S373" s="439">
        <f t="shared" si="17"/>
        <v>1404.5136</v>
      </c>
      <c r="T373" s="7"/>
      <c r="U373" s="7"/>
      <c r="V373" s="7"/>
      <c r="W373" s="417">
        <v>1</v>
      </c>
    </row>
    <row r="374" s="417" customFormat="1" ht="16" customHeight="1" spans="1:23">
      <c r="A374" s="449">
        <v>46187</v>
      </c>
      <c r="B374" s="449">
        <v>46187</v>
      </c>
      <c r="C374" s="7"/>
      <c r="D374" s="7" t="s">
        <v>235</v>
      </c>
      <c r="E374" s="7" t="s">
        <v>69</v>
      </c>
      <c r="F374" s="7" t="s">
        <v>69</v>
      </c>
      <c r="G374" s="7" t="s">
        <v>70</v>
      </c>
      <c r="H374" s="7" t="s">
        <v>368</v>
      </c>
      <c r="I374" s="7" t="s">
        <v>356</v>
      </c>
      <c r="J374" s="74">
        <v>45.92</v>
      </c>
      <c r="K374" s="74" t="s">
        <v>369</v>
      </c>
      <c r="L374" s="74">
        <v>45.78</v>
      </c>
      <c r="M374" s="442">
        <v>48</v>
      </c>
      <c r="N374" s="7"/>
      <c r="O374" s="438">
        <f t="shared" si="15"/>
        <v>2197.44</v>
      </c>
      <c r="P374" s="464">
        <v>15</v>
      </c>
      <c r="Q374" s="465">
        <f t="shared" si="16"/>
        <v>153.8208</v>
      </c>
      <c r="R374" s="438">
        <v>600</v>
      </c>
      <c r="S374" s="439">
        <f t="shared" si="17"/>
        <v>1428.6192</v>
      </c>
      <c r="T374" s="7"/>
      <c r="U374" s="7"/>
      <c r="V374" s="7"/>
      <c r="W374" s="417">
        <v>1</v>
      </c>
    </row>
    <row r="375" s="417" customFormat="1" ht="16" customHeight="1" spans="1:23">
      <c r="A375" s="449">
        <v>46187</v>
      </c>
      <c r="B375" s="449">
        <v>46187</v>
      </c>
      <c r="C375" s="7"/>
      <c r="D375" s="7" t="s">
        <v>235</v>
      </c>
      <c r="E375" s="7" t="s">
        <v>54</v>
      </c>
      <c r="F375" s="7" t="s">
        <v>54</v>
      </c>
      <c r="G375" s="7" t="s">
        <v>55</v>
      </c>
      <c r="H375" s="7" t="s">
        <v>368</v>
      </c>
      <c r="I375" s="7" t="s">
        <v>356</v>
      </c>
      <c r="J375" s="74">
        <v>45.08</v>
      </c>
      <c r="K375" s="74" t="s">
        <v>369</v>
      </c>
      <c r="L375" s="74">
        <v>45.02</v>
      </c>
      <c r="M375" s="442">
        <v>48</v>
      </c>
      <c r="N375" s="7"/>
      <c r="O375" s="438">
        <f t="shared" si="15"/>
        <v>2160.96</v>
      </c>
      <c r="P375" s="464">
        <v>15</v>
      </c>
      <c r="Q375" s="465">
        <f t="shared" si="16"/>
        <v>151.2672</v>
      </c>
      <c r="R375" s="438">
        <v>600</v>
      </c>
      <c r="S375" s="439">
        <f t="shared" si="17"/>
        <v>1394.6928</v>
      </c>
      <c r="T375" s="7"/>
      <c r="U375" s="7"/>
      <c r="V375" s="7"/>
      <c r="W375" s="417">
        <v>1</v>
      </c>
    </row>
    <row r="376" s="417" customFormat="1" ht="16" customHeight="1" spans="1:23">
      <c r="A376" s="449">
        <v>46187</v>
      </c>
      <c r="B376" s="449">
        <v>46188</v>
      </c>
      <c r="C376" s="7"/>
      <c r="D376" s="7" t="s">
        <v>235</v>
      </c>
      <c r="E376" s="7" t="s">
        <v>99</v>
      </c>
      <c r="F376" s="7" t="s">
        <v>99</v>
      </c>
      <c r="G376" s="7" t="s">
        <v>100</v>
      </c>
      <c r="H376" s="7" t="s">
        <v>368</v>
      </c>
      <c r="I376" s="7" t="s">
        <v>356</v>
      </c>
      <c r="J376" s="74">
        <v>45.08</v>
      </c>
      <c r="K376" s="74" t="s">
        <v>369</v>
      </c>
      <c r="L376" s="74">
        <v>44.98</v>
      </c>
      <c r="M376" s="442">
        <v>48</v>
      </c>
      <c r="N376" s="7"/>
      <c r="O376" s="438">
        <f t="shared" si="15"/>
        <v>2159.04</v>
      </c>
      <c r="P376" s="464">
        <v>15</v>
      </c>
      <c r="Q376" s="465">
        <f t="shared" si="16"/>
        <v>151.1328</v>
      </c>
      <c r="R376" s="438">
        <v>600</v>
      </c>
      <c r="S376" s="439">
        <f t="shared" si="17"/>
        <v>1392.9072</v>
      </c>
      <c r="T376" s="7"/>
      <c r="U376" s="7"/>
      <c r="V376" s="7"/>
      <c r="W376" s="417">
        <v>1</v>
      </c>
    </row>
    <row r="377" s="417" customFormat="1" ht="16" customHeight="1" spans="1:23">
      <c r="A377" s="449">
        <v>46187</v>
      </c>
      <c r="B377" s="449">
        <v>46188</v>
      </c>
      <c r="C377" s="7"/>
      <c r="D377" s="7" t="s">
        <v>235</v>
      </c>
      <c r="E377" s="7" t="s">
        <v>57</v>
      </c>
      <c r="F377" s="7" t="s">
        <v>57</v>
      </c>
      <c r="G377" s="7" t="s">
        <v>58</v>
      </c>
      <c r="H377" s="7" t="s">
        <v>368</v>
      </c>
      <c r="I377" s="7" t="s">
        <v>356</v>
      </c>
      <c r="J377" s="74">
        <v>44.18</v>
      </c>
      <c r="K377" s="74" t="s">
        <v>369</v>
      </c>
      <c r="L377" s="74">
        <v>44.18</v>
      </c>
      <c r="M377" s="442">
        <v>48</v>
      </c>
      <c r="N377" s="7"/>
      <c r="O377" s="438">
        <f t="shared" si="15"/>
        <v>2120.64</v>
      </c>
      <c r="P377" s="464">
        <v>15</v>
      </c>
      <c r="Q377" s="465">
        <f t="shared" si="16"/>
        <v>148.4448</v>
      </c>
      <c r="R377" s="438">
        <v>600</v>
      </c>
      <c r="S377" s="439">
        <f t="shared" si="17"/>
        <v>1357.1952</v>
      </c>
      <c r="T377" s="7"/>
      <c r="U377" s="7"/>
      <c r="V377" s="7"/>
      <c r="W377" s="417">
        <v>1</v>
      </c>
    </row>
    <row r="378" s="417" customFormat="1" ht="16" customHeight="1" spans="1:23">
      <c r="A378" s="449">
        <v>46187</v>
      </c>
      <c r="B378" s="449">
        <v>46188</v>
      </c>
      <c r="C378" s="7"/>
      <c r="D378" s="7" t="s">
        <v>235</v>
      </c>
      <c r="E378" s="7" t="s">
        <v>111</v>
      </c>
      <c r="F378" s="7" t="s">
        <v>111</v>
      </c>
      <c r="G378" s="7" t="s">
        <v>112</v>
      </c>
      <c r="H378" s="7" t="s">
        <v>368</v>
      </c>
      <c r="I378" s="7" t="s">
        <v>356</v>
      </c>
      <c r="J378" s="74">
        <v>44.7</v>
      </c>
      <c r="K378" s="74" t="s">
        <v>369</v>
      </c>
      <c r="L378" s="74">
        <v>44.74</v>
      </c>
      <c r="M378" s="442">
        <v>48</v>
      </c>
      <c r="N378" s="7"/>
      <c r="O378" s="438">
        <f t="shared" si="15"/>
        <v>2147.52</v>
      </c>
      <c r="P378" s="464">
        <v>15</v>
      </c>
      <c r="Q378" s="465">
        <f t="shared" si="16"/>
        <v>150.3264</v>
      </c>
      <c r="R378" s="438">
        <v>600</v>
      </c>
      <c r="S378" s="439">
        <f t="shared" si="17"/>
        <v>1382.1936</v>
      </c>
      <c r="T378" s="7"/>
      <c r="U378" s="7"/>
      <c r="V378" s="7"/>
      <c r="W378" s="417">
        <v>1</v>
      </c>
    </row>
    <row r="379" s="417" customFormat="1" ht="16" customHeight="1" spans="1:23">
      <c r="A379" s="449">
        <v>46187</v>
      </c>
      <c r="B379" s="449">
        <v>46188</v>
      </c>
      <c r="C379" s="7"/>
      <c r="D379" s="7" t="s">
        <v>235</v>
      </c>
      <c r="E379" s="7" t="s">
        <v>102</v>
      </c>
      <c r="F379" s="7" t="s">
        <v>102</v>
      </c>
      <c r="G379" s="7" t="s">
        <v>103</v>
      </c>
      <c r="H379" s="7" t="s">
        <v>368</v>
      </c>
      <c r="I379" s="7" t="s">
        <v>356</v>
      </c>
      <c r="J379" s="74">
        <v>44.38</v>
      </c>
      <c r="K379" s="74" t="s">
        <v>369</v>
      </c>
      <c r="L379" s="74">
        <v>44.3</v>
      </c>
      <c r="M379" s="442">
        <v>48</v>
      </c>
      <c r="N379" s="7"/>
      <c r="O379" s="438">
        <f t="shared" si="15"/>
        <v>2126.4</v>
      </c>
      <c r="P379" s="464">
        <v>15</v>
      </c>
      <c r="Q379" s="465">
        <f t="shared" si="16"/>
        <v>148.848</v>
      </c>
      <c r="R379" s="438">
        <v>600</v>
      </c>
      <c r="S379" s="439">
        <f t="shared" si="17"/>
        <v>1362.552</v>
      </c>
      <c r="T379" s="7"/>
      <c r="U379" s="7"/>
      <c r="V379" s="7"/>
      <c r="W379" s="417">
        <v>1</v>
      </c>
    </row>
    <row r="380" s="417" customFormat="1" ht="16" customHeight="1" spans="1:23">
      <c r="A380" s="449">
        <v>46187</v>
      </c>
      <c r="B380" s="449">
        <v>46188</v>
      </c>
      <c r="C380" s="7"/>
      <c r="D380" s="7" t="s">
        <v>235</v>
      </c>
      <c r="E380" s="7" t="s">
        <v>66</v>
      </c>
      <c r="F380" s="7" t="s">
        <v>66</v>
      </c>
      <c r="G380" s="7" t="s">
        <v>67</v>
      </c>
      <c r="H380" s="7" t="s">
        <v>368</v>
      </c>
      <c r="I380" s="7" t="s">
        <v>356</v>
      </c>
      <c r="J380" s="74">
        <v>43.88</v>
      </c>
      <c r="K380" s="74" t="s">
        <v>369</v>
      </c>
      <c r="L380" s="74">
        <v>43.78</v>
      </c>
      <c r="M380" s="442">
        <v>48</v>
      </c>
      <c r="N380" s="7"/>
      <c r="O380" s="438">
        <f t="shared" si="15"/>
        <v>2101.44</v>
      </c>
      <c r="P380" s="464">
        <v>15</v>
      </c>
      <c r="Q380" s="465">
        <f t="shared" si="16"/>
        <v>147.1008</v>
      </c>
      <c r="R380" s="438">
        <v>600</v>
      </c>
      <c r="S380" s="439">
        <f t="shared" si="17"/>
        <v>1339.3392</v>
      </c>
      <c r="T380" s="7"/>
      <c r="U380" s="7"/>
      <c r="V380" s="7"/>
      <c r="W380" s="417">
        <v>1</v>
      </c>
    </row>
    <row r="381" s="417" customFormat="1" ht="16" customHeight="1" spans="1:23">
      <c r="A381" s="449">
        <v>46187</v>
      </c>
      <c r="B381" s="449">
        <v>46188</v>
      </c>
      <c r="C381" s="7"/>
      <c r="D381" s="7" t="s">
        <v>235</v>
      </c>
      <c r="E381" s="7" t="s">
        <v>78</v>
      </c>
      <c r="F381" s="7" t="s">
        <v>78</v>
      </c>
      <c r="G381" s="7" t="s">
        <v>79</v>
      </c>
      <c r="H381" s="7" t="s">
        <v>368</v>
      </c>
      <c r="I381" s="7" t="s">
        <v>356</v>
      </c>
      <c r="J381" s="74">
        <v>44.8</v>
      </c>
      <c r="K381" s="74" t="s">
        <v>369</v>
      </c>
      <c r="L381" s="74">
        <v>44.36</v>
      </c>
      <c r="M381" s="442">
        <v>48</v>
      </c>
      <c r="N381" s="7"/>
      <c r="O381" s="438">
        <f t="shared" si="15"/>
        <v>2129.28</v>
      </c>
      <c r="P381" s="464">
        <v>15</v>
      </c>
      <c r="Q381" s="465">
        <f t="shared" si="16"/>
        <v>149.0496</v>
      </c>
      <c r="R381" s="438">
        <v>600</v>
      </c>
      <c r="S381" s="439">
        <f t="shared" si="17"/>
        <v>1365.2304</v>
      </c>
      <c r="T381" s="7"/>
      <c r="U381" s="7"/>
      <c r="V381" s="7"/>
      <c r="W381" s="417">
        <v>1</v>
      </c>
    </row>
    <row r="382" s="417" customFormat="1" ht="16" customHeight="1" spans="1:23">
      <c r="A382" s="449">
        <v>46187</v>
      </c>
      <c r="B382" s="449">
        <v>46188</v>
      </c>
      <c r="C382" s="7"/>
      <c r="D382" s="7" t="s">
        <v>235</v>
      </c>
      <c r="E382" s="7" t="s">
        <v>96</v>
      </c>
      <c r="F382" s="7" t="s">
        <v>96</v>
      </c>
      <c r="G382" s="7" t="s">
        <v>97</v>
      </c>
      <c r="H382" s="7" t="s">
        <v>368</v>
      </c>
      <c r="I382" s="7" t="s">
        <v>356</v>
      </c>
      <c r="J382" s="74">
        <v>43.04</v>
      </c>
      <c r="K382" s="74" t="s">
        <v>369</v>
      </c>
      <c r="L382" s="74">
        <v>43.18</v>
      </c>
      <c r="M382" s="442">
        <v>48</v>
      </c>
      <c r="N382" s="7"/>
      <c r="O382" s="438">
        <f t="shared" si="15"/>
        <v>2072.64</v>
      </c>
      <c r="P382" s="464">
        <v>15</v>
      </c>
      <c r="Q382" s="465">
        <f t="shared" si="16"/>
        <v>145.0848</v>
      </c>
      <c r="R382" s="438">
        <v>600</v>
      </c>
      <c r="S382" s="439">
        <f t="shared" si="17"/>
        <v>1312.5552</v>
      </c>
      <c r="T382" s="7"/>
      <c r="U382" s="7"/>
      <c r="V382" s="7"/>
      <c r="W382" s="417">
        <v>1</v>
      </c>
    </row>
    <row r="383" s="417" customFormat="1" ht="16" customHeight="1" spans="1:23">
      <c r="A383" s="449">
        <v>46187</v>
      </c>
      <c r="B383" s="449">
        <v>46188</v>
      </c>
      <c r="C383" s="7"/>
      <c r="D383" s="7" t="s">
        <v>235</v>
      </c>
      <c r="E383" s="7" t="s">
        <v>81</v>
      </c>
      <c r="F383" s="7" t="s">
        <v>81</v>
      </c>
      <c r="G383" s="7" t="s">
        <v>82</v>
      </c>
      <c r="H383" s="7" t="s">
        <v>368</v>
      </c>
      <c r="I383" s="7" t="s">
        <v>356</v>
      </c>
      <c r="J383" s="74">
        <v>42.96</v>
      </c>
      <c r="K383" s="74" t="s">
        <v>371</v>
      </c>
      <c r="L383" s="74">
        <v>42.95</v>
      </c>
      <c r="M383" s="7">
        <v>61</v>
      </c>
      <c r="N383" s="7"/>
      <c r="O383" s="438">
        <f t="shared" si="15"/>
        <v>2619.95</v>
      </c>
      <c r="P383" s="464">
        <v>15</v>
      </c>
      <c r="Q383" s="465">
        <f t="shared" si="16"/>
        <v>183.3965</v>
      </c>
      <c r="R383" s="438">
        <v>600</v>
      </c>
      <c r="S383" s="439">
        <f t="shared" si="17"/>
        <v>1821.5535</v>
      </c>
      <c r="T383" s="7"/>
      <c r="U383" s="7"/>
      <c r="V383" s="7"/>
      <c r="W383" s="417">
        <v>1</v>
      </c>
    </row>
    <row r="384" s="417" customFormat="1" ht="16" customHeight="1" spans="1:23">
      <c r="A384" s="449">
        <v>46187</v>
      </c>
      <c r="B384" s="449">
        <v>46189</v>
      </c>
      <c r="C384" s="7"/>
      <c r="D384" s="7" t="s">
        <v>235</v>
      </c>
      <c r="E384" s="7" t="s">
        <v>87</v>
      </c>
      <c r="F384" s="7" t="s">
        <v>87</v>
      </c>
      <c r="G384" s="7" t="s">
        <v>88</v>
      </c>
      <c r="H384" s="7" t="s">
        <v>368</v>
      </c>
      <c r="I384" s="7" t="s">
        <v>356</v>
      </c>
      <c r="J384" s="74">
        <v>45.24</v>
      </c>
      <c r="K384" s="74" t="s">
        <v>371</v>
      </c>
      <c r="L384" s="74">
        <v>45.22</v>
      </c>
      <c r="M384" s="7">
        <v>61</v>
      </c>
      <c r="N384" s="7"/>
      <c r="O384" s="438">
        <f t="shared" si="15"/>
        <v>2758.42</v>
      </c>
      <c r="P384" s="464">
        <v>15</v>
      </c>
      <c r="Q384" s="465">
        <f t="shared" si="16"/>
        <v>193.0894</v>
      </c>
      <c r="R384" s="438">
        <v>600</v>
      </c>
      <c r="S384" s="439">
        <f t="shared" si="17"/>
        <v>1950.3306</v>
      </c>
      <c r="T384" s="7"/>
      <c r="U384" s="7"/>
      <c r="V384" s="7"/>
      <c r="W384" s="417">
        <v>1</v>
      </c>
    </row>
    <row r="385" s="417" customFormat="1" ht="16" customHeight="1" spans="1:23">
      <c r="A385" s="449">
        <v>46187</v>
      </c>
      <c r="B385" s="449">
        <v>46188</v>
      </c>
      <c r="C385" s="7"/>
      <c r="D385" s="7" t="s">
        <v>235</v>
      </c>
      <c r="E385" s="7" t="s">
        <v>51</v>
      </c>
      <c r="F385" s="74" t="s">
        <v>51</v>
      </c>
      <c r="G385" s="74" t="s">
        <v>52</v>
      </c>
      <c r="H385" s="7" t="s">
        <v>368</v>
      </c>
      <c r="I385" s="7" t="s">
        <v>356</v>
      </c>
      <c r="J385" s="74">
        <v>44.2</v>
      </c>
      <c r="K385" s="74" t="s">
        <v>369</v>
      </c>
      <c r="L385" s="74">
        <v>44.26</v>
      </c>
      <c r="M385" s="442">
        <v>48</v>
      </c>
      <c r="N385" s="7"/>
      <c r="O385" s="438">
        <f t="shared" si="15"/>
        <v>2124.48</v>
      </c>
      <c r="P385" s="464">
        <v>15</v>
      </c>
      <c r="Q385" s="465">
        <f t="shared" si="16"/>
        <v>148.7136</v>
      </c>
      <c r="R385" s="438">
        <v>600</v>
      </c>
      <c r="S385" s="439">
        <f t="shared" si="17"/>
        <v>1360.7664</v>
      </c>
      <c r="T385" s="7"/>
      <c r="U385" s="7"/>
      <c r="V385" s="7"/>
      <c r="W385" s="417">
        <v>1</v>
      </c>
    </row>
    <row r="386" s="417" customFormat="1" ht="15" customHeight="1" spans="1:23">
      <c r="A386" s="449">
        <v>46187</v>
      </c>
      <c r="B386" s="449">
        <v>46188</v>
      </c>
      <c r="C386" s="7"/>
      <c r="D386" s="7" t="s">
        <v>235</v>
      </c>
      <c r="E386" s="7" t="s">
        <v>148</v>
      </c>
      <c r="F386" s="74" t="s">
        <v>148</v>
      </c>
      <c r="G386" s="74" t="s">
        <v>149</v>
      </c>
      <c r="H386" s="7" t="s">
        <v>368</v>
      </c>
      <c r="I386" s="7" t="s">
        <v>356</v>
      </c>
      <c r="J386" s="74">
        <v>44.08</v>
      </c>
      <c r="K386" s="74" t="s">
        <v>369</v>
      </c>
      <c r="L386" s="74">
        <v>44.14</v>
      </c>
      <c r="M386" s="442">
        <v>48</v>
      </c>
      <c r="N386" s="7"/>
      <c r="O386" s="438">
        <f t="shared" ref="O386:O449" si="18">L386*M386</f>
        <v>2118.72</v>
      </c>
      <c r="P386" s="464">
        <v>15</v>
      </c>
      <c r="Q386" s="465">
        <f t="shared" ref="Q386:Q449" si="19">O386*0.07</f>
        <v>148.3104</v>
      </c>
      <c r="R386" s="438">
        <v>600</v>
      </c>
      <c r="S386" s="439">
        <f t="shared" ref="S386:S449" si="20">O386-P386-R386-Q386</f>
        <v>1355.4096</v>
      </c>
      <c r="T386" s="7"/>
      <c r="U386" s="7"/>
      <c r="V386" s="7"/>
      <c r="W386" s="417">
        <v>1</v>
      </c>
    </row>
    <row r="387" s="417" customFormat="1" ht="16" customHeight="1" spans="1:23">
      <c r="A387" s="449">
        <v>46187</v>
      </c>
      <c r="B387" s="449">
        <v>46189</v>
      </c>
      <c r="C387" s="7" t="s">
        <v>588</v>
      </c>
      <c r="D387" s="7" t="s">
        <v>237</v>
      </c>
      <c r="E387" s="74" t="s">
        <v>124</v>
      </c>
      <c r="F387" s="74" t="s">
        <v>124</v>
      </c>
      <c r="G387" s="74" t="s">
        <v>125</v>
      </c>
      <c r="H387" s="7" t="s">
        <v>354</v>
      </c>
      <c r="I387" s="7" t="s">
        <v>407</v>
      </c>
      <c r="J387" s="74">
        <v>38.98</v>
      </c>
      <c r="K387" s="7" t="s">
        <v>356</v>
      </c>
      <c r="L387" s="74">
        <v>38.96</v>
      </c>
      <c r="M387" s="7">
        <v>87</v>
      </c>
      <c r="N387" s="7"/>
      <c r="O387" s="438">
        <f t="shared" si="18"/>
        <v>3389.52</v>
      </c>
      <c r="P387" s="438">
        <v>15</v>
      </c>
      <c r="Q387" s="438">
        <f t="shared" si="19"/>
        <v>237.2664</v>
      </c>
      <c r="R387" s="438">
        <v>800</v>
      </c>
      <c r="S387" s="439">
        <f t="shared" si="20"/>
        <v>2337.2536</v>
      </c>
      <c r="T387" s="7"/>
      <c r="U387" s="7"/>
      <c r="V387" s="7"/>
      <c r="W387" s="417">
        <v>1</v>
      </c>
    </row>
    <row r="388" s="417" customFormat="1" ht="16" customHeight="1" spans="1:23">
      <c r="A388" s="449">
        <v>46188</v>
      </c>
      <c r="B388" s="449">
        <v>46189</v>
      </c>
      <c r="C388" s="7" t="s">
        <v>589</v>
      </c>
      <c r="D388" s="7" t="s">
        <v>237</v>
      </c>
      <c r="E388" s="74" t="s">
        <v>75</v>
      </c>
      <c r="F388" s="74" t="s">
        <v>75</v>
      </c>
      <c r="G388" s="74" t="s">
        <v>76</v>
      </c>
      <c r="H388" s="7" t="s">
        <v>354</v>
      </c>
      <c r="I388" s="7" t="s">
        <v>407</v>
      </c>
      <c r="J388" s="74">
        <v>44.48</v>
      </c>
      <c r="K388" s="7" t="s">
        <v>356</v>
      </c>
      <c r="L388" s="74">
        <v>44.44</v>
      </c>
      <c r="M388" s="7">
        <v>87</v>
      </c>
      <c r="N388" s="7"/>
      <c r="O388" s="438">
        <f t="shared" si="18"/>
        <v>3866.28</v>
      </c>
      <c r="P388" s="438">
        <v>15</v>
      </c>
      <c r="Q388" s="438">
        <f t="shared" si="19"/>
        <v>270.6396</v>
      </c>
      <c r="R388" s="438">
        <v>800</v>
      </c>
      <c r="S388" s="439">
        <f t="shared" si="20"/>
        <v>2780.6404</v>
      </c>
      <c r="T388" s="7"/>
      <c r="U388" s="7"/>
      <c r="V388" s="7"/>
      <c r="W388" s="417">
        <v>1</v>
      </c>
    </row>
    <row r="389" s="417" customFormat="1" ht="16" customHeight="1" spans="1:23">
      <c r="A389" s="449">
        <v>46188</v>
      </c>
      <c r="B389" s="449">
        <v>46189</v>
      </c>
      <c r="C389" s="7" t="s">
        <v>590</v>
      </c>
      <c r="D389" s="7" t="s">
        <v>237</v>
      </c>
      <c r="E389" s="74" t="s">
        <v>108</v>
      </c>
      <c r="F389" s="74" t="s">
        <v>108</v>
      </c>
      <c r="G389" s="74" t="s">
        <v>109</v>
      </c>
      <c r="H389" s="7" t="s">
        <v>354</v>
      </c>
      <c r="I389" s="7" t="s">
        <v>407</v>
      </c>
      <c r="J389" s="74">
        <v>43.04</v>
      </c>
      <c r="K389" s="7" t="s">
        <v>356</v>
      </c>
      <c r="L389" s="74">
        <v>42.98</v>
      </c>
      <c r="M389" s="7">
        <v>87</v>
      </c>
      <c r="N389" s="7"/>
      <c r="O389" s="438">
        <f t="shared" si="18"/>
        <v>3739.26</v>
      </c>
      <c r="P389" s="438">
        <v>15</v>
      </c>
      <c r="Q389" s="438">
        <f t="shared" si="19"/>
        <v>261.7482</v>
      </c>
      <c r="R389" s="438">
        <v>800</v>
      </c>
      <c r="S389" s="439">
        <f t="shared" si="20"/>
        <v>2662.5118</v>
      </c>
      <c r="T389" s="7"/>
      <c r="U389" s="7"/>
      <c r="V389" s="7"/>
      <c r="W389" s="417">
        <v>1</v>
      </c>
    </row>
    <row r="390" s="417" customFormat="1" ht="16" customHeight="1" spans="1:23">
      <c r="A390" s="449">
        <v>46188</v>
      </c>
      <c r="B390" s="449">
        <v>46189</v>
      </c>
      <c r="C390" s="7" t="s">
        <v>591</v>
      </c>
      <c r="D390" s="7" t="s">
        <v>237</v>
      </c>
      <c r="E390" s="74" t="s">
        <v>114</v>
      </c>
      <c r="F390" s="74" t="s">
        <v>114</v>
      </c>
      <c r="G390" s="74" t="s">
        <v>115</v>
      </c>
      <c r="H390" s="7" t="s">
        <v>354</v>
      </c>
      <c r="I390" s="7" t="s">
        <v>407</v>
      </c>
      <c r="J390" s="74">
        <v>44.34</v>
      </c>
      <c r="K390" s="7" t="s">
        <v>356</v>
      </c>
      <c r="L390" s="74">
        <v>44.34</v>
      </c>
      <c r="M390" s="7">
        <v>87</v>
      </c>
      <c r="N390" s="7"/>
      <c r="O390" s="438">
        <f t="shared" si="18"/>
        <v>3857.58</v>
      </c>
      <c r="P390" s="438">
        <v>15</v>
      </c>
      <c r="Q390" s="438">
        <f t="shared" si="19"/>
        <v>270.0306</v>
      </c>
      <c r="R390" s="438">
        <v>800</v>
      </c>
      <c r="S390" s="439">
        <f t="shared" si="20"/>
        <v>2772.5494</v>
      </c>
      <c r="T390" s="7"/>
      <c r="U390" s="7"/>
      <c r="V390" s="7"/>
      <c r="W390" s="417">
        <v>1</v>
      </c>
    </row>
    <row r="391" s="417" customFormat="1" ht="16" customHeight="1" spans="1:23">
      <c r="A391" s="449">
        <v>46188</v>
      </c>
      <c r="B391" s="449">
        <v>46189</v>
      </c>
      <c r="C391" s="7" t="s">
        <v>592</v>
      </c>
      <c r="D391" s="7" t="s">
        <v>236</v>
      </c>
      <c r="E391" s="74" t="s">
        <v>84</v>
      </c>
      <c r="F391" s="74" t="s">
        <v>84</v>
      </c>
      <c r="G391" s="74" t="s">
        <v>85</v>
      </c>
      <c r="H391" s="7" t="s">
        <v>354</v>
      </c>
      <c r="I391" s="7" t="s">
        <v>369</v>
      </c>
      <c r="J391" s="74">
        <v>39.42</v>
      </c>
      <c r="K391" s="7" t="s">
        <v>356</v>
      </c>
      <c r="L391" s="74">
        <v>39.42</v>
      </c>
      <c r="M391" s="7">
        <v>68</v>
      </c>
      <c r="N391" s="7"/>
      <c r="O391" s="438">
        <f t="shared" si="18"/>
        <v>2680.56</v>
      </c>
      <c r="P391" s="464">
        <v>15</v>
      </c>
      <c r="Q391" s="465">
        <f t="shared" si="19"/>
        <v>187.6392</v>
      </c>
      <c r="R391" s="438">
        <v>600</v>
      </c>
      <c r="S391" s="439">
        <f t="shared" si="20"/>
        <v>1877.9208</v>
      </c>
      <c r="T391" s="7"/>
      <c r="U391" s="7"/>
      <c r="V391" s="7"/>
      <c r="W391" s="417">
        <v>1</v>
      </c>
    </row>
    <row r="392" s="417" customFormat="1" ht="16" customHeight="1" spans="1:23">
      <c r="A392" s="449">
        <v>46188</v>
      </c>
      <c r="B392" s="449">
        <v>46189</v>
      </c>
      <c r="C392" s="7" t="s">
        <v>593</v>
      </c>
      <c r="D392" s="7" t="s">
        <v>236</v>
      </c>
      <c r="E392" s="74" t="s">
        <v>90</v>
      </c>
      <c r="F392" s="74" t="s">
        <v>90</v>
      </c>
      <c r="G392" s="74" t="s">
        <v>91</v>
      </c>
      <c r="H392" s="7" t="s">
        <v>354</v>
      </c>
      <c r="I392" s="7" t="s">
        <v>369</v>
      </c>
      <c r="J392" s="74">
        <v>39.14</v>
      </c>
      <c r="K392" s="7" t="s">
        <v>356</v>
      </c>
      <c r="L392" s="74">
        <v>39.14</v>
      </c>
      <c r="M392" s="7">
        <v>68</v>
      </c>
      <c r="N392" s="7"/>
      <c r="O392" s="438">
        <f t="shared" si="18"/>
        <v>2661.52</v>
      </c>
      <c r="P392" s="464">
        <v>15</v>
      </c>
      <c r="Q392" s="465">
        <f t="shared" si="19"/>
        <v>186.3064</v>
      </c>
      <c r="R392" s="438">
        <v>600</v>
      </c>
      <c r="S392" s="439">
        <f t="shared" si="20"/>
        <v>1860.2136</v>
      </c>
      <c r="T392" s="7"/>
      <c r="U392" s="7"/>
      <c r="V392" s="7"/>
      <c r="W392" s="417">
        <v>1</v>
      </c>
    </row>
    <row r="393" s="417" customFormat="1" ht="16" customHeight="1" spans="1:23">
      <c r="A393" s="449">
        <v>46188</v>
      </c>
      <c r="B393" s="449">
        <v>46189</v>
      </c>
      <c r="C393" s="7" t="s">
        <v>594</v>
      </c>
      <c r="D393" s="7" t="s">
        <v>236</v>
      </c>
      <c r="E393" s="74" t="s">
        <v>93</v>
      </c>
      <c r="F393" s="74" t="s">
        <v>93</v>
      </c>
      <c r="G393" s="74" t="s">
        <v>94</v>
      </c>
      <c r="H393" s="7" t="s">
        <v>354</v>
      </c>
      <c r="I393" s="7" t="s">
        <v>369</v>
      </c>
      <c r="J393" s="74">
        <v>38.22</v>
      </c>
      <c r="K393" s="7" t="s">
        <v>356</v>
      </c>
      <c r="L393" s="74">
        <v>38.2</v>
      </c>
      <c r="M393" s="7">
        <v>68</v>
      </c>
      <c r="N393" s="7"/>
      <c r="O393" s="438">
        <f t="shared" si="18"/>
        <v>2597.6</v>
      </c>
      <c r="P393" s="464">
        <v>15</v>
      </c>
      <c r="Q393" s="465">
        <f t="shared" si="19"/>
        <v>181.832</v>
      </c>
      <c r="R393" s="438">
        <v>600</v>
      </c>
      <c r="S393" s="439">
        <f t="shared" si="20"/>
        <v>1800.768</v>
      </c>
      <c r="T393" s="7"/>
      <c r="U393" s="7"/>
      <c r="V393" s="7"/>
      <c r="W393" s="417">
        <v>1</v>
      </c>
    </row>
    <row r="394" s="417" customFormat="1" ht="16" customHeight="1" spans="1:23">
      <c r="A394" s="449">
        <v>46187</v>
      </c>
      <c r="B394" s="449">
        <v>46189</v>
      </c>
      <c r="C394" s="442" t="s">
        <v>595</v>
      </c>
      <c r="D394" s="7" t="s">
        <v>233</v>
      </c>
      <c r="E394" s="74" t="s">
        <v>151</v>
      </c>
      <c r="F394" s="74" t="s">
        <v>151</v>
      </c>
      <c r="G394" s="74" t="s">
        <v>152</v>
      </c>
      <c r="H394" s="7" t="s">
        <v>354</v>
      </c>
      <c r="I394" s="7" t="s">
        <v>355</v>
      </c>
      <c r="J394" s="74">
        <v>45.54</v>
      </c>
      <c r="K394" s="7" t="s">
        <v>356</v>
      </c>
      <c r="L394" s="74">
        <v>45.54</v>
      </c>
      <c r="M394" s="7">
        <v>67</v>
      </c>
      <c r="N394" s="7"/>
      <c r="O394" s="438">
        <f t="shared" si="18"/>
        <v>3051.18</v>
      </c>
      <c r="P394" s="464">
        <v>15</v>
      </c>
      <c r="Q394" s="465">
        <f t="shared" si="19"/>
        <v>213.5826</v>
      </c>
      <c r="R394" s="438">
        <v>600</v>
      </c>
      <c r="S394" s="439">
        <f t="shared" si="20"/>
        <v>2222.5974</v>
      </c>
      <c r="T394" s="7"/>
      <c r="U394" s="7"/>
      <c r="V394" s="7"/>
      <c r="W394" s="417">
        <v>1</v>
      </c>
    </row>
    <row r="395" s="417" customFormat="1" ht="16" customHeight="1" spans="1:23">
      <c r="A395" s="449">
        <v>46188</v>
      </c>
      <c r="B395" s="449">
        <v>46189</v>
      </c>
      <c r="C395" s="442" t="s">
        <v>596</v>
      </c>
      <c r="D395" s="7" t="s">
        <v>233</v>
      </c>
      <c r="E395" s="74" t="s">
        <v>138</v>
      </c>
      <c r="F395" s="74" t="s">
        <v>138</v>
      </c>
      <c r="G395" s="74" t="s">
        <v>139</v>
      </c>
      <c r="H395" s="7" t="s">
        <v>354</v>
      </c>
      <c r="I395" s="7" t="s">
        <v>355</v>
      </c>
      <c r="J395" s="74">
        <v>44.14</v>
      </c>
      <c r="K395" s="7" t="s">
        <v>356</v>
      </c>
      <c r="L395" s="74">
        <v>44.12</v>
      </c>
      <c r="M395" s="7">
        <v>67</v>
      </c>
      <c r="N395" s="7"/>
      <c r="O395" s="438">
        <f t="shared" si="18"/>
        <v>2956.04</v>
      </c>
      <c r="P395" s="464">
        <v>15</v>
      </c>
      <c r="Q395" s="465">
        <f t="shared" si="19"/>
        <v>206.9228</v>
      </c>
      <c r="R395" s="438">
        <v>600</v>
      </c>
      <c r="S395" s="439">
        <f t="shared" si="20"/>
        <v>2134.1172</v>
      </c>
      <c r="T395" s="7"/>
      <c r="U395" s="7"/>
      <c r="V395" s="7"/>
      <c r="W395" s="417">
        <v>1</v>
      </c>
    </row>
    <row r="396" s="417" customFormat="1" ht="16" customHeight="1" spans="1:23">
      <c r="A396" s="449">
        <v>46188</v>
      </c>
      <c r="B396" s="449">
        <v>46189</v>
      </c>
      <c r="C396" s="442" t="s">
        <v>597</v>
      </c>
      <c r="D396" s="7" t="s">
        <v>233</v>
      </c>
      <c r="E396" s="74" t="s">
        <v>69</v>
      </c>
      <c r="F396" s="74" t="s">
        <v>69</v>
      </c>
      <c r="G396" s="74" t="s">
        <v>70</v>
      </c>
      <c r="H396" s="7" t="s">
        <v>354</v>
      </c>
      <c r="I396" s="7" t="s">
        <v>355</v>
      </c>
      <c r="J396" s="74">
        <v>40.14</v>
      </c>
      <c r="K396" s="7" t="s">
        <v>356</v>
      </c>
      <c r="L396" s="74">
        <v>40.1</v>
      </c>
      <c r="M396" s="7">
        <v>67</v>
      </c>
      <c r="N396" s="7"/>
      <c r="O396" s="438">
        <f t="shared" si="18"/>
        <v>2686.7</v>
      </c>
      <c r="P396" s="464">
        <v>15</v>
      </c>
      <c r="Q396" s="465">
        <f t="shared" si="19"/>
        <v>188.069</v>
      </c>
      <c r="R396" s="438">
        <v>600</v>
      </c>
      <c r="S396" s="439">
        <f t="shared" si="20"/>
        <v>1883.631</v>
      </c>
      <c r="T396" s="7"/>
      <c r="U396" s="7"/>
      <c r="V396" s="7"/>
      <c r="W396" s="417">
        <v>1</v>
      </c>
    </row>
    <row r="397" s="417" customFormat="1" ht="16" customHeight="1" spans="1:23">
      <c r="A397" s="449">
        <v>46188</v>
      </c>
      <c r="B397" s="449">
        <v>46189</v>
      </c>
      <c r="C397" s="442" t="s">
        <v>598</v>
      </c>
      <c r="D397" s="7" t="s">
        <v>233</v>
      </c>
      <c r="E397" s="74" t="s">
        <v>54</v>
      </c>
      <c r="F397" s="74" t="s">
        <v>54</v>
      </c>
      <c r="G397" s="74" t="s">
        <v>55</v>
      </c>
      <c r="H397" s="7" t="s">
        <v>354</v>
      </c>
      <c r="I397" s="7" t="s">
        <v>355</v>
      </c>
      <c r="J397" s="74">
        <v>42.32</v>
      </c>
      <c r="K397" s="7" t="s">
        <v>356</v>
      </c>
      <c r="L397" s="74">
        <v>42.3</v>
      </c>
      <c r="M397" s="7">
        <v>67</v>
      </c>
      <c r="N397" s="7"/>
      <c r="O397" s="438">
        <f t="shared" si="18"/>
        <v>2834.1</v>
      </c>
      <c r="P397" s="464">
        <v>15</v>
      </c>
      <c r="Q397" s="465">
        <f t="shared" si="19"/>
        <v>198.387</v>
      </c>
      <c r="R397" s="438">
        <v>600</v>
      </c>
      <c r="S397" s="439">
        <f t="shared" si="20"/>
        <v>2020.713</v>
      </c>
      <c r="T397" s="7"/>
      <c r="U397" s="7"/>
      <c r="V397" s="7"/>
      <c r="W397" s="417">
        <v>1</v>
      </c>
    </row>
    <row r="398" s="417" customFormat="1" ht="16" customHeight="1" spans="1:23">
      <c r="A398" s="449">
        <v>46188</v>
      </c>
      <c r="B398" s="449">
        <v>46189</v>
      </c>
      <c r="C398" s="442" t="s">
        <v>599</v>
      </c>
      <c r="D398" s="7" t="s">
        <v>233</v>
      </c>
      <c r="E398" s="74" t="s">
        <v>99</v>
      </c>
      <c r="F398" s="74" t="s">
        <v>99</v>
      </c>
      <c r="G398" s="74" t="s">
        <v>100</v>
      </c>
      <c r="H398" s="7" t="s">
        <v>354</v>
      </c>
      <c r="I398" s="7" t="s">
        <v>355</v>
      </c>
      <c r="J398" s="74">
        <v>38.74</v>
      </c>
      <c r="K398" s="7" t="s">
        <v>356</v>
      </c>
      <c r="L398" s="74">
        <v>38.72</v>
      </c>
      <c r="M398" s="7">
        <v>67</v>
      </c>
      <c r="N398" s="7"/>
      <c r="O398" s="438">
        <f t="shared" si="18"/>
        <v>2594.24</v>
      </c>
      <c r="P398" s="464">
        <v>15</v>
      </c>
      <c r="Q398" s="465">
        <f t="shared" si="19"/>
        <v>181.5968</v>
      </c>
      <c r="R398" s="438">
        <v>600</v>
      </c>
      <c r="S398" s="439">
        <f t="shared" si="20"/>
        <v>1797.6432</v>
      </c>
      <c r="T398" s="7"/>
      <c r="U398" s="7"/>
      <c r="V398" s="7"/>
      <c r="W398" s="417">
        <v>1</v>
      </c>
    </row>
    <row r="399" s="417" customFormat="1" ht="16" customHeight="1" spans="1:23">
      <c r="A399" s="449">
        <v>46188</v>
      </c>
      <c r="B399" s="449">
        <v>46189</v>
      </c>
      <c r="C399" s="442" t="s">
        <v>600</v>
      </c>
      <c r="D399" s="7" t="s">
        <v>233</v>
      </c>
      <c r="E399" s="74" t="s">
        <v>66</v>
      </c>
      <c r="F399" s="74" t="s">
        <v>66</v>
      </c>
      <c r="G399" s="74" t="s">
        <v>67</v>
      </c>
      <c r="H399" s="7" t="s">
        <v>354</v>
      </c>
      <c r="I399" s="7" t="s">
        <v>355</v>
      </c>
      <c r="J399" s="74">
        <v>40</v>
      </c>
      <c r="K399" s="7" t="s">
        <v>356</v>
      </c>
      <c r="L399" s="74">
        <v>40</v>
      </c>
      <c r="M399" s="7">
        <v>67</v>
      </c>
      <c r="N399" s="7"/>
      <c r="O399" s="438">
        <f t="shared" si="18"/>
        <v>2680</v>
      </c>
      <c r="P399" s="464">
        <v>15</v>
      </c>
      <c r="Q399" s="465">
        <f t="shared" si="19"/>
        <v>187.6</v>
      </c>
      <c r="R399" s="438">
        <v>600</v>
      </c>
      <c r="S399" s="439">
        <f t="shared" si="20"/>
        <v>1877.4</v>
      </c>
      <c r="T399" s="7"/>
      <c r="U399" s="7"/>
      <c r="V399" s="7"/>
      <c r="W399" s="417">
        <v>1</v>
      </c>
    </row>
    <row r="400" s="417" customFormat="1" ht="16" customHeight="1" spans="1:23">
      <c r="A400" s="449">
        <v>46188</v>
      </c>
      <c r="B400" s="449">
        <v>46189</v>
      </c>
      <c r="C400" s="442" t="s">
        <v>601</v>
      </c>
      <c r="D400" s="7" t="s">
        <v>233</v>
      </c>
      <c r="E400" s="74" t="s">
        <v>96</v>
      </c>
      <c r="F400" s="74" t="s">
        <v>96</v>
      </c>
      <c r="G400" s="74" t="s">
        <v>97</v>
      </c>
      <c r="H400" s="7" t="s">
        <v>354</v>
      </c>
      <c r="I400" s="7" t="s">
        <v>355</v>
      </c>
      <c r="J400" s="74">
        <v>39.22</v>
      </c>
      <c r="K400" s="7" t="s">
        <v>356</v>
      </c>
      <c r="L400" s="74">
        <v>39.22</v>
      </c>
      <c r="M400" s="7">
        <v>67</v>
      </c>
      <c r="N400" s="7"/>
      <c r="O400" s="438">
        <f t="shared" si="18"/>
        <v>2627.74</v>
      </c>
      <c r="P400" s="464">
        <v>15</v>
      </c>
      <c r="Q400" s="465">
        <f t="shared" si="19"/>
        <v>183.9418</v>
      </c>
      <c r="R400" s="438">
        <v>600</v>
      </c>
      <c r="S400" s="439">
        <f t="shared" si="20"/>
        <v>1828.7982</v>
      </c>
      <c r="T400" s="7"/>
      <c r="U400" s="7"/>
      <c r="V400" s="7"/>
      <c r="W400" s="417">
        <v>1</v>
      </c>
    </row>
    <row r="401" s="417" customFormat="1" ht="16" customHeight="1" spans="1:23">
      <c r="A401" s="449">
        <v>46188</v>
      </c>
      <c r="B401" s="449">
        <v>46189</v>
      </c>
      <c r="C401" s="442" t="s">
        <v>602</v>
      </c>
      <c r="D401" s="7" t="s">
        <v>233</v>
      </c>
      <c r="E401" s="74" t="s">
        <v>102</v>
      </c>
      <c r="F401" s="74" t="s">
        <v>102</v>
      </c>
      <c r="G401" s="74" t="s">
        <v>103</v>
      </c>
      <c r="H401" s="7" t="s">
        <v>354</v>
      </c>
      <c r="I401" s="7" t="s">
        <v>355</v>
      </c>
      <c r="J401" s="74">
        <v>39.68</v>
      </c>
      <c r="K401" s="7" t="s">
        <v>356</v>
      </c>
      <c r="L401" s="74">
        <v>39.68</v>
      </c>
      <c r="M401" s="7">
        <v>67</v>
      </c>
      <c r="N401" s="7"/>
      <c r="O401" s="438">
        <f t="shared" si="18"/>
        <v>2658.56</v>
      </c>
      <c r="P401" s="464">
        <v>15</v>
      </c>
      <c r="Q401" s="465">
        <f t="shared" si="19"/>
        <v>186.0992</v>
      </c>
      <c r="R401" s="438">
        <v>600</v>
      </c>
      <c r="S401" s="439">
        <f t="shared" si="20"/>
        <v>1857.4608</v>
      </c>
      <c r="T401" s="7"/>
      <c r="U401" s="7"/>
      <c r="V401" s="7"/>
      <c r="W401" s="417">
        <v>1</v>
      </c>
    </row>
    <row r="402" s="417" customFormat="1" ht="16" customHeight="1" spans="1:23">
      <c r="A402" s="449">
        <v>46188</v>
      </c>
      <c r="B402" s="449">
        <v>46189</v>
      </c>
      <c r="C402" s="442" t="s">
        <v>603</v>
      </c>
      <c r="D402" s="7" t="s">
        <v>233</v>
      </c>
      <c r="E402" s="74" t="s">
        <v>51</v>
      </c>
      <c r="F402" s="74" t="s">
        <v>51</v>
      </c>
      <c r="G402" s="74" t="s">
        <v>52</v>
      </c>
      <c r="H402" s="7" t="s">
        <v>354</v>
      </c>
      <c r="I402" s="7" t="s">
        <v>355</v>
      </c>
      <c r="J402" s="74">
        <v>41.76</v>
      </c>
      <c r="K402" s="7" t="s">
        <v>356</v>
      </c>
      <c r="L402" s="74">
        <v>41.76</v>
      </c>
      <c r="M402" s="7">
        <v>67</v>
      </c>
      <c r="N402" s="7"/>
      <c r="O402" s="438">
        <f t="shared" si="18"/>
        <v>2797.92</v>
      </c>
      <c r="P402" s="464">
        <v>15</v>
      </c>
      <c r="Q402" s="465">
        <f t="shared" si="19"/>
        <v>195.8544</v>
      </c>
      <c r="R402" s="438">
        <v>600</v>
      </c>
      <c r="S402" s="439">
        <f t="shared" si="20"/>
        <v>1987.0656</v>
      </c>
      <c r="T402" s="7"/>
      <c r="U402" s="7"/>
      <c r="V402" s="7"/>
      <c r="W402" s="417">
        <v>1</v>
      </c>
    </row>
    <row r="403" s="417" customFormat="1" ht="16" customHeight="1" spans="1:23">
      <c r="A403" s="449">
        <v>46188</v>
      </c>
      <c r="B403" s="449">
        <v>46190</v>
      </c>
      <c r="C403" s="442" t="s">
        <v>604</v>
      </c>
      <c r="D403" s="7" t="s">
        <v>233</v>
      </c>
      <c r="E403" s="74" t="s">
        <v>78</v>
      </c>
      <c r="F403" s="74" t="s">
        <v>78</v>
      </c>
      <c r="G403" s="74" t="s">
        <v>79</v>
      </c>
      <c r="H403" s="7" t="s">
        <v>354</v>
      </c>
      <c r="I403" s="7" t="s">
        <v>355</v>
      </c>
      <c r="J403" s="74">
        <v>40.48</v>
      </c>
      <c r="K403" s="7" t="s">
        <v>356</v>
      </c>
      <c r="L403" s="74">
        <v>40.48</v>
      </c>
      <c r="M403" s="7">
        <v>67</v>
      </c>
      <c r="N403" s="7"/>
      <c r="O403" s="438">
        <f t="shared" si="18"/>
        <v>2712.16</v>
      </c>
      <c r="P403" s="464">
        <v>15</v>
      </c>
      <c r="Q403" s="465">
        <f t="shared" si="19"/>
        <v>189.8512</v>
      </c>
      <c r="R403" s="438">
        <v>600</v>
      </c>
      <c r="S403" s="439">
        <f t="shared" si="20"/>
        <v>1907.3088</v>
      </c>
      <c r="T403" s="7"/>
      <c r="U403" s="7"/>
      <c r="V403" s="7"/>
      <c r="W403" s="417">
        <v>1</v>
      </c>
    </row>
    <row r="404" s="417" customFormat="1" ht="16" customHeight="1" spans="1:23">
      <c r="A404" s="449">
        <v>46188</v>
      </c>
      <c r="B404" s="449">
        <v>46189</v>
      </c>
      <c r="C404" s="442" t="s">
        <v>605</v>
      </c>
      <c r="D404" s="7" t="s">
        <v>233</v>
      </c>
      <c r="E404" s="74" t="s">
        <v>111</v>
      </c>
      <c r="F404" s="74" t="s">
        <v>111</v>
      </c>
      <c r="G404" s="74" t="s">
        <v>112</v>
      </c>
      <c r="H404" s="7" t="s">
        <v>354</v>
      </c>
      <c r="I404" s="7" t="s">
        <v>355</v>
      </c>
      <c r="J404" s="74">
        <v>40.22</v>
      </c>
      <c r="K404" s="7" t="s">
        <v>356</v>
      </c>
      <c r="L404" s="74">
        <v>40.16</v>
      </c>
      <c r="M404" s="7">
        <v>67</v>
      </c>
      <c r="N404" s="7"/>
      <c r="O404" s="438">
        <f t="shared" si="18"/>
        <v>2690.72</v>
      </c>
      <c r="P404" s="464">
        <v>15</v>
      </c>
      <c r="Q404" s="465">
        <f t="shared" si="19"/>
        <v>188.3504</v>
      </c>
      <c r="R404" s="438">
        <v>600</v>
      </c>
      <c r="S404" s="439">
        <f t="shared" si="20"/>
        <v>1887.3696</v>
      </c>
      <c r="T404" s="7"/>
      <c r="U404" s="7"/>
      <c r="V404" s="7"/>
      <c r="W404" s="417">
        <v>1</v>
      </c>
    </row>
    <row r="405" s="417" customFormat="1" ht="16" customHeight="1" spans="1:23">
      <c r="A405" s="449">
        <v>46188</v>
      </c>
      <c r="B405" s="449">
        <v>46190</v>
      </c>
      <c r="C405" s="442" t="s">
        <v>606</v>
      </c>
      <c r="D405" s="7" t="s">
        <v>233</v>
      </c>
      <c r="E405" s="74" t="s">
        <v>141</v>
      </c>
      <c r="F405" s="74" t="s">
        <v>141</v>
      </c>
      <c r="G405" s="74" t="s">
        <v>142</v>
      </c>
      <c r="H405" s="7" t="s">
        <v>354</v>
      </c>
      <c r="I405" s="7" t="s">
        <v>355</v>
      </c>
      <c r="J405" s="74">
        <v>41.32</v>
      </c>
      <c r="K405" s="7" t="s">
        <v>356</v>
      </c>
      <c r="L405" s="74">
        <v>41.3</v>
      </c>
      <c r="M405" s="7">
        <v>67</v>
      </c>
      <c r="N405" s="7"/>
      <c r="O405" s="438">
        <f t="shared" si="18"/>
        <v>2767.1</v>
      </c>
      <c r="P405" s="464">
        <v>15</v>
      </c>
      <c r="Q405" s="465">
        <f t="shared" si="19"/>
        <v>193.697</v>
      </c>
      <c r="R405" s="438">
        <v>600</v>
      </c>
      <c r="S405" s="439">
        <f t="shared" si="20"/>
        <v>1958.403</v>
      </c>
      <c r="T405" s="7"/>
      <c r="U405" s="7"/>
      <c r="V405" s="7"/>
      <c r="W405" s="417">
        <v>1</v>
      </c>
    </row>
    <row r="406" s="417" customFormat="1" ht="16" customHeight="1" spans="1:23">
      <c r="A406" s="449">
        <v>46188</v>
      </c>
      <c r="B406" s="449">
        <v>46188</v>
      </c>
      <c r="C406" s="7"/>
      <c r="D406" s="7" t="s">
        <v>235</v>
      </c>
      <c r="E406" s="7" t="s">
        <v>117</v>
      </c>
      <c r="F406" s="74" t="s">
        <v>117</v>
      </c>
      <c r="G406" s="74" t="s">
        <v>118</v>
      </c>
      <c r="H406" s="7" t="s">
        <v>368</v>
      </c>
      <c r="I406" s="7" t="s">
        <v>356</v>
      </c>
      <c r="J406" s="74">
        <v>45.02</v>
      </c>
      <c r="K406" s="7" t="s">
        <v>369</v>
      </c>
      <c r="L406" s="74">
        <v>44.96</v>
      </c>
      <c r="M406" s="7">
        <v>48</v>
      </c>
      <c r="N406" s="7"/>
      <c r="O406" s="438">
        <f t="shared" si="18"/>
        <v>2158.08</v>
      </c>
      <c r="P406" s="464">
        <v>15</v>
      </c>
      <c r="Q406" s="465">
        <f t="shared" si="19"/>
        <v>151.0656</v>
      </c>
      <c r="R406" s="438">
        <v>600</v>
      </c>
      <c r="S406" s="439">
        <f t="shared" si="20"/>
        <v>1392.0144</v>
      </c>
      <c r="T406" s="7"/>
      <c r="U406" s="7"/>
      <c r="V406" s="7"/>
      <c r="W406" s="417">
        <v>1</v>
      </c>
    </row>
    <row r="407" s="417" customFormat="1" ht="16" customHeight="1" spans="1:23">
      <c r="A407" s="449">
        <v>46188</v>
      </c>
      <c r="B407" s="449">
        <v>46188</v>
      </c>
      <c r="C407" s="7"/>
      <c r="D407" s="7" t="s">
        <v>235</v>
      </c>
      <c r="E407" s="7" t="s">
        <v>141</v>
      </c>
      <c r="F407" s="74" t="s">
        <v>141</v>
      </c>
      <c r="G407" s="74" t="s">
        <v>142</v>
      </c>
      <c r="H407" s="7" t="s">
        <v>368</v>
      </c>
      <c r="I407" s="7" t="s">
        <v>356</v>
      </c>
      <c r="J407" s="74">
        <v>45.1</v>
      </c>
      <c r="K407" s="7" t="s">
        <v>371</v>
      </c>
      <c r="L407" s="74">
        <v>44.93</v>
      </c>
      <c r="M407" s="7">
        <v>61</v>
      </c>
      <c r="N407" s="7"/>
      <c r="O407" s="438">
        <f t="shared" si="18"/>
        <v>2740.73</v>
      </c>
      <c r="P407" s="464">
        <v>15</v>
      </c>
      <c r="Q407" s="465">
        <f t="shared" si="19"/>
        <v>191.8511</v>
      </c>
      <c r="R407" s="438">
        <v>600</v>
      </c>
      <c r="S407" s="439">
        <f t="shared" si="20"/>
        <v>1933.8789</v>
      </c>
      <c r="T407" s="7"/>
      <c r="U407" s="7"/>
      <c r="V407" s="7"/>
      <c r="W407" s="417">
        <v>1</v>
      </c>
    </row>
    <row r="408" s="417" customFormat="1" ht="16" customHeight="1" spans="1:23">
      <c r="A408" s="449">
        <v>46188</v>
      </c>
      <c r="B408" s="449">
        <v>46189</v>
      </c>
      <c r="C408" s="7"/>
      <c r="D408" s="7" t="s">
        <v>235</v>
      </c>
      <c r="E408" s="74" t="s">
        <v>60</v>
      </c>
      <c r="F408" s="74" t="s">
        <v>60</v>
      </c>
      <c r="G408" s="74" t="s">
        <v>61</v>
      </c>
      <c r="H408" s="7" t="s">
        <v>368</v>
      </c>
      <c r="I408" s="7" t="s">
        <v>356</v>
      </c>
      <c r="J408" s="74">
        <v>44.4</v>
      </c>
      <c r="K408" s="7" t="s">
        <v>371</v>
      </c>
      <c r="L408" s="74">
        <v>44.24</v>
      </c>
      <c r="M408" s="7">
        <v>61</v>
      </c>
      <c r="N408" s="7"/>
      <c r="O408" s="438">
        <f t="shared" si="18"/>
        <v>2698.64</v>
      </c>
      <c r="P408" s="464">
        <v>15</v>
      </c>
      <c r="Q408" s="465">
        <f t="shared" si="19"/>
        <v>188.9048</v>
      </c>
      <c r="R408" s="438">
        <v>600</v>
      </c>
      <c r="S408" s="439">
        <f t="shared" si="20"/>
        <v>1894.7352</v>
      </c>
      <c r="T408" s="7"/>
      <c r="U408" s="7"/>
      <c r="V408" s="7"/>
      <c r="W408" s="417">
        <v>1</v>
      </c>
    </row>
    <row r="409" s="417" customFormat="1" ht="16" customHeight="1" spans="1:23">
      <c r="A409" s="449">
        <v>46188</v>
      </c>
      <c r="B409" s="449">
        <v>46189</v>
      </c>
      <c r="C409" s="7"/>
      <c r="D409" s="7" t="s">
        <v>235</v>
      </c>
      <c r="E409" s="74" t="s">
        <v>132</v>
      </c>
      <c r="F409" s="74" t="s">
        <v>132</v>
      </c>
      <c r="G409" s="74" t="s">
        <v>133</v>
      </c>
      <c r="H409" s="7" t="s">
        <v>368</v>
      </c>
      <c r="I409" s="7" t="s">
        <v>356</v>
      </c>
      <c r="J409" s="74">
        <v>44.64</v>
      </c>
      <c r="K409" s="7" t="s">
        <v>371</v>
      </c>
      <c r="L409" s="74">
        <v>44.47</v>
      </c>
      <c r="M409" s="7">
        <v>61</v>
      </c>
      <c r="N409" s="7"/>
      <c r="O409" s="438">
        <f t="shared" si="18"/>
        <v>2712.67</v>
      </c>
      <c r="P409" s="464">
        <v>15</v>
      </c>
      <c r="Q409" s="465">
        <f t="shared" si="19"/>
        <v>189.8869</v>
      </c>
      <c r="R409" s="438">
        <v>600</v>
      </c>
      <c r="S409" s="439">
        <f t="shared" si="20"/>
        <v>1907.7831</v>
      </c>
      <c r="T409" s="7"/>
      <c r="U409" s="7"/>
      <c r="V409" s="7"/>
      <c r="W409" s="417">
        <v>1</v>
      </c>
    </row>
    <row r="410" s="417" customFormat="1" ht="16" customHeight="1" spans="1:23">
      <c r="A410" s="449">
        <v>46188</v>
      </c>
      <c r="B410" s="449">
        <v>46189</v>
      </c>
      <c r="C410" s="7"/>
      <c r="D410" s="7" t="s">
        <v>235</v>
      </c>
      <c r="E410" s="74" t="s">
        <v>127</v>
      </c>
      <c r="F410" s="74" t="s">
        <v>127</v>
      </c>
      <c r="G410" s="74" t="s">
        <v>128</v>
      </c>
      <c r="H410" s="7" t="s">
        <v>368</v>
      </c>
      <c r="I410" s="7" t="s">
        <v>356</v>
      </c>
      <c r="J410" s="74">
        <v>41.42</v>
      </c>
      <c r="K410" s="7" t="s">
        <v>371</v>
      </c>
      <c r="L410" s="74">
        <v>44.28</v>
      </c>
      <c r="M410" s="7">
        <v>61</v>
      </c>
      <c r="N410" s="7"/>
      <c r="O410" s="438">
        <f t="shared" si="18"/>
        <v>2701.08</v>
      </c>
      <c r="P410" s="464">
        <v>15</v>
      </c>
      <c r="Q410" s="465">
        <f t="shared" si="19"/>
        <v>189.0756</v>
      </c>
      <c r="R410" s="438">
        <v>600</v>
      </c>
      <c r="S410" s="439">
        <f t="shared" si="20"/>
        <v>1897.0044</v>
      </c>
      <c r="T410" s="7"/>
      <c r="U410" s="7"/>
      <c r="V410" s="7"/>
      <c r="W410" s="417">
        <v>1</v>
      </c>
    </row>
    <row r="411" s="417" customFormat="1" ht="16" customHeight="1" spans="1:23">
      <c r="A411" s="449">
        <v>46188</v>
      </c>
      <c r="B411" s="449">
        <v>46189</v>
      </c>
      <c r="C411" s="7"/>
      <c r="D411" s="7" t="s">
        <v>235</v>
      </c>
      <c r="E411" s="74" t="s">
        <v>63</v>
      </c>
      <c r="F411" s="74" t="s">
        <v>63</v>
      </c>
      <c r="G411" s="74" t="s">
        <v>327</v>
      </c>
      <c r="H411" s="7" t="s">
        <v>368</v>
      </c>
      <c r="I411" s="7" t="s">
        <v>356</v>
      </c>
      <c r="J411" s="74">
        <v>43.4</v>
      </c>
      <c r="K411" s="7" t="s">
        <v>371</v>
      </c>
      <c r="L411" s="74">
        <v>43.23</v>
      </c>
      <c r="M411" s="7">
        <v>61</v>
      </c>
      <c r="N411" s="7"/>
      <c r="O411" s="438">
        <f t="shared" si="18"/>
        <v>2637.03</v>
      </c>
      <c r="P411" s="464">
        <v>15</v>
      </c>
      <c r="Q411" s="465">
        <f t="shared" si="19"/>
        <v>184.5921</v>
      </c>
      <c r="R411" s="438">
        <v>600</v>
      </c>
      <c r="S411" s="439">
        <f t="shared" si="20"/>
        <v>1837.4379</v>
      </c>
      <c r="T411" s="7"/>
      <c r="U411" s="7"/>
      <c r="V411" s="7"/>
      <c r="W411" s="417">
        <v>1</v>
      </c>
    </row>
    <row r="412" s="417" customFormat="1" ht="16" customHeight="1" spans="1:23">
      <c r="A412" s="449">
        <v>46188</v>
      </c>
      <c r="B412" s="449">
        <v>46189</v>
      </c>
      <c r="C412" s="7"/>
      <c r="D412" s="7" t="s">
        <v>235</v>
      </c>
      <c r="E412" s="74" t="s">
        <v>72</v>
      </c>
      <c r="F412" s="74" t="s">
        <v>72</v>
      </c>
      <c r="G412" s="74" t="s">
        <v>73</v>
      </c>
      <c r="H412" s="7" t="s">
        <v>368</v>
      </c>
      <c r="I412" s="7" t="s">
        <v>356</v>
      </c>
      <c r="J412" s="74">
        <v>44.12</v>
      </c>
      <c r="K412" s="7" t="s">
        <v>371</v>
      </c>
      <c r="L412" s="74">
        <v>44</v>
      </c>
      <c r="M412" s="7">
        <v>61</v>
      </c>
      <c r="N412" s="7"/>
      <c r="O412" s="438">
        <f t="shared" si="18"/>
        <v>2684</v>
      </c>
      <c r="P412" s="464">
        <v>15</v>
      </c>
      <c r="Q412" s="465">
        <f t="shared" si="19"/>
        <v>187.88</v>
      </c>
      <c r="R412" s="438">
        <v>600</v>
      </c>
      <c r="S412" s="439">
        <f t="shared" si="20"/>
        <v>1881.12</v>
      </c>
      <c r="T412" s="7"/>
      <c r="U412" s="7"/>
      <c r="V412" s="7"/>
      <c r="W412" s="417">
        <v>1</v>
      </c>
    </row>
    <row r="413" s="417" customFormat="1" ht="16" customHeight="1" spans="1:23">
      <c r="A413" s="449">
        <v>46188</v>
      </c>
      <c r="B413" s="449">
        <v>46189</v>
      </c>
      <c r="C413" s="7"/>
      <c r="D413" s="7" t="s">
        <v>235</v>
      </c>
      <c r="E413" s="74" t="s">
        <v>180</v>
      </c>
      <c r="F413" s="74" t="s">
        <v>180</v>
      </c>
      <c r="G413" s="74" t="s">
        <v>181</v>
      </c>
      <c r="H413" s="7" t="s">
        <v>368</v>
      </c>
      <c r="I413" s="7" t="s">
        <v>356</v>
      </c>
      <c r="J413" s="74">
        <v>42.76</v>
      </c>
      <c r="K413" s="7" t="s">
        <v>371</v>
      </c>
      <c r="L413" s="74">
        <v>42.56</v>
      </c>
      <c r="M413" s="7">
        <v>61</v>
      </c>
      <c r="N413" s="7"/>
      <c r="O413" s="438">
        <f t="shared" si="18"/>
        <v>2596.16</v>
      </c>
      <c r="P413" s="464">
        <v>15</v>
      </c>
      <c r="Q413" s="465">
        <f t="shared" si="19"/>
        <v>181.7312</v>
      </c>
      <c r="R413" s="438">
        <v>600</v>
      </c>
      <c r="S413" s="439">
        <f t="shared" si="20"/>
        <v>1799.4288</v>
      </c>
      <c r="T413" s="7"/>
      <c r="U413" s="7"/>
      <c r="V413" s="7"/>
      <c r="W413" s="417">
        <v>1</v>
      </c>
    </row>
    <row r="414" s="417" customFormat="1" ht="16" customHeight="1" spans="1:23">
      <c r="A414" s="449">
        <v>46188</v>
      </c>
      <c r="B414" s="449">
        <v>46188</v>
      </c>
      <c r="C414" s="7"/>
      <c r="D414" s="7" t="s">
        <v>235</v>
      </c>
      <c r="E414" s="7" t="s">
        <v>144</v>
      </c>
      <c r="F414" s="74" t="s">
        <v>144</v>
      </c>
      <c r="G414" s="74" t="s">
        <v>145</v>
      </c>
      <c r="H414" s="7" t="s">
        <v>368</v>
      </c>
      <c r="I414" s="7" t="s">
        <v>356</v>
      </c>
      <c r="J414" s="74">
        <v>45.52</v>
      </c>
      <c r="K414" s="7" t="s">
        <v>371</v>
      </c>
      <c r="L414" s="74">
        <v>45.35</v>
      </c>
      <c r="M414" s="7">
        <v>61</v>
      </c>
      <c r="N414" s="7"/>
      <c r="O414" s="438">
        <f t="shared" si="18"/>
        <v>2766.35</v>
      </c>
      <c r="P414" s="464">
        <v>15</v>
      </c>
      <c r="Q414" s="465">
        <f t="shared" si="19"/>
        <v>193.6445</v>
      </c>
      <c r="R414" s="438">
        <v>600</v>
      </c>
      <c r="S414" s="439">
        <f t="shared" si="20"/>
        <v>1957.7055</v>
      </c>
      <c r="T414" s="7"/>
      <c r="U414" s="7"/>
      <c r="V414" s="7"/>
      <c r="W414" s="417">
        <v>1</v>
      </c>
    </row>
    <row r="415" s="417" customFormat="1" ht="16" customHeight="1" spans="1:23">
      <c r="A415" s="449">
        <v>46187</v>
      </c>
      <c r="B415" s="449">
        <v>46189</v>
      </c>
      <c r="C415" s="7"/>
      <c r="D415" s="7" t="s">
        <v>235</v>
      </c>
      <c r="E415" s="74" t="s">
        <v>183</v>
      </c>
      <c r="F415" s="74" t="s">
        <v>183</v>
      </c>
      <c r="G415" s="74" t="s">
        <v>184</v>
      </c>
      <c r="H415" s="7" t="s">
        <v>384</v>
      </c>
      <c r="I415" s="7" t="s">
        <v>356</v>
      </c>
      <c r="J415" s="74">
        <v>43.56</v>
      </c>
      <c r="K415" s="7" t="s">
        <v>371</v>
      </c>
      <c r="L415" s="74">
        <v>43.3</v>
      </c>
      <c r="M415" s="7">
        <v>61</v>
      </c>
      <c r="N415" s="7"/>
      <c r="O415" s="438">
        <f t="shared" si="18"/>
        <v>2641.3</v>
      </c>
      <c r="P415" s="464">
        <v>15</v>
      </c>
      <c r="Q415" s="465">
        <f t="shared" si="19"/>
        <v>184.891</v>
      </c>
      <c r="R415" s="438">
        <v>600</v>
      </c>
      <c r="S415" s="439">
        <f t="shared" si="20"/>
        <v>1841.409</v>
      </c>
      <c r="T415" s="7"/>
      <c r="U415" s="7"/>
      <c r="V415" s="7"/>
      <c r="W415" s="417">
        <v>1</v>
      </c>
    </row>
    <row r="416" s="417" customFormat="1" ht="16" customHeight="1" spans="1:23">
      <c r="A416" s="449">
        <v>46188</v>
      </c>
      <c r="B416" s="449">
        <v>46189</v>
      </c>
      <c r="C416" s="7" t="s">
        <v>607</v>
      </c>
      <c r="D416" s="7" t="s">
        <v>237</v>
      </c>
      <c r="E416" s="74" t="s">
        <v>154</v>
      </c>
      <c r="F416" s="74" t="s">
        <v>154</v>
      </c>
      <c r="G416" s="74" t="s">
        <v>155</v>
      </c>
      <c r="H416" s="7" t="s">
        <v>354</v>
      </c>
      <c r="I416" s="7" t="s">
        <v>407</v>
      </c>
      <c r="J416" s="74">
        <v>46.7</v>
      </c>
      <c r="K416" s="7" t="s">
        <v>356</v>
      </c>
      <c r="L416" s="74">
        <v>46.7</v>
      </c>
      <c r="M416" s="7">
        <v>87</v>
      </c>
      <c r="N416" s="7"/>
      <c r="O416" s="438">
        <f t="shared" si="18"/>
        <v>4062.9</v>
      </c>
      <c r="P416" s="438">
        <v>15</v>
      </c>
      <c r="Q416" s="438">
        <f t="shared" si="19"/>
        <v>284.403</v>
      </c>
      <c r="R416" s="438">
        <v>800</v>
      </c>
      <c r="S416" s="439">
        <f t="shared" si="20"/>
        <v>2963.497</v>
      </c>
      <c r="T416" s="7"/>
      <c r="U416" s="7"/>
      <c r="V416" s="7"/>
      <c r="W416" s="417">
        <v>1</v>
      </c>
    </row>
    <row r="417" s="417" customFormat="1" ht="16" customHeight="1" spans="1:23">
      <c r="A417" s="449">
        <v>46188</v>
      </c>
      <c r="B417" s="449">
        <v>46189</v>
      </c>
      <c r="C417" s="7" t="s">
        <v>608</v>
      </c>
      <c r="D417" s="7" t="s">
        <v>237</v>
      </c>
      <c r="E417" s="74" t="s">
        <v>160</v>
      </c>
      <c r="F417" s="74" t="s">
        <v>160</v>
      </c>
      <c r="G417" s="74" t="s">
        <v>161</v>
      </c>
      <c r="H417" s="7" t="s">
        <v>354</v>
      </c>
      <c r="I417" s="7" t="s">
        <v>407</v>
      </c>
      <c r="J417" s="74">
        <v>45.82</v>
      </c>
      <c r="K417" s="7" t="s">
        <v>356</v>
      </c>
      <c r="L417" s="74">
        <v>45.82</v>
      </c>
      <c r="M417" s="7">
        <v>87</v>
      </c>
      <c r="N417" s="7"/>
      <c r="O417" s="438">
        <f t="shared" si="18"/>
        <v>3986.34</v>
      </c>
      <c r="P417" s="438">
        <v>15</v>
      </c>
      <c r="Q417" s="438">
        <f t="shared" si="19"/>
        <v>279.0438</v>
      </c>
      <c r="R417" s="438">
        <v>800</v>
      </c>
      <c r="S417" s="439">
        <f t="shared" si="20"/>
        <v>2892.2962</v>
      </c>
      <c r="T417" s="7"/>
      <c r="U417" s="7"/>
      <c r="V417" s="7"/>
      <c r="W417" s="417">
        <v>1</v>
      </c>
    </row>
    <row r="418" s="417" customFormat="1" ht="16" customHeight="1" spans="1:23">
      <c r="A418" s="449">
        <v>46188</v>
      </c>
      <c r="B418" s="449">
        <v>46190</v>
      </c>
      <c r="C418" s="7" t="s">
        <v>609</v>
      </c>
      <c r="D418" s="7" t="s">
        <v>237</v>
      </c>
      <c r="E418" s="74" t="s">
        <v>201</v>
      </c>
      <c r="F418" s="74" t="s">
        <v>201</v>
      </c>
      <c r="G418" s="74" t="s">
        <v>202</v>
      </c>
      <c r="H418" s="7" t="s">
        <v>354</v>
      </c>
      <c r="I418" s="7" t="s">
        <v>407</v>
      </c>
      <c r="J418" s="74">
        <v>46.16</v>
      </c>
      <c r="K418" s="7" t="s">
        <v>356</v>
      </c>
      <c r="L418" s="74">
        <v>46.14</v>
      </c>
      <c r="M418" s="7">
        <v>87</v>
      </c>
      <c r="N418" s="7"/>
      <c r="O418" s="438">
        <f t="shared" si="18"/>
        <v>4014.18</v>
      </c>
      <c r="P418" s="438">
        <v>15</v>
      </c>
      <c r="Q418" s="438">
        <f t="shared" si="19"/>
        <v>280.9926</v>
      </c>
      <c r="R418" s="438">
        <v>800</v>
      </c>
      <c r="S418" s="439">
        <f t="shared" si="20"/>
        <v>2918.1874</v>
      </c>
      <c r="T418" s="7"/>
      <c r="U418" s="7"/>
      <c r="V418" s="7"/>
      <c r="W418" s="417">
        <v>1</v>
      </c>
    </row>
    <row r="419" s="417" customFormat="1" ht="16" customHeight="1" spans="1:23">
      <c r="A419" s="449">
        <v>46188</v>
      </c>
      <c r="B419" s="449">
        <v>46189</v>
      </c>
      <c r="C419" s="7" t="s">
        <v>610</v>
      </c>
      <c r="D419" s="7" t="s">
        <v>237</v>
      </c>
      <c r="E419" s="74" t="s">
        <v>163</v>
      </c>
      <c r="F419" s="74" t="s">
        <v>163</v>
      </c>
      <c r="G419" s="74" t="s">
        <v>164</v>
      </c>
      <c r="H419" s="7" t="s">
        <v>354</v>
      </c>
      <c r="I419" s="7" t="s">
        <v>407</v>
      </c>
      <c r="J419" s="74">
        <v>46.12</v>
      </c>
      <c r="K419" s="7" t="s">
        <v>356</v>
      </c>
      <c r="L419" s="74">
        <v>46.06</v>
      </c>
      <c r="M419" s="7">
        <v>87</v>
      </c>
      <c r="N419" s="7"/>
      <c r="O419" s="438">
        <f t="shared" si="18"/>
        <v>4007.22</v>
      </c>
      <c r="P419" s="438">
        <v>15</v>
      </c>
      <c r="Q419" s="438">
        <f t="shared" si="19"/>
        <v>280.5054</v>
      </c>
      <c r="R419" s="438">
        <v>800</v>
      </c>
      <c r="S419" s="439">
        <f t="shared" si="20"/>
        <v>2911.7146</v>
      </c>
      <c r="T419" s="7"/>
      <c r="U419" s="7"/>
      <c r="V419" s="7"/>
      <c r="W419" s="417">
        <v>1</v>
      </c>
    </row>
    <row r="420" s="417" customFormat="1" ht="16" customHeight="1" spans="1:23">
      <c r="A420" s="449">
        <v>46188</v>
      </c>
      <c r="B420" s="449">
        <v>46190</v>
      </c>
      <c r="C420" s="7" t="s">
        <v>611</v>
      </c>
      <c r="D420" s="7" t="s">
        <v>237</v>
      </c>
      <c r="E420" s="74" t="s">
        <v>204</v>
      </c>
      <c r="F420" s="74" t="s">
        <v>204</v>
      </c>
      <c r="G420" s="74" t="s">
        <v>205</v>
      </c>
      <c r="H420" s="7" t="s">
        <v>354</v>
      </c>
      <c r="I420" s="7" t="s">
        <v>407</v>
      </c>
      <c r="J420" s="74">
        <v>46.3</v>
      </c>
      <c r="K420" s="7" t="s">
        <v>356</v>
      </c>
      <c r="L420" s="74">
        <v>46.3</v>
      </c>
      <c r="M420" s="7">
        <v>87</v>
      </c>
      <c r="N420" s="7"/>
      <c r="O420" s="438">
        <f t="shared" si="18"/>
        <v>4028.1</v>
      </c>
      <c r="P420" s="438">
        <v>15</v>
      </c>
      <c r="Q420" s="438">
        <f t="shared" si="19"/>
        <v>281.967</v>
      </c>
      <c r="R420" s="438">
        <v>800</v>
      </c>
      <c r="S420" s="439">
        <f t="shared" si="20"/>
        <v>2931.133</v>
      </c>
      <c r="T420" s="7"/>
      <c r="U420" s="7"/>
      <c r="V420" s="7"/>
      <c r="W420" s="417">
        <v>1</v>
      </c>
    </row>
    <row r="421" s="417" customFormat="1" ht="16" customHeight="1" spans="1:23">
      <c r="A421" s="449">
        <v>46188</v>
      </c>
      <c r="B421" s="449">
        <v>46189</v>
      </c>
      <c r="C421" s="7" t="s">
        <v>612</v>
      </c>
      <c r="D421" s="7" t="s">
        <v>237</v>
      </c>
      <c r="E421" s="74" t="s">
        <v>338</v>
      </c>
      <c r="F421" s="74" t="s">
        <v>338</v>
      </c>
      <c r="G421" s="74" t="s">
        <v>158</v>
      </c>
      <c r="H421" s="7" t="s">
        <v>354</v>
      </c>
      <c r="I421" s="7" t="s">
        <v>407</v>
      </c>
      <c r="J421" s="74">
        <v>47.92</v>
      </c>
      <c r="K421" s="7" t="s">
        <v>356</v>
      </c>
      <c r="L421" s="74">
        <v>47.92</v>
      </c>
      <c r="M421" s="7">
        <v>87</v>
      </c>
      <c r="N421" s="7"/>
      <c r="O421" s="438">
        <f t="shared" si="18"/>
        <v>4169.04</v>
      </c>
      <c r="P421" s="438">
        <v>15</v>
      </c>
      <c r="Q421" s="438">
        <f t="shared" si="19"/>
        <v>291.8328</v>
      </c>
      <c r="R421" s="438">
        <v>800</v>
      </c>
      <c r="S421" s="439">
        <f t="shared" si="20"/>
        <v>3062.2072</v>
      </c>
      <c r="T421" s="7"/>
      <c r="U421" s="7"/>
      <c r="V421" s="7"/>
      <c r="W421" s="417">
        <v>1</v>
      </c>
    </row>
    <row r="422" s="417" customFormat="1" ht="16" customHeight="1" spans="1:23">
      <c r="A422" s="449">
        <v>46188</v>
      </c>
      <c r="B422" s="449">
        <v>46189</v>
      </c>
      <c r="C422" s="7" t="s">
        <v>613</v>
      </c>
      <c r="D422" s="7" t="s">
        <v>235</v>
      </c>
      <c r="E422" s="74" t="s">
        <v>177</v>
      </c>
      <c r="F422" s="74" t="s">
        <v>177</v>
      </c>
      <c r="G422" s="74" t="s">
        <v>178</v>
      </c>
      <c r="H422" s="7" t="s">
        <v>384</v>
      </c>
      <c r="I422" s="7" t="s">
        <v>356</v>
      </c>
      <c r="J422" s="74">
        <v>41.84</v>
      </c>
      <c r="K422" s="7" t="s">
        <v>371</v>
      </c>
      <c r="L422" s="74">
        <v>41.58</v>
      </c>
      <c r="M422" s="7">
        <v>61</v>
      </c>
      <c r="N422" s="7"/>
      <c r="O422" s="438">
        <f t="shared" si="18"/>
        <v>2536.38</v>
      </c>
      <c r="P422" s="464">
        <v>15</v>
      </c>
      <c r="Q422" s="465">
        <f t="shared" si="19"/>
        <v>177.5466</v>
      </c>
      <c r="R422" s="438">
        <v>600</v>
      </c>
      <c r="S422" s="439">
        <f t="shared" si="20"/>
        <v>1743.8334</v>
      </c>
      <c r="T422" s="7"/>
      <c r="U422" s="7"/>
      <c r="V422" s="7"/>
      <c r="W422" s="417">
        <v>1</v>
      </c>
    </row>
    <row r="423" s="417" customFormat="1" ht="16" customHeight="1" spans="1:23">
      <c r="A423" s="449">
        <v>46188</v>
      </c>
      <c r="B423" s="449">
        <v>46190</v>
      </c>
      <c r="C423" s="7" t="s">
        <v>614</v>
      </c>
      <c r="D423" s="7" t="s">
        <v>235</v>
      </c>
      <c r="E423" s="74" t="s">
        <v>174</v>
      </c>
      <c r="F423" s="74" t="s">
        <v>174</v>
      </c>
      <c r="G423" s="74" t="s">
        <v>175</v>
      </c>
      <c r="H423" s="7" t="s">
        <v>384</v>
      </c>
      <c r="I423" s="7" t="s">
        <v>356</v>
      </c>
      <c r="J423" s="74">
        <v>41.14</v>
      </c>
      <c r="K423" s="7" t="s">
        <v>371</v>
      </c>
      <c r="L423" s="74">
        <v>40.98</v>
      </c>
      <c r="M423" s="7">
        <v>61</v>
      </c>
      <c r="N423" s="7"/>
      <c r="O423" s="438">
        <f t="shared" si="18"/>
        <v>2499.78</v>
      </c>
      <c r="P423" s="464">
        <v>15</v>
      </c>
      <c r="Q423" s="465">
        <f t="shared" si="19"/>
        <v>174.9846</v>
      </c>
      <c r="R423" s="438">
        <v>600</v>
      </c>
      <c r="S423" s="439">
        <f t="shared" si="20"/>
        <v>1709.7954</v>
      </c>
      <c r="T423" s="7"/>
      <c r="U423" s="7"/>
      <c r="V423" s="7"/>
      <c r="W423" s="417">
        <v>1</v>
      </c>
    </row>
    <row r="424" s="417" customFormat="1" ht="16" customHeight="1" spans="1:23">
      <c r="A424" s="449">
        <v>46188</v>
      </c>
      <c r="B424" s="449">
        <v>46189</v>
      </c>
      <c r="C424" s="7" t="s">
        <v>615</v>
      </c>
      <c r="D424" s="7" t="s">
        <v>235</v>
      </c>
      <c r="E424" s="74" t="s">
        <v>166</v>
      </c>
      <c r="F424" s="74" t="s">
        <v>166</v>
      </c>
      <c r="G424" s="74" t="s">
        <v>167</v>
      </c>
      <c r="H424" s="7" t="s">
        <v>384</v>
      </c>
      <c r="I424" s="7" t="s">
        <v>356</v>
      </c>
      <c r="J424" s="74">
        <v>43.24</v>
      </c>
      <c r="K424" s="7" t="s">
        <v>371</v>
      </c>
      <c r="L424" s="74">
        <v>43.06</v>
      </c>
      <c r="M424" s="7">
        <v>61</v>
      </c>
      <c r="N424" s="7"/>
      <c r="O424" s="438">
        <f t="shared" si="18"/>
        <v>2626.66</v>
      </c>
      <c r="P424" s="464">
        <v>15</v>
      </c>
      <c r="Q424" s="465">
        <f t="shared" si="19"/>
        <v>183.8662</v>
      </c>
      <c r="R424" s="438">
        <v>600</v>
      </c>
      <c r="S424" s="439">
        <f t="shared" si="20"/>
        <v>1827.7938</v>
      </c>
      <c r="T424" s="7"/>
      <c r="U424" s="7"/>
      <c r="V424" s="7"/>
      <c r="W424" s="417">
        <v>1</v>
      </c>
    </row>
    <row r="425" s="417" customFormat="1" ht="16" customHeight="1" spans="1:23">
      <c r="A425" s="449">
        <v>46189</v>
      </c>
      <c r="B425" s="449">
        <v>46190</v>
      </c>
      <c r="C425" s="7" t="s">
        <v>616</v>
      </c>
      <c r="D425" s="7" t="s">
        <v>236</v>
      </c>
      <c r="E425" s="7" t="s">
        <v>57</v>
      </c>
      <c r="F425" s="7" t="s">
        <v>57</v>
      </c>
      <c r="G425" s="7" t="s">
        <v>58</v>
      </c>
      <c r="H425" s="7" t="s">
        <v>354</v>
      </c>
      <c r="I425" s="7" t="s">
        <v>369</v>
      </c>
      <c r="J425" s="74">
        <v>35.24</v>
      </c>
      <c r="K425" s="7" t="s">
        <v>356</v>
      </c>
      <c r="L425" s="74">
        <v>35.22</v>
      </c>
      <c r="M425" s="7">
        <v>68</v>
      </c>
      <c r="N425" s="7"/>
      <c r="O425" s="438">
        <f t="shared" si="18"/>
        <v>2394.96</v>
      </c>
      <c r="P425" s="464">
        <v>15</v>
      </c>
      <c r="Q425" s="465">
        <f t="shared" si="19"/>
        <v>167.6472</v>
      </c>
      <c r="R425" s="438">
        <v>600</v>
      </c>
      <c r="S425" s="439">
        <f t="shared" si="20"/>
        <v>1612.3128</v>
      </c>
      <c r="T425" s="7"/>
      <c r="U425" s="7"/>
      <c r="V425" s="7"/>
      <c r="W425" s="417">
        <v>1</v>
      </c>
    </row>
    <row r="426" s="417" customFormat="1" ht="16" customHeight="1" spans="1:23">
      <c r="A426" s="449">
        <v>46189</v>
      </c>
      <c r="B426" s="449">
        <v>46190</v>
      </c>
      <c r="C426" s="7" t="s">
        <v>617</v>
      </c>
      <c r="D426" s="7" t="s">
        <v>236</v>
      </c>
      <c r="E426" s="7" t="s">
        <v>60</v>
      </c>
      <c r="F426" s="7" t="s">
        <v>60</v>
      </c>
      <c r="G426" s="7" t="s">
        <v>61</v>
      </c>
      <c r="H426" s="7" t="s">
        <v>354</v>
      </c>
      <c r="I426" s="7" t="s">
        <v>369</v>
      </c>
      <c r="J426" s="74">
        <v>38.68</v>
      </c>
      <c r="K426" s="7" t="s">
        <v>356</v>
      </c>
      <c r="L426" s="74">
        <v>38.66</v>
      </c>
      <c r="M426" s="7">
        <v>68</v>
      </c>
      <c r="N426" s="7"/>
      <c r="O426" s="438">
        <f t="shared" si="18"/>
        <v>2628.88</v>
      </c>
      <c r="P426" s="464">
        <v>15</v>
      </c>
      <c r="Q426" s="465">
        <f t="shared" si="19"/>
        <v>184.0216</v>
      </c>
      <c r="R426" s="438">
        <v>600</v>
      </c>
      <c r="S426" s="439">
        <f t="shared" si="20"/>
        <v>1829.8584</v>
      </c>
      <c r="T426" s="7"/>
      <c r="U426" s="7"/>
      <c r="V426" s="7"/>
      <c r="W426" s="417">
        <v>1</v>
      </c>
    </row>
    <row r="427" s="417" customFormat="1" ht="16" customHeight="1" spans="1:23">
      <c r="A427" s="449">
        <v>46189</v>
      </c>
      <c r="B427" s="449">
        <v>46190</v>
      </c>
      <c r="C427" s="7" t="s">
        <v>618</v>
      </c>
      <c r="D427" s="7" t="s">
        <v>236</v>
      </c>
      <c r="E427" s="7" t="s">
        <v>127</v>
      </c>
      <c r="F427" s="7" t="s">
        <v>127</v>
      </c>
      <c r="G427" s="7" t="s">
        <v>128</v>
      </c>
      <c r="H427" s="7" t="s">
        <v>354</v>
      </c>
      <c r="I427" s="7" t="s">
        <v>369</v>
      </c>
      <c r="J427" s="74">
        <v>39.92</v>
      </c>
      <c r="K427" s="7" t="s">
        <v>356</v>
      </c>
      <c r="L427" s="74">
        <v>39.86</v>
      </c>
      <c r="M427" s="7">
        <v>68</v>
      </c>
      <c r="N427" s="7"/>
      <c r="O427" s="438">
        <f t="shared" si="18"/>
        <v>2710.48</v>
      </c>
      <c r="P427" s="464">
        <v>15</v>
      </c>
      <c r="Q427" s="465">
        <f t="shared" si="19"/>
        <v>189.7336</v>
      </c>
      <c r="R427" s="438">
        <v>600</v>
      </c>
      <c r="S427" s="439">
        <f t="shared" si="20"/>
        <v>1905.7464</v>
      </c>
      <c r="T427" s="7"/>
      <c r="U427" s="7"/>
      <c r="V427" s="7"/>
      <c r="W427" s="417">
        <v>1</v>
      </c>
    </row>
    <row r="428" s="417" customFormat="1" ht="16" customHeight="1" spans="1:23">
      <c r="A428" s="449">
        <v>46188</v>
      </c>
      <c r="B428" s="449">
        <v>46189</v>
      </c>
      <c r="C428" s="442" t="s">
        <v>619</v>
      </c>
      <c r="D428" s="7" t="s">
        <v>233</v>
      </c>
      <c r="E428" s="7" t="s">
        <v>144</v>
      </c>
      <c r="F428" s="7" t="s">
        <v>144</v>
      </c>
      <c r="G428" s="7" t="s">
        <v>145</v>
      </c>
      <c r="H428" s="7" t="s">
        <v>354</v>
      </c>
      <c r="I428" s="7" t="s">
        <v>355</v>
      </c>
      <c r="J428" s="74">
        <v>41.44</v>
      </c>
      <c r="K428" s="7" t="s">
        <v>356</v>
      </c>
      <c r="L428" s="74">
        <v>41.42</v>
      </c>
      <c r="M428" s="7">
        <v>67</v>
      </c>
      <c r="N428" s="7"/>
      <c r="O428" s="438">
        <f t="shared" si="18"/>
        <v>2775.14</v>
      </c>
      <c r="P428" s="464">
        <v>15</v>
      </c>
      <c r="Q428" s="465">
        <f t="shared" si="19"/>
        <v>194.2598</v>
      </c>
      <c r="R428" s="438">
        <v>600</v>
      </c>
      <c r="S428" s="439">
        <f t="shared" si="20"/>
        <v>1965.8802</v>
      </c>
      <c r="T428" s="7"/>
      <c r="U428" s="7"/>
      <c r="V428" s="7"/>
      <c r="W428" s="417">
        <v>1</v>
      </c>
    </row>
    <row r="429" s="417" customFormat="1" ht="16" customHeight="1" spans="1:23">
      <c r="A429" s="449">
        <v>46188</v>
      </c>
      <c r="B429" s="449">
        <v>46189</v>
      </c>
      <c r="C429" s="442" t="s">
        <v>620</v>
      </c>
      <c r="D429" s="7" t="s">
        <v>233</v>
      </c>
      <c r="E429" s="7" t="s">
        <v>81</v>
      </c>
      <c r="F429" s="7" t="s">
        <v>81</v>
      </c>
      <c r="G429" s="7" t="s">
        <v>82</v>
      </c>
      <c r="H429" s="7" t="s">
        <v>354</v>
      </c>
      <c r="I429" s="7" t="s">
        <v>355</v>
      </c>
      <c r="J429" s="74">
        <v>41.18</v>
      </c>
      <c r="K429" s="7" t="s">
        <v>356</v>
      </c>
      <c r="L429" s="74">
        <v>41.18</v>
      </c>
      <c r="M429" s="7">
        <v>67</v>
      </c>
      <c r="N429" s="7"/>
      <c r="O429" s="438">
        <f t="shared" si="18"/>
        <v>2759.06</v>
      </c>
      <c r="P429" s="464">
        <v>15</v>
      </c>
      <c r="Q429" s="465">
        <f t="shared" si="19"/>
        <v>193.1342</v>
      </c>
      <c r="R429" s="438">
        <v>600</v>
      </c>
      <c r="S429" s="439">
        <f t="shared" si="20"/>
        <v>1950.9258</v>
      </c>
      <c r="T429" s="7"/>
      <c r="U429" s="7"/>
      <c r="V429" s="7"/>
      <c r="W429" s="417">
        <v>1</v>
      </c>
    </row>
    <row r="430" s="417" customFormat="1" ht="16" customHeight="1" spans="1:23">
      <c r="A430" s="449">
        <v>46189</v>
      </c>
      <c r="B430" s="449">
        <v>46190</v>
      </c>
      <c r="C430" s="442" t="s">
        <v>621</v>
      </c>
      <c r="D430" s="7" t="s">
        <v>233</v>
      </c>
      <c r="E430" s="7" t="s">
        <v>87</v>
      </c>
      <c r="F430" s="7" t="s">
        <v>87</v>
      </c>
      <c r="G430" s="7" t="s">
        <v>88</v>
      </c>
      <c r="H430" s="7" t="s">
        <v>354</v>
      </c>
      <c r="I430" s="7" t="s">
        <v>355</v>
      </c>
      <c r="J430" s="74">
        <v>41.08</v>
      </c>
      <c r="K430" s="7" t="s">
        <v>356</v>
      </c>
      <c r="L430" s="74">
        <v>41.08</v>
      </c>
      <c r="M430" s="7">
        <v>67</v>
      </c>
      <c r="N430" s="7"/>
      <c r="O430" s="438">
        <f t="shared" si="18"/>
        <v>2752.36</v>
      </c>
      <c r="P430" s="464">
        <v>15</v>
      </c>
      <c r="Q430" s="465">
        <f t="shared" si="19"/>
        <v>192.6652</v>
      </c>
      <c r="R430" s="438">
        <v>600</v>
      </c>
      <c r="S430" s="439">
        <f t="shared" si="20"/>
        <v>1944.6948</v>
      </c>
      <c r="T430" s="7"/>
      <c r="U430" s="7"/>
      <c r="V430" s="7"/>
      <c r="W430" s="417">
        <v>1</v>
      </c>
    </row>
    <row r="431" s="417" customFormat="1" ht="16" customHeight="1" spans="1:23">
      <c r="A431" s="449">
        <v>46189</v>
      </c>
      <c r="B431" s="449">
        <v>46190</v>
      </c>
      <c r="C431" s="442" t="s">
        <v>622</v>
      </c>
      <c r="D431" s="7" t="s">
        <v>233</v>
      </c>
      <c r="E431" s="7" t="s">
        <v>132</v>
      </c>
      <c r="F431" s="7" t="s">
        <v>132</v>
      </c>
      <c r="G431" s="7" t="s">
        <v>133</v>
      </c>
      <c r="H431" s="7" t="s">
        <v>354</v>
      </c>
      <c r="I431" s="7" t="s">
        <v>355</v>
      </c>
      <c r="J431" s="74">
        <v>40.32</v>
      </c>
      <c r="K431" s="7" t="s">
        <v>356</v>
      </c>
      <c r="L431" s="74">
        <v>40.3</v>
      </c>
      <c r="M431" s="7">
        <v>67</v>
      </c>
      <c r="N431" s="7"/>
      <c r="O431" s="438">
        <f t="shared" si="18"/>
        <v>2700.1</v>
      </c>
      <c r="P431" s="464">
        <v>15</v>
      </c>
      <c r="Q431" s="465">
        <f t="shared" si="19"/>
        <v>189.007</v>
      </c>
      <c r="R431" s="438">
        <v>600</v>
      </c>
      <c r="S431" s="439">
        <f t="shared" si="20"/>
        <v>1896.093</v>
      </c>
      <c r="T431" s="7"/>
      <c r="U431" s="7"/>
      <c r="V431" s="7"/>
      <c r="W431" s="417">
        <v>1</v>
      </c>
    </row>
    <row r="432" s="417" customFormat="1" ht="16" customHeight="1" spans="1:23">
      <c r="A432" s="449">
        <v>46189</v>
      </c>
      <c r="B432" s="449">
        <v>46190</v>
      </c>
      <c r="C432" s="7"/>
      <c r="D432" s="7" t="s">
        <v>235</v>
      </c>
      <c r="E432" s="7" t="s">
        <v>105</v>
      </c>
      <c r="F432" s="7" t="s">
        <v>105</v>
      </c>
      <c r="G432" s="7" t="s">
        <v>106</v>
      </c>
      <c r="H432" s="7" t="s">
        <v>368</v>
      </c>
      <c r="I432" s="7" t="s">
        <v>356</v>
      </c>
      <c r="J432" s="74">
        <v>43.7</v>
      </c>
      <c r="K432" s="7" t="s">
        <v>371</v>
      </c>
      <c r="L432" s="74">
        <v>43.59</v>
      </c>
      <c r="M432" s="7">
        <v>61</v>
      </c>
      <c r="N432" s="7"/>
      <c r="O432" s="438">
        <f t="shared" si="18"/>
        <v>2658.99</v>
      </c>
      <c r="P432" s="464">
        <v>15</v>
      </c>
      <c r="Q432" s="465">
        <f t="shared" si="19"/>
        <v>186.1293</v>
      </c>
      <c r="R432" s="438">
        <v>600</v>
      </c>
      <c r="S432" s="439">
        <f t="shared" si="20"/>
        <v>1857.8607</v>
      </c>
      <c r="T432" s="7"/>
      <c r="U432" s="7"/>
      <c r="V432" s="7"/>
      <c r="W432" s="417">
        <v>1</v>
      </c>
    </row>
    <row r="433" s="417" customFormat="1" ht="16" customHeight="1" spans="1:23">
      <c r="A433" s="449">
        <v>46189</v>
      </c>
      <c r="B433" s="449">
        <v>46190</v>
      </c>
      <c r="C433" s="7"/>
      <c r="D433" s="7" t="s">
        <v>235</v>
      </c>
      <c r="E433" s="7" t="s">
        <v>69</v>
      </c>
      <c r="F433" s="7" t="s">
        <v>69</v>
      </c>
      <c r="G433" s="7" t="s">
        <v>70</v>
      </c>
      <c r="H433" s="7" t="s">
        <v>368</v>
      </c>
      <c r="I433" s="7" t="s">
        <v>356</v>
      </c>
      <c r="J433" s="74">
        <v>44.2</v>
      </c>
      <c r="K433" s="7" t="s">
        <v>371</v>
      </c>
      <c r="L433" s="74">
        <v>44.07</v>
      </c>
      <c r="M433" s="7">
        <v>61</v>
      </c>
      <c r="N433" s="7"/>
      <c r="O433" s="438">
        <f t="shared" si="18"/>
        <v>2688.27</v>
      </c>
      <c r="P433" s="464">
        <v>15</v>
      </c>
      <c r="Q433" s="465">
        <f t="shared" si="19"/>
        <v>188.1789</v>
      </c>
      <c r="R433" s="438">
        <v>600</v>
      </c>
      <c r="S433" s="439">
        <f t="shared" si="20"/>
        <v>1885.0911</v>
      </c>
      <c r="T433" s="7"/>
      <c r="U433" s="7"/>
      <c r="V433" s="7"/>
      <c r="W433" s="417">
        <v>1</v>
      </c>
    </row>
    <row r="434" s="417" customFormat="1" ht="16" customHeight="1" spans="1:23">
      <c r="A434" s="449">
        <v>46189</v>
      </c>
      <c r="B434" s="449">
        <v>46190</v>
      </c>
      <c r="C434" s="7"/>
      <c r="D434" s="7" t="s">
        <v>235</v>
      </c>
      <c r="E434" s="7" t="s">
        <v>54</v>
      </c>
      <c r="F434" s="7" t="s">
        <v>54</v>
      </c>
      <c r="G434" s="74" t="s">
        <v>55</v>
      </c>
      <c r="H434" s="7" t="s">
        <v>368</v>
      </c>
      <c r="I434" s="7" t="s">
        <v>356</v>
      </c>
      <c r="J434" s="74">
        <v>45.26</v>
      </c>
      <c r="K434" s="7" t="s">
        <v>371</v>
      </c>
      <c r="L434" s="74">
        <v>45.09</v>
      </c>
      <c r="M434" s="7">
        <v>61</v>
      </c>
      <c r="N434" s="7"/>
      <c r="O434" s="438">
        <f t="shared" si="18"/>
        <v>2750.49</v>
      </c>
      <c r="P434" s="464">
        <v>15</v>
      </c>
      <c r="Q434" s="465">
        <f t="shared" si="19"/>
        <v>192.5343</v>
      </c>
      <c r="R434" s="438">
        <v>600</v>
      </c>
      <c r="S434" s="439">
        <f t="shared" si="20"/>
        <v>1942.9557</v>
      </c>
      <c r="T434" s="7"/>
      <c r="U434" s="7"/>
      <c r="V434" s="7"/>
      <c r="W434" s="417">
        <v>1</v>
      </c>
    </row>
    <row r="435" s="417" customFormat="1" ht="16" customHeight="1" spans="1:23">
      <c r="A435" s="449">
        <v>46189</v>
      </c>
      <c r="B435" s="449">
        <v>46190</v>
      </c>
      <c r="C435" s="7"/>
      <c r="D435" s="7" t="s">
        <v>235</v>
      </c>
      <c r="E435" s="7" t="s">
        <v>138</v>
      </c>
      <c r="F435" s="7" t="s">
        <v>138</v>
      </c>
      <c r="G435" s="7" t="s">
        <v>139</v>
      </c>
      <c r="H435" s="7" t="s">
        <v>368</v>
      </c>
      <c r="I435" s="7" t="s">
        <v>356</v>
      </c>
      <c r="J435" s="74">
        <v>47.34</v>
      </c>
      <c r="K435" s="7" t="s">
        <v>369</v>
      </c>
      <c r="L435" s="74">
        <v>47.36</v>
      </c>
      <c r="M435" s="7">
        <v>48</v>
      </c>
      <c r="N435" s="7"/>
      <c r="O435" s="438">
        <f t="shared" si="18"/>
        <v>2273.28</v>
      </c>
      <c r="P435" s="464">
        <v>15</v>
      </c>
      <c r="Q435" s="465">
        <f t="shared" si="19"/>
        <v>159.1296</v>
      </c>
      <c r="R435" s="438">
        <v>600</v>
      </c>
      <c r="S435" s="439">
        <f t="shared" si="20"/>
        <v>1499.1504</v>
      </c>
      <c r="T435" s="7"/>
      <c r="U435" s="7"/>
      <c r="V435" s="7"/>
      <c r="W435" s="417">
        <v>1</v>
      </c>
    </row>
    <row r="436" s="417" customFormat="1" ht="16" customHeight="1" spans="1:23">
      <c r="A436" s="449">
        <v>46189</v>
      </c>
      <c r="B436" s="449">
        <v>46190</v>
      </c>
      <c r="C436" s="7"/>
      <c r="D436" s="7" t="s">
        <v>235</v>
      </c>
      <c r="E436" s="7" t="s">
        <v>124</v>
      </c>
      <c r="F436" s="7" t="s">
        <v>124</v>
      </c>
      <c r="G436" s="7" t="s">
        <v>125</v>
      </c>
      <c r="H436" s="7" t="s">
        <v>368</v>
      </c>
      <c r="I436" s="7" t="s">
        <v>356</v>
      </c>
      <c r="J436" s="74">
        <v>40.9</v>
      </c>
      <c r="K436" s="7" t="s">
        <v>371</v>
      </c>
      <c r="L436" s="74">
        <v>40.8</v>
      </c>
      <c r="M436" s="7">
        <v>61</v>
      </c>
      <c r="N436" s="7"/>
      <c r="O436" s="438">
        <f t="shared" si="18"/>
        <v>2488.8</v>
      </c>
      <c r="P436" s="464">
        <v>15</v>
      </c>
      <c r="Q436" s="465">
        <f t="shared" si="19"/>
        <v>174.216</v>
      </c>
      <c r="R436" s="438">
        <v>600</v>
      </c>
      <c r="S436" s="439">
        <f t="shared" si="20"/>
        <v>1699.584</v>
      </c>
      <c r="T436" s="7"/>
      <c r="U436" s="7"/>
      <c r="V436" s="7"/>
      <c r="W436" s="417">
        <v>1</v>
      </c>
    </row>
    <row r="437" s="417" customFormat="1" ht="16" customHeight="1" spans="1:23">
      <c r="A437" s="449">
        <v>46189</v>
      </c>
      <c r="B437" s="449">
        <v>46190</v>
      </c>
      <c r="C437" s="7"/>
      <c r="D437" s="7" t="s">
        <v>235</v>
      </c>
      <c r="E437" s="7" t="s">
        <v>90</v>
      </c>
      <c r="F437" s="7" t="s">
        <v>90</v>
      </c>
      <c r="G437" s="7" t="s">
        <v>91</v>
      </c>
      <c r="H437" s="7" t="s">
        <v>368</v>
      </c>
      <c r="I437" s="7" t="s">
        <v>356</v>
      </c>
      <c r="J437" s="74">
        <v>42.12</v>
      </c>
      <c r="K437" s="7" t="s">
        <v>371</v>
      </c>
      <c r="L437" s="74">
        <v>41.98</v>
      </c>
      <c r="M437" s="7">
        <v>61</v>
      </c>
      <c r="N437" s="7"/>
      <c r="O437" s="438">
        <f t="shared" si="18"/>
        <v>2560.78</v>
      </c>
      <c r="P437" s="464">
        <v>15</v>
      </c>
      <c r="Q437" s="465">
        <f t="shared" si="19"/>
        <v>179.2546</v>
      </c>
      <c r="R437" s="438">
        <v>600</v>
      </c>
      <c r="S437" s="439">
        <f t="shared" si="20"/>
        <v>1766.5254</v>
      </c>
      <c r="T437" s="7"/>
      <c r="U437" s="7"/>
      <c r="V437" s="7"/>
      <c r="W437" s="417">
        <v>1</v>
      </c>
    </row>
    <row r="438" s="417" customFormat="1" ht="16" customHeight="1" spans="1:23">
      <c r="A438" s="449">
        <v>46189</v>
      </c>
      <c r="B438" s="449">
        <v>46190</v>
      </c>
      <c r="C438" s="7"/>
      <c r="D438" s="7" t="s">
        <v>235</v>
      </c>
      <c r="E438" s="7" t="s">
        <v>93</v>
      </c>
      <c r="F438" s="7" t="s">
        <v>93</v>
      </c>
      <c r="G438" s="7" t="s">
        <v>94</v>
      </c>
      <c r="H438" s="7" t="s">
        <v>368</v>
      </c>
      <c r="I438" s="7" t="s">
        <v>356</v>
      </c>
      <c r="J438" s="74">
        <v>43.62</v>
      </c>
      <c r="K438" s="7" t="s">
        <v>371</v>
      </c>
      <c r="L438" s="74">
        <v>43.46</v>
      </c>
      <c r="M438" s="7">
        <v>61</v>
      </c>
      <c r="N438" s="7"/>
      <c r="O438" s="438">
        <f t="shared" si="18"/>
        <v>2651.06</v>
      </c>
      <c r="P438" s="464">
        <v>15</v>
      </c>
      <c r="Q438" s="465">
        <f t="shared" si="19"/>
        <v>185.5742</v>
      </c>
      <c r="R438" s="438">
        <v>600</v>
      </c>
      <c r="S438" s="439">
        <f t="shared" si="20"/>
        <v>1850.4858</v>
      </c>
      <c r="T438" s="7"/>
      <c r="U438" s="7"/>
      <c r="V438" s="7"/>
      <c r="W438" s="417">
        <v>1</v>
      </c>
    </row>
    <row r="439" s="417" customFormat="1" ht="16" customHeight="1" spans="1:23">
      <c r="A439" s="449">
        <v>46189</v>
      </c>
      <c r="B439" s="449">
        <v>46191</v>
      </c>
      <c r="C439" s="7"/>
      <c r="D439" s="7" t="s">
        <v>235</v>
      </c>
      <c r="E439" s="7" t="s">
        <v>151</v>
      </c>
      <c r="F439" s="7" t="s">
        <v>151</v>
      </c>
      <c r="G439" s="7" t="s">
        <v>152</v>
      </c>
      <c r="H439" s="7" t="s">
        <v>368</v>
      </c>
      <c r="I439" s="7" t="s">
        <v>356</v>
      </c>
      <c r="J439" s="74">
        <v>43.18</v>
      </c>
      <c r="K439" s="7" t="s">
        <v>371</v>
      </c>
      <c r="L439" s="74">
        <v>42.58</v>
      </c>
      <c r="M439" s="7">
        <v>61</v>
      </c>
      <c r="N439" s="7"/>
      <c r="O439" s="438">
        <f t="shared" si="18"/>
        <v>2597.38</v>
      </c>
      <c r="P439" s="464">
        <v>15</v>
      </c>
      <c r="Q439" s="465">
        <f t="shared" si="19"/>
        <v>181.8166</v>
      </c>
      <c r="R439" s="438">
        <v>600</v>
      </c>
      <c r="S439" s="439">
        <f t="shared" si="20"/>
        <v>1800.5634</v>
      </c>
      <c r="T439" s="7"/>
      <c r="U439" s="7"/>
      <c r="V439" s="7"/>
      <c r="W439" s="417">
        <v>1</v>
      </c>
    </row>
    <row r="440" s="417" customFormat="1" ht="16" customHeight="1" spans="1:23">
      <c r="A440" s="449">
        <v>46189</v>
      </c>
      <c r="B440" s="449">
        <v>46190</v>
      </c>
      <c r="C440" s="7"/>
      <c r="D440" s="7" t="s">
        <v>235</v>
      </c>
      <c r="E440" s="7" t="s">
        <v>75</v>
      </c>
      <c r="F440" s="7" t="s">
        <v>75</v>
      </c>
      <c r="G440" s="7" t="s">
        <v>76</v>
      </c>
      <c r="H440" s="7" t="s">
        <v>368</v>
      </c>
      <c r="I440" s="7" t="s">
        <v>356</v>
      </c>
      <c r="J440" s="74">
        <v>45.22</v>
      </c>
      <c r="K440" s="7" t="s">
        <v>371</v>
      </c>
      <c r="L440" s="74">
        <v>45.01</v>
      </c>
      <c r="M440" s="7">
        <v>61</v>
      </c>
      <c r="N440" s="7"/>
      <c r="O440" s="438">
        <f t="shared" si="18"/>
        <v>2745.61</v>
      </c>
      <c r="P440" s="464">
        <v>15</v>
      </c>
      <c r="Q440" s="465">
        <f t="shared" si="19"/>
        <v>192.1927</v>
      </c>
      <c r="R440" s="438">
        <v>600</v>
      </c>
      <c r="S440" s="439">
        <f t="shared" si="20"/>
        <v>1938.4173</v>
      </c>
      <c r="T440" s="7"/>
      <c r="U440" s="7"/>
      <c r="V440" s="7"/>
      <c r="W440" s="417">
        <v>1</v>
      </c>
    </row>
    <row r="441" s="417" customFormat="1" ht="16" customHeight="1" spans="1:23">
      <c r="A441" s="449">
        <v>46189</v>
      </c>
      <c r="B441" s="449">
        <v>46191</v>
      </c>
      <c r="C441" s="7"/>
      <c r="D441" s="7" t="s">
        <v>235</v>
      </c>
      <c r="E441" s="7" t="s">
        <v>84</v>
      </c>
      <c r="F441" s="7" t="s">
        <v>84</v>
      </c>
      <c r="G441" s="7" t="s">
        <v>85</v>
      </c>
      <c r="H441" s="7" t="s">
        <v>368</v>
      </c>
      <c r="I441" s="7" t="s">
        <v>356</v>
      </c>
      <c r="J441" s="74">
        <v>43.76</v>
      </c>
      <c r="K441" s="7" t="s">
        <v>371</v>
      </c>
      <c r="L441" s="74">
        <v>43.6</v>
      </c>
      <c r="M441" s="7">
        <v>61</v>
      </c>
      <c r="N441" s="7"/>
      <c r="O441" s="438">
        <f t="shared" si="18"/>
        <v>2659.6</v>
      </c>
      <c r="P441" s="464">
        <v>15</v>
      </c>
      <c r="Q441" s="465">
        <f t="shared" si="19"/>
        <v>186.172</v>
      </c>
      <c r="R441" s="438">
        <v>600</v>
      </c>
      <c r="S441" s="439">
        <f t="shared" si="20"/>
        <v>1858.428</v>
      </c>
      <c r="T441" s="7"/>
      <c r="U441" s="7"/>
      <c r="V441" s="7"/>
      <c r="W441" s="417">
        <v>1</v>
      </c>
    </row>
    <row r="442" s="417" customFormat="1" ht="16" customHeight="1" spans="1:23">
      <c r="A442" s="449">
        <v>46189</v>
      </c>
      <c r="B442" s="449">
        <v>46191</v>
      </c>
      <c r="C442" s="7"/>
      <c r="D442" s="7" t="s">
        <v>235</v>
      </c>
      <c r="E442" s="7" t="s">
        <v>108</v>
      </c>
      <c r="F442" s="7" t="s">
        <v>108</v>
      </c>
      <c r="G442" s="7" t="s">
        <v>109</v>
      </c>
      <c r="H442" s="7" t="s">
        <v>368</v>
      </c>
      <c r="I442" s="7" t="s">
        <v>356</v>
      </c>
      <c r="J442" s="74">
        <v>44.58</v>
      </c>
      <c r="K442" s="7" t="s">
        <v>371</v>
      </c>
      <c r="L442" s="74">
        <v>44.42</v>
      </c>
      <c r="M442" s="7">
        <v>61</v>
      </c>
      <c r="N442" s="7"/>
      <c r="O442" s="438">
        <f t="shared" si="18"/>
        <v>2709.62</v>
      </c>
      <c r="P442" s="464">
        <v>15</v>
      </c>
      <c r="Q442" s="465">
        <f t="shared" si="19"/>
        <v>189.6734</v>
      </c>
      <c r="R442" s="438">
        <v>600</v>
      </c>
      <c r="S442" s="439">
        <f t="shared" si="20"/>
        <v>1904.9466</v>
      </c>
      <c r="T442" s="7"/>
      <c r="U442" s="7"/>
      <c r="V442" s="7"/>
      <c r="W442" s="417">
        <v>1</v>
      </c>
    </row>
    <row r="443" s="417" customFormat="1" ht="16" customHeight="1" spans="1:23">
      <c r="A443" s="449">
        <v>46189</v>
      </c>
      <c r="B443" s="449">
        <v>46191</v>
      </c>
      <c r="C443" s="7"/>
      <c r="D443" s="7" t="s">
        <v>235</v>
      </c>
      <c r="E443" s="7" t="s">
        <v>96</v>
      </c>
      <c r="F443" s="7" t="s">
        <v>96</v>
      </c>
      <c r="G443" s="7" t="s">
        <v>97</v>
      </c>
      <c r="H443" s="7" t="s">
        <v>368</v>
      </c>
      <c r="I443" s="7" t="s">
        <v>356</v>
      </c>
      <c r="J443" s="74">
        <v>45.62</v>
      </c>
      <c r="K443" s="7" t="s">
        <v>371</v>
      </c>
      <c r="L443" s="74">
        <v>45.51</v>
      </c>
      <c r="M443" s="7">
        <v>61</v>
      </c>
      <c r="N443" s="7"/>
      <c r="O443" s="438">
        <f t="shared" si="18"/>
        <v>2776.11</v>
      </c>
      <c r="P443" s="464">
        <v>15</v>
      </c>
      <c r="Q443" s="465">
        <f t="shared" si="19"/>
        <v>194.3277</v>
      </c>
      <c r="R443" s="438">
        <v>600</v>
      </c>
      <c r="S443" s="439">
        <f t="shared" si="20"/>
        <v>1966.7823</v>
      </c>
      <c r="T443" s="7"/>
      <c r="U443" s="7"/>
      <c r="V443" s="7"/>
      <c r="W443" s="417">
        <v>1</v>
      </c>
    </row>
    <row r="444" s="417" customFormat="1" ht="16" customHeight="1" spans="1:23">
      <c r="A444" s="449">
        <v>46189</v>
      </c>
      <c r="B444" s="449">
        <v>46191</v>
      </c>
      <c r="C444" s="7"/>
      <c r="D444" s="7" t="s">
        <v>235</v>
      </c>
      <c r="E444" s="7" t="s">
        <v>102</v>
      </c>
      <c r="F444" s="7" t="s">
        <v>102</v>
      </c>
      <c r="G444" s="7" t="s">
        <v>103</v>
      </c>
      <c r="H444" s="7" t="s">
        <v>368</v>
      </c>
      <c r="I444" s="7" t="s">
        <v>356</v>
      </c>
      <c r="J444" s="74">
        <v>44.16</v>
      </c>
      <c r="K444" s="7" t="s">
        <v>371</v>
      </c>
      <c r="L444" s="74">
        <v>44.04</v>
      </c>
      <c r="M444" s="7">
        <v>61</v>
      </c>
      <c r="N444" s="7"/>
      <c r="O444" s="438">
        <f t="shared" si="18"/>
        <v>2686.44</v>
      </c>
      <c r="P444" s="464">
        <v>15</v>
      </c>
      <c r="Q444" s="465">
        <f t="shared" si="19"/>
        <v>188.0508</v>
      </c>
      <c r="R444" s="438">
        <v>600</v>
      </c>
      <c r="S444" s="439">
        <f t="shared" si="20"/>
        <v>1883.3892</v>
      </c>
      <c r="T444" s="7"/>
      <c r="U444" s="7"/>
      <c r="V444" s="7"/>
      <c r="W444" s="417">
        <v>1</v>
      </c>
    </row>
    <row r="445" s="417" customFormat="1" ht="16" customHeight="1" spans="1:23">
      <c r="A445" s="449">
        <v>46189</v>
      </c>
      <c r="B445" s="449">
        <v>46190</v>
      </c>
      <c r="C445" s="7"/>
      <c r="D445" s="7" t="s">
        <v>235</v>
      </c>
      <c r="E445" s="7" t="s">
        <v>81</v>
      </c>
      <c r="F445" s="7" t="s">
        <v>81</v>
      </c>
      <c r="G445" s="7" t="s">
        <v>82</v>
      </c>
      <c r="H445" s="7" t="s">
        <v>368</v>
      </c>
      <c r="I445" s="7" t="s">
        <v>356</v>
      </c>
      <c r="J445" s="74">
        <v>44.94</v>
      </c>
      <c r="K445" s="7" t="s">
        <v>371</v>
      </c>
      <c r="L445" s="74">
        <v>44.76</v>
      </c>
      <c r="M445" s="7">
        <v>61</v>
      </c>
      <c r="N445" s="7"/>
      <c r="O445" s="438">
        <f t="shared" si="18"/>
        <v>2730.36</v>
      </c>
      <c r="P445" s="464">
        <v>15</v>
      </c>
      <c r="Q445" s="465">
        <f t="shared" si="19"/>
        <v>191.1252</v>
      </c>
      <c r="R445" s="438">
        <v>600</v>
      </c>
      <c r="S445" s="439">
        <f t="shared" si="20"/>
        <v>1924.2348</v>
      </c>
      <c r="T445" s="7"/>
      <c r="U445" s="7"/>
      <c r="V445" s="7"/>
      <c r="W445" s="417">
        <v>1</v>
      </c>
    </row>
    <row r="446" s="417" customFormat="1" ht="16" customHeight="1" spans="1:23">
      <c r="A446" s="449">
        <v>46189</v>
      </c>
      <c r="B446" s="449">
        <v>46191</v>
      </c>
      <c r="C446" s="7"/>
      <c r="D446" s="7" t="s">
        <v>235</v>
      </c>
      <c r="E446" s="7" t="s">
        <v>66</v>
      </c>
      <c r="F446" s="7" t="s">
        <v>66</v>
      </c>
      <c r="G446" s="7" t="s">
        <v>67</v>
      </c>
      <c r="H446" s="7" t="s">
        <v>368</v>
      </c>
      <c r="I446" s="7" t="s">
        <v>356</v>
      </c>
      <c r="J446" s="74">
        <v>43.64</v>
      </c>
      <c r="K446" s="7" t="s">
        <v>371</v>
      </c>
      <c r="L446" s="74">
        <v>43.45</v>
      </c>
      <c r="M446" s="7">
        <v>61</v>
      </c>
      <c r="N446" s="7"/>
      <c r="O446" s="438">
        <f t="shared" si="18"/>
        <v>2650.45</v>
      </c>
      <c r="P446" s="464">
        <v>15</v>
      </c>
      <c r="Q446" s="465">
        <f t="shared" si="19"/>
        <v>185.5315</v>
      </c>
      <c r="R446" s="438">
        <v>600</v>
      </c>
      <c r="S446" s="439">
        <f t="shared" si="20"/>
        <v>1849.9185</v>
      </c>
      <c r="T446" s="7"/>
      <c r="U446" s="7"/>
      <c r="V446" s="7"/>
      <c r="W446" s="417">
        <v>1</v>
      </c>
    </row>
    <row r="447" s="417" customFormat="1" ht="16" customHeight="1" spans="1:23">
      <c r="A447" s="449">
        <v>46189</v>
      </c>
      <c r="B447" s="449">
        <v>46191</v>
      </c>
      <c r="C447" s="7"/>
      <c r="D447" s="7" t="s">
        <v>235</v>
      </c>
      <c r="E447" s="7" t="s">
        <v>99</v>
      </c>
      <c r="F447" s="7" t="s">
        <v>99</v>
      </c>
      <c r="G447" s="7" t="s">
        <v>100</v>
      </c>
      <c r="H447" s="7" t="s">
        <v>368</v>
      </c>
      <c r="I447" s="7" t="s">
        <v>356</v>
      </c>
      <c r="J447" s="74">
        <v>44.04</v>
      </c>
      <c r="K447" s="7" t="s">
        <v>371</v>
      </c>
      <c r="L447" s="74">
        <v>43.87</v>
      </c>
      <c r="M447" s="7">
        <v>61</v>
      </c>
      <c r="N447" s="7"/>
      <c r="O447" s="438">
        <f t="shared" si="18"/>
        <v>2676.07</v>
      </c>
      <c r="P447" s="464">
        <v>15</v>
      </c>
      <c r="Q447" s="465">
        <f t="shared" si="19"/>
        <v>187.3249</v>
      </c>
      <c r="R447" s="438">
        <v>600</v>
      </c>
      <c r="S447" s="439">
        <f t="shared" si="20"/>
        <v>1873.7451</v>
      </c>
      <c r="T447" s="7"/>
      <c r="U447" s="7"/>
      <c r="V447" s="7"/>
      <c r="W447" s="417">
        <v>1</v>
      </c>
    </row>
    <row r="448" s="417" customFormat="1" ht="16" customHeight="1" spans="1:23">
      <c r="A448" s="449">
        <v>46189</v>
      </c>
      <c r="B448" s="449">
        <v>46190</v>
      </c>
      <c r="C448" s="7" t="s">
        <v>623</v>
      </c>
      <c r="D448" s="7" t="s">
        <v>237</v>
      </c>
      <c r="E448" s="7" t="s">
        <v>339</v>
      </c>
      <c r="F448" s="7" t="s">
        <v>339</v>
      </c>
      <c r="G448" s="7" t="s">
        <v>170</v>
      </c>
      <c r="H448" s="7" t="s">
        <v>354</v>
      </c>
      <c r="I448" s="7" t="s">
        <v>407</v>
      </c>
      <c r="J448" s="74">
        <v>44.12</v>
      </c>
      <c r="K448" s="7" t="s">
        <v>356</v>
      </c>
      <c r="L448" s="74">
        <v>44.08</v>
      </c>
      <c r="M448" s="7">
        <v>87</v>
      </c>
      <c r="N448" s="7"/>
      <c r="O448" s="438">
        <f t="shared" si="18"/>
        <v>3834.96</v>
      </c>
      <c r="P448" s="438">
        <v>15</v>
      </c>
      <c r="Q448" s="438">
        <f t="shared" si="19"/>
        <v>268.4472</v>
      </c>
      <c r="R448" s="438">
        <v>800</v>
      </c>
      <c r="S448" s="439">
        <f t="shared" si="20"/>
        <v>2751.5128</v>
      </c>
      <c r="T448" s="7"/>
      <c r="U448" s="7"/>
      <c r="V448" s="7"/>
      <c r="W448" s="417">
        <v>1</v>
      </c>
    </row>
    <row r="449" s="417" customFormat="1" ht="16" customHeight="1" spans="1:23">
      <c r="A449" s="449">
        <v>46189</v>
      </c>
      <c r="B449" s="449">
        <v>46191</v>
      </c>
      <c r="C449" s="7" t="s">
        <v>624</v>
      </c>
      <c r="D449" s="7" t="s">
        <v>235</v>
      </c>
      <c r="E449" s="7" t="s">
        <v>160</v>
      </c>
      <c r="F449" s="7" t="s">
        <v>160</v>
      </c>
      <c r="G449" s="7" t="s">
        <v>161</v>
      </c>
      <c r="H449" s="7" t="s">
        <v>384</v>
      </c>
      <c r="I449" s="7" t="s">
        <v>356</v>
      </c>
      <c r="J449" s="74">
        <v>43.18</v>
      </c>
      <c r="K449" s="7" t="s">
        <v>371</v>
      </c>
      <c r="L449" s="74">
        <v>42.88</v>
      </c>
      <c r="M449" s="7">
        <v>61</v>
      </c>
      <c r="N449" s="7"/>
      <c r="O449" s="438">
        <f t="shared" si="18"/>
        <v>2615.68</v>
      </c>
      <c r="P449" s="464">
        <v>15</v>
      </c>
      <c r="Q449" s="465">
        <f t="shared" si="19"/>
        <v>183.0976</v>
      </c>
      <c r="R449" s="438">
        <v>600</v>
      </c>
      <c r="S449" s="439">
        <f t="shared" si="20"/>
        <v>1817.5824</v>
      </c>
      <c r="T449" s="7"/>
      <c r="U449" s="7"/>
      <c r="V449" s="7"/>
      <c r="W449" s="417">
        <v>1</v>
      </c>
    </row>
    <row r="450" s="417" customFormat="1" ht="16" customHeight="1" spans="1:23">
      <c r="A450" s="449">
        <v>46189</v>
      </c>
      <c r="B450" s="449">
        <v>46191</v>
      </c>
      <c r="C450" s="7" t="s">
        <v>625</v>
      </c>
      <c r="D450" s="7" t="s">
        <v>235</v>
      </c>
      <c r="E450" s="7" t="s">
        <v>163</v>
      </c>
      <c r="F450" s="7" t="s">
        <v>163</v>
      </c>
      <c r="G450" s="7" t="s">
        <v>164</v>
      </c>
      <c r="H450" s="7" t="s">
        <v>384</v>
      </c>
      <c r="I450" s="7" t="s">
        <v>356</v>
      </c>
      <c r="J450" s="74">
        <v>41.04</v>
      </c>
      <c r="K450" s="7" t="s">
        <v>371</v>
      </c>
      <c r="L450" s="74">
        <v>40.48</v>
      </c>
      <c r="M450" s="7">
        <v>61</v>
      </c>
      <c r="N450" s="7"/>
      <c r="O450" s="438">
        <f t="shared" ref="O450:O513" si="21">L450*M450</f>
        <v>2469.28</v>
      </c>
      <c r="P450" s="464">
        <v>15</v>
      </c>
      <c r="Q450" s="465">
        <f t="shared" ref="Q450:Q497" si="22">O450*0.07</f>
        <v>172.8496</v>
      </c>
      <c r="R450" s="438">
        <v>600</v>
      </c>
      <c r="S450" s="439">
        <f t="shared" ref="S450:S497" si="23">O450-P450-R450-Q450</f>
        <v>1681.4304</v>
      </c>
      <c r="T450" s="7"/>
      <c r="U450" s="7"/>
      <c r="V450" s="7"/>
      <c r="W450" s="417">
        <v>1</v>
      </c>
    </row>
    <row r="451" s="417" customFormat="1" ht="16" customHeight="1" spans="1:23">
      <c r="A451" s="449">
        <v>46189</v>
      </c>
      <c r="B451" s="449">
        <v>46191</v>
      </c>
      <c r="C451" s="7" t="s">
        <v>626</v>
      </c>
      <c r="D451" s="7" t="s">
        <v>235</v>
      </c>
      <c r="E451" s="7" t="s">
        <v>338</v>
      </c>
      <c r="F451" s="7" t="s">
        <v>338</v>
      </c>
      <c r="G451" s="7" t="s">
        <v>158</v>
      </c>
      <c r="H451" s="7" t="s">
        <v>384</v>
      </c>
      <c r="I451" s="7" t="s">
        <v>356</v>
      </c>
      <c r="J451" s="74">
        <v>41.32</v>
      </c>
      <c r="K451" s="7" t="s">
        <v>371</v>
      </c>
      <c r="L451" s="74">
        <v>40.98</v>
      </c>
      <c r="M451" s="7">
        <v>61</v>
      </c>
      <c r="N451" s="7"/>
      <c r="O451" s="438">
        <f t="shared" si="21"/>
        <v>2499.78</v>
      </c>
      <c r="P451" s="464">
        <v>15</v>
      </c>
      <c r="Q451" s="465">
        <f t="shared" si="22"/>
        <v>174.9846</v>
      </c>
      <c r="R451" s="438">
        <v>600</v>
      </c>
      <c r="S451" s="439">
        <f t="shared" si="23"/>
        <v>1709.7954</v>
      </c>
      <c r="T451" s="7"/>
      <c r="U451" s="7"/>
      <c r="V451" s="7"/>
      <c r="W451" s="417">
        <v>1</v>
      </c>
    </row>
    <row r="452" s="417" customFormat="1" ht="16" customHeight="1" spans="1:23">
      <c r="A452" s="449">
        <v>46189</v>
      </c>
      <c r="B452" s="449">
        <v>46191</v>
      </c>
      <c r="C452" s="7" t="s">
        <v>627</v>
      </c>
      <c r="D452" s="7" t="s">
        <v>235</v>
      </c>
      <c r="E452" s="7" t="s">
        <v>154</v>
      </c>
      <c r="F452" s="7" t="s">
        <v>154</v>
      </c>
      <c r="G452" s="7" t="s">
        <v>155</v>
      </c>
      <c r="H452" s="7" t="s">
        <v>384</v>
      </c>
      <c r="I452" s="7" t="s">
        <v>356</v>
      </c>
      <c r="J452" s="74">
        <v>42.5</v>
      </c>
      <c r="K452" s="7" t="s">
        <v>371</v>
      </c>
      <c r="L452" s="74">
        <v>42.21</v>
      </c>
      <c r="M452" s="7">
        <v>61</v>
      </c>
      <c r="N452" s="7"/>
      <c r="O452" s="438">
        <f t="shared" si="21"/>
        <v>2574.81</v>
      </c>
      <c r="P452" s="464">
        <v>15</v>
      </c>
      <c r="Q452" s="465">
        <f t="shared" si="22"/>
        <v>180.2367</v>
      </c>
      <c r="R452" s="438">
        <v>600</v>
      </c>
      <c r="S452" s="439">
        <f t="shared" si="23"/>
        <v>1779.5733</v>
      </c>
      <c r="T452" s="7"/>
      <c r="U452" s="7"/>
      <c r="V452" s="7"/>
      <c r="W452" s="417">
        <v>1</v>
      </c>
    </row>
    <row r="453" s="417" customFormat="1" ht="16" customHeight="1" spans="1:23">
      <c r="A453" s="449">
        <v>46189</v>
      </c>
      <c r="B453" s="449">
        <v>46190</v>
      </c>
      <c r="C453" s="7" t="s">
        <v>628</v>
      </c>
      <c r="D453" s="7" t="s">
        <v>237</v>
      </c>
      <c r="E453" s="7" t="s">
        <v>198</v>
      </c>
      <c r="F453" s="7" t="s">
        <v>198</v>
      </c>
      <c r="G453" s="7" t="s">
        <v>199</v>
      </c>
      <c r="H453" s="7" t="s">
        <v>354</v>
      </c>
      <c r="I453" s="7" t="s">
        <v>407</v>
      </c>
      <c r="J453" s="74">
        <v>43.84</v>
      </c>
      <c r="K453" s="7" t="s">
        <v>356</v>
      </c>
      <c r="L453" s="74">
        <v>43.76</v>
      </c>
      <c r="M453" s="7">
        <v>87</v>
      </c>
      <c r="N453" s="7"/>
      <c r="O453" s="438">
        <f t="shared" si="21"/>
        <v>3807.12</v>
      </c>
      <c r="P453" s="438">
        <v>15</v>
      </c>
      <c r="Q453" s="438">
        <f t="shared" si="22"/>
        <v>266.4984</v>
      </c>
      <c r="R453" s="438">
        <v>800</v>
      </c>
      <c r="S453" s="439">
        <f t="shared" si="23"/>
        <v>2725.6216</v>
      </c>
      <c r="T453" s="7"/>
      <c r="U453" s="7"/>
      <c r="V453" s="7"/>
      <c r="W453" s="417">
        <v>1</v>
      </c>
    </row>
    <row r="454" s="417" customFormat="1" ht="16" customHeight="1" spans="1:23">
      <c r="A454" s="449">
        <v>46189</v>
      </c>
      <c r="B454" s="449">
        <v>46190</v>
      </c>
      <c r="C454" s="7"/>
      <c r="D454" s="7" t="s">
        <v>235</v>
      </c>
      <c r="E454" s="7" t="s">
        <v>189</v>
      </c>
      <c r="F454" s="7" t="s">
        <v>189</v>
      </c>
      <c r="G454" s="7" t="s">
        <v>190</v>
      </c>
      <c r="H454" s="7" t="s">
        <v>368</v>
      </c>
      <c r="I454" s="7" t="s">
        <v>356</v>
      </c>
      <c r="J454" s="74">
        <v>44.16</v>
      </c>
      <c r="K454" s="7" t="s">
        <v>371</v>
      </c>
      <c r="L454" s="74">
        <v>43.99</v>
      </c>
      <c r="M454" s="7">
        <v>61</v>
      </c>
      <c r="N454" s="7"/>
      <c r="O454" s="438">
        <f t="shared" si="21"/>
        <v>2683.39</v>
      </c>
      <c r="P454" s="464">
        <v>15</v>
      </c>
      <c r="Q454" s="465">
        <f t="shared" si="22"/>
        <v>187.8373</v>
      </c>
      <c r="R454" s="438">
        <v>600</v>
      </c>
      <c r="S454" s="439">
        <f t="shared" si="23"/>
        <v>1880.5527</v>
      </c>
      <c r="T454" s="7"/>
      <c r="U454" s="7"/>
      <c r="V454" s="7"/>
      <c r="W454" s="417">
        <v>1</v>
      </c>
    </row>
    <row r="455" s="417" customFormat="1" ht="15" customHeight="1" spans="1:23">
      <c r="A455" s="449">
        <v>46189</v>
      </c>
      <c r="B455" s="449">
        <v>46191</v>
      </c>
      <c r="C455" s="7"/>
      <c r="D455" s="7" t="s">
        <v>235</v>
      </c>
      <c r="E455" s="7" t="s">
        <v>195</v>
      </c>
      <c r="F455" s="7" t="s">
        <v>195</v>
      </c>
      <c r="G455" s="7" t="s">
        <v>196</v>
      </c>
      <c r="H455" s="7" t="s">
        <v>368</v>
      </c>
      <c r="I455" s="7" t="s">
        <v>356</v>
      </c>
      <c r="J455" s="74">
        <v>40.76</v>
      </c>
      <c r="K455" s="7" t="s">
        <v>371</v>
      </c>
      <c r="L455" s="74">
        <v>44.43</v>
      </c>
      <c r="M455" s="7">
        <v>61</v>
      </c>
      <c r="N455" s="7"/>
      <c r="O455" s="438">
        <f t="shared" si="21"/>
        <v>2710.23</v>
      </c>
      <c r="P455" s="464">
        <v>15</v>
      </c>
      <c r="Q455" s="465">
        <f t="shared" si="22"/>
        <v>189.7161</v>
      </c>
      <c r="R455" s="438">
        <v>600</v>
      </c>
      <c r="S455" s="439">
        <f t="shared" si="23"/>
        <v>1905.5139</v>
      </c>
      <c r="T455" s="7"/>
      <c r="U455" s="7"/>
      <c r="V455" s="7"/>
      <c r="W455" s="417">
        <v>1</v>
      </c>
    </row>
    <row r="456" s="417" customFormat="1" ht="16" customHeight="1" spans="1:23">
      <c r="A456" s="449">
        <v>46189</v>
      </c>
      <c r="B456" s="449">
        <v>46190</v>
      </c>
      <c r="C456" s="7"/>
      <c r="D456" s="7" t="s">
        <v>235</v>
      </c>
      <c r="E456" s="7" t="s">
        <v>192</v>
      </c>
      <c r="F456" s="7" t="s">
        <v>192</v>
      </c>
      <c r="G456" s="7" t="s">
        <v>193</v>
      </c>
      <c r="H456" s="7" t="s">
        <v>368</v>
      </c>
      <c r="I456" s="7" t="s">
        <v>356</v>
      </c>
      <c r="J456" s="74">
        <v>44.22</v>
      </c>
      <c r="K456" s="7" t="s">
        <v>371</v>
      </c>
      <c r="L456" s="74">
        <v>44.11</v>
      </c>
      <c r="M456" s="7">
        <v>61</v>
      </c>
      <c r="N456" s="7"/>
      <c r="O456" s="438">
        <f t="shared" si="21"/>
        <v>2690.71</v>
      </c>
      <c r="P456" s="464">
        <v>15</v>
      </c>
      <c r="Q456" s="465">
        <f t="shared" si="22"/>
        <v>188.3497</v>
      </c>
      <c r="R456" s="438">
        <v>600</v>
      </c>
      <c r="S456" s="439">
        <f t="shared" si="23"/>
        <v>1887.3603</v>
      </c>
      <c r="T456" s="7"/>
      <c r="U456" s="7"/>
      <c r="V456" s="7"/>
      <c r="W456" s="417">
        <v>1</v>
      </c>
    </row>
    <row r="457" s="417" customFormat="1" ht="16" customHeight="1" spans="1:23">
      <c r="A457" s="449">
        <v>46190</v>
      </c>
      <c r="B457" s="449">
        <v>46190</v>
      </c>
      <c r="C457" s="442" t="s">
        <v>629</v>
      </c>
      <c r="D457" s="7" t="s">
        <v>233</v>
      </c>
      <c r="E457" s="7" t="s">
        <v>130</v>
      </c>
      <c r="F457" s="7" t="s">
        <v>130</v>
      </c>
      <c r="G457" s="7" t="s">
        <v>122</v>
      </c>
      <c r="H457" s="7" t="s">
        <v>354</v>
      </c>
      <c r="I457" s="7" t="s">
        <v>355</v>
      </c>
      <c r="J457" s="74">
        <v>39.18</v>
      </c>
      <c r="K457" s="7" t="s">
        <v>356</v>
      </c>
      <c r="L457" s="74">
        <v>39.16</v>
      </c>
      <c r="M457" s="7">
        <v>67</v>
      </c>
      <c r="N457" s="7"/>
      <c r="O457" s="438">
        <f t="shared" si="21"/>
        <v>2623.72</v>
      </c>
      <c r="P457" s="464">
        <v>15</v>
      </c>
      <c r="Q457" s="465">
        <f t="shared" si="22"/>
        <v>183.6604</v>
      </c>
      <c r="R457" s="438">
        <v>600</v>
      </c>
      <c r="S457" s="439">
        <f t="shared" si="23"/>
        <v>1825.0596</v>
      </c>
      <c r="T457" s="7"/>
      <c r="U457" s="7"/>
      <c r="V457" s="7"/>
      <c r="W457" s="417">
        <v>1</v>
      </c>
    </row>
    <row r="458" s="417" customFormat="1" ht="16" customHeight="1" spans="1:23">
      <c r="A458" s="449">
        <v>46190</v>
      </c>
      <c r="B458" s="449">
        <v>46191</v>
      </c>
      <c r="C458" s="442" t="s">
        <v>630</v>
      </c>
      <c r="D458" s="7" t="s">
        <v>233</v>
      </c>
      <c r="E458" s="7" t="s">
        <v>72</v>
      </c>
      <c r="F458" s="7" t="s">
        <v>72</v>
      </c>
      <c r="G458" s="7" t="s">
        <v>73</v>
      </c>
      <c r="H458" s="7" t="s">
        <v>354</v>
      </c>
      <c r="I458" s="7" t="s">
        <v>355</v>
      </c>
      <c r="J458" s="74">
        <v>41.08</v>
      </c>
      <c r="K458" s="7" t="s">
        <v>356</v>
      </c>
      <c r="L458" s="74">
        <v>41.06</v>
      </c>
      <c r="M458" s="7">
        <v>67</v>
      </c>
      <c r="N458" s="7"/>
      <c r="O458" s="438">
        <f t="shared" si="21"/>
        <v>2751.02</v>
      </c>
      <c r="P458" s="464">
        <v>15</v>
      </c>
      <c r="Q458" s="465">
        <f t="shared" si="22"/>
        <v>192.5714</v>
      </c>
      <c r="R458" s="438">
        <v>600</v>
      </c>
      <c r="S458" s="439">
        <f t="shared" si="23"/>
        <v>1943.4486</v>
      </c>
      <c r="T458" s="7"/>
      <c r="U458" s="7"/>
      <c r="V458" s="7"/>
      <c r="W458" s="417">
        <v>1</v>
      </c>
    </row>
    <row r="459" s="417" customFormat="1" ht="16" customHeight="1" spans="1:23">
      <c r="A459" s="449">
        <v>46190</v>
      </c>
      <c r="B459" s="449">
        <v>46191</v>
      </c>
      <c r="C459" s="442" t="s">
        <v>631</v>
      </c>
      <c r="D459" s="7" t="s">
        <v>233</v>
      </c>
      <c r="E459" s="7" t="s">
        <v>63</v>
      </c>
      <c r="F459" s="7" t="s">
        <v>63</v>
      </c>
      <c r="G459" s="7" t="s">
        <v>327</v>
      </c>
      <c r="H459" s="7" t="s">
        <v>354</v>
      </c>
      <c r="I459" s="7" t="s">
        <v>355</v>
      </c>
      <c r="J459" s="74">
        <v>39.56</v>
      </c>
      <c r="K459" s="7" t="s">
        <v>356</v>
      </c>
      <c r="L459" s="74">
        <v>39.54</v>
      </c>
      <c r="M459" s="7">
        <v>67</v>
      </c>
      <c r="N459" s="7"/>
      <c r="O459" s="438">
        <f t="shared" si="21"/>
        <v>2649.18</v>
      </c>
      <c r="P459" s="464">
        <v>15</v>
      </c>
      <c r="Q459" s="465">
        <f t="shared" si="22"/>
        <v>185.4426</v>
      </c>
      <c r="R459" s="438">
        <v>600</v>
      </c>
      <c r="S459" s="439">
        <f t="shared" si="23"/>
        <v>1848.7374</v>
      </c>
      <c r="T459" s="7"/>
      <c r="U459" s="7"/>
      <c r="V459" s="7"/>
      <c r="W459" s="417">
        <v>1</v>
      </c>
    </row>
    <row r="460" s="417" customFormat="1" ht="16" customHeight="1" spans="1:23">
      <c r="A460" s="449">
        <v>46190</v>
      </c>
      <c r="B460" s="449">
        <v>46191</v>
      </c>
      <c r="C460" s="442" t="s">
        <v>632</v>
      </c>
      <c r="D460" s="7" t="s">
        <v>233</v>
      </c>
      <c r="E460" s="7" t="s">
        <v>135</v>
      </c>
      <c r="F460" s="7" t="s">
        <v>135</v>
      </c>
      <c r="G460" s="7" t="s">
        <v>136</v>
      </c>
      <c r="H460" s="7" t="s">
        <v>354</v>
      </c>
      <c r="I460" s="7" t="s">
        <v>355</v>
      </c>
      <c r="J460" s="74">
        <v>40.16</v>
      </c>
      <c r="K460" s="7" t="s">
        <v>356</v>
      </c>
      <c r="L460" s="74">
        <v>40.16</v>
      </c>
      <c r="M460" s="7">
        <v>67</v>
      </c>
      <c r="N460" s="7"/>
      <c r="O460" s="438">
        <f t="shared" si="21"/>
        <v>2690.72</v>
      </c>
      <c r="P460" s="464">
        <v>15</v>
      </c>
      <c r="Q460" s="465">
        <f t="shared" si="22"/>
        <v>188.3504</v>
      </c>
      <c r="R460" s="438">
        <v>600</v>
      </c>
      <c r="S460" s="439">
        <f t="shared" si="23"/>
        <v>1887.3696</v>
      </c>
      <c r="T460" s="7"/>
      <c r="U460" s="7"/>
      <c r="V460" s="7"/>
      <c r="W460" s="417">
        <v>1</v>
      </c>
    </row>
    <row r="461" s="417" customFormat="1" ht="16" customHeight="1" spans="1:23">
      <c r="A461" s="449">
        <v>46190</v>
      </c>
      <c r="B461" s="449">
        <v>46191</v>
      </c>
      <c r="C461" s="442" t="s">
        <v>633</v>
      </c>
      <c r="D461" s="7" t="s">
        <v>233</v>
      </c>
      <c r="E461" s="7" t="s">
        <v>69</v>
      </c>
      <c r="F461" s="7" t="s">
        <v>69</v>
      </c>
      <c r="G461" s="7" t="s">
        <v>70</v>
      </c>
      <c r="H461" s="7" t="s">
        <v>354</v>
      </c>
      <c r="I461" s="7" t="s">
        <v>355</v>
      </c>
      <c r="J461" s="74">
        <v>39.56</v>
      </c>
      <c r="K461" s="7" t="s">
        <v>356</v>
      </c>
      <c r="L461" s="74">
        <v>39.56</v>
      </c>
      <c r="M461" s="7">
        <v>67</v>
      </c>
      <c r="N461" s="7"/>
      <c r="O461" s="438">
        <f t="shared" si="21"/>
        <v>2650.52</v>
      </c>
      <c r="P461" s="464">
        <v>15</v>
      </c>
      <c r="Q461" s="465">
        <f t="shared" si="22"/>
        <v>185.5364</v>
      </c>
      <c r="R461" s="438">
        <v>600</v>
      </c>
      <c r="S461" s="439">
        <f t="shared" si="23"/>
        <v>1849.9836</v>
      </c>
      <c r="T461" s="7"/>
      <c r="U461" s="7"/>
      <c r="V461" s="7"/>
      <c r="W461" s="417">
        <v>1</v>
      </c>
    </row>
    <row r="462" s="417" customFormat="1" ht="16" customHeight="1" spans="1:23">
      <c r="A462" s="449">
        <v>46190</v>
      </c>
      <c r="B462" s="449">
        <v>46191</v>
      </c>
      <c r="C462" s="442" t="s">
        <v>634</v>
      </c>
      <c r="D462" s="7" t="s">
        <v>233</v>
      </c>
      <c r="E462" s="7" t="s">
        <v>105</v>
      </c>
      <c r="F462" s="7" t="s">
        <v>105</v>
      </c>
      <c r="G462" s="7" t="s">
        <v>106</v>
      </c>
      <c r="H462" s="7" t="s">
        <v>354</v>
      </c>
      <c r="I462" s="7" t="s">
        <v>355</v>
      </c>
      <c r="J462" s="74">
        <v>40.08</v>
      </c>
      <c r="K462" s="7" t="s">
        <v>356</v>
      </c>
      <c r="L462" s="74">
        <v>40.06</v>
      </c>
      <c r="M462" s="7">
        <v>67</v>
      </c>
      <c r="N462" s="7"/>
      <c r="O462" s="438">
        <f t="shared" si="21"/>
        <v>2684.02</v>
      </c>
      <c r="P462" s="464">
        <v>15</v>
      </c>
      <c r="Q462" s="465">
        <f t="shared" si="22"/>
        <v>187.8814</v>
      </c>
      <c r="R462" s="438">
        <v>600</v>
      </c>
      <c r="S462" s="439">
        <f t="shared" si="23"/>
        <v>1881.1386</v>
      </c>
      <c r="T462" s="7"/>
      <c r="U462" s="7"/>
      <c r="V462" s="7"/>
      <c r="W462" s="417">
        <v>1</v>
      </c>
    </row>
    <row r="463" s="417" customFormat="1" ht="16" customHeight="1" spans="1:23">
      <c r="A463" s="449">
        <v>46190</v>
      </c>
      <c r="B463" s="449">
        <v>46191</v>
      </c>
      <c r="C463" s="7"/>
      <c r="D463" s="7" t="s">
        <v>235</v>
      </c>
      <c r="E463" s="7" t="s">
        <v>111</v>
      </c>
      <c r="F463" s="7" t="s">
        <v>111</v>
      </c>
      <c r="G463" s="7" t="s">
        <v>112</v>
      </c>
      <c r="H463" s="7" t="s">
        <v>368</v>
      </c>
      <c r="I463" s="7" t="s">
        <v>356</v>
      </c>
      <c r="J463" s="74">
        <v>41</v>
      </c>
      <c r="K463" s="471" t="s">
        <v>369</v>
      </c>
      <c r="L463" s="74">
        <v>41.2</v>
      </c>
      <c r="M463" s="7">
        <v>48</v>
      </c>
      <c r="N463" s="7"/>
      <c r="O463" s="438">
        <f t="shared" si="21"/>
        <v>1977.6</v>
      </c>
      <c r="P463" s="464">
        <v>15</v>
      </c>
      <c r="Q463" s="465">
        <f t="shared" si="22"/>
        <v>138.432</v>
      </c>
      <c r="R463" s="438">
        <v>600</v>
      </c>
      <c r="S463" s="439">
        <f t="shared" si="23"/>
        <v>1224.168</v>
      </c>
      <c r="T463" s="7"/>
      <c r="U463" s="7"/>
      <c r="V463" s="7"/>
      <c r="W463" s="417">
        <v>1</v>
      </c>
    </row>
    <row r="464" s="417" customFormat="1" ht="16" customHeight="1" spans="1:23">
      <c r="A464" s="449">
        <v>46190</v>
      </c>
      <c r="B464" s="449">
        <v>46191</v>
      </c>
      <c r="C464" s="7"/>
      <c r="D464" s="7" t="s">
        <v>235</v>
      </c>
      <c r="E464" s="7" t="s">
        <v>114</v>
      </c>
      <c r="F464" s="7" t="s">
        <v>114</v>
      </c>
      <c r="G464" s="7" t="s">
        <v>115</v>
      </c>
      <c r="H464" s="7" t="s">
        <v>368</v>
      </c>
      <c r="I464" s="7" t="s">
        <v>356</v>
      </c>
      <c r="J464" s="74">
        <v>43.7</v>
      </c>
      <c r="K464" s="7" t="s">
        <v>371</v>
      </c>
      <c r="L464" s="74">
        <v>43.55</v>
      </c>
      <c r="M464" s="7">
        <v>61</v>
      </c>
      <c r="N464" s="7"/>
      <c r="O464" s="438">
        <f t="shared" si="21"/>
        <v>2656.55</v>
      </c>
      <c r="P464" s="464">
        <v>15</v>
      </c>
      <c r="Q464" s="465">
        <f t="shared" si="22"/>
        <v>185.9585</v>
      </c>
      <c r="R464" s="438">
        <v>600</v>
      </c>
      <c r="S464" s="439">
        <f t="shared" si="23"/>
        <v>1855.5915</v>
      </c>
      <c r="T464" s="7"/>
      <c r="U464" s="7"/>
      <c r="V464" s="7"/>
      <c r="W464" s="417">
        <v>1</v>
      </c>
    </row>
    <row r="465" s="417" customFormat="1" ht="16" customHeight="1" spans="1:23">
      <c r="A465" s="449">
        <v>46190</v>
      </c>
      <c r="B465" s="449">
        <v>46191</v>
      </c>
      <c r="C465" s="7"/>
      <c r="D465" s="7" t="s">
        <v>235</v>
      </c>
      <c r="E465" s="7" t="s">
        <v>51</v>
      </c>
      <c r="F465" s="7" t="s">
        <v>51</v>
      </c>
      <c r="G465" s="7" t="s">
        <v>52</v>
      </c>
      <c r="H465" s="7" t="s">
        <v>368</v>
      </c>
      <c r="I465" s="7" t="s">
        <v>356</v>
      </c>
      <c r="J465" s="74">
        <v>44.74</v>
      </c>
      <c r="K465" s="471" t="s">
        <v>369</v>
      </c>
      <c r="L465" s="74">
        <v>44.8</v>
      </c>
      <c r="M465" s="7">
        <v>48</v>
      </c>
      <c r="N465" s="7"/>
      <c r="O465" s="438">
        <f t="shared" si="21"/>
        <v>2150.4</v>
      </c>
      <c r="P465" s="464">
        <v>15</v>
      </c>
      <c r="Q465" s="465">
        <f t="shared" si="22"/>
        <v>150.528</v>
      </c>
      <c r="R465" s="438">
        <v>600</v>
      </c>
      <c r="S465" s="439">
        <f t="shared" si="23"/>
        <v>1384.872</v>
      </c>
      <c r="T465" s="7"/>
      <c r="U465" s="7"/>
      <c r="V465" s="7"/>
      <c r="W465" s="417">
        <v>1</v>
      </c>
    </row>
    <row r="466" s="417" customFormat="1" ht="16" customHeight="1" spans="1:23">
      <c r="A466" s="449">
        <v>46190</v>
      </c>
      <c r="B466" s="449">
        <v>46191</v>
      </c>
      <c r="C466" s="7"/>
      <c r="D466" s="7" t="s">
        <v>235</v>
      </c>
      <c r="E466" s="7" t="s">
        <v>141</v>
      </c>
      <c r="F466" s="7" t="s">
        <v>141</v>
      </c>
      <c r="G466" s="7" t="s">
        <v>142</v>
      </c>
      <c r="H466" s="7" t="s">
        <v>368</v>
      </c>
      <c r="I466" s="7" t="s">
        <v>356</v>
      </c>
      <c r="J466" s="74">
        <v>48.22</v>
      </c>
      <c r="K466" s="7" t="s">
        <v>371</v>
      </c>
      <c r="L466" s="74">
        <v>48.07</v>
      </c>
      <c r="M466" s="7">
        <v>61</v>
      </c>
      <c r="N466" s="7"/>
      <c r="O466" s="438">
        <f t="shared" si="21"/>
        <v>2932.27</v>
      </c>
      <c r="P466" s="464">
        <v>15</v>
      </c>
      <c r="Q466" s="465">
        <f t="shared" si="22"/>
        <v>205.2589</v>
      </c>
      <c r="R466" s="438">
        <v>600</v>
      </c>
      <c r="S466" s="439">
        <f t="shared" si="23"/>
        <v>2112.0111</v>
      </c>
      <c r="T466" s="7"/>
      <c r="U466" s="7"/>
      <c r="V466" s="7"/>
      <c r="W466" s="417">
        <v>1</v>
      </c>
    </row>
    <row r="467" s="417" customFormat="1" ht="16" customHeight="1" spans="1:23">
      <c r="A467" s="449">
        <v>46190</v>
      </c>
      <c r="B467" s="449">
        <v>46191</v>
      </c>
      <c r="C467" s="7"/>
      <c r="D467" s="7" t="s">
        <v>235</v>
      </c>
      <c r="E467" s="7" t="s">
        <v>78</v>
      </c>
      <c r="F467" s="7" t="s">
        <v>78</v>
      </c>
      <c r="G467" s="7" t="s">
        <v>79</v>
      </c>
      <c r="H467" s="7" t="s">
        <v>368</v>
      </c>
      <c r="I467" s="7" t="s">
        <v>356</v>
      </c>
      <c r="J467" s="74">
        <v>43.72</v>
      </c>
      <c r="K467" s="471" t="s">
        <v>369</v>
      </c>
      <c r="L467" s="74">
        <v>43.76</v>
      </c>
      <c r="M467" s="7">
        <v>48</v>
      </c>
      <c r="N467" s="7"/>
      <c r="O467" s="438">
        <f t="shared" si="21"/>
        <v>2100.48</v>
      </c>
      <c r="P467" s="464">
        <v>15</v>
      </c>
      <c r="Q467" s="465">
        <f t="shared" si="22"/>
        <v>147.0336</v>
      </c>
      <c r="R467" s="438">
        <v>600</v>
      </c>
      <c r="S467" s="439">
        <f t="shared" si="23"/>
        <v>1338.4464</v>
      </c>
      <c r="T467" s="7"/>
      <c r="U467" s="7"/>
      <c r="V467" s="7"/>
      <c r="W467" s="417">
        <v>1</v>
      </c>
    </row>
    <row r="468" s="417" customFormat="1" ht="16" customHeight="1" spans="1:23">
      <c r="A468" s="449">
        <v>46190</v>
      </c>
      <c r="B468" s="449">
        <v>46191</v>
      </c>
      <c r="C468" s="7"/>
      <c r="D468" s="7" t="s">
        <v>235</v>
      </c>
      <c r="E468" s="7" t="s">
        <v>57</v>
      </c>
      <c r="F468" s="7" t="s">
        <v>57</v>
      </c>
      <c r="G468" s="7" t="s">
        <v>58</v>
      </c>
      <c r="H468" s="7" t="s">
        <v>368</v>
      </c>
      <c r="I468" s="7" t="s">
        <v>356</v>
      </c>
      <c r="J468" s="74">
        <v>43.46</v>
      </c>
      <c r="K468" s="471" t="s">
        <v>369</v>
      </c>
      <c r="L468" s="74">
        <v>43.56</v>
      </c>
      <c r="M468" s="7">
        <v>48</v>
      </c>
      <c r="N468" s="7"/>
      <c r="O468" s="438">
        <f t="shared" si="21"/>
        <v>2090.88</v>
      </c>
      <c r="P468" s="464">
        <v>15</v>
      </c>
      <c r="Q468" s="465">
        <f t="shared" si="22"/>
        <v>146.3616</v>
      </c>
      <c r="R468" s="438">
        <v>600</v>
      </c>
      <c r="S468" s="439">
        <f t="shared" si="23"/>
        <v>1329.5184</v>
      </c>
      <c r="T468" s="7"/>
      <c r="U468" s="7"/>
      <c r="V468" s="7"/>
      <c r="W468" s="417">
        <v>1</v>
      </c>
    </row>
    <row r="469" s="417" customFormat="1" ht="16" customHeight="1" spans="1:23">
      <c r="A469" s="449">
        <v>46190</v>
      </c>
      <c r="B469" s="449">
        <v>46191</v>
      </c>
      <c r="C469" s="7"/>
      <c r="D469" s="7" t="s">
        <v>235</v>
      </c>
      <c r="E469" s="7" t="s">
        <v>87</v>
      </c>
      <c r="F469" s="7" t="s">
        <v>87</v>
      </c>
      <c r="G469" s="7" t="s">
        <v>88</v>
      </c>
      <c r="H469" s="7" t="s">
        <v>368</v>
      </c>
      <c r="I469" s="7" t="s">
        <v>356</v>
      </c>
      <c r="J469" s="74">
        <v>41.18</v>
      </c>
      <c r="K469" s="7" t="s">
        <v>371</v>
      </c>
      <c r="L469" s="74">
        <v>41.04</v>
      </c>
      <c r="M469" s="7">
        <v>61</v>
      </c>
      <c r="N469" s="7"/>
      <c r="O469" s="438">
        <f t="shared" si="21"/>
        <v>2503.44</v>
      </c>
      <c r="P469" s="464">
        <v>15</v>
      </c>
      <c r="Q469" s="465">
        <f t="shared" si="22"/>
        <v>175.2408</v>
      </c>
      <c r="R469" s="438">
        <v>600</v>
      </c>
      <c r="S469" s="439">
        <f t="shared" si="23"/>
        <v>1713.1992</v>
      </c>
      <c r="T469" s="7"/>
      <c r="U469" s="7"/>
      <c r="V469" s="7"/>
      <c r="W469" s="417">
        <v>1</v>
      </c>
    </row>
    <row r="470" s="417" customFormat="1" ht="16" customHeight="1" spans="1:23">
      <c r="A470" s="449">
        <v>46190</v>
      </c>
      <c r="B470" s="449">
        <v>46191</v>
      </c>
      <c r="C470" s="7"/>
      <c r="D470" s="7" t="s">
        <v>235</v>
      </c>
      <c r="E470" s="7" t="s">
        <v>132</v>
      </c>
      <c r="F470" s="7" t="s">
        <v>132</v>
      </c>
      <c r="G470" s="7" t="s">
        <v>133</v>
      </c>
      <c r="H470" s="7" t="s">
        <v>368</v>
      </c>
      <c r="I470" s="7" t="s">
        <v>356</v>
      </c>
      <c r="J470" s="74">
        <v>45.42</v>
      </c>
      <c r="K470" s="471" t="s">
        <v>369</v>
      </c>
      <c r="L470" s="74">
        <v>45.48</v>
      </c>
      <c r="M470" s="7">
        <v>48</v>
      </c>
      <c r="N470" s="7"/>
      <c r="O470" s="438">
        <f t="shared" si="21"/>
        <v>2183.04</v>
      </c>
      <c r="P470" s="464">
        <v>15</v>
      </c>
      <c r="Q470" s="465">
        <f t="shared" si="22"/>
        <v>152.8128</v>
      </c>
      <c r="R470" s="438">
        <v>600</v>
      </c>
      <c r="S470" s="439">
        <f t="shared" si="23"/>
        <v>1415.2272</v>
      </c>
      <c r="T470" s="7"/>
      <c r="U470" s="7"/>
      <c r="V470" s="7"/>
      <c r="W470" s="417">
        <v>1</v>
      </c>
    </row>
    <row r="471" s="417" customFormat="1" ht="16" customHeight="1" spans="1:23">
      <c r="A471" s="449">
        <v>46190</v>
      </c>
      <c r="B471" s="449">
        <v>46191</v>
      </c>
      <c r="C471" s="7"/>
      <c r="D471" s="7" t="s">
        <v>235</v>
      </c>
      <c r="E471" s="7" t="s">
        <v>60</v>
      </c>
      <c r="F471" s="7" t="s">
        <v>60</v>
      </c>
      <c r="G471" s="7" t="s">
        <v>61</v>
      </c>
      <c r="H471" s="7" t="s">
        <v>368</v>
      </c>
      <c r="I471" s="7" t="s">
        <v>356</v>
      </c>
      <c r="J471" s="74">
        <v>43.02</v>
      </c>
      <c r="K471" s="471" t="s">
        <v>369</v>
      </c>
      <c r="L471" s="74">
        <v>43.08</v>
      </c>
      <c r="M471" s="7">
        <v>48</v>
      </c>
      <c r="N471" s="7"/>
      <c r="O471" s="438">
        <f t="shared" si="21"/>
        <v>2067.84</v>
      </c>
      <c r="P471" s="464">
        <v>15</v>
      </c>
      <c r="Q471" s="465">
        <f t="shared" si="22"/>
        <v>144.7488</v>
      </c>
      <c r="R471" s="438">
        <v>600</v>
      </c>
      <c r="S471" s="439">
        <f t="shared" si="23"/>
        <v>1308.0912</v>
      </c>
      <c r="T471" s="7"/>
      <c r="U471" s="7"/>
      <c r="V471" s="7"/>
      <c r="W471" s="417">
        <v>1</v>
      </c>
    </row>
    <row r="472" s="417" customFormat="1" ht="16" customHeight="1" spans="1:23">
      <c r="A472" s="449">
        <v>46190</v>
      </c>
      <c r="B472" s="449">
        <v>46191</v>
      </c>
      <c r="C472" s="7" t="s">
        <v>635</v>
      </c>
      <c r="D472" s="7" t="s">
        <v>237</v>
      </c>
      <c r="E472" s="7" t="s">
        <v>180</v>
      </c>
      <c r="F472" s="7" t="s">
        <v>180</v>
      </c>
      <c r="G472" s="7" t="s">
        <v>181</v>
      </c>
      <c r="H472" s="7" t="s">
        <v>354</v>
      </c>
      <c r="I472" s="7" t="s">
        <v>407</v>
      </c>
      <c r="J472" s="74">
        <v>43.2</v>
      </c>
      <c r="K472" s="7" t="s">
        <v>356</v>
      </c>
      <c r="L472" s="74">
        <v>43.18</v>
      </c>
      <c r="M472" s="7">
        <v>87</v>
      </c>
      <c r="N472" s="7"/>
      <c r="O472" s="438">
        <f t="shared" si="21"/>
        <v>3756.66</v>
      </c>
      <c r="P472" s="438">
        <v>15</v>
      </c>
      <c r="Q472" s="438">
        <f t="shared" si="22"/>
        <v>262.9662</v>
      </c>
      <c r="R472" s="438">
        <v>800</v>
      </c>
      <c r="S472" s="439">
        <f t="shared" si="23"/>
        <v>2678.6938</v>
      </c>
      <c r="T472" s="7"/>
      <c r="U472" s="7"/>
      <c r="V472" s="7"/>
      <c r="W472" s="417">
        <v>1</v>
      </c>
    </row>
    <row r="473" s="417" customFormat="1" ht="16" customHeight="1" spans="1:23">
      <c r="A473" s="449">
        <v>46189</v>
      </c>
      <c r="B473" s="449">
        <v>46190</v>
      </c>
      <c r="C473" s="7" t="s">
        <v>636</v>
      </c>
      <c r="D473" s="7" t="s">
        <v>237</v>
      </c>
      <c r="E473" s="7" t="s">
        <v>207</v>
      </c>
      <c r="F473" s="7" t="s">
        <v>207</v>
      </c>
      <c r="G473" s="7" t="s">
        <v>208</v>
      </c>
      <c r="H473" s="7" t="s">
        <v>354</v>
      </c>
      <c r="I473" s="7" t="s">
        <v>407</v>
      </c>
      <c r="J473" s="74">
        <v>44.16</v>
      </c>
      <c r="K473" s="7" t="s">
        <v>356</v>
      </c>
      <c r="L473" s="74">
        <v>44.12</v>
      </c>
      <c r="M473" s="7">
        <v>87</v>
      </c>
      <c r="N473" s="7"/>
      <c r="O473" s="438">
        <f t="shared" si="21"/>
        <v>3838.44</v>
      </c>
      <c r="P473" s="438">
        <v>15</v>
      </c>
      <c r="Q473" s="438">
        <f t="shared" si="22"/>
        <v>268.6908</v>
      </c>
      <c r="R473" s="438">
        <v>800</v>
      </c>
      <c r="S473" s="439">
        <f t="shared" si="23"/>
        <v>2754.7492</v>
      </c>
      <c r="T473" s="7"/>
      <c r="U473" s="7"/>
      <c r="V473" s="7"/>
      <c r="W473" s="417">
        <v>1</v>
      </c>
    </row>
    <row r="474" s="417" customFormat="1" ht="16" customHeight="1" spans="1:23">
      <c r="A474" s="449">
        <v>46190</v>
      </c>
      <c r="B474" s="449">
        <v>46192</v>
      </c>
      <c r="C474" s="7" t="s">
        <v>637</v>
      </c>
      <c r="D474" s="7" t="s">
        <v>237</v>
      </c>
      <c r="E474" s="7" t="s">
        <v>210</v>
      </c>
      <c r="F474" s="7" t="s">
        <v>210</v>
      </c>
      <c r="G474" s="7" t="s">
        <v>211</v>
      </c>
      <c r="H474" s="7" t="s">
        <v>354</v>
      </c>
      <c r="I474" s="7" t="s">
        <v>407</v>
      </c>
      <c r="J474" s="74">
        <v>41.64</v>
      </c>
      <c r="K474" s="7" t="s">
        <v>356</v>
      </c>
      <c r="L474" s="74">
        <v>41.64</v>
      </c>
      <c r="M474" s="7">
        <v>87</v>
      </c>
      <c r="N474" s="7"/>
      <c r="O474" s="438">
        <f t="shared" si="21"/>
        <v>3622.68</v>
      </c>
      <c r="P474" s="438">
        <v>15</v>
      </c>
      <c r="Q474" s="438">
        <f t="shared" si="22"/>
        <v>253.5876</v>
      </c>
      <c r="R474" s="438">
        <v>800</v>
      </c>
      <c r="S474" s="439">
        <f t="shared" si="23"/>
        <v>2554.0924</v>
      </c>
      <c r="T474" s="7"/>
      <c r="U474" s="7"/>
      <c r="V474" s="7"/>
      <c r="W474" s="417">
        <v>1</v>
      </c>
    </row>
    <row r="475" s="417" customFormat="1" ht="16" customHeight="1" spans="1:23">
      <c r="A475" s="449">
        <v>46190</v>
      </c>
      <c r="B475" s="449">
        <v>46191</v>
      </c>
      <c r="C475" s="7" t="s">
        <v>638</v>
      </c>
      <c r="D475" s="7" t="s">
        <v>237</v>
      </c>
      <c r="E475" s="7" t="s">
        <v>186</v>
      </c>
      <c r="F475" s="7" t="s">
        <v>186</v>
      </c>
      <c r="G475" s="7" t="s">
        <v>187</v>
      </c>
      <c r="H475" s="7" t="s">
        <v>354</v>
      </c>
      <c r="I475" s="7" t="s">
        <v>407</v>
      </c>
      <c r="J475" s="74">
        <v>41.1</v>
      </c>
      <c r="K475" s="7" t="s">
        <v>356</v>
      </c>
      <c r="L475" s="74">
        <v>41.08</v>
      </c>
      <c r="M475" s="7">
        <v>87</v>
      </c>
      <c r="N475" s="7"/>
      <c r="O475" s="438">
        <f t="shared" si="21"/>
        <v>3573.96</v>
      </c>
      <c r="P475" s="438">
        <v>15</v>
      </c>
      <c r="Q475" s="438">
        <f t="shared" si="22"/>
        <v>250.1772</v>
      </c>
      <c r="R475" s="438">
        <v>800</v>
      </c>
      <c r="S475" s="439">
        <f t="shared" si="23"/>
        <v>2508.7828</v>
      </c>
      <c r="T475" s="7"/>
      <c r="U475" s="7"/>
      <c r="V475" s="7"/>
      <c r="W475" s="417">
        <v>1</v>
      </c>
    </row>
    <row r="476" s="419" customFormat="1" ht="16" customHeight="1" spans="1:23">
      <c r="A476" s="472">
        <v>46190</v>
      </c>
      <c r="B476" s="472">
        <v>46191</v>
      </c>
      <c r="C476" s="473" t="s">
        <v>639</v>
      </c>
      <c r="D476" s="473" t="s">
        <v>237</v>
      </c>
      <c r="E476" s="473" t="s">
        <v>166</v>
      </c>
      <c r="F476" s="473" t="s">
        <v>166</v>
      </c>
      <c r="G476" s="473" t="s">
        <v>167</v>
      </c>
      <c r="H476" s="473" t="s">
        <v>354</v>
      </c>
      <c r="I476" s="473" t="s">
        <v>407</v>
      </c>
      <c r="J476" s="473">
        <v>41</v>
      </c>
      <c r="K476" s="473" t="s">
        <v>356</v>
      </c>
      <c r="L476" s="473">
        <v>41</v>
      </c>
      <c r="M476" s="473">
        <v>87</v>
      </c>
      <c r="N476" s="473"/>
      <c r="O476" s="474">
        <f t="shared" si="21"/>
        <v>3567</v>
      </c>
      <c r="P476" s="475">
        <v>15</v>
      </c>
      <c r="Q476" s="474">
        <f t="shared" si="22"/>
        <v>249.69</v>
      </c>
      <c r="R476" s="476">
        <v>800</v>
      </c>
      <c r="S476" s="477">
        <f t="shared" si="23"/>
        <v>2502.31</v>
      </c>
      <c r="T476" s="473"/>
      <c r="U476" s="473"/>
      <c r="V476" s="473"/>
      <c r="W476" s="419">
        <v>1</v>
      </c>
    </row>
    <row r="477" s="417" customFormat="1" ht="16" customHeight="1" spans="1:23">
      <c r="A477" s="449">
        <v>46190</v>
      </c>
      <c r="B477" s="449">
        <v>46191</v>
      </c>
      <c r="C477" s="7" t="s">
        <v>640</v>
      </c>
      <c r="D477" s="7" t="s">
        <v>237</v>
      </c>
      <c r="E477" s="7" t="s">
        <v>177</v>
      </c>
      <c r="F477" s="7" t="s">
        <v>177</v>
      </c>
      <c r="G477" s="7" t="s">
        <v>178</v>
      </c>
      <c r="H477" s="7" t="s">
        <v>354</v>
      </c>
      <c r="I477" s="7" t="s">
        <v>407</v>
      </c>
      <c r="J477" s="74">
        <v>43.62</v>
      </c>
      <c r="K477" s="7" t="s">
        <v>356</v>
      </c>
      <c r="L477" s="74">
        <v>43.62</v>
      </c>
      <c r="M477" s="7">
        <v>87</v>
      </c>
      <c r="N477" s="7"/>
      <c r="O477" s="438">
        <f t="shared" si="21"/>
        <v>3794.94</v>
      </c>
      <c r="P477" s="438">
        <v>15</v>
      </c>
      <c r="Q477" s="438">
        <f t="shared" si="22"/>
        <v>265.6458</v>
      </c>
      <c r="R477" s="438">
        <v>800</v>
      </c>
      <c r="S477" s="439">
        <f t="shared" si="23"/>
        <v>2714.2942</v>
      </c>
      <c r="T477" s="7"/>
      <c r="U477" s="7"/>
      <c r="V477" s="7"/>
      <c r="W477" s="417">
        <v>1</v>
      </c>
    </row>
    <row r="478" s="417" customFormat="1" ht="16" customHeight="1" spans="1:23">
      <c r="A478" s="449">
        <v>46190</v>
      </c>
      <c r="B478" s="449">
        <v>46190</v>
      </c>
      <c r="C478" s="7"/>
      <c r="D478" s="7" t="s">
        <v>235</v>
      </c>
      <c r="E478" s="7" t="s">
        <v>144</v>
      </c>
      <c r="F478" s="7" t="s">
        <v>144</v>
      </c>
      <c r="G478" s="7" t="s">
        <v>145</v>
      </c>
      <c r="H478" s="7" t="s">
        <v>368</v>
      </c>
      <c r="I478" s="7" t="s">
        <v>356</v>
      </c>
      <c r="J478" s="74">
        <v>44.44</v>
      </c>
      <c r="K478" s="7" t="s">
        <v>371</v>
      </c>
      <c r="L478" s="74">
        <v>44.29</v>
      </c>
      <c r="M478" s="7">
        <v>61</v>
      </c>
      <c r="N478" s="7"/>
      <c r="O478" s="438">
        <f t="shared" si="21"/>
        <v>2701.69</v>
      </c>
      <c r="P478" s="464">
        <v>15</v>
      </c>
      <c r="Q478" s="465">
        <f t="shared" si="22"/>
        <v>189.1183</v>
      </c>
      <c r="R478" s="438">
        <v>600</v>
      </c>
      <c r="S478" s="439">
        <f t="shared" si="23"/>
        <v>1897.5717</v>
      </c>
      <c r="T478" s="7"/>
      <c r="U478" s="7"/>
      <c r="V478" s="7"/>
      <c r="W478" s="417">
        <v>1</v>
      </c>
    </row>
    <row r="479" s="417" customFormat="1" ht="16" customHeight="1" spans="1:23">
      <c r="A479" s="449">
        <v>46190</v>
      </c>
      <c r="B479" s="470">
        <v>46191</v>
      </c>
      <c r="C479" s="7"/>
      <c r="D479" s="7" t="s">
        <v>235</v>
      </c>
      <c r="E479" s="7" t="s">
        <v>339</v>
      </c>
      <c r="F479" s="7" t="s">
        <v>339</v>
      </c>
      <c r="G479" s="7" t="s">
        <v>170</v>
      </c>
      <c r="H479" s="7" t="s">
        <v>368</v>
      </c>
      <c r="I479" s="7" t="s">
        <v>356</v>
      </c>
      <c r="J479" s="74">
        <v>45.2</v>
      </c>
      <c r="K479" s="7" t="s">
        <v>369</v>
      </c>
      <c r="L479" s="74">
        <v>45.2</v>
      </c>
      <c r="M479" s="7">
        <v>48</v>
      </c>
      <c r="N479" s="7"/>
      <c r="O479" s="438">
        <f t="shared" si="21"/>
        <v>2169.6</v>
      </c>
      <c r="P479" s="464">
        <v>15</v>
      </c>
      <c r="Q479" s="465">
        <f t="shared" si="22"/>
        <v>151.872</v>
      </c>
      <c r="R479" s="438">
        <v>600</v>
      </c>
      <c r="S479" s="439">
        <f t="shared" si="23"/>
        <v>1402.728</v>
      </c>
      <c r="T479" s="7"/>
      <c r="U479" s="7"/>
      <c r="V479" s="7"/>
      <c r="W479" s="417">
        <v>1</v>
      </c>
    </row>
    <row r="480" s="417" customFormat="1" ht="16" customHeight="1" spans="1:23">
      <c r="A480" s="449">
        <v>46190</v>
      </c>
      <c r="B480" s="449">
        <v>46191</v>
      </c>
      <c r="C480" s="7" t="s">
        <v>641</v>
      </c>
      <c r="D480" s="7" t="s">
        <v>237</v>
      </c>
      <c r="E480" s="7" t="s">
        <v>148</v>
      </c>
      <c r="F480" s="7" t="s">
        <v>148</v>
      </c>
      <c r="G480" s="7" t="s">
        <v>149</v>
      </c>
      <c r="H480" s="7" t="s">
        <v>354</v>
      </c>
      <c r="I480" s="7" t="s">
        <v>407</v>
      </c>
      <c r="J480" s="74">
        <v>47</v>
      </c>
      <c r="K480" s="7" t="s">
        <v>356</v>
      </c>
      <c r="L480" s="74">
        <v>47</v>
      </c>
      <c r="M480" s="7">
        <v>87</v>
      </c>
      <c r="N480" s="7"/>
      <c r="O480" s="438">
        <f t="shared" si="21"/>
        <v>4089</v>
      </c>
      <c r="P480" s="438">
        <v>15</v>
      </c>
      <c r="Q480" s="438">
        <f t="shared" si="22"/>
        <v>286.23</v>
      </c>
      <c r="R480" s="438">
        <v>800</v>
      </c>
      <c r="S480" s="439">
        <f t="shared" si="23"/>
        <v>2987.77</v>
      </c>
      <c r="T480" s="7"/>
      <c r="U480" s="7"/>
      <c r="V480" s="7"/>
      <c r="W480" s="417">
        <v>1</v>
      </c>
    </row>
    <row r="481" s="417" customFormat="1" ht="16" customHeight="1" spans="1:23">
      <c r="A481" s="449">
        <v>46190</v>
      </c>
      <c r="B481" s="449">
        <v>46191</v>
      </c>
      <c r="C481" s="7" t="s">
        <v>642</v>
      </c>
      <c r="D481" s="7" t="s">
        <v>237</v>
      </c>
      <c r="E481" s="7" t="s">
        <v>183</v>
      </c>
      <c r="F481" s="7" t="s">
        <v>183</v>
      </c>
      <c r="G481" s="7" t="s">
        <v>184</v>
      </c>
      <c r="H481" s="7" t="s">
        <v>354</v>
      </c>
      <c r="I481" s="7" t="s">
        <v>407</v>
      </c>
      <c r="J481" s="74">
        <v>44.78</v>
      </c>
      <c r="K481" s="7" t="s">
        <v>356</v>
      </c>
      <c r="L481" s="74">
        <v>44.76</v>
      </c>
      <c r="M481" s="7">
        <v>87</v>
      </c>
      <c r="N481" s="7"/>
      <c r="O481" s="438">
        <f t="shared" si="21"/>
        <v>3894.12</v>
      </c>
      <c r="P481" s="438">
        <v>15</v>
      </c>
      <c r="Q481" s="438">
        <f t="shared" si="22"/>
        <v>272.5884</v>
      </c>
      <c r="R481" s="438">
        <v>800</v>
      </c>
      <c r="S481" s="439">
        <f t="shared" si="23"/>
        <v>2806.5316</v>
      </c>
      <c r="T481" s="7"/>
      <c r="U481" s="7"/>
      <c r="V481" s="7"/>
      <c r="W481" s="417">
        <v>1</v>
      </c>
    </row>
    <row r="482" s="417" customFormat="1" ht="16" customHeight="1" spans="1:23">
      <c r="A482" s="449">
        <v>46191</v>
      </c>
      <c r="B482" s="449">
        <v>46192</v>
      </c>
      <c r="C482" s="7" t="s">
        <v>643</v>
      </c>
      <c r="D482" s="7" t="s">
        <v>236</v>
      </c>
      <c r="E482" s="7" t="s">
        <v>124</v>
      </c>
      <c r="F482" s="7" t="s">
        <v>124</v>
      </c>
      <c r="G482" s="7" t="s">
        <v>125</v>
      </c>
      <c r="H482" s="7" t="s">
        <v>354</v>
      </c>
      <c r="I482" s="7" t="s">
        <v>369</v>
      </c>
      <c r="J482" s="74">
        <v>36.34</v>
      </c>
      <c r="K482" s="7" t="s">
        <v>356</v>
      </c>
      <c r="L482" s="74">
        <v>36.3</v>
      </c>
      <c r="M482" s="7">
        <v>68</v>
      </c>
      <c r="N482" s="7"/>
      <c r="O482" s="438">
        <f t="shared" si="21"/>
        <v>2468.4</v>
      </c>
      <c r="P482" s="464">
        <v>15</v>
      </c>
      <c r="Q482" s="465">
        <f t="shared" si="22"/>
        <v>172.788</v>
      </c>
      <c r="R482" s="438">
        <v>600</v>
      </c>
      <c r="S482" s="439">
        <f t="shared" si="23"/>
        <v>1680.612</v>
      </c>
      <c r="T482" s="7"/>
      <c r="U482" s="7"/>
      <c r="V482" s="7"/>
      <c r="W482" s="417">
        <v>1</v>
      </c>
    </row>
    <row r="483" s="417" customFormat="1" ht="16" customHeight="1" spans="1:23">
      <c r="A483" s="449">
        <v>46191</v>
      </c>
      <c r="B483" s="449">
        <v>46192</v>
      </c>
      <c r="C483" s="7" t="s">
        <v>644</v>
      </c>
      <c r="D483" s="7" t="s">
        <v>236</v>
      </c>
      <c r="E483" s="7" t="s">
        <v>60</v>
      </c>
      <c r="F483" s="7" t="s">
        <v>60</v>
      </c>
      <c r="G483" s="7" t="s">
        <v>61</v>
      </c>
      <c r="H483" s="7" t="s">
        <v>354</v>
      </c>
      <c r="I483" s="7" t="s">
        <v>369</v>
      </c>
      <c r="J483" s="74">
        <v>39.64</v>
      </c>
      <c r="K483" s="7" t="s">
        <v>356</v>
      </c>
      <c r="L483" s="74">
        <v>39.6</v>
      </c>
      <c r="M483" s="7">
        <v>68</v>
      </c>
      <c r="N483" s="7"/>
      <c r="O483" s="438">
        <f t="shared" si="21"/>
        <v>2692.8</v>
      </c>
      <c r="P483" s="464">
        <v>15</v>
      </c>
      <c r="Q483" s="465">
        <f t="shared" si="22"/>
        <v>188.496</v>
      </c>
      <c r="R483" s="438">
        <v>600</v>
      </c>
      <c r="S483" s="439">
        <f t="shared" si="23"/>
        <v>1889.304</v>
      </c>
      <c r="T483" s="7"/>
      <c r="U483" s="7"/>
      <c r="V483" s="7"/>
      <c r="W483" s="417">
        <v>1</v>
      </c>
    </row>
    <row r="484" s="417" customFormat="1" ht="16" customHeight="1" spans="1:23">
      <c r="A484" s="449">
        <v>46192</v>
      </c>
      <c r="B484" s="449">
        <v>46192</v>
      </c>
      <c r="C484" s="7" t="s">
        <v>645</v>
      </c>
      <c r="D484" s="7" t="s">
        <v>236</v>
      </c>
      <c r="E484" s="7" t="s">
        <v>108</v>
      </c>
      <c r="F484" s="7" t="s">
        <v>108</v>
      </c>
      <c r="G484" s="7" t="s">
        <v>109</v>
      </c>
      <c r="H484" s="7" t="s">
        <v>354</v>
      </c>
      <c r="I484" s="7" t="s">
        <v>369</v>
      </c>
      <c r="J484" s="74">
        <v>39.88</v>
      </c>
      <c r="K484" s="7" t="s">
        <v>356</v>
      </c>
      <c r="L484" s="74">
        <v>39.84</v>
      </c>
      <c r="M484" s="7">
        <v>68</v>
      </c>
      <c r="N484" s="7"/>
      <c r="O484" s="438">
        <f t="shared" si="21"/>
        <v>2709.12</v>
      </c>
      <c r="P484" s="464">
        <v>15</v>
      </c>
      <c r="Q484" s="465">
        <f t="shared" si="22"/>
        <v>189.6384</v>
      </c>
      <c r="R484" s="438">
        <v>600</v>
      </c>
      <c r="S484" s="439">
        <f t="shared" si="23"/>
        <v>1904.4816</v>
      </c>
      <c r="T484" s="7"/>
      <c r="U484" s="7"/>
      <c r="V484" s="7"/>
      <c r="W484" s="417">
        <v>1</v>
      </c>
    </row>
    <row r="485" s="419" customFormat="1" ht="16" customHeight="1" spans="1:23">
      <c r="A485" s="472">
        <v>46192</v>
      </c>
      <c r="B485" s="472">
        <v>46193</v>
      </c>
      <c r="C485" s="473" t="s">
        <v>646</v>
      </c>
      <c r="D485" s="473" t="s">
        <v>236</v>
      </c>
      <c r="E485" s="473" t="s">
        <v>63</v>
      </c>
      <c r="F485" s="473" t="s">
        <v>63</v>
      </c>
      <c r="G485" s="473" t="s">
        <v>327</v>
      </c>
      <c r="H485" s="473" t="s">
        <v>354</v>
      </c>
      <c r="I485" s="473" t="s">
        <v>369</v>
      </c>
      <c r="J485" s="473">
        <v>39.58</v>
      </c>
      <c r="K485" s="473" t="s">
        <v>356</v>
      </c>
      <c r="L485" s="473">
        <v>39.58</v>
      </c>
      <c r="M485" s="473">
        <v>68</v>
      </c>
      <c r="N485" s="473"/>
      <c r="O485" s="474">
        <f t="shared" si="21"/>
        <v>2691.44</v>
      </c>
      <c r="P485" s="476">
        <v>15</v>
      </c>
      <c r="Q485" s="474">
        <f t="shared" si="22"/>
        <v>188.4008</v>
      </c>
      <c r="R485" s="476">
        <v>600</v>
      </c>
      <c r="S485" s="477">
        <f t="shared" si="23"/>
        <v>1888.0392</v>
      </c>
      <c r="T485" s="473"/>
      <c r="U485" s="473"/>
      <c r="V485" s="473"/>
      <c r="W485" s="419">
        <v>1</v>
      </c>
    </row>
    <row r="486" s="419" customFormat="1" ht="16" customHeight="1" spans="1:23">
      <c r="A486" s="472">
        <v>46192</v>
      </c>
      <c r="B486" s="472">
        <v>46193</v>
      </c>
      <c r="C486" s="473" t="s">
        <v>647</v>
      </c>
      <c r="D486" s="473" t="s">
        <v>236</v>
      </c>
      <c r="E486" s="473" t="s">
        <v>69</v>
      </c>
      <c r="F486" s="473" t="s">
        <v>69</v>
      </c>
      <c r="G486" s="473" t="s">
        <v>70</v>
      </c>
      <c r="H486" s="473" t="s">
        <v>354</v>
      </c>
      <c r="I486" s="473" t="s">
        <v>369</v>
      </c>
      <c r="J486" s="473">
        <v>39.4</v>
      </c>
      <c r="K486" s="473" t="s">
        <v>356</v>
      </c>
      <c r="L486" s="473">
        <v>39.38</v>
      </c>
      <c r="M486" s="473">
        <v>68</v>
      </c>
      <c r="N486" s="473"/>
      <c r="O486" s="474">
        <f t="shared" si="21"/>
        <v>2677.84</v>
      </c>
      <c r="P486" s="476">
        <v>15</v>
      </c>
      <c r="Q486" s="474">
        <f t="shared" si="22"/>
        <v>187.4488</v>
      </c>
      <c r="R486" s="476">
        <v>600</v>
      </c>
      <c r="S486" s="477">
        <f t="shared" si="23"/>
        <v>1875.3912</v>
      </c>
      <c r="T486" s="473"/>
      <c r="U486" s="473"/>
      <c r="V486" s="473"/>
      <c r="W486" s="419">
        <v>1</v>
      </c>
    </row>
    <row r="487" s="419" customFormat="1" ht="16" customHeight="1" spans="1:23">
      <c r="A487" s="472">
        <v>46192</v>
      </c>
      <c r="B487" s="472">
        <v>46193</v>
      </c>
      <c r="C487" s="473" t="s">
        <v>648</v>
      </c>
      <c r="D487" s="473" t="s">
        <v>236</v>
      </c>
      <c r="E487" s="473" t="s">
        <v>141</v>
      </c>
      <c r="F487" s="473" t="s">
        <v>141</v>
      </c>
      <c r="G487" s="473" t="s">
        <v>142</v>
      </c>
      <c r="H487" s="473" t="s">
        <v>354</v>
      </c>
      <c r="I487" s="473" t="s">
        <v>369</v>
      </c>
      <c r="J487" s="473">
        <v>37.88</v>
      </c>
      <c r="K487" s="473" t="s">
        <v>356</v>
      </c>
      <c r="L487" s="473">
        <v>37.84</v>
      </c>
      <c r="M487" s="473">
        <v>68</v>
      </c>
      <c r="N487" s="473"/>
      <c r="O487" s="474">
        <f t="shared" si="21"/>
        <v>2573.12</v>
      </c>
      <c r="P487" s="476">
        <v>15</v>
      </c>
      <c r="Q487" s="474">
        <f t="shared" si="22"/>
        <v>180.1184</v>
      </c>
      <c r="R487" s="476">
        <v>600</v>
      </c>
      <c r="S487" s="477">
        <f t="shared" si="23"/>
        <v>1778.0016</v>
      </c>
      <c r="T487" s="473"/>
      <c r="U487" s="473"/>
      <c r="V487" s="473"/>
      <c r="W487" s="419">
        <v>1</v>
      </c>
    </row>
    <row r="488" s="417" customFormat="1" ht="16" customHeight="1" spans="1:23">
      <c r="A488" s="449">
        <v>46190</v>
      </c>
      <c r="B488" s="449">
        <v>46191</v>
      </c>
      <c r="C488" s="442" t="s">
        <v>649</v>
      </c>
      <c r="D488" s="7" t="s">
        <v>233</v>
      </c>
      <c r="E488" s="7" t="s">
        <v>54</v>
      </c>
      <c r="F488" s="7" t="s">
        <v>54</v>
      </c>
      <c r="G488" s="7" t="s">
        <v>55</v>
      </c>
      <c r="H488" s="7" t="s">
        <v>354</v>
      </c>
      <c r="I488" s="7" t="s">
        <v>355</v>
      </c>
      <c r="J488" s="74">
        <v>41.24</v>
      </c>
      <c r="K488" s="7" t="s">
        <v>356</v>
      </c>
      <c r="L488" s="74">
        <v>41.24</v>
      </c>
      <c r="M488" s="7">
        <v>67</v>
      </c>
      <c r="N488" s="7"/>
      <c r="O488" s="438">
        <f t="shared" si="21"/>
        <v>2763.08</v>
      </c>
      <c r="P488" s="464">
        <v>15</v>
      </c>
      <c r="Q488" s="465">
        <f t="shared" si="22"/>
        <v>193.4156</v>
      </c>
      <c r="R488" s="438">
        <v>600</v>
      </c>
      <c r="S488" s="439">
        <f t="shared" si="23"/>
        <v>1954.6644</v>
      </c>
      <c r="T488" s="7"/>
      <c r="U488" s="7"/>
      <c r="V488" s="7"/>
      <c r="W488" s="417">
        <v>1</v>
      </c>
    </row>
    <row r="489" s="417" customFormat="1" ht="16" customHeight="1" spans="1:23">
      <c r="A489" s="449">
        <v>46190</v>
      </c>
      <c r="B489" s="449">
        <v>46191</v>
      </c>
      <c r="C489" s="442" t="s">
        <v>650</v>
      </c>
      <c r="D489" s="7" t="s">
        <v>233</v>
      </c>
      <c r="E489" s="7" t="s">
        <v>138</v>
      </c>
      <c r="F489" s="7" t="s">
        <v>138</v>
      </c>
      <c r="G489" s="7" t="s">
        <v>139</v>
      </c>
      <c r="H489" s="7" t="s">
        <v>354</v>
      </c>
      <c r="I489" s="7" t="s">
        <v>355</v>
      </c>
      <c r="J489" s="74">
        <v>38.68</v>
      </c>
      <c r="K489" s="7" t="s">
        <v>356</v>
      </c>
      <c r="L489" s="74">
        <v>38.68</v>
      </c>
      <c r="M489" s="7">
        <v>67</v>
      </c>
      <c r="N489" s="7"/>
      <c r="O489" s="438">
        <f t="shared" si="21"/>
        <v>2591.56</v>
      </c>
      <c r="P489" s="464">
        <v>15</v>
      </c>
      <c r="Q489" s="465">
        <f t="shared" si="22"/>
        <v>181.4092</v>
      </c>
      <c r="R489" s="438">
        <v>600</v>
      </c>
      <c r="S489" s="439">
        <f t="shared" si="23"/>
        <v>1795.1508</v>
      </c>
      <c r="T489" s="7"/>
      <c r="U489" s="7"/>
      <c r="V489" s="7"/>
      <c r="W489" s="417">
        <v>1</v>
      </c>
    </row>
    <row r="490" s="417" customFormat="1" ht="16" customHeight="1" spans="1:23">
      <c r="A490" s="449">
        <v>46191</v>
      </c>
      <c r="B490" s="449">
        <v>46192</v>
      </c>
      <c r="C490" s="442" t="s">
        <v>651</v>
      </c>
      <c r="D490" s="7" t="s">
        <v>233</v>
      </c>
      <c r="E490" s="7" t="s">
        <v>90</v>
      </c>
      <c r="F490" s="7" t="s">
        <v>90</v>
      </c>
      <c r="G490" s="7" t="s">
        <v>91</v>
      </c>
      <c r="H490" s="7" t="s">
        <v>354</v>
      </c>
      <c r="I490" s="7" t="s">
        <v>355</v>
      </c>
      <c r="J490" s="74">
        <v>39.86</v>
      </c>
      <c r="K490" s="7" t="s">
        <v>356</v>
      </c>
      <c r="L490" s="74">
        <v>39.84</v>
      </c>
      <c r="M490" s="7">
        <v>67</v>
      </c>
      <c r="N490" s="7"/>
      <c r="O490" s="438">
        <f t="shared" si="21"/>
        <v>2669.28</v>
      </c>
      <c r="P490" s="464">
        <v>15</v>
      </c>
      <c r="Q490" s="465">
        <f t="shared" si="22"/>
        <v>186.8496</v>
      </c>
      <c r="R490" s="438">
        <v>600</v>
      </c>
      <c r="S490" s="439">
        <f t="shared" si="23"/>
        <v>1867.4304</v>
      </c>
      <c r="T490" s="7"/>
      <c r="U490" s="7"/>
      <c r="V490" s="7"/>
      <c r="W490" s="417">
        <v>1</v>
      </c>
    </row>
    <row r="491" s="417" customFormat="1" ht="16" customHeight="1" spans="1:23">
      <c r="A491" s="449">
        <v>46191</v>
      </c>
      <c r="B491" s="449">
        <v>46191</v>
      </c>
      <c r="C491" s="442" t="s">
        <v>652</v>
      </c>
      <c r="D491" s="7" t="s">
        <v>233</v>
      </c>
      <c r="E491" s="7" t="s">
        <v>93</v>
      </c>
      <c r="F491" s="7" t="s">
        <v>93</v>
      </c>
      <c r="G491" s="7" t="s">
        <v>94</v>
      </c>
      <c r="H491" s="7" t="s">
        <v>354</v>
      </c>
      <c r="I491" s="7" t="s">
        <v>355</v>
      </c>
      <c r="J491" s="74">
        <v>39.44</v>
      </c>
      <c r="K491" s="7" t="s">
        <v>356</v>
      </c>
      <c r="L491" s="74">
        <v>39.4</v>
      </c>
      <c r="M491" s="7">
        <v>67</v>
      </c>
      <c r="N491" s="7"/>
      <c r="O491" s="438">
        <f t="shared" si="21"/>
        <v>2639.8</v>
      </c>
      <c r="P491" s="464">
        <v>15</v>
      </c>
      <c r="Q491" s="465">
        <f t="shared" si="22"/>
        <v>184.786</v>
      </c>
      <c r="R491" s="438">
        <v>600</v>
      </c>
      <c r="S491" s="439">
        <f t="shared" si="23"/>
        <v>1840.014</v>
      </c>
      <c r="T491" s="7"/>
      <c r="U491" s="7"/>
      <c r="V491" s="7"/>
      <c r="W491" s="417">
        <v>1</v>
      </c>
    </row>
    <row r="492" s="417" customFormat="1" ht="16" customHeight="1" spans="1:23">
      <c r="A492" s="449">
        <v>46191</v>
      </c>
      <c r="B492" s="449">
        <v>46192</v>
      </c>
      <c r="C492" s="442" t="s">
        <v>652</v>
      </c>
      <c r="D492" s="7" t="s">
        <v>233</v>
      </c>
      <c r="E492" s="7" t="s">
        <v>75</v>
      </c>
      <c r="F492" s="7" t="s">
        <v>75</v>
      </c>
      <c r="G492" s="7" t="s">
        <v>76</v>
      </c>
      <c r="H492" s="7" t="s">
        <v>354</v>
      </c>
      <c r="I492" s="7" t="s">
        <v>355</v>
      </c>
      <c r="J492" s="74">
        <v>40.1</v>
      </c>
      <c r="K492" s="7" t="s">
        <v>356</v>
      </c>
      <c r="L492" s="74">
        <v>40.06</v>
      </c>
      <c r="M492" s="7">
        <v>67</v>
      </c>
      <c r="N492" s="7"/>
      <c r="O492" s="438">
        <f t="shared" si="21"/>
        <v>2684.02</v>
      </c>
      <c r="P492" s="464">
        <v>15</v>
      </c>
      <c r="Q492" s="465">
        <f t="shared" si="22"/>
        <v>187.8814</v>
      </c>
      <c r="R492" s="438">
        <v>600</v>
      </c>
      <c r="S492" s="439">
        <f t="shared" si="23"/>
        <v>1881.1386</v>
      </c>
      <c r="T492" s="7"/>
      <c r="U492" s="7"/>
      <c r="V492" s="7"/>
      <c r="W492" s="417">
        <v>1</v>
      </c>
    </row>
    <row r="493" s="419" customFormat="1" ht="16" customHeight="1" spans="1:23">
      <c r="A493" s="472">
        <v>46191</v>
      </c>
      <c r="B493" s="472">
        <v>46192</v>
      </c>
      <c r="C493" s="478" t="s">
        <v>653</v>
      </c>
      <c r="D493" s="473" t="s">
        <v>233</v>
      </c>
      <c r="E493" s="473" t="s">
        <v>81</v>
      </c>
      <c r="F493" s="473" t="s">
        <v>81</v>
      </c>
      <c r="G493" s="473" t="s">
        <v>82</v>
      </c>
      <c r="H493" s="473" t="s">
        <v>354</v>
      </c>
      <c r="I493" s="473" t="s">
        <v>355</v>
      </c>
      <c r="J493" s="473">
        <v>41.88</v>
      </c>
      <c r="K493" s="473" t="s">
        <v>356</v>
      </c>
      <c r="L493" s="473">
        <v>41.86</v>
      </c>
      <c r="M493" s="473">
        <v>67</v>
      </c>
      <c r="N493" s="473"/>
      <c r="O493" s="474">
        <f t="shared" si="21"/>
        <v>2804.62</v>
      </c>
      <c r="P493" s="476">
        <v>15</v>
      </c>
      <c r="Q493" s="474">
        <f t="shared" si="22"/>
        <v>196.3234</v>
      </c>
      <c r="R493" s="475">
        <v>600</v>
      </c>
      <c r="S493" s="477">
        <f t="shared" si="23"/>
        <v>1993.2966</v>
      </c>
      <c r="T493" s="473"/>
      <c r="U493" s="473"/>
      <c r="V493" s="473"/>
      <c r="W493" s="419">
        <v>1</v>
      </c>
    </row>
    <row r="494" s="417" customFormat="1" ht="16" customHeight="1" spans="1:23">
      <c r="A494" s="449">
        <v>46192</v>
      </c>
      <c r="B494" s="449">
        <v>46192</v>
      </c>
      <c r="C494" s="442" t="s">
        <v>654</v>
      </c>
      <c r="D494" s="7" t="s">
        <v>233</v>
      </c>
      <c r="E494" s="7" t="s">
        <v>99</v>
      </c>
      <c r="F494" s="7" t="s">
        <v>99</v>
      </c>
      <c r="G494" s="7" t="s">
        <v>100</v>
      </c>
      <c r="H494" s="7" t="s">
        <v>354</v>
      </c>
      <c r="I494" s="7" t="s">
        <v>355</v>
      </c>
      <c r="J494" s="74">
        <v>38.94</v>
      </c>
      <c r="K494" s="7" t="s">
        <v>356</v>
      </c>
      <c r="L494" s="74">
        <v>38.92</v>
      </c>
      <c r="M494" s="7">
        <v>67</v>
      </c>
      <c r="N494" s="7"/>
      <c r="O494" s="438">
        <f t="shared" si="21"/>
        <v>2607.64</v>
      </c>
      <c r="P494" s="464">
        <v>15</v>
      </c>
      <c r="Q494" s="465">
        <f t="shared" si="22"/>
        <v>182.5348</v>
      </c>
      <c r="R494" s="438">
        <v>600</v>
      </c>
      <c r="S494" s="439">
        <f t="shared" si="23"/>
        <v>1810.1052</v>
      </c>
      <c r="T494" s="7"/>
      <c r="U494" s="7"/>
      <c r="V494" s="7"/>
      <c r="W494" s="417">
        <v>1</v>
      </c>
    </row>
    <row r="495" s="417" customFormat="1" ht="16" customHeight="1" spans="1:23">
      <c r="A495" s="449">
        <v>46191</v>
      </c>
      <c r="B495" s="449">
        <v>46192</v>
      </c>
      <c r="C495" s="442" t="s">
        <v>655</v>
      </c>
      <c r="D495" s="7" t="s">
        <v>233</v>
      </c>
      <c r="E495" s="7" t="s">
        <v>66</v>
      </c>
      <c r="F495" s="7" t="s">
        <v>66</v>
      </c>
      <c r="G495" s="7" t="s">
        <v>67</v>
      </c>
      <c r="H495" s="7" t="s">
        <v>354</v>
      </c>
      <c r="I495" s="7" t="s">
        <v>355</v>
      </c>
      <c r="J495" s="74">
        <v>41.62</v>
      </c>
      <c r="K495" s="7" t="s">
        <v>356</v>
      </c>
      <c r="L495" s="74">
        <v>41.6</v>
      </c>
      <c r="M495" s="7">
        <v>67</v>
      </c>
      <c r="N495" s="7"/>
      <c r="O495" s="438">
        <f t="shared" si="21"/>
        <v>2787.2</v>
      </c>
      <c r="P495" s="464">
        <v>15</v>
      </c>
      <c r="Q495" s="465">
        <f t="shared" si="22"/>
        <v>195.104</v>
      </c>
      <c r="R495" s="438">
        <v>600</v>
      </c>
      <c r="S495" s="439">
        <f t="shared" si="23"/>
        <v>1977.096</v>
      </c>
      <c r="T495" s="7"/>
      <c r="U495" s="7"/>
      <c r="V495" s="7"/>
      <c r="W495" s="417">
        <v>1</v>
      </c>
    </row>
    <row r="496" s="417" customFormat="1" ht="16" customHeight="1" spans="1:23">
      <c r="A496" s="449">
        <v>46192</v>
      </c>
      <c r="B496" s="449">
        <v>46192</v>
      </c>
      <c r="C496" s="442" t="s">
        <v>656</v>
      </c>
      <c r="D496" s="7" t="s">
        <v>233</v>
      </c>
      <c r="E496" s="7" t="s">
        <v>96</v>
      </c>
      <c r="F496" s="7" t="s">
        <v>96</v>
      </c>
      <c r="G496" s="7" t="s">
        <v>97</v>
      </c>
      <c r="H496" s="7" t="s">
        <v>354</v>
      </c>
      <c r="I496" s="7" t="s">
        <v>355</v>
      </c>
      <c r="J496" s="74">
        <v>38.92</v>
      </c>
      <c r="K496" s="7" t="s">
        <v>356</v>
      </c>
      <c r="L496" s="74">
        <v>38.9</v>
      </c>
      <c r="M496" s="7">
        <v>67</v>
      </c>
      <c r="N496" s="7"/>
      <c r="O496" s="438">
        <f t="shared" si="21"/>
        <v>2606.3</v>
      </c>
      <c r="P496" s="464">
        <v>15</v>
      </c>
      <c r="Q496" s="465">
        <f t="shared" si="22"/>
        <v>182.441</v>
      </c>
      <c r="R496" s="438">
        <v>600</v>
      </c>
      <c r="S496" s="439">
        <f t="shared" si="23"/>
        <v>1808.859</v>
      </c>
      <c r="T496" s="7"/>
      <c r="U496" s="7"/>
      <c r="V496" s="7"/>
      <c r="W496" s="417">
        <v>1</v>
      </c>
    </row>
    <row r="497" s="419" customFormat="1" ht="16" customHeight="1" spans="1:23">
      <c r="A497" s="472">
        <v>46192</v>
      </c>
      <c r="B497" s="472">
        <v>46192</v>
      </c>
      <c r="C497" s="478" t="s">
        <v>657</v>
      </c>
      <c r="D497" s="473" t="s">
        <v>233</v>
      </c>
      <c r="E497" s="473" t="s">
        <v>84</v>
      </c>
      <c r="F497" s="473" t="s">
        <v>84</v>
      </c>
      <c r="G497" s="473" t="s">
        <v>85</v>
      </c>
      <c r="H497" s="473" t="s">
        <v>354</v>
      </c>
      <c r="I497" s="473" t="s">
        <v>355</v>
      </c>
      <c r="J497" s="473">
        <v>39.3</v>
      </c>
      <c r="K497" s="473" t="s">
        <v>356</v>
      </c>
      <c r="L497" s="473">
        <v>39.28</v>
      </c>
      <c r="M497" s="473">
        <v>67</v>
      </c>
      <c r="N497" s="473"/>
      <c r="O497" s="474">
        <f t="shared" si="21"/>
        <v>2631.76</v>
      </c>
      <c r="P497" s="476">
        <v>15</v>
      </c>
      <c r="Q497" s="474">
        <f t="shared" si="22"/>
        <v>184.2232</v>
      </c>
      <c r="R497" s="475">
        <v>600</v>
      </c>
      <c r="S497" s="477">
        <f t="shared" si="23"/>
        <v>1832.5368</v>
      </c>
      <c r="T497" s="473"/>
      <c r="U497" s="473"/>
      <c r="V497" s="473"/>
      <c r="W497" s="419">
        <v>1</v>
      </c>
    </row>
    <row r="498" s="417" customFormat="1" ht="16" customHeight="1" spans="1:23">
      <c r="A498" s="449">
        <v>46192</v>
      </c>
      <c r="B498" s="449">
        <v>46192</v>
      </c>
      <c r="C498" s="442" t="s">
        <v>658</v>
      </c>
      <c r="D498" s="7" t="s">
        <v>233</v>
      </c>
      <c r="E498" s="7" t="s">
        <v>132</v>
      </c>
      <c r="F498" s="7" t="s">
        <v>132</v>
      </c>
      <c r="G498" s="7" t="s">
        <v>133</v>
      </c>
      <c r="H498" s="7" t="s">
        <v>354</v>
      </c>
      <c r="I498" s="7" t="s">
        <v>355</v>
      </c>
      <c r="J498" s="74">
        <v>40.28</v>
      </c>
      <c r="K498" s="7" t="s">
        <v>356</v>
      </c>
      <c r="L498" s="74">
        <v>40.26</v>
      </c>
      <c r="M498" s="7">
        <v>67</v>
      </c>
      <c r="N498" s="7"/>
      <c r="O498" s="438">
        <f t="shared" si="21"/>
        <v>2697.42</v>
      </c>
      <c r="P498" s="464">
        <v>15</v>
      </c>
      <c r="Q498" s="465">
        <f t="shared" ref="Q498:Q513" si="24">O498*0.07</f>
        <v>188.8194</v>
      </c>
      <c r="R498" s="438">
        <v>600</v>
      </c>
      <c r="S498" s="439">
        <f t="shared" ref="S498:S513" si="25">O498-P498-R498-Q498</f>
        <v>1893.6006</v>
      </c>
      <c r="T498" s="7"/>
      <c r="U498" s="7"/>
      <c r="V498" s="7"/>
      <c r="W498" s="417">
        <v>1</v>
      </c>
    </row>
    <row r="499" s="417" customFormat="1" ht="16" customHeight="1" spans="1:23">
      <c r="A499" s="449">
        <v>46192</v>
      </c>
      <c r="B499" s="449">
        <v>46192</v>
      </c>
      <c r="C499" s="442" t="s">
        <v>659</v>
      </c>
      <c r="D499" s="7" t="s">
        <v>233</v>
      </c>
      <c r="E499" s="7" t="s">
        <v>102</v>
      </c>
      <c r="F499" s="7" t="s">
        <v>102</v>
      </c>
      <c r="G499" s="7" t="s">
        <v>103</v>
      </c>
      <c r="H499" s="7" t="s">
        <v>354</v>
      </c>
      <c r="I499" s="7" t="s">
        <v>355</v>
      </c>
      <c r="J499" s="74">
        <v>39.1</v>
      </c>
      <c r="K499" s="7" t="s">
        <v>356</v>
      </c>
      <c r="L499" s="74">
        <v>39.06</v>
      </c>
      <c r="M499" s="7">
        <v>67</v>
      </c>
      <c r="N499" s="7"/>
      <c r="O499" s="438">
        <f t="shared" si="21"/>
        <v>2617.02</v>
      </c>
      <c r="P499" s="464">
        <v>15</v>
      </c>
      <c r="Q499" s="465">
        <f t="shared" si="24"/>
        <v>183.1914</v>
      </c>
      <c r="R499" s="438">
        <v>600</v>
      </c>
      <c r="S499" s="439">
        <f t="shared" si="25"/>
        <v>1818.8286</v>
      </c>
      <c r="T499" s="7"/>
      <c r="U499" s="7"/>
      <c r="V499" s="7"/>
      <c r="W499" s="417">
        <v>1</v>
      </c>
    </row>
    <row r="500" s="417" customFormat="1" ht="16" customHeight="1" spans="1:23">
      <c r="A500" s="449">
        <v>46192</v>
      </c>
      <c r="B500" s="449">
        <v>46192</v>
      </c>
      <c r="C500" s="442" t="s">
        <v>660</v>
      </c>
      <c r="D500" s="7" t="s">
        <v>233</v>
      </c>
      <c r="E500" s="7" t="s">
        <v>111</v>
      </c>
      <c r="F500" s="7" t="s">
        <v>111</v>
      </c>
      <c r="G500" s="7" t="s">
        <v>112</v>
      </c>
      <c r="H500" s="7" t="s">
        <v>354</v>
      </c>
      <c r="I500" s="7" t="s">
        <v>355</v>
      </c>
      <c r="J500" s="74">
        <v>39.62</v>
      </c>
      <c r="K500" s="7" t="s">
        <v>356</v>
      </c>
      <c r="L500" s="74">
        <v>39.6</v>
      </c>
      <c r="M500" s="7">
        <v>67</v>
      </c>
      <c r="N500" s="7"/>
      <c r="O500" s="438">
        <f t="shared" si="21"/>
        <v>2653.2</v>
      </c>
      <c r="P500" s="464">
        <v>15</v>
      </c>
      <c r="Q500" s="465">
        <f t="shared" si="24"/>
        <v>185.724</v>
      </c>
      <c r="R500" s="438">
        <v>600</v>
      </c>
      <c r="S500" s="439">
        <f t="shared" si="25"/>
        <v>1852.476</v>
      </c>
      <c r="T500" s="7"/>
      <c r="U500" s="7"/>
      <c r="V500" s="7"/>
      <c r="W500" s="417">
        <v>1</v>
      </c>
    </row>
    <row r="501" s="417" customFormat="1" ht="16" customHeight="1" spans="1:23">
      <c r="A501" s="449">
        <v>46192</v>
      </c>
      <c r="B501" s="449">
        <v>46192</v>
      </c>
      <c r="C501" s="442" t="s">
        <v>661</v>
      </c>
      <c r="D501" s="7" t="s">
        <v>233</v>
      </c>
      <c r="E501" s="7" t="s">
        <v>57</v>
      </c>
      <c r="F501" s="7" t="s">
        <v>57</v>
      </c>
      <c r="G501" s="7" t="s">
        <v>58</v>
      </c>
      <c r="H501" s="7" t="s">
        <v>354</v>
      </c>
      <c r="I501" s="7" t="s">
        <v>355</v>
      </c>
      <c r="J501" s="74">
        <v>39.64</v>
      </c>
      <c r="K501" s="7" t="s">
        <v>356</v>
      </c>
      <c r="L501" s="74">
        <v>39.62</v>
      </c>
      <c r="M501" s="7">
        <v>67</v>
      </c>
      <c r="N501" s="7"/>
      <c r="O501" s="438">
        <f t="shared" si="21"/>
        <v>2654.54</v>
      </c>
      <c r="P501" s="464">
        <v>15</v>
      </c>
      <c r="Q501" s="465">
        <f t="shared" si="24"/>
        <v>185.8178</v>
      </c>
      <c r="R501" s="438">
        <v>600</v>
      </c>
      <c r="S501" s="439">
        <f t="shared" si="25"/>
        <v>1853.7222</v>
      </c>
      <c r="T501" s="7"/>
      <c r="U501" s="7"/>
      <c r="V501" s="7"/>
      <c r="W501" s="417">
        <v>1</v>
      </c>
    </row>
    <row r="502" s="417" customFormat="1" ht="16" customHeight="1" spans="1:23">
      <c r="A502" s="449">
        <v>46192</v>
      </c>
      <c r="B502" s="449">
        <v>46192</v>
      </c>
      <c r="C502" s="442" t="s">
        <v>662</v>
      </c>
      <c r="D502" s="7" t="s">
        <v>233</v>
      </c>
      <c r="E502" s="7" t="s">
        <v>51</v>
      </c>
      <c r="F502" s="7" t="s">
        <v>51</v>
      </c>
      <c r="G502" s="7" t="s">
        <v>52</v>
      </c>
      <c r="H502" s="7" t="s">
        <v>354</v>
      </c>
      <c r="I502" s="7" t="s">
        <v>355</v>
      </c>
      <c r="J502" s="74">
        <v>42.46</v>
      </c>
      <c r="K502" s="7" t="s">
        <v>356</v>
      </c>
      <c r="L502" s="74">
        <v>42.44</v>
      </c>
      <c r="M502" s="7">
        <v>67</v>
      </c>
      <c r="N502" s="7"/>
      <c r="O502" s="438">
        <f t="shared" si="21"/>
        <v>2843.48</v>
      </c>
      <c r="P502" s="464">
        <v>15</v>
      </c>
      <c r="Q502" s="465">
        <f t="shared" si="24"/>
        <v>199.0436</v>
      </c>
      <c r="R502" s="438">
        <v>600</v>
      </c>
      <c r="S502" s="439">
        <f t="shared" si="25"/>
        <v>2029.4364</v>
      </c>
      <c r="T502" s="7"/>
      <c r="U502" s="7"/>
      <c r="V502" s="7"/>
      <c r="W502" s="417">
        <v>1</v>
      </c>
    </row>
    <row r="503" s="417" customFormat="1" ht="16" customHeight="1" spans="1:23">
      <c r="A503" s="449">
        <v>46192</v>
      </c>
      <c r="B503" s="449">
        <v>46192</v>
      </c>
      <c r="C503" s="442" t="s">
        <v>663</v>
      </c>
      <c r="D503" s="7" t="s">
        <v>233</v>
      </c>
      <c r="E503" s="7" t="s">
        <v>78</v>
      </c>
      <c r="F503" s="7" t="s">
        <v>78</v>
      </c>
      <c r="G503" s="7" t="s">
        <v>79</v>
      </c>
      <c r="H503" s="7" t="s">
        <v>354</v>
      </c>
      <c r="I503" s="7" t="s">
        <v>355</v>
      </c>
      <c r="J503" s="74">
        <v>40.96</v>
      </c>
      <c r="K503" s="7" t="s">
        <v>356</v>
      </c>
      <c r="L503" s="74">
        <v>40.94</v>
      </c>
      <c r="M503" s="7">
        <v>67</v>
      </c>
      <c r="N503" s="7"/>
      <c r="O503" s="438">
        <f t="shared" si="21"/>
        <v>2742.98</v>
      </c>
      <c r="P503" s="464">
        <v>15</v>
      </c>
      <c r="Q503" s="465">
        <f t="shared" si="24"/>
        <v>192.0086</v>
      </c>
      <c r="R503" s="438">
        <v>600</v>
      </c>
      <c r="S503" s="439">
        <f t="shared" si="25"/>
        <v>1935.9714</v>
      </c>
      <c r="T503" s="7"/>
      <c r="U503" s="7"/>
      <c r="V503" s="7"/>
      <c r="W503" s="417">
        <v>1</v>
      </c>
    </row>
    <row r="504" s="417" customFormat="1" ht="16" customHeight="1" spans="1:23">
      <c r="A504" s="449">
        <v>46192</v>
      </c>
      <c r="B504" s="449">
        <v>46192</v>
      </c>
      <c r="C504" s="442" t="s">
        <v>664</v>
      </c>
      <c r="D504" s="7" t="s">
        <v>233</v>
      </c>
      <c r="E504" s="7" t="s">
        <v>114</v>
      </c>
      <c r="F504" s="7" t="s">
        <v>114</v>
      </c>
      <c r="G504" s="7" t="s">
        <v>115</v>
      </c>
      <c r="H504" s="7" t="s">
        <v>354</v>
      </c>
      <c r="I504" s="7" t="s">
        <v>355</v>
      </c>
      <c r="J504" s="74">
        <v>41.48</v>
      </c>
      <c r="K504" s="7" t="s">
        <v>356</v>
      </c>
      <c r="L504" s="74">
        <v>41.44</v>
      </c>
      <c r="M504" s="7">
        <v>67</v>
      </c>
      <c r="N504" s="7"/>
      <c r="O504" s="438">
        <f t="shared" si="21"/>
        <v>2776.48</v>
      </c>
      <c r="P504" s="464">
        <v>15</v>
      </c>
      <c r="Q504" s="465">
        <f t="shared" si="24"/>
        <v>194.3536</v>
      </c>
      <c r="R504" s="438">
        <v>600</v>
      </c>
      <c r="S504" s="439">
        <f t="shared" si="25"/>
        <v>1967.1264</v>
      </c>
      <c r="T504" s="7"/>
      <c r="U504" s="7"/>
      <c r="V504" s="7"/>
      <c r="W504" s="417">
        <v>1</v>
      </c>
    </row>
    <row r="505" s="417" customFormat="1" ht="16" customHeight="1" spans="1:23">
      <c r="A505" s="449">
        <v>46192</v>
      </c>
      <c r="B505" s="449">
        <v>46192</v>
      </c>
      <c r="C505" s="442" t="s">
        <v>665</v>
      </c>
      <c r="D505" s="7" t="s">
        <v>233</v>
      </c>
      <c r="E505" s="7" t="s">
        <v>87</v>
      </c>
      <c r="F505" s="7" t="s">
        <v>87</v>
      </c>
      <c r="G505" s="7" t="s">
        <v>88</v>
      </c>
      <c r="H505" s="7" t="s">
        <v>354</v>
      </c>
      <c r="I505" s="7" t="s">
        <v>355</v>
      </c>
      <c r="J505" s="74">
        <v>39.3</v>
      </c>
      <c r="K505" s="7" t="s">
        <v>356</v>
      </c>
      <c r="L505" s="74">
        <v>39.26</v>
      </c>
      <c r="M505" s="7">
        <v>67</v>
      </c>
      <c r="N505" s="7"/>
      <c r="O505" s="438">
        <f t="shared" si="21"/>
        <v>2630.42</v>
      </c>
      <c r="P505" s="464">
        <v>15</v>
      </c>
      <c r="Q505" s="465">
        <f t="shared" si="24"/>
        <v>184.1294</v>
      </c>
      <c r="R505" s="438">
        <v>600</v>
      </c>
      <c r="S505" s="439">
        <f t="shared" si="25"/>
        <v>1831.2906</v>
      </c>
      <c r="T505" s="7"/>
      <c r="U505" s="7"/>
      <c r="V505" s="7"/>
      <c r="W505" s="417">
        <v>1</v>
      </c>
    </row>
    <row r="506" s="417" customFormat="1" ht="16" customHeight="1" spans="1:23">
      <c r="A506" s="449">
        <v>46191</v>
      </c>
      <c r="B506" s="449">
        <v>46192</v>
      </c>
      <c r="C506" s="7"/>
      <c r="D506" s="7" t="s">
        <v>235</v>
      </c>
      <c r="E506" s="7" t="s">
        <v>130</v>
      </c>
      <c r="F506" s="7" t="s">
        <v>130</v>
      </c>
      <c r="G506" s="7" t="s">
        <v>122</v>
      </c>
      <c r="H506" s="7" t="s">
        <v>368</v>
      </c>
      <c r="I506" s="7" t="s">
        <v>356</v>
      </c>
      <c r="J506" s="74">
        <v>41.9</v>
      </c>
      <c r="K506" s="7" t="s">
        <v>371</v>
      </c>
      <c r="L506" s="74">
        <v>41.77</v>
      </c>
      <c r="M506" s="7">
        <v>61</v>
      </c>
      <c r="N506" s="7"/>
      <c r="O506" s="438">
        <f t="shared" si="21"/>
        <v>2547.97</v>
      </c>
      <c r="P506" s="464">
        <v>15</v>
      </c>
      <c r="Q506" s="465">
        <f t="shared" si="24"/>
        <v>178.3579</v>
      </c>
      <c r="R506" s="438">
        <v>600</v>
      </c>
      <c r="S506" s="439">
        <f t="shared" si="25"/>
        <v>1754.6121</v>
      </c>
      <c r="T506" s="7"/>
      <c r="U506" s="7"/>
      <c r="V506" s="7"/>
      <c r="W506" s="417">
        <v>1</v>
      </c>
    </row>
    <row r="507" s="419" customFormat="1" ht="16" customHeight="1" spans="1:23">
      <c r="A507" s="472">
        <v>46191</v>
      </c>
      <c r="B507" s="472">
        <v>46194</v>
      </c>
      <c r="C507" s="473"/>
      <c r="D507" s="473" t="s">
        <v>235</v>
      </c>
      <c r="E507" s="473" t="s">
        <v>127</v>
      </c>
      <c r="F507" s="473" t="s">
        <v>127</v>
      </c>
      <c r="G507" s="473" t="s">
        <v>128</v>
      </c>
      <c r="H507" s="473" t="s">
        <v>368</v>
      </c>
      <c r="I507" s="473" t="s">
        <v>356</v>
      </c>
      <c r="J507" s="473">
        <v>42.06</v>
      </c>
      <c r="K507" s="473" t="s">
        <v>371</v>
      </c>
      <c r="L507" s="473">
        <v>41.93</v>
      </c>
      <c r="M507" s="473">
        <v>61</v>
      </c>
      <c r="N507" s="473"/>
      <c r="O507" s="474">
        <f t="shared" si="21"/>
        <v>2557.73</v>
      </c>
      <c r="P507" s="476">
        <v>15</v>
      </c>
      <c r="Q507" s="474">
        <f t="shared" si="24"/>
        <v>179.0411</v>
      </c>
      <c r="R507" s="475">
        <v>600</v>
      </c>
      <c r="S507" s="477">
        <f t="shared" si="25"/>
        <v>1763.6889</v>
      </c>
      <c r="T507" s="473"/>
      <c r="U507" s="473"/>
      <c r="V507" s="473"/>
      <c r="W507" s="419">
        <v>1</v>
      </c>
    </row>
    <row r="508" s="417" customFormat="1" ht="16" customHeight="1" spans="1:23">
      <c r="A508" s="449">
        <v>46191</v>
      </c>
      <c r="B508" s="449">
        <v>46192</v>
      </c>
      <c r="C508" s="7"/>
      <c r="D508" s="7" t="s">
        <v>235</v>
      </c>
      <c r="E508" s="7" t="s">
        <v>72</v>
      </c>
      <c r="F508" s="7" t="s">
        <v>72</v>
      </c>
      <c r="G508" s="7" t="s">
        <v>73</v>
      </c>
      <c r="H508" s="7" t="s">
        <v>368</v>
      </c>
      <c r="I508" s="7" t="s">
        <v>356</v>
      </c>
      <c r="J508" s="74">
        <v>40.84</v>
      </c>
      <c r="K508" s="7" t="s">
        <v>371</v>
      </c>
      <c r="L508" s="74">
        <v>40.74</v>
      </c>
      <c r="M508" s="7">
        <v>61</v>
      </c>
      <c r="N508" s="7"/>
      <c r="O508" s="438">
        <f t="shared" si="21"/>
        <v>2485.14</v>
      </c>
      <c r="P508" s="464">
        <v>15</v>
      </c>
      <c r="Q508" s="465">
        <f t="shared" si="24"/>
        <v>173.9598</v>
      </c>
      <c r="R508" s="438">
        <v>600</v>
      </c>
      <c r="S508" s="439">
        <f t="shared" si="25"/>
        <v>1696.1802</v>
      </c>
      <c r="T508" s="7"/>
      <c r="U508" s="7"/>
      <c r="V508" s="7"/>
      <c r="W508" s="417">
        <v>1</v>
      </c>
    </row>
    <row r="509" s="417" customFormat="1" ht="16" customHeight="1" spans="1:23">
      <c r="A509" s="449">
        <v>46191</v>
      </c>
      <c r="B509" s="449">
        <v>46192</v>
      </c>
      <c r="C509" s="7"/>
      <c r="D509" s="7" t="s">
        <v>235</v>
      </c>
      <c r="E509" s="7" t="s">
        <v>63</v>
      </c>
      <c r="F509" s="7" t="s">
        <v>63</v>
      </c>
      <c r="G509" s="7" t="s">
        <v>327</v>
      </c>
      <c r="H509" s="7" t="s">
        <v>368</v>
      </c>
      <c r="I509" s="7" t="s">
        <v>356</v>
      </c>
      <c r="J509" s="74">
        <v>42.14</v>
      </c>
      <c r="K509" s="7" t="s">
        <v>371</v>
      </c>
      <c r="L509" s="74">
        <v>42.03</v>
      </c>
      <c r="M509" s="7">
        <v>61</v>
      </c>
      <c r="N509" s="7"/>
      <c r="O509" s="438">
        <f t="shared" si="21"/>
        <v>2563.83</v>
      </c>
      <c r="P509" s="464">
        <v>15</v>
      </c>
      <c r="Q509" s="465">
        <f t="shared" si="24"/>
        <v>179.4681</v>
      </c>
      <c r="R509" s="438">
        <v>600</v>
      </c>
      <c r="S509" s="439">
        <f t="shared" si="25"/>
        <v>1769.3619</v>
      </c>
      <c r="T509" s="7"/>
      <c r="U509" s="7"/>
      <c r="V509" s="7"/>
      <c r="W509" s="417">
        <v>1</v>
      </c>
    </row>
    <row r="510" s="417" customFormat="1" ht="16" customHeight="1" spans="1:23">
      <c r="A510" s="449">
        <v>46191</v>
      </c>
      <c r="B510" s="449">
        <v>46191</v>
      </c>
      <c r="C510" s="7"/>
      <c r="D510" s="7" t="s">
        <v>235</v>
      </c>
      <c r="E510" s="7" t="s">
        <v>135</v>
      </c>
      <c r="F510" s="7" t="s">
        <v>135</v>
      </c>
      <c r="G510" s="7" t="s">
        <v>136</v>
      </c>
      <c r="H510" s="7" t="s">
        <v>368</v>
      </c>
      <c r="I510" s="7" t="s">
        <v>356</v>
      </c>
      <c r="J510" s="74">
        <v>42</v>
      </c>
      <c r="K510" s="7" t="s">
        <v>371</v>
      </c>
      <c r="L510" s="74">
        <v>41.86</v>
      </c>
      <c r="M510" s="7">
        <v>61</v>
      </c>
      <c r="N510" s="7"/>
      <c r="O510" s="438">
        <f t="shared" si="21"/>
        <v>2553.46</v>
      </c>
      <c r="P510" s="464">
        <v>15</v>
      </c>
      <c r="Q510" s="465">
        <f t="shared" si="24"/>
        <v>178.7422</v>
      </c>
      <c r="R510" s="438">
        <v>600</v>
      </c>
      <c r="S510" s="439">
        <f t="shared" si="25"/>
        <v>1759.7178</v>
      </c>
      <c r="T510" s="7"/>
      <c r="U510" s="7"/>
      <c r="V510" s="7"/>
      <c r="W510" s="417">
        <v>1</v>
      </c>
    </row>
    <row r="511" s="417" customFormat="1" ht="16" customHeight="1" spans="1:23">
      <c r="A511" s="449">
        <v>46191</v>
      </c>
      <c r="B511" s="449">
        <v>46192</v>
      </c>
      <c r="C511" s="7"/>
      <c r="D511" s="7" t="s">
        <v>235</v>
      </c>
      <c r="E511" s="7" t="s">
        <v>69</v>
      </c>
      <c r="F511" s="7" t="s">
        <v>69</v>
      </c>
      <c r="G511" s="7" t="s">
        <v>70</v>
      </c>
      <c r="H511" s="7" t="s">
        <v>368</v>
      </c>
      <c r="I511" s="7" t="s">
        <v>356</v>
      </c>
      <c r="J511" s="74">
        <v>45.44</v>
      </c>
      <c r="K511" s="7" t="s">
        <v>371</v>
      </c>
      <c r="L511" s="74">
        <v>45.32</v>
      </c>
      <c r="M511" s="7">
        <v>61</v>
      </c>
      <c r="N511" s="7"/>
      <c r="O511" s="438">
        <f t="shared" si="21"/>
        <v>2764.52</v>
      </c>
      <c r="P511" s="464">
        <v>15</v>
      </c>
      <c r="Q511" s="465">
        <f t="shared" si="24"/>
        <v>193.5164</v>
      </c>
      <c r="R511" s="438">
        <v>600</v>
      </c>
      <c r="S511" s="439">
        <f t="shared" si="25"/>
        <v>1956.0036</v>
      </c>
      <c r="T511" s="7"/>
      <c r="U511" s="7"/>
      <c r="V511" s="7"/>
      <c r="W511" s="417">
        <v>1</v>
      </c>
    </row>
    <row r="512" s="419" customFormat="1" ht="16" customHeight="1" spans="1:23">
      <c r="A512" s="472">
        <v>46191</v>
      </c>
      <c r="B512" s="472">
        <v>46193</v>
      </c>
      <c r="C512" s="473"/>
      <c r="D512" s="473" t="s">
        <v>235</v>
      </c>
      <c r="E512" s="473" t="s">
        <v>105</v>
      </c>
      <c r="F512" s="473" t="s">
        <v>105</v>
      </c>
      <c r="G512" s="473" t="s">
        <v>106</v>
      </c>
      <c r="H512" s="473" t="s">
        <v>368</v>
      </c>
      <c r="I512" s="473" t="s">
        <v>356</v>
      </c>
      <c r="J512" s="473">
        <v>44.52</v>
      </c>
      <c r="K512" s="473" t="s">
        <v>371</v>
      </c>
      <c r="L512" s="473">
        <v>44.38</v>
      </c>
      <c r="M512" s="473">
        <v>61</v>
      </c>
      <c r="N512" s="473"/>
      <c r="O512" s="474">
        <f t="shared" si="21"/>
        <v>2707.18</v>
      </c>
      <c r="P512" s="476">
        <v>15</v>
      </c>
      <c r="Q512" s="474">
        <f t="shared" si="24"/>
        <v>189.5026</v>
      </c>
      <c r="R512" s="475">
        <v>600</v>
      </c>
      <c r="S512" s="477">
        <f t="shared" si="25"/>
        <v>1902.6774</v>
      </c>
      <c r="T512" s="473"/>
      <c r="U512" s="473"/>
      <c r="V512" s="473"/>
      <c r="W512" s="419">
        <v>1</v>
      </c>
    </row>
    <row r="513" s="417" customFormat="1" ht="16" customHeight="1" spans="1:23">
      <c r="A513" s="449">
        <v>46192</v>
      </c>
      <c r="B513" s="449">
        <v>46192</v>
      </c>
      <c r="C513" s="7" t="s">
        <v>666</v>
      </c>
      <c r="D513" s="7" t="s">
        <v>235</v>
      </c>
      <c r="E513" s="7" t="s">
        <v>54</v>
      </c>
      <c r="F513" s="7" t="s">
        <v>54</v>
      </c>
      <c r="G513" s="7" t="s">
        <v>55</v>
      </c>
      <c r="H513" s="7" t="s">
        <v>368</v>
      </c>
      <c r="I513" s="7" t="s">
        <v>356</v>
      </c>
      <c r="J513" s="74">
        <v>44.02</v>
      </c>
      <c r="K513" s="7" t="s">
        <v>369</v>
      </c>
      <c r="L513" s="74">
        <v>44.4</v>
      </c>
      <c r="M513" s="7">
        <v>48</v>
      </c>
      <c r="N513" s="7"/>
      <c r="O513" s="438">
        <f t="shared" si="21"/>
        <v>2131.2</v>
      </c>
      <c r="P513" s="464">
        <v>15</v>
      </c>
      <c r="Q513" s="465">
        <f t="shared" si="24"/>
        <v>149.184</v>
      </c>
      <c r="R513" s="438">
        <v>600</v>
      </c>
      <c r="S513" s="439">
        <f t="shared" si="25"/>
        <v>1367.016</v>
      </c>
      <c r="T513" s="7"/>
      <c r="U513" s="7"/>
      <c r="V513" s="7"/>
      <c r="W513" s="417">
        <v>1</v>
      </c>
    </row>
    <row r="514" s="419" customFormat="1" ht="16" customHeight="1" spans="1:23">
      <c r="A514" s="472">
        <v>46192</v>
      </c>
      <c r="B514" s="472">
        <v>46193</v>
      </c>
      <c r="C514" s="473"/>
      <c r="D514" s="473" t="s">
        <v>235</v>
      </c>
      <c r="E514" s="473" t="s">
        <v>93</v>
      </c>
      <c r="F514" s="473" t="s">
        <v>93</v>
      </c>
      <c r="G514" s="473" t="s">
        <v>94</v>
      </c>
      <c r="H514" s="473" t="s">
        <v>368</v>
      </c>
      <c r="I514" s="473" t="s">
        <v>356</v>
      </c>
      <c r="J514" s="473">
        <v>44.68</v>
      </c>
      <c r="K514" s="473" t="s">
        <v>371</v>
      </c>
      <c r="L514" s="473">
        <v>44.52</v>
      </c>
      <c r="M514" s="473">
        <v>61</v>
      </c>
      <c r="N514" s="473"/>
      <c r="O514" s="474">
        <f t="shared" ref="O514:O538" si="26">L514*M514</f>
        <v>2715.72</v>
      </c>
      <c r="P514" s="476">
        <v>15</v>
      </c>
      <c r="Q514" s="474">
        <f t="shared" ref="Q514:Q530" si="27">O514*0.07</f>
        <v>190.1004</v>
      </c>
      <c r="R514" s="475">
        <v>600</v>
      </c>
      <c r="S514" s="477">
        <f t="shared" ref="S514:S530" si="28">O514-P514-R514-Q514</f>
        <v>1910.6196</v>
      </c>
      <c r="T514" s="473"/>
      <c r="U514" s="473"/>
      <c r="V514" s="473"/>
      <c r="W514" s="419">
        <v>1</v>
      </c>
    </row>
    <row r="515" s="419" customFormat="1" ht="16" customHeight="1" spans="1:23">
      <c r="A515" s="472">
        <v>46192</v>
      </c>
      <c r="B515" s="472">
        <v>46193</v>
      </c>
      <c r="C515" s="473"/>
      <c r="D515" s="473" t="s">
        <v>235</v>
      </c>
      <c r="E515" s="473" t="s">
        <v>81</v>
      </c>
      <c r="F515" s="473" t="s">
        <v>81</v>
      </c>
      <c r="G515" s="473" t="s">
        <v>82</v>
      </c>
      <c r="H515" s="473" t="s">
        <v>368</v>
      </c>
      <c r="I515" s="473" t="s">
        <v>356</v>
      </c>
      <c r="J515" s="473">
        <v>43.94</v>
      </c>
      <c r="K515" s="473" t="s">
        <v>371</v>
      </c>
      <c r="L515" s="473">
        <v>43.77</v>
      </c>
      <c r="M515" s="473">
        <v>61</v>
      </c>
      <c r="N515" s="473"/>
      <c r="O515" s="474">
        <f t="shared" si="26"/>
        <v>2669.97</v>
      </c>
      <c r="P515" s="476">
        <v>15</v>
      </c>
      <c r="Q515" s="474">
        <f t="shared" si="27"/>
        <v>186.8979</v>
      </c>
      <c r="R515" s="475">
        <v>600</v>
      </c>
      <c r="S515" s="477">
        <f t="shared" si="28"/>
        <v>1868.0721</v>
      </c>
      <c r="T515" s="473"/>
      <c r="U515" s="473"/>
      <c r="V515" s="473"/>
      <c r="W515" s="419">
        <v>1</v>
      </c>
    </row>
    <row r="516" s="419" customFormat="1" ht="16" customHeight="1" spans="1:23">
      <c r="A516" s="472">
        <v>46192</v>
      </c>
      <c r="B516" s="472">
        <v>46193</v>
      </c>
      <c r="C516" s="473"/>
      <c r="D516" s="473" t="s">
        <v>235</v>
      </c>
      <c r="E516" s="473" t="s">
        <v>124</v>
      </c>
      <c r="F516" s="473" t="s">
        <v>124</v>
      </c>
      <c r="G516" s="473" t="s">
        <v>125</v>
      </c>
      <c r="H516" s="473" t="s">
        <v>368</v>
      </c>
      <c r="I516" s="473" t="s">
        <v>356</v>
      </c>
      <c r="J516" s="473">
        <v>44.22</v>
      </c>
      <c r="K516" s="473" t="s">
        <v>371</v>
      </c>
      <c r="L516" s="473">
        <v>44</v>
      </c>
      <c r="M516" s="473">
        <v>61</v>
      </c>
      <c r="N516" s="473"/>
      <c r="O516" s="474">
        <f t="shared" si="26"/>
        <v>2684</v>
      </c>
      <c r="P516" s="476">
        <v>15</v>
      </c>
      <c r="Q516" s="474">
        <f t="shared" si="27"/>
        <v>187.88</v>
      </c>
      <c r="R516" s="475">
        <v>600</v>
      </c>
      <c r="S516" s="477">
        <f t="shared" si="28"/>
        <v>1881.12</v>
      </c>
      <c r="T516" s="473"/>
      <c r="U516" s="473"/>
      <c r="V516" s="473"/>
      <c r="W516" s="419">
        <v>1</v>
      </c>
    </row>
    <row r="517" s="419" customFormat="1" ht="16" customHeight="1" spans="1:23">
      <c r="A517" s="472">
        <v>46192</v>
      </c>
      <c r="B517" s="472">
        <v>46193</v>
      </c>
      <c r="C517" s="473"/>
      <c r="D517" s="473" t="s">
        <v>235</v>
      </c>
      <c r="E517" s="473" t="s">
        <v>90</v>
      </c>
      <c r="F517" s="473" t="s">
        <v>90</v>
      </c>
      <c r="G517" s="473" t="s">
        <v>91</v>
      </c>
      <c r="H517" s="473" t="s">
        <v>368</v>
      </c>
      <c r="I517" s="473" t="s">
        <v>356</v>
      </c>
      <c r="J517" s="473">
        <v>44.6</v>
      </c>
      <c r="K517" s="473" t="s">
        <v>371</v>
      </c>
      <c r="L517" s="473">
        <v>44.38</v>
      </c>
      <c r="M517" s="473">
        <v>61</v>
      </c>
      <c r="N517" s="473"/>
      <c r="O517" s="474">
        <f t="shared" si="26"/>
        <v>2707.18</v>
      </c>
      <c r="P517" s="476">
        <v>15</v>
      </c>
      <c r="Q517" s="474">
        <f t="shared" si="27"/>
        <v>189.5026</v>
      </c>
      <c r="R517" s="475">
        <v>600</v>
      </c>
      <c r="S517" s="477">
        <f t="shared" si="28"/>
        <v>1902.6774</v>
      </c>
      <c r="T517" s="473"/>
      <c r="U517" s="473"/>
      <c r="V517" s="473"/>
      <c r="W517" s="419">
        <v>1</v>
      </c>
    </row>
    <row r="518" s="419" customFormat="1" ht="16" customHeight="1" spans="1:23">
      <c r="A518" s="472">
        <v>46192</v>
      </c>
      <c r="B518" s="472">
        <v>46193</v>
      </c>
      <c r="C518" s="473"/>
      <c r="D518" s="473" t="s">
        <v>235</v>
      </c>
      <c r="E518" s="473" t="s">
        <v>75</v>
      </c>
      <c r="F518" s="473" t="s">
        <v>75</v>
      </c>
      <c r="G518" s="473" t="s">
        <v>76</v>
      </c>
      <c r="H518" s="473" t="s">
        <v>368</v>
      </c>
      <c r="I518" s="473" t="s">
        <v>356</v>
      </c>
      <c r="J518" s="473">
        <v>45</v>
      </c>
      <c r="K518" s="473" t="s">
        <v>371</v>
      </c>
      <c r="L518" s="473">
        <v>44.66</v>
      </c>
      <c r="M518" s="473">
        <v>61</v>
      </c>
      <c r="N518" s="473"/>
      <c r="O518" s="474">
        <f t="shared" si="26"/>
        <v>2724.26</v>
      </c>
      <c r="P518" s="476">
        <v>15</v>
      </c>
      <c r="Q518" s="474">
        <f t="shared" si="27"/>
        <v>190.6982</v>
      </c>
      <c r="R518" s="475">
        <v>600</v>
      </c>
      <c r="S518" s="477">
        <f t="shared" si="28"/>
        <v>1918.5618</v>
      </c>
      <c r="T518" s="473"/>
      <c r="U518" s="473"/>
      <c r="V518" s="473"/>
      <c r="W518" s="419">
        <v>1</v>
      </c>
    </row>
    <row r="519" s="419" customFormat="1" ht="16" customHeight="1" spans="1:23">
      <c r="A519" s="472">
        <v>46192</v>
      </c>
      <c r="B519" s="472">
        <v>46194</v>
      </c>
      <c r="C519" s="473"/>
      <c r="D519" s="473" t="s">
        <v>235</v>
      </c>
      <c r="E519" s="473" t="s">
        <v>138</v>
      </c>
      <c r="F519" s="473" t="s">
        <v>138</v>
      </c>
      <c r="G519" s="473" t="s">
        <v>139</v>
      </c>
      <c r="H519" s="473" t="s">
        <v>368</v>
      </c>
      <c r="I519" s="473" t="s">
        <v>356</v>
      </c>
      <c r="J519" s="473">
        <v>46.74</v>
      </c>
      <c r="K519" s="473" t="s">
        <v>371</v>
      </c>
      <c r="L519" s="473">
        <v>46.6</v>
      </c>
      <c r="M519" s="473">
        <v>61</v>
      </c>
      <c r="N519" s="473"/>
      <c r="O519" s="474">
        <f t="shared" si="26"/>
        <v>2842.6</v>
      </c>
      <c r="P519" s="476">
        <v>15</v>
      </c>
      <c r="Q519" s="474">
        <f t="shared" si="27"/>
        <v>198.982</v>
      </c>
      <c r="R519" s="475">
        <v>600</v>
      </c>
      <c r="S519" s="477">
        <f t="shared" si="28"/>
        <v>2028.618</v>
      </c>
      <c r="T519" s="473"/>
      <c r="U519" s="473"/>
      <c r="V519" s="473"/>
      <c r="W519" s="419">
        <v>1</v>
      </c>
    </row>
    <row r="520" s="419" customFormat="1" ht="16" customHeight="1" spans="1:23">
      <c r="A520" s="472">
        <v>46192</v>
      </c>
      <c r="B520" s="472">
        <v>46194</v>
      </c>
      <c r="C520" s="473"/>
      <c r="D520" s="473" t="s">
        <v>235</v>
      </c>
      <c r="E520" s="473" t="s">
        <v>66</v>
      </c>
      <c r="F520" s="473" t="s">
        <v>66</v>
      </c>
      <c r="G520" s="473" t="s">
        <v>67</v>
      </c>
      <c r="H520" s="473" t="s">
        <v>368</v>
      </c>
      <c r="I520" s="473" t="s">
        <v>356</v>
      </c>
      <c r="J520" s="473">
        <v>43.22</v>
      </c>
      <c r="K520" s="473" t="s">
        <v>371</v>
      </c>
      <c r="L520" s="473">
        <v>43.15</v>
      </c>
      <c r="M520" s="473">
        <v>61</v>
      </c>
      <c r="N520" s="473"/>
      <c r="O520" s="474">
        <f t="shared" si="26"/>
        <v>2632.15</v>
      </c>
      <c r="P520" s="476">
        <v>15</v>
      </c>
      <c r="Q520" s="474">
        <f t="shared" si="27"/>
        <v>184.2505</v>
      </c>
      <c r="R520" s="475">
        <v>600</v>
      </c>
      <c r="S520" s="477">
        <f t="shared" si="28"/>
        <v>1832.8995</v>
      </c>
      <c r="T520" s="473"/>
      <c r="U520" s="473"/>
      <c r="V520" s="473"/>
      <c r="W520" s="419">
        <v>1</v>
      </c>
    </row>
    <row r="521" s="417" customFormat="1" ht="16" customHeight="1" spans="1:23">
      <c r="A521" s="449">
        <v>46191</v>
      </c>
      <c r="B521" s="449">
        <v>46192</v>
      </c>
      <c r="C521" s="7" t="s">
        <v>667</v>
      </c>
      <c r="D521" s="7" t="s">
        <v>237</v>
      </c>
      <c r="E521" s="7" t="s">
        <v>174</v>
      </c>
      <c r="F521" s="7" t="s">
        <v>174</v>
      </c>
      <c r="G521" s="7" t="s">
        <v>175</v>
      </c>
      <c r="H521" s="7" t="s">
        <v>354</v>
      </c>
      <c r="I521" s="7" t="s">
        <v>407</v>
      </c>
      <c r="J521" s="74">
        <v>41.06</v>
      </c>
      <c r="K521" s="7" t="s">
        <v>356</v>
      </c>
      <c r="L521" s="74">
        <v>41.04</v>
      </c>
      <c r="M521" s="7">
        <v>87</v>
      </c>
      <c r="N521" s="7"/>
      <c r="O521" s="438">
        <f t="shared" si="26"/>
        <v>3570.48</v>
      </c>
      <c r="P521" s="438">
        <v>15</v>
      </c>
      <c r="Q521" s="438">
        <f t="shared" si="27"/>
        <v>249.9336</v>
      </c>
      <c r="R521" s="438">
        <v>800</v>
      </c>
      <c r="S521" s="439">
        <f t="shared" si="28"/>
        <v>2505.5464</v>
      </c>
      <c r="T521" s="7"/>
      <c r="U521" s="7"/>
      <c r="V521" s="7"/>
      <c r="W521" s="417">
        <v>1</v>
      </c>
    </row>
    <row r="522" s="419" customFormat="1" ht="16" customHeight="1" spans="1:23">
      <c r="A522" s="472">
        <v>46191</v>
      </c>
      <c r="B522" s="472">
        <v>46193</v>
      </c>
      <c r="C522" s="473" t="s">
        <v>668</v>
      </c>
      <c r="D522" s="473" t="s">
        <v>237</v>
      </c>
      <c r="E522" s="473" t="s">
        <v>213</v>
      </c>
      <c r="F522" s="473" t="s">
        <v>213</v>
      </c>
      <c r="G522" s="473" t="s">
        <v>214</v>
      </c>
      <c r="H522" s="473" t="s">
        <v>354</v>
      </c>
      <c r="I522" s="473" t="s">
        <v>407</v>
      </c>
      <c r="J522" s="473">
        <v>40.34</v>
      </c>
      <c r="K522" s="473" t="s">
        <v>356</v>
      </c>
      <c r="L522" s="473">
        <v>40.34</v>
      </c>
      <c r="M522" s="473">
        <v>87</v>
      </c>
      <c r="N522" s="473"/>
      <c r="O522" s="474">
        <f t="shared" si="26"/>
        <v>3509.58</v>
      </c>
      <c r="P522" s="475">
        <v>15</v>
      </c>
      <c r="Q522" s="474">
        <f t="shared" si="27"/>
        <v>245.6706</v>
      </c>
      <c r="R522" s="475">
        <v>800</v>
      </c>
      <c r="S522" s="477">
        <f t="shared" si="28"/>
        <v>2448.9094</v>
      </c>
      <c r="T522" s="473"/>
      <c r="U522" s="473"/>
      <c r="V522" s="473"/>
      <c r="W522" s="419">
        <v>1</v>
      </c>
    </row>
    <row r="523" s="419" customFormat="1" ht="16" customHeight="1" spans="1:23">
      <c r="A523" s="472">
        <v>46192</v>
      </c>
      <c r="B523" s="472">
        <v>46193</v>
      </c>
      <c r="C523" s="473" t="s">
        <v>669</v>
      </c>
      <c r="D523" s="473" t="s">
        <v>237</v>
      </c>
      <c r="E523" s="473" t="s">
        <v>670</v>
      </c>
      <c r="F523" s="473" t="s">
        <v>670</v>
      </c>
      <c r="G523" s="473" t="s">
        <v>217</v>
      </c>
      <c r="H523" s="473" t="s">
        <v>354</v>
      </c>
      <c r="I523" s="473" t="s">
        <v>407</v>
      </c>
      <c r="J523" s="473">
        <v>40.14</v>
      </c>
      <c r="K523" s="473" t="s">
        <v>356</v>
      </c>
      <c r="L523" s="473">
        <v>40.14</v>
      </c>
      <c r="M523" s="473">
        <v>87</v>
      </c>
      <c r="N523" s="473"/>
      <c r="O523" s="474">
        <f t="shared" si="26"/>
        <v>3492.18</v>
      </c>
      <c r="P523" s="475">
        <v>15</v>
      </c>
      <c r="Q523" s="474">
        <f t="shared" si="27"/>
        <v>244.4526</v>
      </c>
      <c r="R523" s="475">
        <v>800</v>
      </c>
      <c r="S523" s="477">
        <f t="shared" si="28"/>
        <v>2432.7274</v>
      </c>
      <c r="T523" s="473"/>
      <c r="U523" s="473"/>
      <c r="V523" s="473"/>
      <c r="W523" s="419">
        <v>1</v>
      </c>
    </row>
    <row r="524" s="419" customFormat="1" ht="16" customHeight="1" spans="1:23">
      <c r="A524" s="472">
        <v>46192</v>
      </c>
      <c r="B524" s="472">
        <v>46193</v>
      </c>
      <c r="C524" s="473" t="s">
        <v>671</v>
      </c>
      <c r="D524" s="473" t="s">
        <v>237</v>
      </c>
      <c r="E524" s="473" t="s">
        <v>151</v>
      </c>
      <c r="F524" s="473" t="s">
        <v>151</v>
      </c>
      <c r="G524" s="473" t="s">
        <v>152</v>
      </c>
      <c r="H524" s="473" t="s">
        <v>354</v>
      </c>
      <c r="I524" s="473" t="s">
        <v>407</v>
      </c>
      <c r="J524" s="473">
        <v>44.8</v>
      </c>
      <c r="K524" s="473" t="s">
        <v>356</v>
      </c>
      <c r="L524" s="473">
        <v>44.8</v>
      </c>
      <c r="M524" s="473">
        <v>87</v>
      </c>
      <c r="N524" s="473"/>
      <c r="O524" s="474">
        <f t="shared" si="26"/>
        <v>3897.6</v>
      </c>
      <c r="P524" s="475">
        <v>15</v>
      </c>
      <c r="Q524" s="474">
        <f t="shared" si="27"/>
        <v>272.832</v>
      </c>
      <c r="R524" s="475">
        <v>800</v>
      </c>
      <c r="S524" s="477">
        <f t="shared" si="28"/>
        <v>2809.768</v>
      </c>
      <c r="T524" s="473"/>
      <c r="U524" s="473"/>
      <c r="V524" s="473"/>
      <c r="W524" s="419">
        <v>1</v>
      </c>
    </row>
    <row r="525" s="417" customFormat="1" ht="16" customHeight="1" spans="1:23">
      <c r="A525" s="449">
        <v>46191</v>
      </c>
      <c r="B525" s="449">
        <v>46192</v>
      </c>
      <c r="C525" s="442" t="s">
        <v>672</v>
      </c>
      <c r="D525" s="7" t="s">
        <v>233</v>
      </c>
      <c r="E525" s="7" t="s">
        <v>144</v>
      </c>
      <c r="F525" s="7" t="s">
        <v>144</v>
      </c>
      <c r="G525" s="7" t="s">
        <v>145</v>
      </c>
      <c r="H525" s="7" t="s">
        <v>354</v>
      </c>
      <c r="I525" s="7" t="s">
        <v>355</v>
      </c>
      <c r="J525" s="74">
        <v>42.98</v>
      </c>
      <c r="K525" s="7" t="s">
        <v>356</v>
      </c>
      <c r="L525" s="74">
        <v>42.98</v>
      </c>
      <c r="M525" s="7">
        <v>67</v>
      </c>
      <c r="N525" s="7"/>
      <c r="O525" s="438">
        <f t="shared" si="26"/>
        <v>2879.66</v>
      </c>
      <c r="P525" s="464">
        <v>15</v>
      </c>
      <c r="Q525" s="465">
        <f t="shared" si="27"/>
        <v>201.5762</v>
      </c>
      <c r="R525" s="438">
        <v>600</v>
      </c>
      <c r="S525" s="439">
        <f t="shared" si="28"/>
        <v>2063.0838</v>
      </c>
      <c r="T525" s="7"/>
      <c r="U525" s="7"/>
      <c r="V525" s="7"/>
      <c r="W525" s="417">
        <v>1</v>
      </c>
    </row>
    <row r="526" s="419" customFormat="1" ht="16" customHeight="1" spans="1:23">
      <c r="A526" s="472">
        <v>46191</v>
      </c>
      <c r="B526" s="472">
        <v>46193</v>
      </c>
      <c r="C526" s="473"/>
      <c r="D526" s="473" t="s">
        <v>235</v>
      </c>
      <c r="E526" s="473" t="s">
        <v>186</v>
      </c>
      <c r="F526" s="473" t="s">
        <v>186</v>
      </c>
      <c r="G526" s="473" t="s">
        <v>187</v>
      </c>
      <c r="H526" s="473" t="s">
        <v>368</v>
      </c>
      <c r="I526" s="473" t="s">
        <v>356</v>
      </c>
      <c r="J526" s="473">
        <v>44.94</v>
      </c>
      <c r="K526" s="473" t="s">
        <v>371</v>
      </c>
      <c r="L526" s="473">
        <v>44.78</v>
      </c>
      <c r="M526" s="473">
        <v>61</v>
      </c>
      <c r="N526" s="473"/>
      <c r="O526" s="474">
        <f t="shared" si="26"/>
        <v>2731.58</v>
      </c>
      <c r="P526" s="476">
        <v>15</v>
      </c>
      <c r="Q526" s="474">
        <f t="shared" si="27"/>
        <v>191.2106</v>
      </c>
      <c r="R526" s="475">
        <v>600</v>
      </c>
      <c r="S526" s="477">
        <f t="shared" si="28"/>
        <v>1925.3694</v>
      </c>
      <c r="T526" s="473"/>
      <c r="U526" s="473"/>
      <c r="V526" s="473"/>
      <c r="W526" s="419">
        <v>1</v>
      </c>
    </row>
    <row r="527" s="419" customFormat="1" ht="16" customHeight="1" spans="1:23">
      <c r="A527" s="472">
        <v>46192</v>
      </c>
      <c r="B527" s="473"/>
      <c r="C527" s="473"/>
      <c r="D527" s="473" t="s">
        <v>235</v>
      </c>
      <c r="E527" s="473" t="s">
        <v>166</v>
      </c>
      <c r="F527" s="473" t="s">
        <v>166</v>
      </c>
      <c r="G527" s="473" t="s">
        <v>167</v>
      </c>
      <c r="H527" s="473" t="s">
        <v>368</v>
      </c>
      <c r="I527" s="473" t="s">
        <v>356</v>
      </c>
      <c r="J527" s="473">
        <v>44.04</v>
      </c>
      <c r="K527" s="473" t="s">
        <v>371</v>
      </c>
      <c r="L527" s="473">
        <v>44.13</v>
      </c>
      <c r="M527" s="473">
        <v>61</v>
      </c>
      <c r="N527" s="473"/>
      <c r="O527" s="474">
        <f t="shared" si="26"/>
        <v>2691.93</v>
      </c>
      <c r="P527" s="476">
        <v>15</v>
      </c>
      <c r="Q527" s="474">
        <f t="shared" si="27"/>
        <v>188.4351</v>
      </c>
      <c r="R527" s="475">
        <v>600</v>
      </c>
      <c r="S527" s="477">
        <f t="shared" si="28"/>
        <v>1888.4949</v>
      </c>
      <c r="T527" s="473"/>
      <c r="U527" s="473"/>
      <c r="V527" s="473"/>
      <c r="W527" s="419">
        <v>1</v>
      </c>
    </row>
    <row r="528" s="419" customFormat="1" ht="16" customHeight="1" spans="1:23">
      <c r="A528" s="472">
        <v>46192</v>
      </c>
      <c r="B528" s="473"/>
      <c r="C528" s="473" t="s">
        <v>673</v>
      </c>
      <c r="D528" s="473" t="s">
        <v>235</v>
      </c>
      <c r="E528" s="473" t="s">
        <v>177</v>
      </c>
      <c r="F528" s="473" t="s">
        <v>177</v>
      </c>
      <c r="G528" s="473" t="s">
        <v>178</v>
      </c>
      <c r="H528" s="473" t="s">
        <v>384</v>
      </c>
      <c r="I528" s="473" t="s">
        <v>356</v>
      </c>
      <c r="J528" s="473">
        <v>42.66</v>
      </c>
      <c r="K528" s="473" t="s">
        <v>371</v>
      </c>
      <c r="L528" s="473">
        <v>42.47</v>
      </c>
      <c r="M528" s="473">
        <v>61</v>
      </c>
      <c r="N528" s="473"/>
      <c r="O528" s="474">
        <f t="shared" si="26"/>
        <v>2590.67</v>
      </c>
      <c r="P528" s="476">
        <v>15</v>
      </c>
      <c r="Q528" s="474">
        <f t="shared" si="27"/>
        <v>181.3469</v>
      </c>
      <c r="R528" s="475">
        <v>600</v>
      </c>
      <c r="S528" s="477">
        <f t="shared" si="28"/>
        <v>1794.3231</v>
      </c>
      <c r="T528" s="473"/>
      <c r="U528" s="473"/>
      <c r="V528" s="473"/>
      <c r="W528" s="419">
        <v>1</v>
      </c>
    </row>
    <row r="529" s="419" customFormat="1" ht="16" customHeight="1" spans="1:23">
      <c r="A529" s="472">
        <v>46192</v>
      </c>
      <c r="B529" s="473"/>
      <c r="C529" s="473"/>
      <c r="D529" s="473" t="s">
        <v>235</v>
      </c>
      <c r="E529" s="473" t="s">
        <v>144</v>
      </c>
      <c r="F529" s="473" t="s">
        <v>144</v>
      </c>
      <c r="G529" s="473" t="s">
        <v>145</v>
      </c>
      <c r="H529" s="473" t="s">
        <v>368</v>
      </c>
      <c r="I529" s="473" t="s">
        <v>356</v>
      </c>
      <c r="J529" s="473">
        <v>45.82</v>
      </c>
      <c r="K529" s="473" t="s">
        <v>371</v>
      </c>
      <c r="L529" s="473">
        <v>45.52</v>
      </c>
      <c r="M529" s="473">
        <v>61</v>
      </c>
      <c r="N529" s="473"/>
      <c r="O529" s="474">
        <f t="shared" si="26"/>
        <v>2776.72</v>
      </c>
      <c r="P529" s="476">
        <v>15</v>
      </c>
      <c r="Q529" s="474">
        <f t="shared" si="27"/>
        <v>194.3704</v>
      </c>
      <c r="R529" s="475">
        <v>600</v>
      </c>
      <c r="S529" s="477">
        <f t="shared" si="28"/>
        <v>1967.3496</v>
      </c>
      <c r="T529" s="473"/>
      <c r="U529" s="473"/>
      <c r="V529" s="473"/>
      <c r="W529" s="419">
        <v>1</v>
      </c>
    </row>
    <row r="530" s="419" customFormat="1" ht="16" customHeight="1" spans="1:23">
      <c r="A530" s="472">
        <v>46192</v>
      </c>
      <c r="B530" s="472">
        <v>46195</v>
      </c>
      <c r="C530" s="473"/>
      <c r="D530" s="473" t="s">
        <v>235</v>
      </c>
      <c r="E530" s="473" t="s">
        <v>210</v>
      </c>
      <c r="F530" s="473" t="s">
        <v>210</v>
      </c>
      <c r="G530" s="473" t="s">
        <v>211</v>
      </c>
      <c r="H530" s="473" t="s">
        <v>368</v>
      </c>
      <c r="I530" s="473" t="s">
        <v>356</v>
      </c>
      <c r="J530" s="473">
        <v>46.3</v>
      </c>
      <c r="K530" s="473" t="s">
        <v>371</v>
      </c>
      <c r="L530" s="473">
        <v>46.12</v>
      </c>
      <c r="M530" s="473">
        <v>61</v>
      </c>
      <c r="N530" s="473"/>
      <c r="O530" s="474">
        <f t="shared" si="26"/>
        <v>2813.32</v>
      </c>
      <c r="P530" s="476">
        <v>15</v>
      </c>
      <c r="Q530" s="474">
        <f t="shared" si="27"/>
        <v>196.9324</v>
      </c>
      <c r="R530" s="475">
        <v>600</v>
      </c>
      <c r="S530" s="477">
        <f t="shared" si="28"/>
        <v>2001.3876</v>
      </c>
      <c r="T530" s="473"/>
      <c r="U530" s="473"/>
      <c r="V530" s="473"/>
      <c r="W530" s="419">
        <v>1</v>
      </c>
    </row>
    <row r="531" s="414" customFormat="1" ht="16" customHeight="1" spans="1:23">
      <c r="A531" s="470">
        <v>46191</v>
      </c>
      <c r="B531" s="470">
        <v>46192</v>
      </c>
      <c r="C531" s="74"/>
      <c r="D531" s="74" t="s">
        <v>235</v>
      </c>
      <c r="E531" s="74" t="s">
        <v>180</v>
      </c>
      <c r="F531" s="74" t="s">
        <v>180</v>
      </c>
      <c r="G531" s="74" t="s">
        <v>181</v>
      </c>
      <c r="H531" s="74" t="s">
        <v>368</v>
      </c>
      <c r="I531" s="74" t="s">
        <v>356</v>
      </c>
      <c r="J531" s="74">
        <v>44.5</v>
      </c>
      <c r="K531" s="74" t="s">
        <v>371</v>
      </c>
      <c r="L531" s="74">
        <v>44.23</v>
      </c>
      <c r="M531" s="74">
        <v>61</v>
      </c>
      <c r="N531" s="74"/>
      <c r="O531" s="438">
        <f t="shared" si="26"/>
        <v>2698.03</v>
      </c>
      <c r="P531" s="464">
        <v>15</v>
      </c>
      <c r="Q531" s="465">
        <f t="shared" ref="Q531:Q538" si="29">O531*0.07</f>
        <v>188.8621</v>
      </c>
      <c r="R531" s="438">
        <v>600</v>
      </c>
      <c r="S531" s="439">
        <f t="shared" ref="S531:S538" si="30">O531-P531-R531-Q531</f>
        <v>1894.1679</v>
      </c>
      <c r="T531" s="74"/>
      <c r="U531" s="74"/>
      <c r="V531" s="74"/>
      <c r="W531" s="414">
        <v>1</v>
      </c>
    </row>
    <row r="532" s="419" customFormat="1" ht="16" customHeight="1" spans="1:23">
      <c r="A532" s="472">
        <v>46192</v>
      </c>
      <c r="B532" s="473"/>
      <c r="C532" s="473" t="s">
        <v>674</v>
      </c>
      <c r="D532" s="473" t="s">
        <v>237</v>
      </c>
      <c r="E532" s="473" t="s">
        <v>195</v>
      </c>
      <c r="F532" s="473" t="s">
        <v>195</v>
      </c>
      <c r="G532" s="473" t="s">
        <v>196</v>
      </c>
      <c r="H532" s="473" t="s">
        <v>354</v>
      </c>
      <c r="I532" s="473" t="s">
        <v>407</v>
      </c>
      <c r="J532" s="473">
        <v>46.38</v>
      </c>
      <c r="K532" s="473" t="s">
        <v>356</v>
      </c>
      <c r="L532" s="473">
        <v>46.36</v>
      </c>
      <c r="M532" s="473">
        <v>87</v>
      </c>
      <c r="N532" s="473"/>
      <c r="O532" s="474">
        <f t="shared" si="26"/>
        <v>4033.32</v>
      </c>
      <c r="P532" s="476">
        <v>15</v>
      </c>
      <c r="Q532" s="474">
        <f t="shared" si="29"/>
        <v>282.3324</v>
      </c>
      <c r="R532" s="476">
        <v>800</v>
      </c>
      <c r="S532" s="477">
        <f t="shared" si="30"/>
        <v>2935.9876</v>
      </c>
      <c r="T532" s="473"/>
      <c r="U532" s="473"/>
      <c r="V532" s="473"/>
      <c r="W532" s="419">
        <v>1</v>
      </c>
    </row>
    <row r="533" s="417" customFormat="1" ht="16" customHeight="1" spans="1:23">
      <c r="A533" s="449">
        <v>46191</v>
      </c>
      <c r="B533" s="449">
        <v>46192</v>
      </c>
      <c r="C533" s="442" t="s">
        <v>675</v>
      </c>
      <c r="D533" s="7" t="s">
        <v>233</v>
      </c>
      <c r="E533" s="7" t="s">
        <v>192</v>
      </c>
      <c r="F533" s="7" t="s">
        <v>192</v>
      </c>
      <c r="G533" s="7" t="s">
        <v>193</v>
      </c>
      <c r="H533" s="7" t="s">
        <v>354</v>
      </c>
      <c r="I533" s="7" t="s">
        <v>355</v>
      </c>
      <c r="J533" s="74">
        <v>43.36</v>
      </c>
      <c r="K533" s="7" t="s">
        <v>356</v>
      </c>
      <c r="L533" s="74">
        <v>43.32</v>
      </c>
      <c r="M533" s="7">
        <v>67</v>
      </c>
      <c r="N533" s="7"/>
      <c r="O533" s="438">
        <f t="shared" si="26"/>
        <v>2902.44</v>
      </c>
      <c r="P533" s="464">
        <v>15</v>
      </c>
      <c r="Q533" s="465">
        <f t="shared" si="29"/>
        <v>203.1708</v>
      </c>
      <c r="R533" s="438">
        <v>600</v>
      </c>
      <c r="S533" s="439">
        <f t="shared" si="30"/>
        <v>2084.2692</v>
      </c>
      <c r="T533" s="7"/>
      <c r="U533" s="7"/>
      <c r="V533" s="7"/>
      <c r="W533" s="417">
        <v>1</v>
      </c>
    </row>
    <row r="534" s="417" customFormat="1" ht="16" customHeight="1" spans="1:23">
      <c r="A534" s="449">
        <v>46191</v>
      </c>
      <c r="B534" s="449">
        <v>46192</v>
      </c>
      <c r="C534" s="442" t="s">
        <v>676</v>
      </c>
      <c r="D534" s="7" t="s">
        <v>233</v>
      </c>
      <c r="E534" s="7" t="s">
        <v>189</v>
      </c>
      <c r="F534" s="7" t="s">
        <v>189</v>
      </c>
      <c r="G534" s="7" t="s">
        <v>190</v>
      </c>
      <c r="H534" s="7" t="s">
        <v>354</v>
      </c>
      <c r="I534" s="7" t="s">
        <v>355</v>
      </c>
      <c r="J534" s="74">
        <v>44.64</v>
      </c>
      <c r="K534" s="7" t="s">
        <v>356</v>
      </c>
      <c r="L534" s="74">
        <v>44.62</v>
      </c>
      <c r="M534" s="7">
        <v>67</v>
      </c>
      <c r="N534" s="7"/>
      <c r="O534" s="438">
        <f t="shared" si="26"/>
        <v>2989.54</v>
      </c>
      <c r="P534" s="464">
        <v>15</v>
      </c>
      <c r="Q534" s="465">
        <f t="shared" si="29"/>
        <v>209.2678</v>
      </c>
      <c r="R534" s="438">
        <v>600</v>
      </c>
      <c r="S534" s="439">
        <f t="shared" si="30"/>
        <v>2165.2722</v>
      </c>
      <c r="T534" s="7"/>
      <c r="U534" s="7"/>
      <c r="V534" s="7"/>
      <c r="W534" s="417">
        <v>1</v>
      </c>
    </row>
    <row r="535" s="417" customFormat="1" ht="16" customHeight="1" spans="1:23">
      <c r="A535" s="449">
        <v>46191</v>
      </c>
      <c r="B535" s="449">
        <v>46192</v>
      </c>
      <c r="C535" s="7"/>
      <c r="D535" s="7" t="s">
        <v>235</v>
      </c>
      <c r="E535" s="7" t="s">
        <v>148</v>
      </c>
      <c r="F535" s="7" t="s">
        <v>148</v>
      </c>
      <c r="G535" s="7" t="s">
        <v>149</v>
      </c>
      <c r="H535" s="7" t="s">
        <v>368</v>
      </c>
      <c r="I535" s="7" t="s">
        <v>356</v>
      </c>
      <c r="J535" s="74">
        <v>45.12</v>
      </c>
      <c r="K535" s="7" t="s">
        <v>371</v>
      </c>
      <c r="L535" s="74">
        <v>45.02</v>
      </c>
      <c r="M535" s="7">
        <v>61</v>
      </c>
      <c r="N535" s="7"/>
      <c r="O535" s="438">
        <f t="shared" si="26"/>
        <v>2746.22</v>
      </c>
      <c r="P535" s="464">
        <v>15</v>
      </c>
      <c r="Q535" s="465">
        <f t="shared" si="29"/>
        <v>192.2354</v>
      </c>
      <c r="R535" s="438">
        <v>600</v>
      </c>
      <c r="S535" s="439">
        <f t="shared" si="30"/>
        <v>1938.9846</v>
      </c>
      <c r="T535" s="7"/>
      <c r="U535" s="7"/>
      <c r="V535" s="7"/>
      <c r="W535" s="417">
        <v>1</v>
      </c>
    </row>
    <row r="536" s="417" customFormat="1" ht="16" customHeight="1" spans="1:23">
      <c r="A536" s="449">
        <v>46191</v>
      </c>
      <c r="B536" s="449">
        <v>46192</v>
      </c>
      <c r="C536" s="7"/>
      <c r="D536" s="7" t="s">
        <v>235</v>
      </c>
      <c r="E536" s="7" t="s">
        <v>183</v>
      </c>
      <c r="F536" s="7" t="s">
        <v>183</v>
      </c>
      <c r="G536" s="7" t="s">
        <v>184</v>
      </c>
      <c r="H536" s="7" t="s">
        <v>368</v>
      </c>
      <c r="I536" s="7" t="s">
        <v>356</v>
      </c>
      <c r="J536" s="74">
        <v>46.3</v>
      </c>
      <c r="K536" s="7" t="s">
        <v>371</v>
      </c>
      <c r="L536" s="74">
        <v>46.13</v>
      </c>
      <c r="M536" s="7">
        <v>61</v>
      </c>
      <c r="N536" s="7"/>
      <c r="O536" s="438">
        <f t="shared" si="26"/>
        <v>2813.93</v>
      </c>
      <c r="P536" s="464">
        <v>15</v>
      </c>
      <c r="Q536" s="465">
        <f t="shared" si="29"/>
        <v>196.9751</v>
      </c>
      <c r="R536" s="438">
        <v>600</v>
      </c>
      <c r="S536" s="439">
        <f t="shared" si="30"/>
        <v>2001.9549</v>
      </c>
      <c r="T536" s="7"/>
      <c r="U536" s="7"/>
      <c r="V536" s="7"/>
      <c r="W536" s="417">
        <v>1</v>
      </c>
    </row>
    <row r="537" s="419" customFormat="1" ht="16" customHeight="1" spans="1:23">
      <c r="A537" s="472">
        <v>46191</v>
      </c>
      <c r="B537" s="472">
        <v>46193</v>
      </c>
      <c r="C537" s="473" t="s">
        <v>677</v>
      </c>
      <c r="D537" s="473" t="s">
        <v>235</v>
      </c>
      <c r="E537" s="473" t="s">
        <v>195</v>
      </c>
      <c r="F537" s="473" t="s">
        <v>195</v>
      </c>
      <c r="G537" s="473" t="s">
        <v>678</v>
      </c>
      <c r="H537" s="473" t="s">
        <v>384</v>
      </c>
      <c r="I537" s="473" t="s">
        <v>356</v>
      </c>
      <c r="J537" s="473">
        <v>42.9</v>
      </c>
      <c r="K537" s="473" t="s">
        <v>371</v>
      </c>
      <c r="L537" s="473">
        <v>42.69</v>
      </c>
      <c r="M537" s="473">
        <v>61</v>
      </c>
      <c r="N537" s="473"/>
      <c r="O537" s="474">
        <f t="shared" si="26"/>
        <v>2604.09</v>
      </c>
      <c r="P537" s="476">
        <v>15</v>
      </c>
      <c r="Q537" s="474">
        <f t="shared" si="29"/>
        <v>182.2863</v>
      </c>
      <c r="R537" s="476">
        <v>600</v>
      </c>
      <c r="S537" s="477">
        <f t="shared" si="30"/>
        <v>1806.8037</v>
      </c>
      <c r="T537" s="473"/>
      <c r="U537" s="473"/>
      <c r="V537" s="473"/>
      <c r="W537" s="419">
        <v>1</v>
      </c>
    </row>
    <row r="538" s="417" customFormat="1" ht="16" customHeight="1" spans="1:23">
      <c r="A538" s="449">
        <v>46191</v>
      </c>
      <c r="B538" s="449">
        <v>46192</v>
      </c>
      <c r="C538" s="7" t="s">
        <v>679</v>
      </c>
      <c r="D538" s="7" t="s">
        <v>235</v>
      </c>
      <c r="E538" s="7" t="s">
        <v>198</v>
      </c>
      <c r="F538" s="7" t="s">
        <v>198</v>
      </c>
      <c r="G538" s="7" t="s">
        <v>199</v>
      </c>
      <c r="H538" s="7" t="s">
        <v>384</v>
      </c>
      <c r="I538" s="7" t="s">
        <v>356</v>
      </c>
      <c r="J538" s="74">
        <v>44.14</v>
      </c>
      <c r="K538" s="7" t="s">
        <v>371</v>
      </c>
      <c r="L538" s="74">
        <v>43.86</v>
      </c>
      <c r="M538" s="7">
        <v>61</v>
      </c>
      <c r="N538" s="7"/>
      <c r="O538" s="438">
        <f t="shared" si="26"/>
        <v>2675.46</v>
      </c>
      <c r="P538" s="464">
        <v>15</v>
      </c>
      <c r="Q538" s="465">
        <f t="shared" si="29"/>
        <v>187.2822</v>
      </c>
      <c r="R538" s="438">
        <v>600</v>
      </c>
      <c r="S538" s="439">
        <f t="shared" si="30"/>
        <v>1873.1778</v>
      </c>
      <c r="T538" s="7"/>
      <c r="U538" s="7"/>
      <c r="V538" s="7"/>
      <c r="W538" s="417">
        <v>1</v>
      </c>
    </row>
    <row r="539" s="419" customFormat="1" ht="15" customHeight="1" spans="1:23">
      <c r="A539" s="472">
        <v>46193</v>
      </c>
      <c r="B539" s="472">
        <v>46194</v>
      </c>
      <c r="C539" s="473" t="s">
        <v>680</v>
      </c>
      <c r="D539" s="473" t="s">
        <v>236</v>
      </c>
      <c r="E539" s="473" t="s">
        <v>90</v>
      </c>
      <c r="F539" s="473" t="s">
        <v>90</v>
      </c>
      <c r="G539" s="473" t="s">
        <v>91</v>
      </c>
      <c r="H539" s="473" t="s">
        <v>354</v>
      </c>
      <c r="I539" s="473" t="s">
        <v>369</v>
      </c>
      <c r="J539" s="473">
        <v>37.3</v>
      </c>
      <c r="K539" s="473" t="s">
        <v>356</v>
      </c>
      <c r="L539" s="473">
        <v>37.3</v>
      </c>
      <c r="M539" s="473">
        <v>68</v>
      </c>
      <c r="N539" s="473"/>
      <c r="O539" s="475">
        <f t="shared" ref="O539:O570" si="31">L539*M539</f>
        <v>2536.4</v>
      </c>
      <c r="P539" s="476">
        <v>15</v>
      </c>
      <c r="Q539" s="474">
        <f t="shared" ref="Q539:Q570" si="32">O539*0.07</f>
        <v>177.548</v>
      </c>
      <c r="R539" s="475">
        <v>600</v>
      </c>
      <c r="S539" s="477">
        <f t="shared" ref="S539:S570" si="33">O539-P539-R539-Q539</f>
        <v>1743.852</v>
      </c>
      <c r="T539" s="433"/>
    </row>
    <row r="540" s="419" customFormat="1" ht="15" customHeight="1" spans="1:23">
      <c r="A540" s="472">
        <v>46193</v>
      </c>
      <c r="B540" s="472">
        <v>46194</v>
      </c>
      <c r="C540" s="473" t="s">
        <v>681</v>
      </c>
      <c r="D540" s="473" t="s">
        <v>236</v>
      </c>
      <c r="E540" s="473" t="s">
        <v>124</v>
      </c>
      <c r="F540" s="473" t="s">
        <v>124</v>
      </c>
      <c r="G540" s="473" t="s">
        <v>125</v>
      </c>
      <c r="H540" s="473" t="s">
        <v>354</v>
      </c>
      <c r="I540" s="473" t="s">
        <v>369</v>
      </c>
      <c r="J540" s="473">
        <v>36.74</v>
      </c>
      <c r="K540" s="473" t="s">
        <v>356</v>
      </c>
      <c r="L540" s="473">
        <v>36.7</v>
      </c>
      <c r="M540" s="473">
        <v>68</v>
      </c>
      <c r="N540" s="473"/>
      <c r="O540" s="475">
        <f t="shared" si="31"/>
        <v>2495.6</v>
      </c>
      <c r="P540" s="476">
        <v>15</v>
      </c>
      <c r="Q540" s="474">
        <f t="shared" si="32"/>
        <v>174.692</v>
      </c>
      <c r="R540" s="475">
        <v>600</v>
      </c>
      <c r="S540" s="477">
        <f t="shared" si="33"/>
        <v>1705.908</v>
      </c>
      <c r="T540" s="433"/>
    </row>
    <row r="541" s="419" customFormat="1" ht="15" customHeight="1" spans="1:23">
      <c r="A541" s="472">
        <v>46193</v>
      </c>
      <c r="B541" s="472">
        <v>46194</v>
      </c>
      <c r="C541" s="473" t="s">
        <v>682</v>
      </c>
      <c r="D541" s="473" t="s">
        <v>236</v>
      </c>
      <c r="E541" s="473" t="s">
        <v>93</v>
      </c>
      <c r="F541" s="473" t="s">
        <v>93</v>
      </c>
      <c r="G541" s="473" t="s">
        <v>94</v>
      </c>
      <c r="H541" s="473" t="s">
        <v>354</v>
      </c>
      <c r="I541" s="473" t="s">
        <v>369</v>
      </c>
      <c r="J541" s="473">
        <v>37.18</v>
      </c>
      <c r="K541" s="473" t="s">
        <v>356</v>
      </c>
      <c r="L541" s="473">
        <v>37.1</v>
      </c>
      <c r="M541" s="473">
        <v>68</v>
      </c>
      <c r="N541" s="473"/>
      <c r="O541" s="475">
        <f t="shared" si="31"/>
        <v>2522.8</v>
      </c>
      <c r="P541" s="476">
        <v>15</v>
      </c>
      <c r="Q541" s="474">
        <f t="shared" si="32"/>
        <v>176.596</v>
      </c>
      <c r="R541" s="475">
        <v>600</v>
      </c>
      <c r="S541" s="477">
        <f t="shared" si="33"/>
        <v>1731.204</v>
      </c>
      <c r="T541" s="433"/>
    </row>
    <row r="542" s="419" customFormat="1" ht="15" customHeight="1" spans="1:23">
      <c r="A542" s="472">
        <v>46193</v>
      </c>
      <c r="B542" s="472">
        <v>46194</v>
      </c>
      <c r="C542" s="473" t="s">
        <v>683</v>
      </c>
      <c r="D542" s="473" t="s">
        <v>236</v>
      </c>
      <c r="E542" s="473" t="s">
        <v>75</v>
      </c>
      <c r="F542" s="473" t="s">
        <v>75</v>
      </c>
      <c r="G542" s="473" t="s">
        <v>76</v>
      </c>
      <c r="H542" s="473" t="s">
        <v>354</v>
      </c>
      <c r="I542" s="473" t="s">
        <v>369</v>
      </c>
      <c r="J542" s="473">
        <v>37.88</v>
      </c>
      <c r="K542" s="473" t="s">
        <v>356</v>
      </c>
      <c r="L542" s="473">
        <v>37.84</v>
      </c>
      <c r="M542" s="473">
        <v>68</v>
      </c>
      <c r="N542" s="473"/>
      <c r="O542" s="475">
        <f t="shared" si="31"/>
        <v>2573.12</v>
      </c>
      <c r="P542" s="476">
        <v>15</v>
      </c>
      <c r="Q542" s="474">
        <f t="shared" si="32"/>
        <v>180.1184</v>
      </c>
      <c r="R542" s="475">
        <v>600</v>
      </c>
      <c r="S542" s="477">
        <f t="shared" si="33"/>
        <v>1778.0016</v>
      </c>
      <c r="T542" s="433"/>
    </row>
    <row r="543" s="419" customFormat="1" ht="15" customHeight="1" spans="1:23">
      <c r="A543" s="472">
        <v>46194</v>
      </c>
      <c r="B543" s="472">
        <v>46195</v>
      </c>
      <c r="C543" s="473" t="s">
        <v>684</v>
      </c>
      <c r="D543" s="473" t="s">
        <v>236</v>
      </c>
      <c r="E543" s="473" t="s">
        <v>96</v>
      </c>
      <c r="F543" s="473" t="s">
        <v>96</v>
      </c>
      <c r="G543" s="473" t="s">
        <v>97</v>
      </c>
      <c r="H543" s="473" t="s">
        <v>354</v>
      </c>
      <c r="I543" s="473" t="s">
        <v>369</v>
      </c>
      <c r="J543" s="473">
        <v>40.52</v>
      </c>
      <c r="K543" s="473" t="s">
        <v>356</v>
      </c>
      <c r="L543" s="473">
        <v>40.5</v>
      </c>
      <c r="M543" s="473">
        <v>68</v>
      </c>
      <c r="N543" s="473"/>
      <c r="O543" s="475">
        <f t="shared" si="31"/>
        <v>2754</v>
      </c>
      <c r="P543" s="476">
        <v>15</v>
      </c>
      <c r="Q543" s="474">
        <f t="shared" si="32"/>
        <v>192.78</v>
      </c>
      <c r="R543" s="475">
        <v>600</v>
      </c>
      <c r="S543" s="477">
        <f t="shared" si="33"/>
        <v>1946.22</v>
      </c>
      <c r="T543" s="433"/>
    </row>
    <row r="544" s="419" customFormat="1" ht="15" customHeight="1" spans="1:23">
      <c r="A544" s="472">
        <v>46194</v>
      </c>
      <c r="B544" s="472">
        <v>46194</v>
      </c>
      <c r="C544" s="473" t="s">
        <v>685</v>
      </c>
      <c r="D544" s="473" t="s">
        <v>236</v>
      </c>
      <c r="E544" s="473" t="s">
        <v>102</v>
      </c>
      <c r="F544" s="473" t="s">
        <v>102</v>
      </c>
      <c r="G544" s="473" t="s">
        <v>103</v>
      </c>
      <c r="H544" s="473" t="s">
        <v>354</v>
      </c>
      <c r="I544" s="473" t="s">
        <v>369</v>
      </c>
      <c r="J544" s="473">
        <v>38.7</v>
      </c>
      <c r="K544" s="473" t="s">
        <v>356</v>
      </c>
      <c r="L544" s="473">
        <v>38.66</v>
      </c>
      <c r="M544" s="473">
        <v>68</v>
      </c>
      <c r="N544" s="473"/>
      <c r="O544" s="475">
        <f t="shared" si="31"/>
        <v>2628.88</v>
      </c>
      <c r="P544" s="476">
        <v>15</v>
      </c>
      <c r="Q544" s="474">
        <f t="shared" si="32"/>
        <v>184.0216</v>
      </c>
      <c r="R544" s="475">
        <v>600</v>
      </c>
      <c r="S544" s="477">
        <f t="shared" si="33"/>
        <v>1829.8584</v>
      </c>
      <c r="T544" s="433"/>
    </row>
    <row r="545" s="419" customFormat="1" ht="15" customHeight="1" spans="1:22">
      <c r="A545" s="472">
        <v>46194</v>
      </c>
      <c r="B545" s="472">
        <v>46195</v>
      </c>
      <c r="C545" s="473" t="s">
        <v>686</v>
      </c>
      <c r="D545" s="473" t="s">
        <v>236</v>
      </c>
      <c r="E545" s="473" t="s">
        <v>108</v>
      </c>
      <c r="F545" s="473" t="s">
        <v>108</v>
      </c>
      <c r="G545" s="473" t="s">
        <v>109</v>
      </c>
      <c r="H545" s="473" t="s">
        <v>354</v>
      </c>
      <c r="I545" s="473" t="s">
        <v>369</v>
      </c>
      <c r="J545" s="473">
        <v>40.42</v>
      </c>
      <c r="K545" s="473" t="s">
        <v>356</v>
      </c>
      <c r="L545" s="473">
        <v>40.38</v>
      </c>
      <c r="M545" s="473">
        <v>68</v>
      </c>
      <c r="N545" s="473"/>
      <c r="O545" s="475">
        <f t="shared" si="31"/>
        <v>2745.84</v>
      </c>
      <c r="P545" s="476">
        <v>15</v>
      </c>
      <c r="Q545" s="474">
        <f t="shared" si="32"/>
        <v>192.2088</v>
      </c>
      <c r="R545" s="475">
        <v>600</v>
      </c>
      <c r="S545" s="477">
        <f t="shared" si="33"/>
        <v>1938.6312</v>
      </c>
      <c r="T545" s="433"/>
    </row>
    <row r="546" s="419" customFormat="1" ht="15" customHeight="1" spans="1:22">
      <c r="A546" s="472">
        <v>46194</v>
      </c>
      <c r="B546" s="472">
        <v>46195</v>
      </c>
      <c r="C546" s="473" t="s">
        <v>687</v>
      </c>
      <c r="D546" s="473" t="s">
        <v>236</v>
      </c>
      <c r="E546" s="473" t="s">
        <v>114</v>
      </c>
      <c r="F546" s="473" t="s">
        <v>114</v>
      </c>
      <c r="G546" s="473" t="s">
        <v>115</v>
      </c>
      <c r="H546" s="473" t="s">
        <v>354</v>
      </c>
      <c r="I546" s="473" t="s">
        <v>369</v>
      </c>
      <c r="J546" s="473">
        <v>38.14</v>
      </c>
      <c r="K546" s="473" t="s">
        <v>356</v>
      </c>
      <c r="L546" s="473">
        <v>38.1</v>
      </c>
      <c r="M546" s="473">
        <v>68</v>
      </c>
      <c r="N546" s="473"/>
      <c r="O546" s="475">
        <f t="shared" si="31"/>
        <v>2590.8</v>
      </c>
      <c r="P546" s="476">
        <v>15</v>
      </c>
      <c r="Q546" s="474">
        <f t="shared" si="32"/>
        <v>181.356</v>
      </c>
      <c r="R546" s="475">
        <v>600</v>
      </c>
      <c r="S546" s="477">
        <f t="shared" si="33"/>
        <v>1794.444</v>
      </c>
      <c r="T546" s="433"/>
    </row>
    <row r="547" s="419" customFormat="1" ht="15" customHeight="1" spans="1:22">
      <c r="A547" s="472">
        <v>46193</v>
      </c>
      <c r="B547" s="472">
        <v>46194</v>
      </c>
      <c r="C547" s="608" t="s">
        <v>688</v>
      </c>
      <c r="D547" s="473" t="s">
        <v>234</v>
      </c>
      <c r="E547" s="473" t="s">
        <v>81</v>
      </c>
      <c r="F547" s="473" t="s">
        <v>81</v>
      </c>
      <c r="G547" s="473" t="s">
        <v>82</v>
      </c>
      <c r="H547" s="473" t="s">
        <v>354</v>
      </c>
      <c r="I547" s="473" t="s">
        <v>507</v>
      </c>
      <c r="J547" s="473">
        <v>38.38</v>
      </c>
      <c r="K547" s="473" t="s">
        <v>356</v>
      </c>
      <c r="L547" s="473">
        <v>38.38</v>
      </c>
      <c r="M547" s="473">
        <v>71</v>
      </c>
      <c r="N547" s="473"/>
      <c r="O547" s="475">
        <f t="shared" si="31"/>
        <v>2724.98</v>
      </c>
      <c r="P547" s="475">
        <v>15</v>
      </c>
      <c r="Q547" s="474">
        <f t="shared" si="32"/>
        <v>190.7486</v>
      </c>
      <c r="R547" s="475">
        <v>600</v>
      </c>
      <c r="S547" s="477">
        <f t="shared" si="33"/>
        <v>1919.2314</v>
      </c>
      <c r="T547" s="433"/>
    </row>
    <row r="548" s="419" customFormat="1" ht="15" customHeight="1" spans="1:22">
      <c r="A548" s="472">
        <v>46192</v>
      </c>
      <c r="B548" s="472">
        <v>46193</v>
      </c>
      <c r="C548" s="478" t="s">
        <v>689</v>
      </c>
      <c r="D548" s="473" t="s">
        <v>233</v>
      </c>
      <c r="E548" s="473" t="s">
        <v>130</v>
      </c>
      <c r="F548" s="473" t="s">
        <v>130</v>
      </c>
      <c r="G548" s="473" t="s">
        <v>122</v>
      </c>
      <c r="H548" s="473" t="s">
        <v>354</v>
      </c>
      <c r="I548" s="473" t="s">
        <v>355</v>
      </c>
      <c r="J548" s="473">
        <v>41.04</v>
      </c>
      <c r="K548" s="473" t="s">
        <v>356</v>
      </c>
      <c r="L548" s="473">
        <v>41.02</v>
      </c>
      <c r="M548" s="473">
        <v>67</v>
      </c>
      <c r="N548" s="473"/>
      <c r="O548" s="475">
        <f t="shared" si="31"/>
        <v>2748.34</v>
      </c>
      <c r="P548" s="476">
        <v>15</v>
      </c>
      <c r="Q548" s="474">
        <f t="shared" si="32"/>
        <v>192.3838</v>
      </c>
      <c r="R548" s="475">
        <v>600</v>
      </c>
      <c r="S548" s="477">
        <f t="shared" si="33"/>
        <v>1940.9562</v>
      </c>
      <c r="T548" s="433"/>
    </row>
    <row r="549" s="419" customFormat="1" ht="15" customHeight="1" spans="1:22">
      <c r="A549" s="472">
        <v>46193</v>
      </c>
      <c r="B549" s="472">
        <v>46194</v>
      </c>
      <c r="C549" s="478" t="s">
        <v>690</v>
      </c>
      <c r="D549" s="473" t="s">
        <v>233</v>
      </c>
      <c r="E549" s="473" t="s">
        <v>72</v>
      </c>
      <c r="F549" s="473" t="s">
        <v>72</v>
      </c>
      <c r="G549" s="473" t="s">
        <v>73</v>
      </c>
      <c r="H549" s="473" t="s">
        <v>354</v>
      </c>
      <c r="I549" s="473" t="s">
        <v>355</v>
      </c>
      <c r="J549" s="473">
        <v>40.34</v>
      </c>
      <c r="K549" s="473" t="s">
        <v>356</v>
      </c>
      <c r="L549" s="473">
        <v>40.3</v>
      </c>
      <c r="M549" s="473">
        <v>67</v>
      </c>
      <c r="N549" s="473"/>
      <c r="O549" s="475">
        <f t="shared" si="31"/>
        <v>2700.1</v>
      </c>
      <c r="P549" s="476">
        <v>15</v>
      </c>
      <c r="Q549" s="474">
        <f t="shared" si="32"/>
        <v>189.007</v>
      </c>
      <c r="R549" s="475">
        <v>600</v>
      </c>
      <c r="S549" s="477">
        <f t="shared" si="33"/>
        <v>1896.093</v>
      </c>
      <c r="T549" s="433"/>
    </row>
    <row r="550" s="419" customFormat="1" ht="15" customHeight="1" spans="1:22">
      <c r="A550" s="472">
        <v>46193</v>
      </c>
      <c r="B550" s="472">
        <v>46194</v>
      </c>
      <c r="C550" s="478" t="s">
        <v>691</v>
      </c>
      <c r="D550" s="473" t="s">
        <v>233</v>
      </c>
      <c r="E550" s="473" t="s">
        <v>135</v>
      </c>
      <c r="F550" s="473" t="s">
        <v>135</v>
      </c>
      <c r="G550" s="473" t="s">
        <v>136</v>
      </c>
      <c r="H550" s="473" t="s">
        <v>354</v>
      </c>
      <c r="I550" s="473" t="s">
        <v>355</v>
      </c>
      <c r="J550" s="473">
        <v>39.48</v>
      </c>
      <c r="K550" s="473" t="s">
        <v>356</v>
      </c>
      <c r="L550" s="473">
        <v>39.48</v>
      </c>
      <c r="M550" s="473">
        <v>67</v>
      </c>
      <c r="N550" s="473"/>
      <c r="O550" s="475">
        <f t="shared" si="31"/>
        <v>2645.16</v>
      </c>
      <c r="P550" s="476">
        <v>15</v>
      </c>
      <c r="Q550" s="474">
        <f t="shared" si="32"/>
        <v>185.1612</v>
      </c>
      <c r="R550" s="475">
        <v>600</v>
      </c>
      <c r="S550" s="477">
        <f t="shared" si="33"/>
        <v>1844.9988</v>
      </c>
      <c r="T550" s="433"/>
    </row>
    <row r="551" s="419" customFormat="1" ht="15" customHeight="1" spans="1:22">
      <c r="A551" s="472">
        <v>46193</v>
      </c>
      <c r="B551" s="472">
        <v>46194</v>
      </c>
      <c r="C551" s="478" t="s">
        <v>692</v>
      </c>
      <c r="D551" s="473" t="s">
        <v>233</v>
      </c>
      <c r="E551" s="473" t="s">
        <v>105</v>
      </c>
      <c r="F551" s="473" t="s">
        <v>105</v>
      </c>
      <c r="G551" s="473" t="s">
        <v>106</v>
      </c>
      <c r="H551" s="473" t="s">
        <v>354</v>
      </c>
      <c r="I551" s="473" t="s">
        <v>355</v>
      </c>
      <c r="J551" s="473">
        <v>40.26</v>
      </c>
      <c r="K551" s="473" t="s">
        <v>356</v>
      </c>
      <c r="L551" s="473">
        <v>40.24</v>
      </c>
      <c r="M551" s="473">
        <v>67</v>
      </c>
      <c r="N551" s="473"/>
      <c r="O551" s="475">
        <f t="shared" si="31"/>
        <v>2696.08</v>
      </c>
      <c r="P551" s="476">
        <v>15</v>
      </c>
      <c r="Q551" s="474">
        <f t="shared" si="32"/>
        <v>188.7256</v>
      </c>
      <c r="R551" s="475">
        <v>600</v>
      </c>
      <c r="S551" s="477">
        <f t="shared" si="33"/>
        <v>1892.3544</v>
      </c>
      <c r="T551" s="433"/>
    </row>
    <row r="552" s="419" customFormat="1" ht="15" customHeight="1" spans="1:22">
      <c r="A552" s="472">
        <v>46193</v>
      </c>
      <c r="B552" s="472">
        <v>46194</v>
      </c>
      <c r="C552" s="478" t="s">
        <v>693</v>
      </c>
      <c r="D552" s="473" t="s">
        <v>233</v>
      </c>
      <c r="E552" s="473" t="s">
        <v>54</v>
      </c>
      <c r="F552" s="473" t="s">
        <v>54</v>
      </c>
      <c r="G552" s="473" t="s">
        <v>55</v>
      </c>
      <c r="H552" s="473" t="s">
        <v>354</v>
      </c>
      <c r="I552" s="473" t="s">
        <v>355</v>
      </c>
      <c r="J552" s="473">
        <v>42.16</v>
      </c>
      <c r="K552" s="473" t="s">
        <v>356</v>
      </c>
      <c r="L552" s="473">
        <v>42.12</v>
      </c>
      <c r="M552" s="473">
        <v>67</v>
      </c>
      <c r="N552" s="473"/>
      <c r="O552" s="475">
        <f t="shared" si="31"/>
        <v>2822.04</v>
      </c>
      <c r="P552" s="476">
        <v>15</v>
      </c>
      <c r="Q552" s="474">
        <f t="shared" si="32"/>
        <v>197.5428</v>
      </c>
      <c r="R552" s="475">
        <v>600</v>
      </c>
      <c r="S552" s="477">
        <f t="shared" si="33"/>
        <v>2009.4972</v>
      </c>
      <c r="T552" s="433"/>
    </row>
    <row r="553" s="419" customFormat="1" ht="15" customHeight="1" spans="1:22">
      <c r="A553" s="472">
        <v>46194</v>
      </c>
      <c r="B553" s="472">
        <v>46194</v>
      </c>
      <c r="C553" s="478" t="s">
        <v>694</v>
      </c>
      <c r="D553" s="473" t="s">
        <v>233</v>
      </c>
      <c r="E553" s="473" t="s">
        <v>57</v>
      </c>
      <c r="F553" s="473" t="s">
        <v>57</v>
      </c>
      <c r="G553" s="473" t="s">
        <v>58</v>
      </c>
      <c r="H553" s="473" t="s">
        <v>354</v>
      </c>
      <c r="I553" s="473" t="s">
        <v>355</v>
      </c>
      <c r="J553" s="473">
        <v>38.86</v>
      </c>
      <c r="K553" s="473" t="s">
        <v>356</v>
      </c>
      <c r="L553" s="473">
        <v>38.82</v>
      </c>
      <c r="M553" s="473">
        <v>67</v>
      </c>
      <c r="N553" s="473"/>
      <c r="O553" s="475">
        <f t="shared" si="31"/>
        <v>2600.94</v>
      </c>
      <c r="P553" s="476">
        <v>15</v>
      </c>
      <c r="Q553" s="474">
        <f t="shared" si="32"/>
        <v>182.0658</v>
      </c>
      <c r="R553" s="475">
        <v>600</v>
      </c>
      <c r="S553" s="477">
        <f t="shared" si="33"/>
        <v>1803.8742</v>
      </c>
      <c r="T553" s="433"/>
    </row>
    <row r="554" s="419" customFormat="1" ht="15" customHeight="1" spans="1:22">
      <c r="A554" s="472">
        <v>46194</v>
      </c>
      <c r="B554" s="472">
        <v>46194</v>
      </c>
      <c r="C554" s="478" t="s">
        <v>695</v>
      </c>
      <c r="D554" s="473" t="s">
        <v>233</v>
      </c>
      <c r="E554" s="473" t="s">
        <v>51</v>
      </c>
      <c r="F554" s="473" t="s">
        <v>51</v>
      </c>
      <c r="G554" s="473" t="s">
        <v>52</v>
      </c>
      <c r="H554" s="473" t="s">
        <v>354</v>
      </c>
      <c r="I554" s="473" t="s">
        <v>355</v>
      </c>
      <c r="J554" s="473">
        <v>42.56</v>
      </c>
      <c r="K554" s="473" t="s">
        <v>356</v>
      </c>
      <c r="L554" s="473">
        <v>42.56</v>
      </c>
      <c r="M554" s="473">
        <v>67</v>
      </c>
      <c r="N554" s="473"/>
      <c r="O554" s="475">
        <f t="shared" si="31"/>
        <v>2851.52</v>
      </c>
      <c r="P554" s="476">
        <v>15</v>
      </c>
      <c r="Q554" s="474">
        <f t="shared" si="32"/>
        <v>199.6064</v>
      </c>
      <c r="R554" s="475">
        <v>600</v>
      </c>
      <c r="S554" s="477">
        <f t="shared" si="33"/>
        <v>2036.9136</v>
      </c>
      <c r="T554" s="433"/>
    </row>
    <row r="555" s="419" customFormat="1" ht="15" customHeight="1" spans="1:22">
      <c r="A555" s="472">
        <v>46194</v>
      </c>
      <c r="B555" s="472">
        <v>46195</v>
      </c>
      <c r="C555" s="478" t="s">
        <v>696</v>
      </c>
      <c r="D555" s="473" t="s">
        <v>233</v>
      </c>
      <c r="E555" s="473" t="s">
        <v>78</v>
      </c>
      <c r="F555" s="473" t="s">
        <v>78</v>
      </c>
      <c r="G555" s="473" t="s">
        <v>79</v>
      </c>
      <c r="H555" s="473" t="s">
        <v>354</v>
      </c>
      <c r="I555" s="473" t="s">
        <v>355</v>
      </c>
      <c r="J555" s="473">
        <v>40.7</v>
      </c>
      <c r="K555" s="473" t="s">
        <v>356</v>
      </c>
      <c r="L555" s="473">
        <v>40.7</v>
      </c>
      <c r="M555" s="473">
        <v>67</v>
      </c>
      <c r="N555" s="473"/>
      <c r="O555" s="475">
        <f t="shared" si="31"/>
        <v>2726.9</v>
      </c>
      <c r="P555" s="476">
        <v>15</v>
      </c>
      <c r="Q555" s="474">
        <f t="shared" si="32"/>
        <v>190.883</v>
      </c>
      <c r="R555" s="475">
        <v>600</v>
      </c>
      <c r="S555" s="477">
        <f t="shared" si="33"/>
        <v>1921.017</v>
      </c>
      <c r="T555" s="433"/>
    </row>
    <row r="556" s="419" customFormat="1" ht="15" customHeight="1" spans="1:22">
      <c r="A556" s="472">
        <v>46194</v>
      </c>
      <c r="B556" s="472">
        <v>46195</v>
      </c>
      <c r="C556" s="478" t="s">
        <v>697</v>
      </c>
      <c r="D556" s="473" t="s">
        <v>233</v>
      </c>
      <c r="E556" s="473" t="s">
        <v>99</v>
      </c>
      <c r="F556" s="473" t="s">
        <v>99</v>
      </c>
      <c r="G556" s="473" t="s">
        <v>100</v>
      </c>
      <c r="H556" s="473" t="s">
        <v>354</v>
      </c>
      <c r="I556" s="473" t="s">
        <v>355</v>
      </c>
      <c r="J556" s="473">
        <v>38.64</v>
      </c>
      <c r="K556" s="473" t="s">
        <v>356</v>
      </c>
      <c r="L556" s="473">
        <v>38.64</v>
      </c>
      <c r="M556" s="473">
        <v>67</v>
      </c>
      <c r="N556" s="473"/>
      <c r="O556" s="475">
        <f t="shared" si="31"/>
        <v>2588.88</v>
      </c>
      <c r="P556" s="476">
        <v>15</v>
      </c>
      <c r="Q556" s="474">
        <f t="shared" si="32"/>
        <v>181.2216</v>
      </c>
      <c r="R556" s="475">
        <v>600</v>
      </c>
      <c r="S556" s="477">
        <f t="shared" si="33"/>
        <v>1792.6584</v>
      </c>
      <c r="T556" s="433"/>
    </row>
    <row r="557" s="419" customFormat="1" ht="15" customHeight="1" spans="1:22">
      <c r="A557" s="472">
        <v>46194</v>
      </c>
      <c r="B557" s="472">
        <v>46195</v>
      </c>
      <c r="C557" s="478" t="s">
        <v>698</v>
      </c>
      <c r="D557" s="473" t="s">
        <v>233</v>
      </c>
      <c r="E557" s="473" t="s">
        <v>132</v>
      </c>
      <c r="F557" s="473" t="s">
        <v>132</v>
      </c>
      <c r="G557" s="473" t="s">
        <v>133</v>
      </c>
      <c r="H557" s="473" t="s">
        <v>354</v>
      </c>
      <c r="I557" s="473" t="s">
        <v>355</v>
      </c>
      <c r="J557" s="473">
        <v>39.96</v>
      </c>
      <c r="K557" s="473" t="s">
        <v>356</v>
      </c>
      <c r="L557" s="473">
        <v>39.92</v>
      </c>
      <c r="M557" s="473">
        <v>67</v>
      </c>
      <c r="N557" s="473"/>
      <c r="O557" s="475">
        <f t="shared" si="31"/>
        <v>2674.64</v>
      </c>
      <c r="P557" s="476">
        <v>15</v>
      </c>
      <c r="Q557" s="474">
        <f t="shared" si="32"/>
        <v>187.2248</v>
      </c>
      <c r="R557" s="475">
        <v>600</v>
      </c>
      <c r="S557" s="477">
        <f t="shared" si="33"/>
        <v>1872.4152</v>
      </c>
      <c r="T557" s="433"/>
    </row>
    <row r="558" s="419" customFormat="1" ht="16" customHeight="1" spans="1:22">
      <c r="A558" s="472">
        <v>46194</v>
      </c>
      <c r="B558" s="472">
        <v>46195</v>
      </c>
      <c r="C558" s="473" t="s">
        <v>699</v>
      </c>
      <c r="D558" s="473" t="s">
        <v>233</v>
      </c>
      <c r="E558" s="473" t="s">
        <v>138</v>
      </c>
      <c r="F558" s="473" t="s">
        <v>138</v>
      </c>
      <c r="G558" s="473" t="s">
        <v>139</v>
      </c>
      <c r="H558" s="473" t="s">
        <v>354</v>
      </c>
      <c r="I558" s="473" t="s">
        <v>355</v>
      </c>
      <c r="J558" s="473">
        <v>42.38</v>
      </c>
      <c r="K558" s="473" t="s">
        <v>356</v>
      </c>
      <c r="L558" s="473">
        <v>42.36</v>
      </c>
      <c r="M558" s="473">
        <v>67</v>
      </c>
      <c r="N558" s="473"/>
      <c r="O558" s="475">
        <f t="shared" si="31"/>
        <v>2838.12</v>
      </c>
      <c r="P558" s="476">
        <v>15</v>
      </c>
      <c r="Q558" s="474">
        <f t="shared" si="32"/>
        <v>198.6684</v>
      </c>
      <c r="R558" s="475">
        <v>600</v>
      </c>
      <c r="S558" s="477">
        <f t="shared" si="33"/>
        <v>2024.4516</v>
      </c>
      <c r="T558" s="473"/>
      <c r="U558" s="473"/>
      <c r="V558" s="473"/>
    </row>
    <row r="559" s="419" customFormat="1" ht="16" customHeight="1" spans="1:22">
      <c r="A559" s="472">
        <v>46194</v>
      </c>
      <c r="B559" s="472">
        <v>46196</v>
      </c>
      <c r="C559" s="473" t="s">
        <v>700</v>
      </c>
      <c r="D559" s="473" t="s">
        <v>233</v>
      </c>
      <c r="E559" s="473" t="s">
        <v>60</v>
      </c>
      <c r="F559" s="473" t="s">
        <v>60</v>
      </c>
      <c r="G559" s="473" t="s">
        <v>61</v>
      </c>
      <c r="H559" s="473" t="s">
        <v>354</v>
      </c>
      <c r="I559" s="473" t="s">
        <v>355</v>
      </c>
      <c r="J559" s="473">
        <v>39.06</v>
      </c>
      <c r="K559" s="473" t="s">
        <v>356</v>
      </c>
      <c r="L559" s="473">
        <v>39.06</v>
      </c>
      <c r="M559" s="473">
        <v>67</v>
      </c>
      <c r="N559" s="473"/>
      <c r="O559" s="475">
        <f t="shared" si="31"/>
        <v>2617.02</v>
      </c>
      <c r="P559" s="476">
        <v>15</v>
      </c>
      <c r="Q559" s="474">
        <f t="shared" si="32"/>
        <v>183.1914</v>
      </c>
      <c r="R559" s="475">
        <v>600</v>
      </c>
      <c r="S559" s="477">
        <f t="shared" si="33"/>
        <v>1818.8286</v>
      </c>
      <c r="T559" s="473"/>
      <c r="U559" s="473"/>
      <c r="V559" s="473"/>
    </row>
    <row r="560" s="419" customFormat="1" ht="16" customHeight="1" spans="1:22">
      <c r="A560" s="472">
        <v>46194</v>
      </c>
      <c r="B560" s="472">
        <v>46196</v>
      </c>
      <c r="C560" s="473" t="s">
        <v>701</v>
      </c>
      <c r="D560" s="473" t="s">
        <v>233</v>
      </c>
      <c r="E560" s="473" t="s">
        <v>84</v>
      </c>
      <c r="F560" s="473" t="s">
        <v>84</v>
      </c>
      <c r="G560" s="473" t="s">
        <v>85</v>
      </c>
      <c r="H560" s="473" t="s">
        <v>354</v>
      </c>
      <c r="I560" s="473" t="s">
        <v>355</v>
      </c>
      <c r="J560" s="473">
        <v>39.2</v>
      </c>
      <c r="K560" s="473" t="s">
        <v>356</v>
      </c>
      <c r="L560" s="473">
        <v>39.18</v>
      </c>
      <c r="M560" s="473">
        <v>67</v>
      </c>
      <c r="N560" s="473"/>
      <c r="O560" s="475">
        <f t="shared" si="31"/>
        <v>2625.06</v>
      </c>
      <c r="P560" s="476">
        <v>15</v>
      </c>
      <c r="Q560" s="474">
        <f t="shared" si="32"/>
        <v>183.7542</v>
      </c>
      <c r="R560" s="475">
        <v>600</v>
      </c>
      <c r="S560" s="477">
        <f t="shared" si="33"/>
        <v>1826.3058</v>
      </c>
      <c r="T560" s="473"/>
      <c r="U560" s="473"/>
      <c r="V560" s="473"/>
    </row>
    <row r="561" s="419" customFormat="1" ht="15" customHeight="1" spans="1:20">
      <c r="A561" s="472">
        <v>46193</v>
      </c>
      <c r="B561" s="472">
        <v>46194</v>
      </c>
      <c r="C561" s="473"/>
      <c r="D561" s="473" t="s">
        <v>235</v>
      </c>
      <c r="E561" s="473" t="s">
        <v>78</v>
      </c>
      <c r="F561" s="473" t="s">
        <v>78</v>
      </c>
      <c r="G561" s="473" t="s">
        <v>79</v>
      </c>
      <c r="H561" s="473" t="s">
        <v>368</v>
      </c>
      <c r="I561" s="473" t="s">
        <v>356</v>
      </c>
      <c r="J561" s="473">
        <v>45.24</v>
      </c>
      <c r="K561" s="473" t="s">
        <v>371</v>
      </c>
      <c r="L561" s="473">
        <v>45.1</v>
      </c>
      <c r="M561" s="473">
        <v>61</v>
      </c>
      <c r="N561" s="473"/>
      <c r="O561" s="475">
        <f t="shared" si="31"/>
        <v>2751.1</v>
      </c>
      <c r="P561" s="476">
        <v>15</v>
      </c>
      <c r="Q561" s="474">
        <f t="shared" si="32"/>
        <v>192.577</v>
      </c>
      <c r="R561" s="475">
        <v>600</v>
      </c>
      <c r="S561" s="477">
        <f t="shared" si="33"/>
        <v>1943.523</v>
      </c>
      <c r="T561" s="433"/>
    </row>
    <row r="562" s="419" customFormat="1" ht="15" customHeight="1" spans="1:20">
      <c r="A562" s="472">
        <v>46193</v>
      </c>
      <c r="B562" s="472">
        <v>46194</v>
      </c>
      <c r="C562" s="473"/>
      <c r="D562" s="473" t="s">
        <v>235</v>
      </c>
      <c r="E562" s="473" t="s">
        <v>87</v>
      </c>
      <c r="F562" s="473" t="s">
        <v>87</v>
      </c>
      <c r="G562" s="473" t="s">
        <v>88</v>
      </c>
      <c r="H562" s="473" t="s">
        <v>368</v>
      </c>
      <c r="I562" s="473" t="s">
        <v>356</v>
      </c>
      <c r="J562" s="473">
        <v>43.6</v>
      </c>
      <c r="K562" s="473" t="s">
        <v>371</v>
      </c>
      <c r="L562" s="473">
        <v>43.52</v>
      </c>
      <c r="M562" s="473">
        <v>61</v>
      </c>
      <c r="N562" s="473"/>
      <c r="O562" s="475">
        <f t="shared" si="31"/>
        <v>2654.72</v>
      </c>
      <c r="P562" s="476">
        <v>15</v>
      </c>
      <c r="Q562" s="474">
        <f t="shared" si="32"/>
        <v>185.8304</v>
      </c>
      <c r="R562" s="475">
        <v>600</v>
      </c>
      <c r="S562" s="477">
        <f t="shared" si="33"/>
        <v>1853.8896</v>
      </c>
      <c r="T562" s="433"/>
    </row>
    <row r="563" s="419" customFormat="1" ht="15" customHeight="1" spans="1:20">
      <c r="A563" s="472">
        <v>46193</v>
      </c>
      <c r="B563" s="472">
        <v>46193</v>
      </c>
      <c r="C563" s="473"/>
      <c r="D563" s="473" t="s">
        <v>235</v>
      </c>
      <c r="E563" s="473" t="s">
        <v>96</v>
      </c>
      <c r="F563" s="473" t="s">
        <v>96</v>
      </c>
      <c r="G563" s="473" t="s">
        <v>97</v>
      </c>
      <c r="H563" s="473" t="s">
        <v>368</v>
      </c>
      <c r="I563" s="473" t="s">
        <v>356</v>
      </c>
      <c r="J563" s="473">
        <v>43.2</v>
      </c>
      <c r="K563" s="473" t="s">
        <v>369</v>
      </c>
      <c r="L563" s="473">
        <v>43.34</v>
      </c>
      <c r="M563" s="473">
        <v>48</v>
      </c>
      <c r="N563" s="473"/>
      <c r="O563" s="475">
        <f t="shared" si="31"/>
        <v>2080.32</v>
      </c>
      <c r="P563" s="476">
        <v>15</v>
      </c>
      <c r="Q563" s="474">
        <f t="shared" si="32"/>
        <v>145.6224</v>
      </c>
      <c r="R563" s="475">
        <v>600</v>
      </c>
      <c r="S563" s="477">
        <f t="shared" si="33"/>
        <v>1319.6976</v>
      </c>
      <c r="T563" s="433"/>
    </row>
    <row r="564" s="419" customFormat="1" ht="15" customHeight="1" spans="1:20">
      <c r="A564" s="472">
        <v>46193</v>
      </c>
      <c r="B564" s="472">
        <v>46193</v>
      </c>
      <c r="D564" s="473" t="s">
        <v>235</v>
      </c>
      <c r="E564" s="473" t="s">
        <v>102</v>
      </c>
      <c r="F564" s="473" t="s">
        <v>102</v>
      </c>
      <c r="G564" s="473" t="s">
        <v>103</v>
      </c>
      <c r="H564" s="473" t="s">
        <v>368</v>
      </c>
      <c r="I564" s="473" t="s">
        <v>356</v>
      </c>
      <c r="J564" s="473">
        <v>42.8</v>
      </c>
      <c r="K564" s="473" t="s">
        <v>369</v>
      </c>
      <c r="L564" s="473">
        <v>42.92</v>
      </c>
      <c r="M564" s="473">
        <v>48</v>
      </c>
      <c r="N564" s="473"/>
      <c r="O564" s="475">
        <f t="shared" si="31"/>
        <v>2060.16</v>
      </c>
      <c r="P564" s="476">
        <v>15</v>
      </c>
      <c r="Q564" s="474">
        <f t="shared" si="32"/>
        <v>144.2112</v>
      </c>
      <c r="R564" s="475">
        <v>600</v>
      </c>
      <c r="S564" s="477">
        <f t="shared" si="33"/>
        <v>1300.9488</v>
      </c>
      <c r="T564" s="433"/>
    </row>
    <row r="565" s="419" customFormat="1" ht="15" customHeight="1" spans="1:20">
      <c r="A565" s="472">
        <v>46193</v>
      </c>
      <c r="B565" s="472">
        <v>46193</v>
      </c>
      <c r="C565" s="473"/>
      <c r="D565" s="473" t="s">
        <v>235</v>
      </c>
      <c r="E565" s="473" t="s">
        <v>57</v>
      </c>
      <c r="F565" s="473" t="s">
        <v>57</v>
      </c>
      <c r="G565" s="473" t="s">
        <v>58</v>
      </c>
      <c r="H565" s="473" t="s">
        <v>368</v>
      </c>
      <c r="I565" s="473" t="s">
        <v>356</v>
      </c>
      <c r="J565" s="473">
        <v>43.04</v>
      </c>
      <c r="K565" s="473" t="s">
        <v>369</v>
      </c>
      <c r="L565" s="473">
        <v>43.24</v>
      </c>
      <c r="M565" s="473">
        <v>48</v>
      </c>
      <c r="N565" s="473"/>
      <c r="O565" s="475">
        <f t="shared" si="31"/>
        <v>2075.52</v>
      </c>
      <c r="P565" s="476">
        <v>15</v>
      </c>
      <c r="Q565" s="474">
        <f t="shared" si="32"/>
        <v>145.2864</v>
      </c>
      <c r="R565" s="475">
        <v>600</v>
      </c>
      <c r="S565" s="477">
        <f t="shared" si="33"/>
        <v>1315.2336</v>
      </c>
      <c r="T565" s="433"/>
    </row>
    <row r="566" s="419" customFormat="1" ht="15" customHeight="1" spans="1:20">
      <c r="A566" s="472">
        <v>46193</v>
      </c>
      <c r="B566" s="472">
        <v>46194</v>
      </c>
      <c r="C566" s="473"/>
      <c r="D566" s="473" t="s">
        <v>235</v>
      </c>
      <c r="E566" s="473" t="s">
        <v>99</v>
      </c>
      <c r="F566" s="473" t="s">
        <v>99</v>
      </c>
      <c r="G566" s="473" t="s">
        <v>100</v>
      </c>
      <c r="H566" s="473" t="s">
        <v>368</v>
      </c>
      <c r="I566" s="473" t="s">
        <v>356</v>
      </c>
      <c r="J566" s="473">
        <v>44.5</v>
      </c>
      <c r="K566" s="473" t="s">
        <v>371</v>
      </c>
      <c r="L566" s="473">
        <v>44.45</v>
      </c>
      <c r="M566" s="473">
        <v>61</v>
      </c>
      <c r="N566" s="473"/>
      <c r="O566" s="475">
        <f t="shared" si="31"/>
        <v>2711.45</v>
      </c>
      <c r="P566" s="476">
        <v>15</v>
      </c>
      <c r="Q566" s="474">
        <f t="shared" si="32"/>
        <v>189.8015</v>
      </c>
      <c r="R566" s="475">
        <v>600</v>
      </c>
      <c r="S566" s="477">
        <f t="shared" si="33"/>
        <v>1906.6485</v>
      </c>
      <c r="T566" s="433"/>
    </row>
    <row r="567" s="419" customFormat="1" ht="15" customHeight="1" spans="1:20">
      <c r="A567" s="472">
        <v>46193</v>
      </c>
      <c r="B567" s="472">
        <v>46194</v>
      </c>
      <c r="C567" s="473"/>
      <c r="D567" s="473" t="s">
        <v>235</v>
      </c>
      <c r="E567" s="473" t="s">
        <v>111</v>
      </c>
      <c r="F567" s="473" t="s">
        <v>111</v>
      </c>
      <c r="G567" s="473" t="s">
        <v>112</v>
      </c>
      <c r="H567" s="473" t="s">
        <v>368</v>
      </c>
      <c r="I567" s="473" t="s">
        <v>356</v>
      </c>
      <c r="J567" s="473">
        <v>45.58</v>
      </c>
      <c r="K567" s="473" t="s">
        <v>371</v>
      </c>
      <c r="L567" s="473">
        <v>45.45</v>
      </c>
      <c r="M567" s="473">
        <v>61</v>
      </c>
      <c r="N567" s="473"/>
      <c r="O567" s="475">
        <f t="shared" si="31"/>
        <v>2772.45</v>
      </c>
      <c r="P567" s="476">
        <v>15</v>
      </c>
      <c r="Q567" s="474">
        <f t="shared" si="32"/>
        <v>194.0715</v>
      </c>
      <c r="R567" s="475">
        <v>600</v>
      </c>
      <c r="S567" s="477">
        <f t="shared" si="33"/>
        <v>1963.3785</v>
      </c>
      <c r="T567" s="433"/>
    </row>
    <row r="568" s="419" customFormat="1" ht="15" customHeight="1" spans="1:20">
      <c r="A568" s="472">
        <v>46193</v>
      </c>
      <c r="B568" s="472">
        <v>46194</v>
      </c>
      <c r="C568" s="473"/>
      <c r="D568" s="473" t="s">
        <v>235</v>
      </c>
      <c r="E568" s="473" t="s">
        <v>132</v>
      </c>
      <c r="F568" s="473" t="s">
        <v>132</v>
      </c>
      <c r="G568" s="473" t="s">
        <v>133</v>
      </c>
      <c r="H568" s="473" t="s">
        <v>368</v>
      </c>
      <c r="I568" s="473" t="s">
        <v>356</v>
      </c>
      <c r="J568" s="473">
        <v>44.04</v>
      </c>
      <c r="K568" s="473" t="s">
        <v>371</v>
      </c>
      <c r="L568" s="473">
        <v>43.92</v>
      </c>
      <c r="M568" s="473">
        <v>61</v>
      </c>
      <c r="N568" s="473"/>
      <c r="O568" s="475">
        <f t="shared" si="31"/>
        <v>2679.12</v>
      </c>
      <c r="P568" s="476">
        <v>15</v>
      </c>
      <c r="Q568" s="474">
        <f t="shared" si="32"/>
        <v>187.5384</v>
      </c>
      <c r="R568" s="475">
        <v>600</v>
      </c>
      <c r="S568" s="477">
        <f t="shared" si="33"/>
        <v>1876.5816</v>
      </c>
      <c r="T568" s="433"/>
    </row>
    <row r="569" s="419" customFormat="1" ht="15" customHeight="1" spans="1:20">
      <c r="A569" s="472">
        <v>46193</v>
      </c>
      <c r="B569" s="472">
        <v>46193</v>
      </c>
      <c r="C569" s="473"/>
      <c r="D569" s="473" t="s">
        <v>235</v>
      </c>
      <c r="E569" s="473" t="s">
        <v>108</v>
      </c>
      <c r="F569" s="473" t="s">
        <v>108</v>
      </c>
      <c r="G569" s="473" t="s">
        <v>109</v>
      </c>
      <c r="H569" s="473" t="s">
        <v>368</v>
      </c>
      <c r="I569" s="473" t="s">
        <v>356</v>
      </c>
      <c r="J569" s="473">
        <v>43.92</v>
      </c>
      <c r="K569" s="473" t="s">
        <v>369</v>
      </c>
      <c r="L569" s="473">
        <v>43.96</v>
      </c>
      <c r="M569" s="473">
        <v>48</v>
      </c>
      <c r="N569" s="473"/>
      <c r="O569" s="475">
        <f t="shared" si="31"/>
        <v>2110.08</v>
      </c>
      <c r="P569" s="476">
        <v>15</v>
      </c>
      <c r="Q569" s="474">
        <f t="shared" si="32"/>
        <v>147.7056</v>
      </c>
      <c r="R569" s="475">
        <v>600</v>
      </c>
      <c r="S569" s="477">
        <f t="shared" si="33"/>
        <v>1347.3744</v>
      </c>
      <c r="T569" s="433"/>
    </row>
    <row r="570" s="419" customFormat="1" ht="15" customHeight="1" spans="1:20">
      <c r="A570" s="472">
        <v>46193</v>
      </c>
      <c r="B570" s="472">
        <v>46193</v>
      </c>
      <c r="C570" s="473"/>
      <c r="D570" s="473" t="s">
        <v>235</v>
      </c>
      <c r="E570" s="473" t="s">
        <v>114</v>
      </c>
      <c r="F570" s="473" t="s">
        <v>114</v>
      </c>
      <c r="G570" s="473" t="s">
        <v>115</v>
      </c>
      <c r="H570" s="473" t="s">
        <v>368</v>
      </c>
      <c r="I570" s="473" t="s">
        <v>356</v>
      </c>
      <c r="J570" s="473">
        <v>43.56</v>
      </c>
      <c r="K570" s="473" t="s">
        <v>369</v>
      </c>
      <c r="L570" s="473">
        <v>43.58</v>
      </c>
      <c r="M570" s="473">
        <v>48</v>
      </c>
      <c r="N570" s="473"/>
      <c r="O570" s="475">
        <f t="shared" si="31"/>
        <v>2091.84</v>
      </c>
      <c r="P570" s="476">
        <v>15</v>
      </c>
      <c r="Q570" s="474">
        <f t="shared" si="32"/>
        <v>146.4288</v>
      </c>
      <c r="R570" s="475">
        <v>600</v>
      </c>
      <c r="S570" s="477">
        <f t="shared" si="33"/>
        <v>1330.4112</v>
      </c>
      <c r="T570" s="433"/>
    </row>
    <row r="571" s="419" customFormat="1" ht="15" customHeight="1" spans="1:20">
      <c r="A571" s="472">
        <v>46193</v>
      </c>
      <c r="B571" s="472">
        <v>46194</v>
      </c>
      <c r="C571" s="473"/>
      <c r="D571" s="473" t="s">
        <v>235</v>
      </c>
      <c r="E571" s="473" t="s">
        <v>60</v>
      </c>
      <c r="F571" s="473" t="s">
        <v>60</v>
      </c>
      <c r="G571" s="473" t="s">
        <v>61</v>
      </c>
      <c r="H571" s="473" t="s">
        <v>368</v>
      </c>
      <c r="I571" s="473" t="s">
        <v>356</v>
      </c>
      <c r="J571" s="473">
        <v>44.54</v>
      </c>
      <c r="K571" s="473" t="s">
        <v>369</v>
      </c>
      <c r="L571" s="473">
        <v>44.64</v>
      </c>
      <c r="M571" s="473">
        <v>48</v>
      </c>
      <c r="N571" s="473"/>
      <c r="O571" s="475">
        <f t="shared" ref="O571:O603" si="34">L571*M571</f>
        <v>2142.72</v>
      </c>
      <c r="P571" s="476">
        <v>15</v>
      </c>
      <c r="Q571" s="474">
        <f t="shared" ref="Q571:Q603" si="35">O571*0.07</f>
        <v>149.9904</v>
      </c>
      <c r="R571" s="475">
        <v>600</v>
      </c>
      <c r="S571" s="477">
        <f t="shared" ref="S571:S603" si="36">O571-P571-R571-Q571</f>
        <v>1377.7296</v>
      </c>
      <c r="T571" s="433"/>
    </row>
    <row r="572" s="419" customFormat="1" ht="15" customHeight="1" spans="1:20">
      <c r="A572" s="472">
        <v>46193</v>
      </c>
      <c r="B572" s="472">
        <v>46194</v>
      </c>
      <c r="C572" s="473"/>
      <c r="D572" s="473" t="s">
        <v>235</v>
      </c>
      <c r="E572" s="473" t="s">
        <v>84</v>
      </c>
      <c r="F572" s="473" t="s">
        <v>84</v>
      </c>
      <c r="G572" s="473" t="s">
        <v>85</v>
      </c>
      <c r="H572" s="473" t="s">
        <v>368</v>
      </c>
      <c r="I572" s="473" t="s">
        <v>356</v>
      </c>
      <c r="J572" s="473">
        <v>43.12</v>
      </c>
      <c r="K572" s="473" t="s">
        <v>371</v>
      </c>
      <c r="L572" s="473">
        <v>42.98</v>
      </c>
      <c r="M572" s="473">
        <v>61</v>
      </c>
      <c r="N572" s="473"/>
      <c r="O572" s="475">
        <f t="shared" si="34"/>
        <v>2621.78</v>
      </c>
      <c r="P572" s="476">
        <v>15</v>
      </c>
      <c r="Q572" s="474">
        <f t="shared" si="35"/>
        <v>183.5246</v>
      </c>
      <c r="R572" s="475">
        <v>600</v>
      </c>
      <c r="S572" s="477">
        <f t="shared" si="36"/>
        <v>1823.2554</v>
      </c>
      <c r="T572" s="433"/>
    </row>
    <row r="573" s="419" customFormat="1" ht="15" customHeight="1" spans="1:20">
      <c r="A573" s="472">
        <v>46193</v>
      </c>
      <c r="B573" s="472">
        <v>46193</v>
      </c>
      <c r="C573" s="473"/>
      <c r="D573" s="473" t="s">
        <v>235</v>
      </c>
      <c r="E573" s="473" t="s">
        <v>51</v>
      </c>
      <c r="F573" s="473" t="s">
        <v>51</v>
      </c>
      <c r="G573" s="473" t="s">
        <v>52</v>
      </c>
      <c r="H573" s="473" t="s">
        <v>368</v>
      </c>
      <c r="I573" s="473" t="s">
        <v>356</v>
      </c>
      <c r="J573" s="473">
        <v>43.96</v>
      </c>
      <c r="K573" s="473" t="s">
        <v>369</v>
      </c>
      <c r="L573" s="473">
        <v>43.98</v>
      </c>
      <c r="M573" s="473">
        <v>48</v>
      </c>
      <c r="N573" s="473"/>
      <c r="O573" s="475">
        <f t="shared" si="34"/>
        <v>2111.04</v>
      </c>
      <c r="P573" s="476">
        <v>15</v>
      </c>
      <c r="Q573" s="474">
        <f t="shared" si="35"/>
        <v>147.7728</v>
      </c>
      <c r="R573" s="475">
        <v>600</v>
      </c>
      <c r="S573" s="477">
        <f t="shared" si="36"/>
        <v>1348.2672</v>
      </c>
      <c r="T573" s="433"/>
    </row>
    <row r="574" s="419" customFormat="1" ht="15" customHeight="1" spans="1:20">
      <c r="A574" s="472">
        <v>46193</v>
      </c>
      <c r="B574" s="472">
        <v>46194</v>
      </c>
      <c r="C574" s="473"/>
      <c r="D574" s="473" t="s">
        <v>235</v>
      </c>
      <c r="E574" s="473" t="s">
        <v>63</v>
      </c>
      <c r="F574" s="473" t="s">
        <v>63</v>
      </c>
      <c r="G574" s="473" t="s">
        <v>327</v>
      </c>
      <c r="H574" s="473" t="s">
        <v>368</v>
      </c>
      <c r="I574" s="473" t="s">
        <v>356</v>
      </c>
      <c r="J574" s="473">
        <v>43.82</v>
      </c>
      <c r="K574" s="473" t="s">
        <v>369</v>
      </c>
      <c r="L574" s="473">
        <v>43.86</v>
      </c>
      <c r="M574" s="473">
        <v>48</v>
      </c>
      <c r="N574" s="473"/>
      <c r="O574" s="475">
        <f t="shared" si="34"/>
        <v>2105.28</v>
      </c>
      <c r="P574" s="476">
        <v>15</v>
      </c>
      <c r="Q574" s="474">
        <f t="shared" si="35"/>
        <v>147.3696</v>
      </c>
      <c r="R574" s="475">
        <v>600</v>
      </c>
      <c r="S574" s="477">
        <f t="shared" si="36"/>
        <v>1342.9104</v>
      </c>
      <c r="T574" s="433"/>
    </row>
    <row r="575" s="419" customFormat="1" ht="15" customHeight="1" spans="1:20">
      <c r="A575" s="472">
        <v>46193</v>
      </c>
      <c r="B575" s="472">
        <v>46194</v>
      </c>
      <c r="C575" s="473"/>
      <c r="D575" s="473" t="s">
        <v>235</v>
      </c>
      <c r="E575" s="473" t="s">
        <v>141</v>
      </c>
      <c r="F575" s="473" t="s">
        <v>141</v>
      </c>
      <c r="G575" s="473" t="s">
        <v>142</v>
      </c>
      <c r="H575" s="473" t="s">
        <v>368</v>
      </c>
      <c r="I575" s="473" t="s">
        <v>356</v>
      </c>
      <c r="J575" s="473">
        <v>44.9</v>
      </c>
      <c r="K575" s="473" t="s">
        <v>371</v>
      </c>
      <c r="L575" s="473">
        <v>44.77</v>
      </c>
      <c r="M575" s="473">
        <v>61</v>
      </c>
      <c r="N575" s="473"/>
      <c r="O575" s="475">
        <f t="shared" si="34"/>
        <v>2730.97</v>
      </c>
      <c r="P575" s="476">
        <v>15</v>
      </c>
      <c r="Q575" s="474">
        <f t="shared" si="35"/>
        <v>191.1679</v>
      </c>
      <c r="R575" s="475">
        <v>600</v>
      </c>
      <c r="S575" s="477">
        <f t="shared" si="36"/>
        <v>1924.8021</v>
      </c>
      <c r="T575" s="433"/>
    </row>
    <row r="576" s="419" customFormat="1" ht="15" customHeight="1" spans="1:20">
      <c r="A576" s="472">
        <v>46193</v>
      </c>
      <c r="B576" s="472">
        <v>46194</v>
      </c>
      <c r="C576" s="473"/>
      <c r="D576" s="473" t="s">
        <v>235</v>
      </c>
      <c r="E576" s="473" t="s">
        <v>69</v>
      </c>
      <c r="F576" s="473" t="s">
        <v>69</v>
      </c>
      <c r="G576" s="473" t="s">
        <v>70</v>
      </c>
      <c r="H576" s="473" t="s">
        <v>368</v>
      </c>
      <c r="I576" s="473" t="s">
        <v>356</v>
      </c>
      <c r="J576" s="473">
        <v>45.36</v>
      </c>
      <c r="K576" s="473" t="s">
        <v>369</v>
      </c>
      <c r="L576" s="473">
        <v>45.42</v>
      </c>
      <c r="M576" s="473">
        <v>48</v>
      </c>
      <c r="N576" s="473"/>
      <c r="O576" s="475">
        <f t="shared" si="34"/>
        <v>2180.16</v>
      </c>
      <c r="P576" s="476">
        <v>15</v>
      </c>
      <c r="Q576" s="474">
        <f t="shared" si="35"/>
        <v>152.6112</v>
      </c>
      <c r="R576" s="475">
        <v>600</v>
      </c>
      <c r="S576" s="477">
        <f t="shared" si="36"/>
        <v>1412.5488</v>
      </c>
      <c r="T576" s="433"/>
    </row>
    <row r="577" s="419" customFormat="1" ht="15" customHeight="1" spans="1:22">
      <c r="A577" s="472">
        <v>46193</v>
      </c>
      <c r="B577" s="472">
        <v>46194</v>
      </c>
      <c r="C577" s="473"/>
      <c r="D577" s="473" t="s">
        <v>235</v>
      </c>
      <c r="E577" s="473" t="s">
        <v>130</v>
      </c>
      <c r="F577" s="473" t="s">
        <v>130</v>
      </c>
      <c r="G577" s="473" t="s">
        <v>122</v>
      </c>
      <c r="H577" s="473" t="s">
        <v>368</v>
      </c>
      <c r="I577" s="473" t="s">
        <v>356</v>
      </c>
      <c r="J577" s="473">
        <v>45.06</v>
      </c>
      <c r="K577" s="473" t="s">
        <v>369</v>
      </c>
      <c r="L577" s="473">
        <v>45.24</v>
      </c>
      <c r="M577" s="473">
        <v>48</v>
      </c>
      <c r="N577" s="473"/>
      <c r="O577" s="475">
        <f t="shared" si="34"/>
        <v>2171.52</v>
      </c>
      <c r="P577" s="476">
        <v>15</v>
      </c>
      <c r="Q577" s="474">
        <f t="shared" si="35"/>
        <v>152.0064</v>
      </c>
      <c r="R577" s="475">
        <v>600</v>
      </c>
      <c r="S577" s="477">
        <f t="shared" si="36"/>
        <v>1404.5136</v>
      </c>
      <c r="T577" s="433"/>
    </row>
    <row r="578" s="419" customFormat="1" ht="15" customHeight="1" spans="1:22">
      <c r="A578" s="472">
        <v>46194</v>
      </c>
      <c r="B578" s="472">
        <v>46195</v>
      </c>
      <c r="C578" s="473"/>
      <c r="D578" s="473" t="s">
        <v>235</v>
      </c>
      <c r="E578" s="473" t="s">
        <v>90</v>
      </c>
      <c r="F578" s="473" t="s">
        <v>90</v>
      </c>
      <c r="G578" s="473" t="s">
        <v>91</v>
      </c>
      <c r="H578" s="473" t="s">
        <v>368</v>
      </c>
      <c r="I578" s="473" t="s">
        <v>356</v>
      </c>
      <c r="J578" s="473">
        <v>43.5</v>
      </c>
      <c r="K578" s="473" t="s">
        <v>369</v>
      </c>
      <c r="L578" s="473">
        <v>43.58</v>
      </c>
      <c r="M578" s="473">
        <v>48</v>
      </c>
      <c r="N578" s="473"/>
      <c r="O578" s="475">
        <f t="shared" si="34"/>
        <v>2091.84</v>
      </c>
      <c r="P578" s="476">
        <v>15</v>
      </c>
      <c r="Q578" s="474">
        <f t="shared" si="35"/>
        <v>146.4288</v>
      </c>
      <c r="R578" s="475">
        <v>600</v>
      </c>
      <c r="S578" s="477">
        <f t="shared" si="36"/>
        <v>1330.4112</v>
      </c>
      <c r="T578" s="433"/>
    </row>
    <row r="579" s="419" customFormat="1" ht="15" customHeight="1" spans="1:22">
      <c r="A579" s="472">
        <v>46194</v>
      </c>
      <c r="B579" s="472">
        <v>46194</v>
      </c>
      <c r="C579" s="473"/>
      <c r="D579" s="473" t="s">
        <v>235</v>
      </c>
      <c r="E579" s="473" t="s">
        <v>81</v>
      </c>
      <c r="F579" s="473" t="s">
        <v>81</v>
      </c>
      <c r="G579" s="473" t="s">
        <v>82</v>
      </c>
      <c r="H579" s="473" t="s">
        <v>368</v>
      </c>
      <c r="I579" s="473" t="s">
        <v>356</v>
      </c>
      <c r="J579" s="473">
        <v>43.94</v>
      </c>
      <c r="K579" s="473" t="s">
        <v>369</v>
      </c>
      <c r="L579" s="473">
        <v>44</v>
      </c>
      <c r="M579" s="473">
        <v>48</v>
      </c>
      <c r="N579" s="473"/>
      <c r="O579" s="475">
        <f t="shared" si="34"/>
        <v>2112</v>
      </c>
      <c r="P579" s="476">
        <v>15</v>
      </c>
      <c r="Q579" s="474">
        <f t="shared" si="35"/>
        <v>147.84</v>
      </c>
      <c r="R579" s="475">
        <v>600</v>
      </c>
      <c r="S579" s="477">
        <f t="shared" si="36"/>
        <v>1349.16</v>
      </c>
      <c r="T579" s="433"/>
    </row>
    <row r="580" s="419" customFormat="1" ht="15" customHeight="1" spans="1:22">
      <c r="A580" s="472">
        <v>46193</v>
      </c>
      <c r="B580" s="472">
        <v>46193</v>
      </c>
      <c r="C580" s="473" t="s">
        <v>702</v>
      </c>
      <c r="D580" s="473" t="s">
        <v>237</v>
      </c>
      <c r="E580" s="473" t="s">
        <v>154</v>
      </c>
      <c r="F580" s="473" t="s">
        <v>154</v>
      </c>
      <c r="G580" s="473" t="s">
        <v>155</v>
      </c>
      <c r="H580" s="473" t="s">
        <v>354</v>
      </c>
      <c r="I580" s="473" t="s">
        <v>407</v>
      </c>
      <c r="J580" s="473">
        <v>41.06</v>
      </c>
      <c r="K580" s="473" t="s">
        <v>356</v>
      </c>
      <c r="L580" s="473">
        <v>41.06</v>
      </c>
      <c r="M580" s="473">
        <v>87</v>
      </c>
      <c r="N580" s="473"/>
      <c r="O580" s="475">
        <f t="shared" si="34"/>
        <v>3572.22</v>
      </c>
      <c r="P580" s="476">
        <v>15</v>
      </c>
      <c r="Q580" s="474">
        <f t="shared" si="35"/>
        <v>250.0554</v>
      </c>
      <c r="R580" s="475">
        <v>800</v>
      </c>
      <c r="S580" s="477">
        <f t="shared" si="36"/>
        <v>2507.1646</v>
      </c>
      <c r="T580" s="433"/>
    </row>
    <row r="581" s="419" customFormat="1" ht="15" customHeight="1" spans="1:22">
      <c r="A581" s="472">
        <v>46193</v>
      </c>
      <c r="B581" s="472">
        <v>46194</v>
      </c>
      <c r="C581" s="473" t="s">
        <v>703</v>
      </c>
      <c r="D581" s="473" t="s">
        <v>237</v>
      </c>
      <c r="E581" s="473" t="s">
        <v>221</v>
      </c>
      <c r="F581" s="473" t="s">
        <v>221</v>
      </c>
      <c r="G581" s="473" t="s">
        <v>704</v>
      </c>
      <c r="H581" s="473" t="s">
        <v>354</v>
      </c>
      <c r="I581" s="473" t="s">
        <v>407</v>
      </c>
      <c r="J581" s="473">
        <v>39.62</v>
      </c>
      <c r="K581" s="473" t="s">
        <v>356</v>
      </c>
      <c r="L581" s="473">
        <v>39.62</v>
      </c>
      <c r="M581" s="473">
        <v>87</v>
      </c>
      <c r="N581" s="473"/>
      <c r="O581" s="475">
        <f t="shared" si="34"/>
        <v>3446.94</v>
      </c>
      <c r="P581" s="476">
        <v>15</v>
      </c>
      <c r="Q581" s="474">
        <f t="shared" si="35"/>
        <v>241.2858</v>
      </c>
      <c r="R581" s="475">
        <v>800</v>
      </c>
      <c r="S581" s="477">
        <f t="shared" si="36"/>
        <v>2390.6542</v>
      </c>
      <c r="T581" s="433"/>
    </row>
    <row r="582" s="419" customFormat="1" ht="15" customHeight="1" spans="1:22">
      <c r="A582" s="472">
        <v>46193</v>
      </c>
      <c r="B582" s="472">
        <v>46194</v>
      </c>
      <c r="C582" s="473" t="s">
        <v>705</v>
      </c>
      <c r="D582" s="473" t="s">
        <v>237</v>
      </c>
      <c r="E582" s="473" t="s">
        <v>163</v>
      </c>
      <c r="F582" s="473" t="s">
        <v>163</v>
      </c>
      <c r="G582" s="473" t="s">
        <v>164</v>
      </c>
      <c r="H582" s="473" t="s">
        <v>354</v>
      </c>
      <c r="I582" s="473" t="s">
        <v>407</v>
      </c>
      <c r="J582" s="473">
        <v>39.96</v>
      </c>
      <c r="K582" s="473" t="s">
        <v>356</v>
      </c>
      <c r="L582" s="473">
        <v>39.96</v>
      </c>
      <c r="M582" s="473">
        <v>87</v>
      </c>
      <c r="N582" s="473"/>
      <c r="O582" s="475">
        <f t="shared" si="34"/>
        <v>3476.52</v>
      </c>
      <c r="P582" s="476">
        <v>15</v>
      </c>
      <c r="Q582" s="474">
        <f t="shared" si="35"/>
        <v>243.3564</v>
      </c>
      <c r="R582" s="475">
        <v>800</v>
      </c>
      <c r="S582" s="477">
        <f t="shared" si="36"/>
        <v>2418.1636</v>
      </c>
      <c r="T582" s="433"/>
    </row>
    <row r="583" s="419" customFormat="1" ht="15" customHeight="1" spans="1:22">
      <c r="A583" s="472">
        <v>46193</v>
      </c>
      <c r="B583" s="472">
        <v>46194</v>
      </c>
      <c r="C583" s="473" t="s">
        <v>706</v>
      </c>
      <c r="D583" s="473" t="s">
        <v>237</v>
      </c>
      <c r="E583" s="473" t="s">
        <v>160</v>
      </c>
      <c r="F583" s="473" t="s">
        <v>160</v>
      </c>
      <c r="G583" s="473" t="s">
        <v>161</v>
      </c>
      <c r="H583" s="473" t="s">
        <v>354</v>
      </c>
      <c r="I583" s="473" t="s">
        <v>407</v>
      </c>
      <c r="J583" s="473">
        <v>40.96</v>
      </c>
      <c r="K583" s="473" t="s">
        <v>356</v>
      </c>
      <c r="L583" s="473">
        <v>40.96</v>
      </c>
      <c r="M583" s="473">
        <v>87</v>
      </c>
      <c r="N583" s="473"/>
      <c r="O583" s="475">
        <f t="shared" si="34"/>
        <v>3563.52</v>
      </c>
      <c r="P583" s="476">
        <v>15</v>
      </c>
      <c r="Q583" s="474">
        <f t="shared" si="35"/>
        <v>249.4464</v>
      </c>
      <c r="R583" s="475">
        <v>800</v>
      </c>
      <c r="S583" s="477">
        <f t="shared" si="36"/>
        <v>2499.0736</v>
      </c>
      <c r="T583" s="433"/>
    </row>
    <row r="584" s="419" customFormat="1" ht="15" customHeight="1" spans="1:22">
      <c r="A584" s="472">
        <v>46193</v>
      </c>
      <c r="B584" s="472">
        <v>46194</v>
      </c>
      <c r="C584" s="473" t="s">
        <v>707</v>
      </c>
      <c r="D584" s="473" t="s">
        <v>237</v>
      </c>
      <c r="E584" s="473" t="s">
        <v>223</v>
      </c>
      <c r="F584" s="473" t="s">
        <v>223</v>
      </c>
      <c r="G584" s="473" t="s">
        <v>708</v>
      </c>
      <c r="H584" s="473" t="s">
        <v>354</v>
      </c>
      <c r="I584" s="473" t="s">
        <v>407</v>
      </c>
      <c r="J584" s="473">
        <v>40.68</v>
      </c>
      <c r="K584" s="473" t="s">
        <v>356</v>
      </c>
      <c r="L584" s="473">
        <v>40.68</v>
      </c>
      <c r="M584" s="473">
        <v>87</v>
      </c>
      <c r="N584" s="473"/>
      <c r="O584" s="475">
        <f t="shared" si="34"/>
        <v>3539.16</v>
      </c>
      <c r="P584" s="476">
        <v>15</v>
      </c>
      <c r="Q584" s="474">
        <f t="shared" si="35"/>
        <v>247.7412</v>
      </c>
      <c r="R584" s="475">
        <v>800</v>
      </c>
      <c r="S584" s="477">
        <f t="shared" si="36"/>
        <v>2476.4188</v>
      </c>
      <c r="T584" s="433"/>
    </row>
    <row r="585" s="419" customFormat="1" ht="15" customHeight="1" spans="1:22">
      <c r="A585" s="472">
        <v>46193</v>
      </c>
      <c r="B585" s="472">
        <v>46193</v>
      </c>
      <c r="C585" s="473" t="s">
        <v>709</v>
      </c>
      <c r="D585" s="473" t="s">
        <v>237</v>
      </c>
      <c r="E585" s="473" t="s">
        <v>338</v>
      </c>
      <c r="F585" s="473" t="s">
        <v>338</v>
      </c>
      <c r="G585" s="473" t="s">
        <v>158</v>
      </c>
      <c r="H585" s="473" t="s">
        <v>354</v>
      </c>
      <c r="I585" s="473" t="s">
        <v>407</v>
      </c>
      <c r="J585" s="473">
        <v>40.76</v>
      </c>
      <c r="K585" s="473" t="s">
        <v>356</v>
      </c>
      <c r="L585" s="473">
        <v>40.76</v>
      </c>
      <c r="M585" s="473">
        <v>87</v>
      </c>
      <c r="N585" s="473"/>
      <c r="O585" s="475">
        <f t="shared" si="34"/>
        <v>3546.12</v>
      </c>
      <c r="P585" s="476">
        <v>15</v>
      </c>
      <c r="Q585" s="474">
        <f t="shared" si="35"/>
        <v>248.2284</v>
      </c>
      <c r="R585" s="475">
        <v>800</v>
      </c>
      <c r="S585" s="477">
        <f t="shared" si="36"/>
        <v>2482.8916</v>
      </c>
      <c r="T585" s="433"/>
    </row>
    <row r="586" s="419" customFormat="1" ht="15" customHeight="1" spans="1:22">
      <c r="A586" s="472">
        <v>46193</v>
      </c>
      <c r="B586" s="472">
        <v>46194</v>
      </c>
      <c r="C586" s="473" t="s">
        <v>710</v>
      </c>
      <c r="D586" s="473" t="s">
        <v>237</v>
      </c>
      <c r="E586" s="473" t="s">
        <v>339</v>
      </c>
      <c r="F586" s="473" t="s">
        <v>339</v>
      </c>
      <c r="G586" s="473" t="s">
        <v>170</v>
      </c>
      <c r="H586" s="473" t="s">
        <v>354</v>
      </c>
      <c r="I586" s="473" t="s">
        <v>407</v>
      </c>
      <c r="J586" s="473">
        <v>40.06</v>
      </c>
      <c r="K586" s="473" t="s">
        <v>356</v>
      </c>
      <c r="L586" s="473">
        <v>40.06</v>
      </c>
      <c r="M586" s="473">
        <v>87</v>
      </c>
      <c r="N586" s="473"/>
      <c r="O586" s="475">
        <f t="shared" si="34"/>
        <v>3485.22</v>
      </c>
      <c r="P586" s="476">
        <v>15</v>
      </c>
      <c r="Q586" s="474">
        <f t="shared" si="35"/>
        <v>243.9654</v>
      </c>
      <c r="R586" s="475">
        <v>800</v>
      </c>
      <c r="S586" s="477">
        <f t="shared" si="36"/>
        <v>2426.2546</v>
      </c>
      <c r="T586" s="433"/>
    </row>
    <row r="587" s="419" customFormat="1" ht="15" customHeight="1" spans="1:22">
      <c r="A587" s="472">
        <v>46194</v>
      </c>
      <c r="B587" s="472">
        <v>46195</v>
      </c>
      <c r="C587" s="473" t="s">
        <v>711</v>
      </c>
      <c r="D587" s="473" t="s">
        <v>237</v>
      </c>
      <c r="E587" s="473" t="s">
        <v>180</v>
      </c>
      <c r="F587" s="473" t="s">
        <v>180</v>
      </c>
      <c r="G587" s="473" t="s">
        <v>181</v>
      </c>
      <c r="H587" s="473" t="s">
        <v>354</v>
      </c>
      <c r="I587" s="473" t="s">
        <v>407</v>
      </c>
      <c r="J587" s="473">
        <v>40.8</v>
      </c>
      <c r="K587" s="473" t="s">
        <v>356</v>
      </c>
      <c r="L587" s="473">
        <v>40.8</v>
      </c>
      <c r="M587" s="473">
        <v>87</v>
      </c>
      <c r="N587" s="473"/>
      <c r="O587" s="475">
        <f t="shared" si="34"/>
        <v>3549.6</v>
      </c>
      <c r="P587" s="476">
        <v>15</v>
      </c>
      <c r="Q587" s="474">
        <f t="shared" si="35"/>
        <v>248.472</v>
      </c>
      <c r="R587" s="475">
        <v>800</v>
      </c>
      <c r="S587" s="477">
        <f t="shared" si="36"/>
        <v>2486.128</v>
      </c>
      <c r="T587" s="433"/>
    </row>
    <row r="588" s="419" customFormat="1" ht="15" customHeight="1" spans="1:22">
      <c r="A588" s="472">
        <v>46194</v>
      </c>
      <c r="B588" s="472">
        <v>46195</v>
      </c>
      <c r="C588" s="473" t="s">
        <v>712</v>
      </c>
      <c r="D588" s="473" t="s">
        <v>237</v>
      </c>
      <c r="E588" s="473" t="s">
        <v>186</v>
      </c>
      <c r="F588" s="473" t="s">
        <v>186</v>
      </c>
      <c r="G588" s="473" t="s">
        <v>187</v>
      </c>
      <c r="H588" s="473" t="s">
        <v>354</v>
      </c>
      <c r="I588" s="473" t="s">
        <v>407</v>
      </c>
      <c r="J588" s="473">
        <v>40.62</v>
      </c>
      <c r="K588" s="473" t="s">
        <v>356</v>
      </c>
      <c r="L588" s="419">
        <v>40.62</v>
      </c>
      <c r="M588" s="473">
        <v>87</v>
      </c>
      <c r="N588" s="473"/>
      <c r="O588" s="475">
        <f t="shared" si="34"/>
        <v>3533.94</v>
      </c>
      <c r="P588" s="476">
        <v>15</v>
      </c>
      <c r="Q588" s="474">
        <f t="shared" si="35"/>
        <v>247.3758</v>
      </c>
      <c r="R588" s="475">
        <v>800</v>
      </c>
      <c r="S588" s="477">
        <f t="shared" si="36"/>
        <v>2471.5642</v>
      </c>
      <c r="T588" s="433"/>
    </row>
    <row r="589" s="419" customFormat="1" ht="15" customHeight="1" spans="1:22">
      <c r="A589" s="472">
        <v>46194</v>
      </c>
      <c r="B589" s="472">
        <v>46195</v>
      </c>
      <c r="C589" s="473" t="s">
        <v>713</v>
      </c>
      <c r="D589" s="473" t="s">
        <v>237</v>
      </c>
      <c r="E589" s="473" t="s">
        <v>177</v>
      </c>
      <c r="F589" s="473" t="s">
        <v>177</v>
      </c>
      <c r="G589" s="473" t="s">
        <v>178</v>
      </c>
      <c r="H589" s="473" t="s">
        <v>354</v>
      </c>
      <c r="I589" s="473" t="s">
        <v>407</v>
      </c>
      <c r="J589" s="473">
        <v>40.48</v>
      </c>
      <c r="K589" s="473" t="s">
        <v>356</v>
      </c>
      <c r="L589" s="473">
        <v>40.48</v>
      </c>
      <c r="M589" s="473">
        <v>87</v>
      </c>
      <c r="N589" s="473"/>
      <c r="O589" s="475">
        <f t="shared" si="34"/>
        <v>3521.76</v>
      </c>
      <c r="P589" s="476">
        <v>15</v>
      </c>
      <c r="Q589" s="474">
        <f t="shared" si="35"/>
        <v>246.5232</v>
      </c>
      <c r="R589" s="475">
        <v>800</v>
      </c>
      <c r="S589" s="477">
        <f t="shared" si="36"/>
        <v>2460.2368</v>
      </c>
      <c r="T589" s="433"/>
    </row>
    <row r="590" s="419" customFormat="1" ht="16" customHeight="1" spans="1:22">
      <c r="A590" s="472">
        <v>46194</v>
      </c>
      <c r="B590" s="472">
        <v>46196</v>
      </c>
      <c r="C590" s="473" t="s">
        <v>714</v>
      </c>
      <c r="D590" s="473" t="s">
        <v>237</v>
      </c>
      <c r="E590" s="473" t="s">
        <v>166</v>
      </c>
      <c r="F590" s="473" t="s">
        <v>166</v>
      </c>
      <c r="G590" s="473" t="s">
        <v>167</v>
      </c>
      <c r="H590" s="473" t="s">
        <v>354</v>
      </c>
      <c r="I590" s="473" t="s">
        <v>407</v>
      </c>
      <c r="J590" s="473">
        <v>39.66</v>
      </c>
      <c r="K590" s="473" t="s">
        <v>356</v>
      </c>
      <c r="L590" s="473">
        <v>39.64</v>
      </c>
      <c r="M590" s="473">
        <v>87</v>
      </c>
      <c r="N590" s="473"/>
      <c r="O590" s="475">
        <f t="shared" si="34"/>
        <v>3448.68</v>
      </c>
      <c r="P590" s="476">
        <v>15</v>
      </c>
      <c r="Q590" s="474">
        <f t="shared" si="35"/>
        <v>241.4076</v>
      </c>
      <c r="R590" s="475">
        <v>800</v>
      </c>
      <c r="S590" s="477">
        <f t="shared" si="36"/>
        <v>2392.2724</v>
      </c>
      <c r="T590" s="473"/>
      <c r="U590" s="473"/>
      <c r="V590" s="473"/>
    </row>
    <row r="591" s="419" customFormat="1" ht="15" customHeight="1" spans="1:22">
      <c r="A591" s="472">
        <v>46193</v>
      </c>
      <c r="B591" s="472">
        <v>46194</v>
      </c>
      <c r="C591" s="473"/>
      <c r="D591" s="473" t="s">
        <v>235</v>
      </c>
      <c r="E591" s="473" t="s">
        <v>174</v>
      </c>
      <c r="F591" s="473" t="s">
        <v>174</v>
      </c>
      <c r="G591" s="473" t="s">
        <v>175</v>
      </c>
      <c r="H591" s="473" t="s">
        <v>368</v>
      </c>
      <c r="I591" s="473" t="s">
        <v>356</v>
      </c>
      <c r="J591" s="473">
        <v>46.12</v>
      </c>
      <c r="K591" s="473" t="s">
        <v>371</v>
      </c>
      <c r="L591" s="473">
        <v>45.98</v>
      </c>
      <c r="M591" s="473">
        <v>61</v>
      </c>
      <c r="N591" s="473"/>
      <c r="O591" s="475">
        <f t="shared" si="34"/>
        <v>2804.78</v>
      </c>
      <c r="P591" s="476">
        <v>15</v>
      </c>
      <c r="Q591" s="474">
        <f t="shared" si="35"/>
        <v>196.3346</v>
      </c>
      <c r="R591" s="475">
        <v>600</v>
      </c>
      <c r="S591" s="477">
        <f t="shared" si="36"/>
        <v>1993.4454</v>
      </c>
      <c r="T591" s="433"/>
    </row>
    <row r="592" s="419" customFormat="1" ht="15" customHeight="1" spans="1:22">
      <c r="A592" s="472">
        <v>46193</v>
      </c>
      <c r="B592" s="472">
        <v>46194</v>
      </c>
      <c r="C592" s="473"/>
      <c r="D592" s="473" t="s">
        <v>235</v>
      </c>
      <c r="E592" s="473" t="s">
        <v>213</v>
      </c>
      <c r="F592" s="473" t="s">
        <v>213</v>
      </c>
      <c r="G592" s="473" t="s">
        <v>214</v>
      </c>
      <c r="H592" s="473" t="s">
        <v>368</v>
      </c>
      <c r="I592" s="473" t="s">
        <v>356</v>
      </c>
      <c r="J592" s="473">
        <v>42.74</v>
      </c>
      <c r="K592" s="473" t="s">
        <v>371</v>
      </c>
      <c r="L592" s="473">
        <v>42.48</v>
      </c>
      <c r="M592" s="473">
        <v>61</v>
      </c>
      <c r="N592" s="473"/>
      <c r="O592" s="475">
        <f t="shared" si="34"/>
        <v>2591.28</v>
      </c>
      <c r="P592" s="476">
        <v>15</v>
      </c>
      <c r="Q592" s="474">
        <f t="shared" si="35"/>
        <v>181.3896</v>
      </c>
      <c r="R592" s="475">
        <v>600</v>
      </c>
      <c r="S592" s="477">
        <f t="shared" si="36"/>
        <v>1794.8904</v>
      </c>
      <c r="T592" s="433"/>
    </row>
    <row r="593" s="419" customFormat="1" ht="15" customHeight="1" spans="1:20">
      <c r="A593" s="472">
        <v>46193</v>
      </c>
      <c r="B593" s="472">
        <v>46194</v>
      </c>
      <c r="C593" s="473"/>
      <c r="D593" s="473" t="s">
        <v>235</v>
      </c>
      <c r="E593" s="473" t="s">
        <v>670</v>
      </c>
      <c r="F593" s="473" t="s">
        <v>670</v>
      </c>
      <c r="G593" s="473" t="s">
        <v>217</v>
      </c>
      <c r="H593" s="473" t="s">
        <v>368</v>
      </c>
      <c r="I593" s="473" t="s">
        <v>356</v>
      </c>
      <c r="J593" s="473">
        <v>41.34</v>
      </c>
      <c r="K593" s="473" t="s">
        <v>371</v>
      </c>
      <c r="L593" s="473">
        <v>41.11</v>
      </c>
      <c r="M593" s="473">
        <v>61</v>
      </c>
      <c r="N593" s="473"/>
      <c r="O593" s="475">
        <f t="shared" si="34"/>
        <v>2507.71</v>
      </c>
      <c r="P593" s="476">
        <v>15</v>
      </c>
      <c r="Q593" s="474">
        <f t="shared" si="35"/>
        <v>175.5397</v>
      </c>
      <c r="R593" s="475">
        <v>600</v>
      </c>
      <c r="S593" s="477">
        <f t="shared" si="36"/>
        <v>1717.1703</v>
      </c>
      <c r="T593" s="433"/>
    </row>
    <row r="594" s="419" customFormat="1" ht="15" customHeight="1" spans="1:20">
      <c r="A594" s="472">
        <v>46193</v>
      </c>
      <c r="B594" s="472">
        <v>46195</v>
      </c>
      <c r="C594" s="473"/>
      <c r="D594" s="473" t="s">
        <v>235</v>
      </c>
      <c r="E594" s="473" t="s">
        <v>151</v>
      </c>
      <c r="F594" s="473" t="s">
        <v>151</v>
      </c>
      <c r="G594" s="473" t="s">
        <v>152</v>
      </c>
      <c r="H594" s="473" t="s">
        <v>368</v>
      </c>
      <c r="I594" s="473" t="s">
        <v>356</v>
      </c>
      <c r="J594" s="473">
        <v>43.96</v>
      </c>
      <c r="K594" s="473" t="s">
        <v>371</v>
      </c>
      <c r="L594" s="473">
        <v>43.91</v>
      </c>
      <c r="M594" s="473">
        <v>61</v>
      </c>
      <c r="N594" s="473"/>
      <c r="O594" s="475">
        <f t="shared" si="34"/>
        <v>2678.51</v>
      </c>
      <c r="P594" s="476">
        <v>15</v>
      </c>
      <c r="Q594" s="474">
        <f t="shared" si="35"/>
        <v>187.4957</v>
      </c>
      <c r="R594" s="475">
        <v>600</v>
      </c>
      <c r="S594" s="477">
        <f t="shared" si="36"/>
        <v>1876.0143</v>
      </c>
      <c r="T594" s="433"/>
    </row>
    <row r="595" s="419" customFormat="1" ht="15" customHeight="1" spans="1:20">
      <c r="A595" s="472">
        <v>46194</v>
      </c>
      <c r="B595" s="472">
        <v>46195</v>
      </c>
      <c r="C595" s="473"/>
      <c r="D595" s="473" t="s">
        <v>235</v>
      </c>
      <c r="E595" s="473" t="s">
        <v>154</v>
      </c>
      <c r="F595" s="473" t="s">
        <v>154</v>
      </c>
      <c r="G595" s="473" t="s">
        <v>155</v>
      </c>
      <c r="H595" s="473" t="s">
        <v>368</v>
      </c>
      <c r="I595" s="473" t="s">
        <v>356</v>
      </c>
      <c r="J595" s="473">
        <v>44.82</v>
      </c>
      <c r="K595" s="473" t="s">
        <v>369</v>
      </c>
      <c r="L595" s="473">
        <v>44.94</v>
      </c>
      <c r="M595" s="473">
        <v>48</v>
      </c>
      <c r="N595" s="473"/>
      <c r="O595" s="475">
        <f t="shared" si="34"/>
        <v>2157.12</v>
      </c>
      <c r="P595" s="476">
        <v>15</v>
      </c>
      <c r="Q595" s="474">
        <f t="shared" si="35"/>
        <v>150.9984</v>
      </c>
      <c r="R595" s="475">
        <v>600</v>
      </c>
      <c r="S595" s="477">
        <f t="shared" si="36"/>
        <v>1391.1216</v>
      </c>
      <c r="T595" s="433"/>
    </row>
    <row r="596" s="419" customFormat="1" ht="15" customHeight="1" spans="1:20">
      <c r="A596" s="472">
        <v>46194</v>
      </c>
      <c r="B596" s="472">
        <v>46195</v>
      </c>
      <c r="C596" s="473"/>
      <c r="D596" s="473" t="s">
        <v>235</v>
      </c>
      <c r="E596" s="473" t="s">
        <v>163</v>
      </c>
      <c r="F596" s="473" t="s">
        <v>163</v>
      </c>
      <c r="G596" s="473" t="s">
        <v>164</v>
      </c>
      <c r="H596" s="473" t="s">
        <v>368</v>
      </c>
      <c r="I596" s="473" t="s">
        <v>356</v>
      </c>
      <c r="J596" s="473">
        <v>45.36</v>
      </c>
      <c r="K596" s="473" t="s">
        <v>369</v>
      </c>
      <c r="L596" s="473">
        <v>45.42</v>
      </c>
      <c r="M596" s="473">
        <v>48</v>
      </c>
      <c r="N596" s="473"/>
      <c r="O596" s="475">
        <f t="shared" si="34"/>
        <v>2180.16</v>
      </c>
      <c r="P596" s="476">
        <v>15</v>
      </c>
      <c r="Q596" s="474">
        <f t="shared" si="35"/>
        <v>152.6112</v>
      </c>
      <c r="R596" s="475">
        <v>600</v>
      </c>
      <c r="S596" s="477">
        <f t="shared" si="36"/>
        <v>1412.5488</v>
      </c>
      <c r="T596" s="433"/>
    </row>
    <row r="597" s="419" customFormat="1" ht="15" customHeight="1" spans="1:20">
      <c r="A597" s="472">
        <v>46194</v>
      </c>
      <c r="B597" s="472">
        <v>46195</v>
      </c>
      <c r="C597" s="473"/>
      <c r="D597" s="473" t="s">
        <v>235</v>
      </c>
      <c r="E597" s="473" t="s">
        <v>338</v>
      </c>
      <c r="F597" s="473" t="s">
        <v>338</v>
      </c>
      <c r="G597" s="473" t="s">
        <v>158</v>
      </c>
      <c r="H597" s="473" t="s">
        <v>368</v>
      </c>
      <c r="I597" s="473" t="s">
        <v>356</v>
      </c>
      <c r="J597" s="473">
        <v>45.76</v>
      </c>
      <c r="K597" s="473" t="s">
        <v>369</v>
      </c>
      <c r="L597" s="473">
        <v>45.84</v>
      </c>
      <c r="M597" s="473">
        <v>48</v>
      </c>
      <c r="N597" s="473"/>
      <c r="O597" s="475">
        <f t="shared" si="34"/>
        <v>2200.32</v>
      </c>
      <c r="P597" s="476">
        <v>15</v>
      </c>
      <c r="Q597" s="474">
        <f t="shared" si="35"/>
        <v>154.0224</v>
      </c>
      <c r="R597" s="475">
        <v>600</v>
      </c>
      <c r="S597" s="477">
        <f t="shared" si="36"/>
        <v>1431.2976</v>
      </c>
      <c r="T597" s="433"/>
    </row>
    <row r="598" s="419" customFormat="1" ht="15" customHeight="1" spans="1:20">
      <c r="A598" s="472">
        <v>46194</v>
      </c>
      <c r="B598" s="472">
        <v>46195</v>
      </c>
      <c r="C598" s="473"/>
      <c r="D598" s="473" t="s">
        <v>235</v>
      </c>
      <c r="E598" s="473" t="s">
        <v>204</v>
      </c>
      <c r="F598" s="473" t="s">
        <v>204</v>
      </c>
      <c r="G598" s="473" t="s">
        <v>715</v>
      </c>
      <c r="H598" s="473" t="s">
        <v>368</v>
      </c>
      <c r="I598" s="473" t="s">
        <v>356</v>
      </c>
      <c r="J598" s="473">
        <v>42.96</v>
      </c>
      <c r="K598" s="473" t="s">
        <v>369</v>
      </c>
      <c r="L598" s="473">
        <v>43.04</v>
      </c>
      <c r="M598" s="473">
        <v>48</v>
      </c>
      <c r="N598" s="473"/>
      <c r="O598" s="475">
        <f t="shared" si="34"/>
        <v>2065.92</v>
      </c>
      <c r="P598" s="476">
        <v>15</v>
      </c>
      <c r="Q598" s="474">
        <f t="shared" si="35"/>
        <v>144.6144</v>
      </c>
      <c r="R598" s="475">
        <v>600</v>
      </c>
      <c r="S598" s="477">
        <f t="shared" si="36"/>
        <v>1306.3056</v>
      </c>
      <c r="T598" s="433"/>
    </row>
    <row r="599" s="419" customFormat="1" ht="15" customHeight="1" spans="1:20">
      <c r="A599" s="472">
        <v>46194</v>
      </c>
      <c r="B599" s="472">
        <v>46195</v>
      </c>
      <c r="C599" s="473"/>
      <c r="D599" s="473" t="s">
        <v>235</v>
      </c>
      <c r="E599" s="473" t="s">
        <v>221</v>
      </c>
      <c r="F599" s="473" t="s">
        <v>221</v>
      </c>
      <c r="G599" s="473" t="s">
        <v>704</v>
      </c>
      <c r="H599" s="473" t="s">
        <v>368</v>
      </c>
      <c r="I599" s="473" t="s">
        <v>356</v>
      </c>
      <c r="J599" s="473">
        <v>44.26</v>
      </c>
      <c r="K599" s="473" t="s">
        <v>369</v>
      </c>
      <c r="L599" s="473">
        <v>44.34</v>
      </c>
      <c r="M599" s="473">
        <v>48</v>
      </c>
      <c r="N599" s="473"/>
      <c r="O599" s="475">
        <f t="shared" si="34"/>
        <v>2128.32</v>
      </c>
      <c r="P599" s="476">
        <v>15</v>
      </c>
      <c r="Q599" s="474">
        <f t="shared" si="35"/>
        <v>148.9824</v>
      </c>
      <c r="R599" s="475">
        <v>600</v>
      </c>
      <c r="S599" s="477">
        <f t="shared" si="36"/>
        <v>1364.3376</v>
      </c>
      <c r="T599" s="433"/>
    </row>
    <row r="600" s="419" customFormat="1" ht="15" customHeight="1" spans="1:20">
      <c r="A600" s="472">
        <v>46194</v>
      </c>
      <c r="B600" s="472">
        <v>46195</v>
      </c>
      <c r="C600" s="473"/>
      <c r="D600" s="473" t="s">
        <v>235</v>
      </c>
      <c r="E600" s="473" t="s">
        <v>160</v>
      </c>
      <c r="F600" s="473" t="s">
        <v>160</v>
      </c>
      <c r="G600" s="473" t="s">
        <v>161</v>
      </c>
      <c r="H600" s="473" t="s">
        <v>368</v>
      </c>
      <c r="I600" s="473" t="s">
        <v>356</v>
      </c>
      <c r="J600" s="473">
        <v>43.92</v>
      </c>
      <c r="K600" s="473" t="s">
        <v>369</v>
      </c>
      <c r="L600" s="473">
        <v>43.98</v>
      </c>
      <c r="M600" s="473">
        <v>48</v>
      </c>
      <c r="N600" s="473"/>
      <c r="O600" s="475">
        <f t="shared" si="34"/>
        <v>2111.04</v>
      </c>
      <c r="P600" s="476">
        <v>15</v>
      </c>
      <c r="Q600" s="474">
        <f t="shared" si="35"/>
        <v>147.7728</v>
      </c>
      <c r="R600" s="475">
        <v>600</v>
      </c>
      <c r="S600" s="477">
        <f t="shared" si="36"/>
        <v>1348.2672</v>
      </c>
      <c r="T600" s="433"/>
    </row>
    <row r="601" s="419" customFormat="1" ht="15" customHeight="1" spans="1:20">
      <c r="A601" s="472">
        <v>46194</v>
      </c>
      <c r="B601" s="472">
        <v>46195</v>
      </c>
      <c r="C601" s="473"/>
      <c r="D601" s="473" t="s">
        <v>235</v>
      </c>
      <c r="E601" s="473" t="s">
        <v>223</v>
      </c>
      <c r="F601" s="473" t="s">
        <v>223</v>
      </c>
      <c r="G601" s="473" t="s">
        <v>708</v>
      </c>
      <c r="H601" s="473" t="s">
        <v>368</v>
      </c>
      <c r="I601" s="473" t="s">
        <v>356</v>
      </c>
      <c r="J601" s="473">
        <v>43.48</v>
      </c>
      <c r="K601" s="473" t="s">
        <v>369</v>
      </c>
      <c r="L601" s="473">
        <v>43.52</v>
      </c>
      <c r="M601" s="473">
        <v>48</v>
      </c>
      <c r="N601" s="473"/>
      <c r="O601" s="475">
        <f t="shared" si="34"/>
        <v>2088.96</v>
      </c>
      <c r="P601" s="476">
        <v>15</v>
      </c>
      <c r="Q601" s="474">
        <f t="shared" si="35"/>
        <v>146.2272</v>
      </c>
      <c r="R601" s="475">
        <v>600</v>
      </c>
      <c r="S601" s="477">
        <f t="shared" si="36"/>
        <v>1327.7328</v>
      </c>
      <c r="T601" s="433"/>
    </row>
    <row r="602" s="419" customFormat="1" ht="15" customHeight="1" spans="1:20">
      <c r="A602" s="472">
        <v>46194</v>
      </c>
      <c r="B602" s="472">
        <v>46195</v>
      </c>
      <c r="C602" s="473" t="s">
        <v>716</v>
      </c>
      <c r="D602" s="473" t="s">
        <v>237</v>
      </c>
      <c r="E602" s="473" t="s">
        <v>183</v>
      </c>
      <c r="F602" s="473" t="s">
        <v>183</v>
      </c>
      <c r="G602" s="473" t="s">
        <v>184</v>
      </c>
      <c r="H602" s="473" t="s">
        <v>354</v>
      </c>
      <c r="I602" s="473" t="s">
        <v>407</v>
      </c>
      <c r="J602" s="473">
        <v>41.32</v>
      </c>
      <c r="K602" s="473" t="s">
        <v>356</v>
      </c>
      <c r="L602" s="473">
        <v>41.32</v>
      </c>
      <c r="M602" s="473">
        <v>87</v>
      </c>
      <c r="N602" s="473"/>
      <c r="O602" s="475">
        <f t="shared" si="34"/>
        <v>3594.84</v>
      </c>
      <c r="P602" s="476">
        <v>15</v>
      </c>
      <c r="Q602" s="474">
        <f t="shared" si="35"/>
        <v>251.6388</v>
      </c>
      <c r="R602" s="475">
        <v>800</v>
      </c>
      <c r="S602" s="477">
        <f t="shared" si="36"/>
        <v>2528.2012</v>
      </c>
      <c r="T602" s="433"/>
    </row>
    <row r="603" s="419" customFormat="1" ht="15" customHeight="1" spans="1:20">
      <c r="A603" s="472">
        <v>46194</v>
      </c>
      <c r="B603" s="472">
        <v>46195</v>
      </c>
      <c r="C603" s="473" t="s">
        <v>717</v>
      </c>
      <c r="D603" s="473" t="s">
        <v>237</v>
      </c>
      <c r="E603" s="473" t="s">
        <v>148</v>
      </c>
      <c r="F603" s="473" t="s">
        <v>148</v>
      </c>
      <c r="G603" s="473" t="s">
        <v>149</v>
      </c>
      <c r="H603" s="473" t="s">
        <v>354</v>
      </c>
      <c r="I603" s="473" t="s">
        <v>407</v>
      </c>
      <c r="J603" s="473">
        <v>41.02</v>
      </c>
      <c r="K603" s="473" t="s">
        <v>356</v>
      </c>
      <c r="L603" s="473">
        <v>41.02</v>
      </c>
      <c r="M603" s="473">
        <v>87</v>
      </c>
      <c r="N603" s="473"/>
      <c r="O603" s="475">
        <f t="shared" si="34"/>
        <v>3568.74</v>
      </c>
      <c r="P603" s="476">
        <v>15</v>
      </c>
      <c r="Q603" s="474">
        <f t="shared" si="35"/>
        <v>249.8118</v>
      </c>
      <c r="R603" s="475">
        <v>800</v>
      </c>
      <c r="S603" s="477">
        <f t="shared" si="36"/>
        <v>2503.9282</v>
      </c>
      <c r="T603" s="433"/>
    </row>
    <row r="604" s="419" customFormat="1" ht="15" customHeight="1" spans="1:20">
      <c r="A604" s="472">
        <v>46194</v>
      </c>
      <c r="B604" s="472">
        <v>46195</v>
      </c>
      <c r="C604" s="473" t="s">
        <v>718</v>
      </c>
      <c r="D604" s="473" t="s">
        <v>237</v>
      </c>
      <c r="E604" s="473" t="s">
        <v>207</v>
      </c>
      <c r="F604" s="473" t="s">
        <v>207</v>
      </c>
      <c r="G604" s="473" t="s">
        <v>678</v>
      </c>
      <c r="H604" s="473" t="s">
        <v>354</v>
      </c>
      <c r="I604" s="473" t="s">
        <v>407</v>
      </c>
      <c r="J604" s="473">
        <v>40.78</v>
      </c>
      <c r="K604" s="473" t="s">
        <v>356</v>
      </c>
      <c r="L604" s="473">
        <v>40.78</v>
      </c>
      <c r="M604" s="473">
        <v>87</v>
      </c>
      <c r="N604" s="473"/>
      <c r="O604" s="475">
        <f t="shared" ref="O604:O667" si="37">L604*M604</f>
        <v>3547.86</v>
      </c>
      <c r="P604" s="476">
        <v>15</v>
      </c>
      <c r="Q604" s="474">
        <f t="shared" ref="Q604:Q667" si="38">O604*0.07</f>
        <v>248.3502</v>
      </c>
      <c r="R604" s="475">
        <v>800</v>
      </c>
      <c r="S604" s="477">
        <f t="shared" ref="S604:S667" si="39">O604-P604-R604-Q604</f>
        <v>2484.5098</v>
      </c>
      <c r="T604" s="433"/>
    </row>
    <row r="605" s="419" customFormat="1" ht="15" customHeight="1" spans="1:20">
      <c r="A605" s="472">
        <v>46192</v>
      </c>
      <c r="B605" s="472">
        <v>46193</v>
      </c>
      <c r="C605" s="473"/>
      <c r="D605" s="473" t="s">
        <v>235</v>
      </c>
      <c r="E605" s="473" t="s">
        <v>189</v>
      </c>
      <c r="F605" s="473" t="s">
        <v>189</v>
      </c>
      <c r="G605" s="473" t="s">
        <v>190</v>
      </c>
      <c r="H605" s="473" t="s">
        <v>368</v>
      </c>
      <c r="I605" s="473" t="s">
        <v>356</v>
      </c>
      <c r="J605" s="473">
        <v>46.68</v>
      </c>
      <c r="K605" s="473" t="s">
        <v>371</v>
      </c>
      <c r="L605" s="473">
        <v>46.44</v>
      </c>
      <c r="M605" s="473">
        <v>61</v>
      </c>
      <c r="N605" s="473"/>
      <c r="O605" s="475">
        <f t="shared" si="37"/>
        <v>2832.84</v>
      </c>
      <c r="P605" s="476">
        <v>15</v>
      </c>
      <c r="Q605" s="474">
        <f t="shared" si="38"/>
        <v>198.2988</v>
      </c>
      <c r="R605" s="475">
        <v>600</v>
      </c>
      <c r="S605" s="477">
        <f t="shared" si="39"/>
        <v>2019.5412</v>
      </c>
      <c r="T605" s="433"/>
    </row>
    <row r="606" s="419" customFormat="1" ht="15" customHeight="1" spans="1:20">
      <c r="A606" s="472">
        <v>46193</v>
      </c>
      <c r="B606" s="472">
        <v>46194</v>
      </c>
      <c r="C606" s="473"/>
      <c r="D606" s="473" t="s">
        <v>235</v>
      </c>
      <c r="E606" s="473" t="s">
        <v>192</v>
      </c>
      <c r="F606" s="473" t="s">
        <v>192</v>
      </c>
      <c r="G606" s="473" t="s">
        <v>193</v>
      </c>
      <c r="H606" s="473" t="s">
        <v>368</v>
      </c>
      <c r="I606" s="473" t="s">
        <v>356</v>
      </c>
      <c r="J606" s="473">
        <v>41.34</v>
      </c>
      <c r="K606" s="473" t="s">
        <v>369</v>
      </c>
      <c r="L606" s="473">
        <v>41.32</v>
      </c>
      <c r="M606" s="473">
        <v>48</v>
      </c>
      <c r="N606" s="473"/>
      <c r="O606" s="475">
        <f t="shared" si="37"/>
        <v>1983.36</v>
      </c>
      <c r="P606" s="476">
        <v>15</v>
      </c>
      <c r="Q606" s="474">
        <f t="shared" si="38"/>
        <v>138.8352</v>
      </c>
      <c r="R606" s="475">
        <v>600</v>
      </c>
      <c r="S606" s="477">
        <f t="shared" si="39"/>
        <v>1229.5248</v>
      </c>
      <c r="T606" s="433"/>
    </row>
    <row r="607" s="419" customFormat="1" ht="15" customHeight="1" spans="1:20">
      <c r="A607" s="472">
        <v>46193</v>
      </c>
      <c r="B607" s="472">
        <v>46194</v>
      </c>
      <c r="C607" s="473"/>
      <c r="D607" s="473" t="s">
        <v>235</v>
      </c>
      <c r="E607" s="473" t="s">
        <v>201</v>
      </c>
      <c r="F607" s="473" t="s">
        <v>201</v>
      </c>
      <c r="G607" s="473" t="s">
        <v>719</v>
      </c>
      <c r="H607" s="473" t="s">
        <v>368</v>
      </c>
      <c r="I607" s="473" t="s">
        <v>356</v>
      </c>
      <c r="J607" s="473">
        <v>43.46</v>
      </c>
      <c r="K607" s="473" t="s">
        <v>369</v>
      </c>
      <c r="L607" s="473">
        <v>43.4</v>
      </c>
      <c r="M607" s="473">
        <v>48</v>
      </c>
      <c r="N607" s="473"/>
      <c r="O607" s="475">
        <f t="shared" si="37"/>
        <v>2083.2</v>
      </c>
      <c r="P607" s="476">
        <v>15</v>
      </c>
      <c r="Q607" s="474">
        <f t="shared" si="38"/>
        <v>145.824</v>
      </c>
      <c r="R607" s="475">
        <v>600</v>
      </c>
      <c r="S607" s="477">
        <f t="shared" si="39"/>
        <v>1322.376</v>
      </c>
      <c r="T607" s="433"/>
    </row>
    <row r="608" s="419" customFormat="1" ht="15" customHeight="1" spans="1:20">
      <c r="A608" s="472">
        <v>46194</v>
      </c>
      <c r="B608" s="472">
        <v>46195</v>
      </c>
      <c r="C608" s="473"/>
      <c r="D608" s="473" t="s">
        <v>235</v>
      </c>
      <c r="E608" s="473" t="s">
        <v>195</v>
      </c>
      <c r="F608" s="473" t="s">
        <v>195</v>
      </c>
      <c r="G608" s="473" t="s">
        <v>196</v>
      </c>
      <c r="H608" s="473" t="s">
        <v>368</v>
      </c>
      <c r="I608" s="473" t="s">
        <v>356</v>
      </c>
      <c r="J608" s="473">
        <v>42.7</v>
      </c>
      <c r="K608" s="473" t="s">
        <v>371</v>
      </c>
      <c r="L608" s="473">
        <v>42.55</v>
      </c>
      <c r="M608" s="473">
        <v>61</v>
      </c>
      <c r="N608" s="473"/>
      <c r="O608" s="475">
        <f t="shared" si="37"/>
        <v>2595.55</v>
      </c>
      <c r="P608" s="476">
        <v>15</v>
      </c>
      <c r="Q608" s="474">
        <f t="shared" si="38"/>
        <v>181.6885</v>
      </c>
      <c r="R608" s="475">
        <v>600</v>
      </c>
      <c r="S608" s="477">
        <f t="shared" si="39"/>
        <v>1798.8615</v>
      </c>
      <c r="T608" s="433"/>
    </row>
    <row r="609" s="419" customFormat="1" ht="15" customHeight="1" spans="1:22">
      <c r="A609" s="472">
        <v>46195</v>
      </c>
      <c r="B609" s="479">
        <v>46195</v>
      </c>
      <c r="C609" s="473" t="s">
        <v>720</v>
      </c>
      <c r="D609" s="473" t="s">
        <v>236</v>
      </c>
      <c r="E609" s="473" t="s">
        <v>127</v>
      </c>
      <c r="F609" s="473" t="s">
        <v>127</v>
      </c>
      <c r="G609" s="473" t="s">
        <v>128</v>
      </c>
      <c r="H609" s="473" t="s">
        <v>354</v>
      </c>
      <c r="I609" s="473" t="s">
        <v>369</v>
      </c>
      <c r="J609" s="473">
        <v>39.22</v>
      </c>
      <c r="K609" s="473" t="s">
        <v>356</v>
      </c>
      <c r="L609" s="473">
        <v>39.16</v>
      </c>
      <c r="M609" s="473">
        <v>68</v>
      </c>
      <c r="N609" s="473"/>
      <c r="O609" s="475">
        <f t="shared" si="37"/>
        <v>2662.88</v>
      </c>
      <c r="P609" s="476">
        <v>15</v>
      </c>
      <c r="Q609" s="474">
        <f t="shared" si="38"/>
        <v>186.4016</v>
      </c>
      <c r="R609" s="475">
        <v>600</v>
      </c>
      <c r="S609" s="477">
        <f t="shared" si="39"/>
        <v>1861.4784</v>
      </c>
      <c r="T609" s="433"/>
    </row>
    <row r="610" s="419" customFormat="1" ht="16" customHeight="1" spans="1:22">
      <c r="A610" s="472">
        <v>46195</v>
      </c>
      <c r="B610" s="479">
        <v>46196</v>
      </c>
      <c r="C610" s="473" t="s">
        <v>721</v>
      </c>
      <c r="D610" s="473" t="s">
        <v>236</v>
      </c>
      <c r="E610" s="473" t="s">
        <v>130</v>
      </c>
      <c r="F610" s="473" t="s">
        <v>130</v>
      </c>
      <c r="G610" s="473" t="s">
        <v>122</v>
      </c>
      <c r="H610" s="473" t="s">
        <v>354</v>
      </c>
      <c r="I610" s="473" t="s">
        <v>369</v>
      </c>
      <c r="J610" s="473">
        <v>39.36</v>
      </c>
      <c r="K610" s="473" t="s">
        <v>356</v>
      </c>
      <c r="L610" s="473">
        <v>39.32</v>
      </c>
      <c r="M610" s="473">
        <v>68</v>
      </c>
      <c r="N610" s="473"/>
      <c r="O610" s="475">
        <f t="shared" si="37"/>
        <v>2673.76</v>
      </c>
      <c r="P610" s="476">
        <v>15</v>
      </c>
      <c r="Q610" s="474">
        <f t="shared" si="38"/>
        <v>187.1632</v>
      </c>
      <c r="R610" s="475">
        <v>600</v>
      </c>
      <c r="S610" s="477">
        <f t="shared" si="39"/>
        <v>1871.5968</v>
      </c>
      <c r="T610" s="473"/>
      <c r="U610" s="473"/>
      <c r="V610" s="473"/>
    </row>
    <row r="611" s="419" customFormat="1" ht="16" customHeight="1" spans="1:22">
      <c r="A611" s="472">
        <v>46194</v>
      </c>
      <c r="B611" s="479">
        <v>46196</v>
      </c>
      <c r="C611" s="473" t="s">
        <v>722</v>
      </c>
      <c r="D611" s="473" t="s">
        <v>236</v>
      </c>
      <c r="E611" s="473" t="s">
        <v>63</v>
      </c>
      <c r="F611" s="473" t="s">
        <v>63</v>
      </c>
      <c r="G611" s="473" t="s">
        <v>327</v>
      </c>
      <c r="H611" s="473" t="s">
        <v>354</v>
      </c>
      <c r="I611" s="473" t="s">
        <v>369</v>
      </c>
      <c r="J611" s="473">
        <v>39.76</v>
      </c>
      <c r="K611" s="473" t="s">
        <v>356</v>
      </c>
      <c r="L611" s="473">
        <v>39.7</v>
      </c>
      <c r="M611" s="473">
        <v>68</v>
      </c>
      <c r="N611" s="473"/>
      <c r="O611" s="475">
        <f t="shared" si="37"/>
        <v>2699.6</v>
      </c>
      <c r="P611" s="476">
        <v>15</v>
      </c>
      <c r="Q611" s="474">
        <f t="shared" si="38"/>
        <v>188.972</v>
      </c>
      <c r="R611" s="475">
        <v>600</v>
      </c>
      <c r="S611" s="477">
        <f t="shared" si="39"/>
        <v>1895.628</v>
      </c>
      <c r="T611" s="473"/>
      <c r="U611" s="473"/>
      <c r="V611" s="473"/>
    </row>
    <row r="612" s="419" customFormat="1" ht="16" customHeight="1" spans="1:22">
      <c r="A612" s="472">
        <v>46195</v>
      </c>
      <c r="B612" s="479">
        <v>46196</v>
      </c>
      <c r="C612" s="473" t="s">
        <v>723</v>
      </c>
      <c r="D612" s="473" t="s">
        <v>236</v>
      </c>
      <c r="E612" s="473" t="s">
        <v>81</v>
      </c>
      <c r="F612" s="473" t="s">
        <v>81</v>
      </c>
      <c r="G612" s="473" t="s">
        <v>82</v>
      </c>
      <c r="H612" s="473" t="s">
        <v>354</v>
      </c>
      <c r="I612" s="473" t="s">
        <v>369</v>
      </c>
      <c r="J612" s="473">
        <v>38.28</v>
      </c>
      <c r="K612" s="473" t="s">
        <v>356</v>
      </c>
      <c r="L612" s="473">
        <v>38.24</v>
      </c>
      <c r="M612" s="473">
        <v>68</v>
      </c>
      <c r="N612" s="473"/>
      <c r="O612" s="475">
        <f t="shared" si="37"/>
        <v>2600.32</v>
      </c>
      <c r="P612" s="476">
        <v>15</v>
      </c>
      <c r="Q612" s="474">
        <f t="shared" si="38"/>
        <v>182.0224</v>
      </c>
      <c r="R612" s="475">
        <v>600</v>
      </c>
      <c r="S612" s="477">
        <f t="shared" si="39"/>
        <v>1803.2976</v>
      </c>
      <c r="T612" s="473"/>
      <c r="U612" s="473"/>
      <c r="V612" s="473"/>
    </row>
    <row r="613" s="419" customFormat="1" ht="16" customHeight="1" spans="1:22">
      <c r="A613" s="472">
        <v>46195</v>
      </c>
      <c r="B613" s="479">
        <v>46196</v>
      </c>
      <c r="C613" s="473" t="s">
        <v>724</v>
      </c>
      <c r="D613" s="473" t="s">
        <v>236</v>
      </c>
      <c r="E613" s="473" t="s">
        <v>69</v>
      </c>
      <c r="F613" s="473" t="s">
        <v>69</v>
      </c>
      <c r="G613" s="473" t="s">
        <v>70</v>
      </c>
      <c r="H613" s="473" t="s">
        <v>354</v>
      </c>
      <c r="I613" s="473" t="s">
        <v>369</v>
      </c>
      <c r="J613" s="473">
        <v>37.24</v>
      </c>
      <c r="K613" s="473" t="s">
        <v>356</v>
      </c>
      <c r="L613" s="473">
        <v>37.2</v>
      </c>
      <c r="M613" s="473">
        <v>68</v>
      </c>
      <c r="N613" s="473"/>
      <c r="O613" s="475">
        <f t="shared" si="37"/>
        <v>2529.6</v>
      </c>
      <c r="P613" s="476">
        <v>15</v>
      </c>
      <c r="Q613" s="474">
        <f t="shared" si="38"/>
        <v>177.072</v>
      </c>
      <c r="R613" s="475">
        <v>600</v>
      </c>
      <c r="S613" s="477">
        <f t="shared" si="39"/>
        <v>1737.528</v>
      </c>
      <c r="T613" s="473"/>
      <c r="U613" s="473"/>
      <c r="V613" s="473"/>
    </row>
    <row r="614" s="419" customFormat="1" ht="15" customHeight="1" spans="1:22">
      <c r="A614" s="472">
        <v>46194</v>
      </c>
      <c r="B614" s="479">
        <v>46195</v>
      </c>
      <c r="C614" s="473" t="s">
        <v>725</v>
      </c>
      <c r="D614" s="473" t="s">
        <v>233</v>
      </c>
      <c r="E614" s="473" t="s">
        <v>66</v>
      </c>
      <c r="F614" s="473" t="s">
        <v>66</v>
      </c>
      <c r="G614" s="473" t="s">
        <v>67</v>
      </c>
      <c r="H614" s="473" t="s">
        <v>354</v>
      </c>
      <c r="I614" s="473" t="s">
        <v>355</v>
      </c>
      <c r="J614" s="473">
        <v>38.92</v>
      </c>
      <c r="K614" s="473" t="s">
        <v>356</v>
      </c>
      <c r="L614" s="473">
        <v>38.92</v>
      </c>
      <c r="M614" s="473">
        <v>67</v>
      </c>
      <c r="N614" s="473"/>
      <c r="O614" s="475">
        <f t="shared" si="37"/>
        <v>2607.64</v>
      </c>
      <c r="P614" s="476">
        <v>15</v>
      </c>
      <c r="Q614" s="474">
        <f t="shared" si="38"/>
        <v>182.5348</v>
      </c>
      <c r="R614" s="475">
        <v>600</v>
      </c>
      <c r="S614" s="477">
        <f t="shared" si="39"/>
        <v>1810.1052</v>
      </c>
      <c r="T614" s="433"/>
    </row>
    <row r="615" s="419" customFormat="1" ht="15" customHeight="1" spans="1:22">
      <c r="A615" s="472">
        <v>46194</v>
      </c>
      <c r="B615" s="479">
        <v>46195</v>
      </c>
      <c r="C615" s="473" t="s">
        <v>726</v>
      </c>
      <c r="D615" s="473" t="s">
        <v>233</v>
      </c>
      <c r="E615" s="473" t="s">
        <v>111</v>
      </c>
      <c r="F615" s="473" t="s">
        <v>111</v>
      </c>
      <c r="G615" s="473" t="s">
        <v>112</v>
      </c>
      <c r="H615" s="473" t="s">
        <v>354</v>
      </c>
      <c r="I615" s="473" t="s">
        <v>355</v>
      </c>
      <c r="J615" s="473">
        <v>38.5</v>
      </c>
      <c r="K615" s="473" t="s">
        <v>356</v>
      </c>
      <c r="L615" s="473">
        <v>38.5</v>
      </c>
      <c r="M615" s="473">
        <v>67</v>
      </c>
      <c r="N615" s="473"/>
      <c r="O615" s="475">
        <f t="shared" si="37"/>
        <v>2579.5</v>
      </c>
      <c r="P615" s="476">
        <v>15</v>
      </c>
      <c r="Q615" s="474">
        <f t="shared" si="38"/>
        <v>180.565</v>
      </c>
      <c r="R615" s="475">
        <v>600</v>
      </c>
      <c r="S615" s="477">
        <f t="shared" si="39"/>
        <v>1783.935</v>
      </c>
      <c r="T615" s="433"/>
    </row>
    <row r="616" s="419" customFormat="1" ht="16" customHeight="1" spans="1:22">
      <c r="A616" s="472">
        <v>46194</v>
      </c>
      <c r="B616" s="479">
        <v>46196</v>
      </c>
      <c r="C616" s="473" t="s">
        <v>727</v>
      </c>
      <c r="D616" s="473" t="s">
        <v>233</v>
      </c>
      <c r="E616" s="473" t="s">
        <v>141</v>
      </c>
      <c r="F616" s="473" t="s">
        <v>141</v>
      </c>
      <c r="G616" s="473" t="s">
        <v>142</v>
      </c>
      <c r="H616" s="473" t="s">
        <v>354</v>
      </c>
      <c r="I616" s="473" t="s">
        <v>355</v>
      </c>
      <c r="J616" s="473">
        <v>40.62</v>
      </c>
      <c r="K616" s="473" t="s">
        <v>356</v>
      </c>
      <c r="L616" s="473">
        <v>40.6</v>
      </c>
      <c r="M616" s="473">
        <v>67</v>
      </c>
      <c r="N616" s="473"/>
      <c r="O616" s="475">
        <f t="shared" si="37"/>
        <v>2720.2</v>
      </c>
      <c r="P616" s="476">
        <v>15</v>
      </c>
      <c r="Q616" s="474">
        <f t="shared" si="38"/>
        <v>190.414</v>
      </c>
      <c r="R616" s="475">
        <v>600</v>
      </c>
      <c r="S616" s="477">
        <f t="shared" si="39"/>
        <v>1914.786</v>
      </c>
      <c r="T616" s="473"/>
      <c r="U616" s="473"/>
      <c r="V616" s="473"/>
    </row>
    <row r="617" s="419" customFormat="1" ht="15" customHeight="1" spans="1:22">
      <c r="A617" s="472">
        <v>46194</v>
      </c>
      <c r="B617" s="479">
        <v>46195</v>
      </c>
      <c r="C617" s="473" t="s">
        <v>728</v>
      </c>
      <c r="D617" s="473" t="s">
        <v>233</v>
      </c>
      <c r="E617" s="473" t="s">
        <v>87</v>
      </c>
      <c r="F617" s="473" t="s">
        <v>87</v>
      </c>
      <c r="G617" s="473" t="s">
        <v>88</v>
      </c>
      <c r="H617" s="473" t="s">
        <v>354</v>
      </c>
      <c r="I617" s="473" t="s">
        <v>355</v>
      </c>
      <c r="J617" s="473">
        <v>39.2</v>
      </c>
      <c r="K617" s="473" t="s">
        <v>356</v>
      </c>
      <c r="L617" s="473">
        <v>39.18</v>
      </c>
      <c r="M617" s="473">
        <v>67</v>
      </c>
      <c r="N617" s="473"/>
      <c r="O617" s="475">
        <f t="shared" si="37"/>
        <v>2625.06</v>
      </c>
      <c r="P617" s="476">
        <v>15</v>
      </c>
      <c r="Q617" s="474">
        <f t="shared" si="38"/>
        <v>183.7542</v>
      </c>
      <c r="R617" s="475">
        <v>600</v>
      </c>
      <c r="S617" s="477">
        <f t="shared" si="39"/>
        <v>1826.3058</v>
      </c>
      <c r="T617" s="433"/>
    </row>
    <row r="618" s="419" customFormat="1" ht="15" customHeight="1" spans="1:22">
      <c r="A618" s="472">
        <v>46195</v>
      </c>
      <c r="B618" s="479">
        <v>46195</v>
      </c>
      <c r="C618" s="473"/>
      <c r="D618" s="473" t="s">
        <v>235</v>
      </c>
      <c r="E618" s="473" t="s">
        <v>135</v>
      </c>
      <c r="F618" s="473" t="s">
        <v>135</v>
      </c>
      <c r="G618" s="473" t="s">
        <v>136</v>
      </c>
      <c r="H618" s="473" t="s">
        <v>368</v>
      </c>
      <c r="I618" s="473" t="s">
        <v>356</v>
      </c>
      <c r="J618" s="473">
        <v>42.68</v>
      </c>
      <c r="K618" s="473" t="s">
        <v>369</v>
      </c>
      <c r="L618" s="473">
        <v>42.58</v>
      </c>
      <c r="M618" s="473">
        <v>48</v>
      </c>
      <c r="N618" s="473"/>
      <c r="O618" s="475">
        <f t="shared" si="37"/>
        <v>2043.84</v>
      </c>
      <c r="P618" s="476">
        <v>15</v>
      </c>
      <c r="Q618" s="474">
        <f t="shared" si="38"/>
        <v>143.0688</v>
      </c>
      <c r="R618" s="475">
        <v>600</v>
      </c>
      <c r="S618" s="477">
        <f t="shared" si="39"/>
        <v>1285.7712</v>
      </c>
      <c r="T618" s="433"/>
    </row>
    <row r="619" s="419" customFormat="1" ht="16" customHeight="1" spans="1:22">
      <c r="A619" s="472">
        <v>46195</v>
      </c>
      <c r="B619" s="472">
        <v>46195</v>
      </c>
      <c r="C619" s="473"/>
      <c r="D619" s="473" t="s">
        <v>235</v>
      </c>
      <c r="E619" s="473" t="s">
        <v>75</v>
      </c>
      <c r="F619" s="473" t="s">
        <v>75</v>
      </c>
      <c r="G619" s="473" t="s">
        <v>76</v>
      </c>
      <c r="H619" s="473" t="s">
        <v>368</v>
      </c>
      <c r="I619" s="473" t="s">
        <v>356</v>
      </c>
      <c r="J619" s="473">
        <v>43.78</v>
      </c>
      <c r="K619" s="473" t="s">
        <v>369</v>
      </c>
      <c r="L619" s="473">
        <v>43.76</v>
      </c>
      <c r="M619" s="473">
        <v>48</v>
      </c>
      <c r="N619" s="473"/>
      <c r="O619" s="475">
        <f t="shared" si="37"/>
        <v>2100.48</v>
      </c>
      <c r="P619" s="476">
        <v>15</v>
      </c>
      <c r="Q619" s="474">
        <f t="shared" si="38"/>
        <v>147.0336</v>
      </c>
      <c r="R619" s="475">
        <v>600</v>
      </c>
      <c r="S619" s="477">
        <f t="shared" si="39"/>
        <v>1338.4464</v>
      </c>
      <c r="T619" s="473"/>
      <c r="U619" s="473"/>
      <c r="V619" s="473"/>
    </row>
    <row r="620" s="419" customFormat="1" ht="16" customHeight="1" spans="1:22">
      <c r="A620" s="472">
        <v>46195</v>
      </c>
      <c r="B620" s="472">
        <v>46195</v>
      </c>
      <c r="C620" s="473"/>
      <c r="D620" s="473" t="s">
        <v>235</v>
      </c>
      <c r="E620" s="473" t="s">
        <v>108</v>
      </c>
      <c r="F620" s="473" t="s">
        <v>108</v>
      </c>
      <c r="G620" s="473" t="s">
        <v>109</v>
      </c>
      <c r="H620" s="473" t="s">
        <v>368</v>
      </c>
      <c r="I620" s="473" t="s">
        <v>356</v>
      </c>
      <c r="J620" s="473">
        <v>44</v>
      </c>
      <c r="K620" s="473" t="s">
        <v>369</v>
      </c>
      <c r="L620" s="473">
        <v>44.16</v>
      </c>
      <c r="M620" s="473">
        <v>48</v>
      </c>
      <c r="N620" s="473"/>
      <c r="O620" s="475">
        <f t="shared" si="37"/>
        <v>2119.68</v>
      </c>
      <c r="P620" s="476">
        <v>15</v>
      </c>
      <c r="Q620" s="474">
        <f t="shared" si="38"/>
        <v>148.3776</v>
      </c>
      <c r="R620" s="475">
        <v>600</v>
      </c>
      <c r="S620" s="477">
        <f t="shared" si="39"/>
        <v>1356.3024</v>
      </c>
      <c r="T620" s="473"/>
      <c r="U620" s="473"/>
      <c r="V620" s="473"/>
    </row>
    <row r="621" s="419" customFormat="1" ht="16" customHeight="1" spans="1:22">
      <c r="A621" s="472">
        <v>46195</v>
      </c>
      <c r="B621" s="472">
        <v>46196</v>
      </c>
      <c r="C621" s="473"/>
      <c r="D621" s="473" t="s">
        <v>235</v>
      </c>
      <c r="E621" s="473" t="s">
        <v>54</v>
      </c>
      <c r="F621" s="473" t="s">
        <v>54</v>
      </c>
      <c r="G621" s="473" t="s">
        <v>55</v>
      </c>
      <c r="H621" s="473" t="s">
        <v>368</v>
      </c>
      <c r="I621" s="473" t="s">
        <v>356</v>
      </c>
      <c r="J621" s="473">
        <v>42.36</v>
      </c>
      <c r="K621" s="473" t="s">
        <v>369</v>
      </c>
      <c r="L621" s="473">
        <v>42.46</v>
      </c>
      <c r="M621" s="473">
        <v>48</v>
      </c>
      <c r="N621" s="473"/>
      <c r="O621" s="475">
        <f t="shared" si="37"/>
        <v>2038.08</v>
      </c>
      <c r="P621" s="476">
        <v>15</v>
      </c>
      <c r="Q621" s="474">
        <f t="shared" si="38"/>
        <v>142.6656</v>
      </c>
      <c r="R621" s="475">
        <v>600</v>
      </c>
      <c r="S621" s="477">
        <f t="shared" si="39"/>
        <v>1280.4144</v>
      </c>
      <c r="T621" s="473"/>
      <c r="U621" s="473"/>
      <c r="V621" s="473"/>
    </row>
    <row r="622" s="419" customFormat="1" ht="16" customHeight="1" spans="1:22">
      <c r="A622" s="472">
        <v>46195</v>
      </c>
      <c r="B622" s="472">
        <v>46196</v>
      </c>
      <c r="C622" s="473"/>
      <c r="D622" s="473" t="s">
        <v>235</v>
      </c>
      <c r="E622" s="473" t="s">
        <v>93</v>
      </c>
      <c r="F622" s="473" t="s">
        <v>93</v>
      </c>
      <c r="G622" s="473" t="s">
        <v>94</v>
      </c>
      <c r="H622" s="473" t="s">
        <v>368</v>
      </c>
      <c r="I622" s="473" t="s">
        <v>356</v>
      </c>
      <c r="J622" s="473">
        <v>44.52</v>
      </c>
      <c r="K622" s="473" t="s">
        <v>369</v>
      </c>
      <c r="L622" s="473">
        <v>44.62</v>
      </c>
      <c r="M622" s="473">
        <v>48</v>
      </c>
      <c r="N622" s="473"/>
      <c r="O622" s="475">
        <f t="shared" si="37"/>
        <v>2141.76</v>
      </c>
      <c r="P622" s="476">
        <v>15</v>
      </c>
      <c r="Q622" s="474">
        <f t="shared" si="38"/>
        <v>149.9232</v>
      </c>
      <c r="R622" s="475">
        <v>600</v>
      </c>
      <c r="S622" s="477">
        <f t="shared" si="39"/>
        <v>1376.8368</v>
      </c>
      <c r="T622" s="473"/>
      <c r="U622" s="473"/>
      <c r="V622" s="473"/>
    </row>
    <row r="623" s="419" customFormat="1" ht="16" customHeight="1" spans="1:22">
      <c r="A623" s="472">
        <v>46195</v>
      </c>
      <c r="B623" s="472">
        <v>46196</v>
      </c>
      <c r="C623" s="473"/>
      <c r="D623" s="473" t="s">
        <v>235</v>
      </c>
      <c r="E623" s="473" t="s">
        <v>124</v>
      </c>
      <c r="F623" s="473" t="s">
        <v>124</v>
      </c>
      <c r="G623" s="473" t="s">
        <v>125</v>
      </c>
      <c r="H623" s="473" t="s">
        <v>368</v>
      </c>
      <c r="I623" s="473" t="s">
        <v>356</v>
      </c>
      <c r="J623" s="473">
        <v>44.9</v>
      </c>
      <c r="K623" s="473" t="s">
        <v>369</v>
      </c>
      <c r="L623" s="473">
        <v>44.88</v>
      </c>
      <c r="M623" s="473">
        <v>48</v>
      </c>
      <c r="N623" s="473"/>
      <c r="O623" s="475">
        <f t="shared" si="37"/>
        <v>2154.24</v>
      </c>
      <c r="P623" s="476">
        <v>15</v>
      </c>
      <c r="Q623" s="474">
        <f t="shared" si="38"/>
        <v>150.7968</v>
      </c>
      <c r="R623" s="475">
        <v>600</v>
      </c>
      <c r="S623" s="477">
        <f t="shared" si="39"/>
        <v>1388.4432</v>
      </c>
      <c r="T623" s="473"/>
      <c r="U623" s="473"/>
      <c r="V623" s="473"/>
    </row>
    <row r="624" s="419" customFormat="1" ht="16" customHeight="1" spans="1:22">
      <c r="A624" s="472">
        <v>46195</v>
      </c>
      <c r="B624" s="472">
        <v>46196</v>
      </c>
      <c r="C624" s="473"/>
      <c r="D624" s="473" t="s">
        <v>235</v>
      </c>
      <c r="E624" s="473" t="s">
        <v>57</v>
      </c>
      <c r="F624" s="473" t="s">
        <v>57</v>
      </c>
      <c r="G624" s="473" t="s">
        <v>58</v>
      </c>
      <c r="H624" s="473" t="s">
        <v>368</v>
      </c>
      <c r="I624" s="473" t="s">
        <v>356</v>
      </c>
      <c r="J624" s="473">
        <v>43.48</v>
      </c>
      <c r="K624" s="473" t="s">
        <v>369</v>
      </c>
      <c r="L624" s="473">
        <v>43.64</v>
      </c>
      <c r="M624" s="473">
        <v>48</v>
      </c>
      <c r="N624" s="473"/>
      <c r="O624" s="475">
        <f t="shared" si="37"/>
        <v>2094.72</v>
      </c>
      <c r="P624" s="476">
        <v>15</v>
      </c>
      <c r="Q624" s="474">
        <f t="shared" si="38"/>
        <v>146.6304</v>
      </c>
      <c r="R624" s="475">
        <v>600</v>
      </c>
      <c r="S624" s="477">
        <f t="shared" si="39"/>
        <v>1333.0896</v>
      </c>
      <c r="T624" s="473"/>
      <c r="U624" s="473"/>
      <c r="V624" s="473"/>
    </row>
    <row r="625" s="419" customFormat="1" ht="16" customHeight="1" spans="1:23">
      <c r="A625" s="472">
        <v>46195</v>
      </c>
      <c r="B625" s="472">
        <v>46196</v>
      </c>
      <c r="C625" s="473"/>
      <c r="D625" s="473" t="s">
        <v>235</v>
      </c>
      <c r="E625" s="473" t="s">
        <v>96</v>
      </c>
      <c r="F625" s="473" t="s">
        <v>96</v>
      </c>
      <c r="G625" s="473" t="s">
        <v>97</v>
      </c>
      <c r="H625" s="473" t="s">
        <v>368</v>
      </c>
      <c r="I625" s="473" t="s">
        <v>356</v>
      </c>
      <c r="J625" s="473">
        <v>43.6</v>
      </c>
      <c r="K625" s="473" t="s">
        <v>369</v>
      </c>
      <c r="L625" s="473">
        <v>43.76</v>
      </c>
      <c r="M625" s="473">
        <v>48</v>
      </c>
      <c r="N625" s="473"/>
      <c r="O625" s="475">
        <f t="shared" si="37"/>
        <v>2100.48</v>
      </c>
      <c r="P625" s="476">
        <v>15</v>
      </c>
      <c r="Q625" s="474">
        <f t="shared" si="38"/>
        <v>147.0336</v>
      </c>
      <c r="R625" s="475">
        <v>600</v>
      </c>
      <c r="S625" s="477">
        <f t="shared" si="39"/>
        <v>1338.4464</v>
      </c>
      <c r="T625" s="473"/>
      <c r="U625" s="473"/>
      <c r="V625" s="473"/>
    </row>
    <row r="626" s="419" customFormat="1" ht="16" customHeight="1" spans="1:23">
      <c r="A626" s="472">
        <v>46195</v>
      </c>
      <c r="B626" s="472">
        <v>46196</v>
      </c>
      <c r="C626" s="473"/>
      <c r="D626" s="473" t="s">
        <v>235</v>
      </c>
      <c r="E626" s="473" t="s">
        <v>102</v>
      </c>
      <c r="F626" s="473" t="s">
        <v>102</v>
      </c>
      <c r="G626" s="473" t="s">
        <v>103</v>
      </c>
      <c r="H626" s="473" t="s">
        <v>368</v>
      </c>
      <c r="I626" s="473" t="s">
        <v>356</v>
      </c>
      <c r="J626" s="473">
        <v>44.4</v>
      </c>
      <c r="K626" s="473" t="s">
        <v>371</v>
      </c>
      <c r="L626" s="473">
        <v>44.18</v>
      </c>
      <c r="M626" s="473">
        <v>61</v>
      </c>
      <c r="N626" s="473"/>
      <c r="O626" s="475">
        <f t="shared" si="37"/>
        <v>2694.98</v>
      </c>
      <c r="P626" s="476">
        <v>15</v>
      </c>
      <c r="Q626" s="474">
        <f t="shared" si="38"/>
        <v>188.6486</v>
      </c>
      <c r="R626" s="475">
        <v>600</v>
      </c>
      <c r="S626" s="477">
        <f t="shared" si="39"/>
        <v>1891.3314</v>
      </c>
      <c r="T626" s="473"/>
      <c r="U626" s="473"/>
      <c r="V626" s="473"/>
    </row>
    <row r="627" s="419" customFormat="1" ht="16" customHeight="1" spans="1:23">
      <c r="A627" s="472">
        <v>46195</v>
      </c>
      <c r="B627" s="472">
        <v>46196</v>
      </c>
      <c r="C627" s="473"/>
      <c r="D627" s="473" t="s">
        <v>235</v>
      </c>
      <c r="E627" s="473" t="s">
        <v>51</v>
      </c>
      <c r="F627" s="473" t="s">
        <v>51</v>
      </c>
      <c r="G627" s="473" t="s">
        <v>52</v>
      </c>
      <c r="H627" s="473" t="s">
        <v>368</v>
      </c>
      <c r="I627" s="473" t="s">
        <v>356</v>
      </c>
      <c r="J627" s="473">
        <v>43.84</v>
      </c>
      <c r="K627" s="473" t="s">
        <v>371</v>
      </c>
      <c r="L627" s="473">
        <v>43.73</v>
      </c>
      <c r="M627" s="473">
        <v>61</v>
      </c>
      <c r="N627" s="473"/>
      <c r="O627" s="475">
        <f t="shared" si="37"/>
        <v>2667.53</v>
      </c>
      <c r="P627" s="476">
        <v>15</v>
      </c>
      <c r="Q627" s="474">
        <f t="shared" si="38"/>
        <v>186.7271</v>
      </c>
      <c r="R627" s="475">
        <v>600</v>
      </c>
      <c r="S627" s="477">
        <f t="shared" si="39"/>
        <v>1865.8029</v>
      </c>
      <c r="T627" s="473"/>
      <c r="U627" s="473"/>
      <c r="V627" s="473"/>
    </row>
    <row r="628" s="419" customFormat="1" ht="16" customHeight="1" spans="1:23">
      <c r="A628" s="472">
        <v>46195</v>
      </c>
      <c r="B628" s="472">
        <v>46196</v>
      </c>
      <c r="C628" s="473"/>
      <c r="D628" s="473" t="s">
        <v>235</v>
      </c>
      <c r="E628" s="473" t="s">
        <v>105</v>
      </c>
      <c r="F628" s="473" t="s">
        <v>105</v>
      </c>
      <c r="G628" s="473" t="s">
        <v>328</v>
      </c>
      <c r="H628" s="473" t="s">
        <v>368</v>
      </c>
      <c r="I628" s="473" t="s">
        <v>356</v>
      </c>
      <c r="J628" s="473">
        <v>44.78</v>
      </c>
      <c r="K628" s="473" t="s">
        <v>369</v>
      </c>
      <c r="L628" s="473">
        <v>44.84</v>
      </c>
      <c r="M628" s="473">
        <v>48</v>
      </c>
      <c r="N628" s="473"/>
      <c r="O628" s="475">
        <f t="shared" si="37"/>
        <v>2152.32</v>
      </c>
      <c r="P628" s="476">
        <v>15</v>
      </c>
      <c r="Q628" s="474">
        <f t="shared" si="38"/>
        <v>150.6624</v>
      </c>
      <c r="R628" s="475">
        <v>600</v>
      </c>
      <c r="S628" s="477">
        <f t="shared" si="39"/>
        <v>1386.6576</v>
      </c>
      <c r="T628" s="473"/>
      <c r="U628" s="473"/>
      <c r="V628" s="473"/>
    </row>
    <row r="629" s="419" customFormat="1" ht="16" customHeight="1" spans="1:23">
      <c r="A629" s="472">
        <v>46195</v>
      </c>
      <c r="B629" s="472">
        <v>46196</v>
      </c>
      <c r="C629" s="473"/>
      <c r="D629" s="473" t="s">
        <v>235</v>
      </c>
      <c r="E629" s="473" t="s">
        <v>114</v>
      </c>
      <c r="F629" s="473" t="s">
        <v>114</v>
      </c>
      <c r="G629" s="473" t="s">
        <v>115</v>
      </c>
      <c r="H629" s="473" t="s">
        <v>368</v>
      </c>
      <c r="I629" s="473" t="s">
        <v>356</v>
      </c>
      <c r="J629" s="473">
        <v>43.96</v>
      </c>
      <c r="K629" s="473" t="s">
        <v>369</v>
      </c>
      <c r="L629" s="473">
        <v>44</v>
      </c>
      <c r="M629" s="473">
        <v>48</v>
      </c>
      <c r="N629" s="473"/>
      <c r="O629" s="475">
        <f t="shared" si="37"/>
        <v>2112</v>
      </c>
      <c r="P629" s="476">
        <v>15</v>
      </c>
      <c r="Q629" s="474">
        <f t="shared" si="38"/>
        <v>147.84</v>
      </c>
      <c r="R629" s="475">
        <v>600</v>
      </c>
      <c r="S629" s="477">
        <f t="shared" si="39"/>
        <v>1349.16</v>
      </c>
      <c r="T629" s="473"/>
      <c r="U629" s="473"/>
      <c r="V629" s="473"/>
    </row>
    <row r="630" s="419" customFormat="1" ht="16" customHeight="1" spans="1:23">
      <c r="A630" s="472">
        <v>46195</v>
      </c>
      <c r="B630" s="472">
        <v>46196</v>
      </c>
      <c r="C630" s="473" t="s">
        <v>729</v>
      </c>
      <c r="D630" s="473" t="s">
        <v>237</v>
      </c>
      <c r="E630" s="473" t="s">
        <v>174</v>
      </c>
      <c r="F630" s="473" t="s">
        <v>174</v>
      </c>
      <c r="G630" s="473" t="s">
        <v>175</v>
      </c>
      <c r="H630" s="473" t="s">
        <v>354</v>
      </c>
      <c r="I630" s="473" t="s">
        <v>407</v>
      </c>
      <c r="J630" s="473">
        <v>40.26</v>
      </c>
      <c r="K630" s="473" t="s">
        <v>356</v>
      </c>
      <c r="L630" s="473">
        <v>40.26</v>
      </c>
      <c r="M630" s="473">
        <v>87</v>
      </c>
      <c r="N630" s="473"/>
      <c r="O630" s="475">
        <f t="shared" si="37"/>
        <v>3502.62</v>
      </c>
      <c r="P630" s="476">
        <v>15</v>
      </c>
      <c r="Q630" s="474">
        <f t="shared" si="38"/>
        <v>245.1834</v>
      </c>
      <c r="R630" s="475">
        <v>800</v>
      </c>
      <c r="S630" s="477">
        <f t="shared" si="39"/>
        <v>2442.4366</v>
      </c>
      <c r="T630" s="473"/>
      <c r="U630" s="473"/>
      <c r="V630" s="473"/>
    </row>
    <row r="631" s="419" customFormat="1" ht="16" customHeight="1" spans="1:23">
      <c r="A631" s="472">
        <v>46195</v>
      </c>
      <c r="B631" s="472">
        <v>46196</v>
      </c>
      <c r="C631" s="473" t="s">
        <v>730</v>
      </c>
      <c r="D631" s="473" t="s">
        <v>233</v>
      </c>
      <c r="E631" s="473" t="s">
        <v>213</v>
      </c>
      <c r="F631" s="473" t="s">
        <v>213</v>
      </c>
      <c r="G631" s="473" t="s">
        <v>214</v>
      </c>
      <c r="H631" s="473" t="s">
        <v>354</v>
      </c>
      <c r="I631" s="473" t="s">
        <v>355</v>
      </c>
      <c r="J631" s="473">
        <v>43.88</v>
      </c>
      <c r="K631" s="473" t="s">
        <v>356</v>
      </c>
      <c r="L631" s="473">
        <v>43.88</v>
      </c>
      <c r="M631" s="473">
        <v>67</v>
      </c>
      <c r="N631" s="473"/>
      <c r="O631" s="475">
        <f t="shared" si="37"/>
        <v>2939.96</v>
      </c>
      <c r="P631" s="476">
        <v>15</v>
      </c>
      <c r="Q631" s="474">
        <f t="shared" si="38"/>
        <v>205.7972</v>
      </c>
      <c r="R631" s="475">
        <v>600</v>
      </c>
      <c r="S631" s="477">
        <f t="shared" si="39"/>
        <v>2119.1628</v>
      </c>
      <c r="T631" s="473"/>
      <c r="U631" s="473"/>
      <c r="V631" s="473"/>
    </row>
    <row r="632" s="419" customFormat="1" ht="16" customHeight="1" spans="1:23">
      <c r="A632" s="472">
        <v>46195</v>
      </c>
      <c r="B632" s="472">
        <v>46196</v>
      </c>
      <c r="C632" s="473" t="s">
        <v>731</v>
      </c>
      <c r="D632" s="473" t="s">
        <v>233</v>
      </c>
      <c r="E632" s="473" t="s">
        <v>670</v>
      </c>
      <c r="F632" s="473" t="s">
        <v>670</v>
      </c>
      <c r="G632" s="473" t="s">
        <v>217</v>
      </c>
      <c r="H632" s="473" t="s">
        <v>354</v>
      </c>
      <c r="I632" s="473" t="s">
        <v>355</v>
      </c>
      <c r="J632" s="473">
        <v>43.46</v>
      </c>
      <c r="K632" s="473" t="s">
        <v>356</v>
      </c>
      <c r="L632" s="473">
        <v>43.44</v>
      </c>
      <c r="M632" s="473">
        <v>67</v>
      </c>
      <c r="N632" s="473"/>
      <c r="O632" s="475">
        <f t="shared" si="37"/>
        <v>2910.48</v>
      </c>
      <c r="P632" s="476">
        <v>15</v>
      </c>
      <c r="Q632" s="474">
        <f t="shared" si="38"/>
        <v>203.7336</v>
      </c>
      <c r="R632" s="475">
        <v>600</v>
      </c>
      <c r="S632" s="477">
        <f t="shared" si="39"/>
        <v>2091.7464</v>
      </c>
      <c r="T632" s="473"/>
      <c r="U632" s="473"/>
      <c r="V632" s="473"/>
    </row>
    <row r="633" s="419" customFormat="1" ht="16" customHeight="1" spans="1:23">
      <c r="A633" s="472">
        <v>46195</v>
      </c>
      <c r="B633" s="472">
        <v>46196</v>
      </c>
      <c r="C633" s="473" t="s">
        <v>732</v>
      </c>
      <c r="D633" s="473" t="s">
        <v>235</v>
      </c>
      <c r="E633" s="473" t="s">
        <v>180</v>
      </c>
      <c r="F633" s="473" t="s">
        <v>180</v>
      </c>
      <c r="G633" s="473" t="s">
        <v>181</v>
      </c>
      <c r="H633" s="473" t="s">
        <v>733</v>
      </c>
      <c r="I633" s="473" t="s">
        <v>356</v>
      </c>
      <c r="J633" s="473">
        <v>44.08</v>
      </c>
      <c r="K633" s="473" t="s">
        <v>371</v>
      </c>
      <c r="L633" s="473">
        <v>44.05</v>
      </c>
      <c r="M633" s="473">
        <v>61</v>
      </c>
      <c r="N633" s="473"/>
      <c r="O633" s="475">
        <f t="shared" si="37"/>
        <v>2687.05</v>
      </c>
      <c r="P633" s="476">
        <v>15</v>
      </c>
      <c r="Q633" s="474">
        <f t="shared" si="38"/>
        <v>188.0935</v>
      </c>
      <c r="R633" s="475">
        <v>600</v>
      </c>
      <c r="S633" s="477">
        <f t="shared" si="39"/>
        <v>1883.9565</v>
      </c>
      <c r="T633" s="473"/>
      <c r="U633" s="473"/>
      <c r="V633" s="473"/>
    </row>
    <row r="634" s="419" customFormat="1" ht="16" customHeight="1" spans="1:23">
      <c r="A634" s="472">
        <v>46195</v>
      </c>
      <c r="B634" s="472">
        <v>46196</v>
      </c>
      <c r="C634" s="473"/>
      <c r="D634" s="473" t="s">
        <v>235</v>
      </c>
      <c r="E634" s="473" t="s">
        <v>339</v>
      </c>
      <c r="F634" s="473" t="s">
        <v>339</v>
      </c>
      <c r="G634" s="473" t="s">
        <v>170</v>
      </c>
      <c r="H634" s="473" t="s">
        <v>368</v>
      </c>
      <c r="I634" s="473" t="s">
        <v>356</v>
      </c>
      <c r="J634" s="473">
        <v>47.2</v>
      </c>
      <c r="K634" s="473" t="s">
        <v>369</v>
      </c>
      <c r="L634" s="473">
        <v>47.28</v>
      </c>
      <c r="M634" s="473">
        <v>48</v>
      </c>
      <c r="N634" s="473"/>
      <c r="O634" s="475">
        <f t="shared" si="37"/>
        <v>2269.44</v>
      </c>
      <c r="P634" s="476">
        <v>15</v>
      </c>
      <c r="Q634" s="474">
        <f t="shared" si="38"/>
        <v>158.8608</v>
      </c>
      <c r="R634" s="475">
        <v>600</v>
      </c>
      <c r="S634" s="477">
        <f t="shared" si="39"/>
        <v>1495.5792</v>
      </c>
      <c r="T634" s="473"/>
      <c r="U634" s="473"/>
      <c r="V634" s="473"/>
    </row>
    <row r="635" s="419" customFormat="1" ht="16" customHeight="1" spans="1:23">
      <c r="A635" s="472">
        <v>46195</v>
      </c>
      <c r="B635" s="472">
        <v>46196</v>
      </c>
      <c r="C635" s="473"/>
      <c r="D635" s="473" t="s">
        <v>235</v>
      </c>
      <c r="E635" s="473" t="s">
        <v>144</v>
      </c>
      <c r="F635" s="473" t="s">
        <v>144</v>
      </c>
      <c r="G635" s="473" t="s">
        <v>145</v>
      </c>
      <c r="H635" s="473" t="s">
        <v>368</v>
      </c>
      <c r="I635" s="473" t="s">
        <v>356</v>
      </c>
      <c r="J635" s="473">
        <v>46.02</v>
      </c>
      <c r="K635" s="473" t="s">
        <v>369</v>
      </c>
      <c r="L635" s="473">
        <v>46</v>
      </c>
      <c r="M635" s="473">
        <v>48</v>
      </c>
      <c r="N635" s="473"/>
      <c r="O635" s="475">
        <f t="shared" si="37"/>
        <v>2208</v>
      </c>
      <c r="P635" s="476">
        <v>15</v>
      </c>
      <c r="Q635" s="474">
        <f t="shared" si="38"/>
        <v>154.56</v>
      </c>
      <c r="R635" s="475">
        <v>600</v>
      </c>
      <c r="S635" s="477">
        <f t="shared" si="39"/>
        <v>1438.44</v>
      </c>
      <c r="T635" s="473"/>
      <c r="U635" s="473"/>
      <c r="V635" s="473"/>
    </row>
    <row r="636" s="419" customFormat="1" ht="16" customHeight="1" spans="1:23">
      <c r="A636" s="472">
        <v>46195</v>
      </c>
      <c r="B636" s="472">
        <v>46196</v>
      </c>
      <c r="C636" s="473"/>
      <c r="D636" s="473" t="s">
        <v>235</v>
      </c>
      <c r="E636" s="473" t="s">
        <v>186</v>
      </c>
      <c r="F636" s="473" t="s">
        <v>186</v>
      </c>
      <c r="G636" s="473" t="s">
        <v>187</v>
      </c>
      <c r="H636" s="473" t="s">
        <v>368</v>
      </c>
      <c r="I636" s="473" t="s">
        <v>356</v>
      </c>
      <c r="J636" s="473">
        <v>46.98</v>
      </c>
      <c r="K636" s="473" t="s">
        <v>369</v>
      </c>
      <c r="L636" s="473">
        <v>46.9</v>
      </c>
      <c r="M636" s="473">
        <v>48</v>
      </c>
      <c r="N636" s="473"/>
      <c r="O636" s="475">
        <f t="shared" si="37"/>
        <v>2251.2</v>
      </c>
      <c r="P636" s="476">
        <v>15</v>
      </c>
      <c r="Q636" s="474">
        <f t="shared" si="38"/>
        <v>157.584</v>
      </c>
      <c r="R636" s="475">
        <v>600</v>
      </c>
      <c r="S636" s="477">
        <f t="shared" si="39"/>
        <v>1478.616</v>
      </c>
      <c r="T636" s="473"/>
      <c r="U636" s="473"/>
      <c r="V636" s="473"/>
    </row>
    <row r="637" s="419" customFormat="1" ht="16" customHeight="1" spans="1:23">
      <c r="A637" s="472">
        <v>46195</v>
      </c>
      <c r="B637" s="472">
        <v>46196</v>
      </c>
      <c r="C637" s="473"/>
      <c r="D637" s="473" t="s">
        <v>235</v>
      </c>
      <c r="E637" s="473" t="s">
        <v>148</v>
      </c>
      <c r="F637" s="473" t="s">
        <v>148</v>
      </c>
      <c r="G637" s="473" t="s">
        <v>149</v>
      </c>
      <c r="H637" s="473" t="s">
        <v>368</v>
      </c>
      <c r="I637" s="473" t="s">
        <v>356</v>
      </c>
      <c r="J637" s="473">
        <v>45.44</v>
      </c>
      <c r="K637" s="473" t="s">
        <v>369</v>
      </c>
      <c r="L637" s="473">
        <v>45.32</v>
      </c>
      <c r="M637" s="473">
        <v>48</v>
      </c>
      <c r="N637" s="473"/>
      <c r="O637" s="475">
        <f t="shared" si="37"/>
        <v>2175.36</v>
      </c>
      <c r="P637" s="476">
        <v>15</v>
      </c>
      <c r="Q637" s="474">
        <f t="shared" si="38"/>
        <v>152.2752</v>
      </c>
      <c r="R637" s="475">
        <v>600</v>
      </c>
      <c r="S637" s="477">
        <f t="shared" si="39"/>
        <v>1408.0848</v>
      </c>
      <c r="T637" s="473"/>
      <c r="U637" s="473"/>
      <c r="V637" s="473"/>
    </row>
    <row r="638" s="419" customFormat="1" ht="16" customHeight="1" spans="1:23">
      <c r="A638" s="472">
        <v>46195</v>
      </c>
      <c r="B638" s="472">
        <v>46196</v>
      </c>
      <c r="C638" s="473"/>
      <c r="D638" s="473" t="s">
        <v>235</v>
      </c>
      <c r="E638" s="473" t="s">
        <v>198</v>
      </c>
      <c r="F638" s="473" t="s">
        <v>198</v>
      </c>
      <c r="G638" s="473" t="s">
        <v>330</v>
      </c>
      <c r="H638" s="473" t="s">
        <v>368</v>
      </c>
      <c r="I638" s="473" t="s">
        <v>356</v>
      </c>
      <c r="J638" s="473">
        <v>44.1</v>
      </c>
      <c r="K638" s="473" t="s">
        <v>369</v>
      </c>
      <c r="L638" s="473">
        <v>44.14</v>
      </c>
      <c r="M638" s="473">
        <v>48</v>
      </c>
      <c r="N638" s="473"/>
      <c r="O638" s="475">
        <f t="shared" si="37"/>
        <v>2118.72</v>
      </c>
      <c r="P638" s="476">
        <v>15</v>
      </c>
      <c r="Q638" s="474">
        <f t="shared" si="38"/>
        <v>148.3104</v>
      </c>
      <c r="R638" s="475">
        <v>600</v>
      </c>
      <c r="S638" s="477">
        <f t="shared" si="39"/>
        <v>1355.4096</v>
      </c>
      <c r="T638" s="473"/>
      <c r="U638" s="473"/>
      <c r="V638" s="473"/>
    </row>
    <row r="639" s="419" customFormat="1" ht="16" customHeight="1" spans="1:23">
      <c r="A639" s="472">
        <v>46195</v>
      </c>
      <c r="B639" s="472">
        <v>46196</v>
      </c>
      <c r="C639" s="473"/>
      <c r="D639" s="473" t="s">
        <v>235</v>
      </c>
      <c r="E639" s="473" t="s">
        <v>189</v>
      </c>
      <c r="F639" s="473" t="s">
        <v>189</v>
      </c>
      <c r="G639" s="473" t="s">
        <v>190</v>
      </c>
      <c r="H639" s="473" t="s">
        <v>733</v>
      </c>
      <c r="I639" s="473" t="s">
        <v>356</v>
      </c>
      <c r="J639" s="473">
        <v>46.24</v>
      </c>
      <c r="K639" s="473" t="s">
        <v>371</v>
      </c>
      <c r="L639" s="473">
        <v>46.15</v>
      </c>
      <c r="M639" s="473">
        <v>61</v>
      </c>
      <c r="N639" s="473"/>
      <c r="O639" s="475">
        <f t="shared" si="37"/>
        <v>2815.15</v>
      </c>
      <c r="P639" s="476">
        <v>15</v>
      </c>
      <c r="Q639" s="474">
        <f t="shared" si="38"/>
        <v>197.0605</v>
      </c>
      <c r="R639" s="475">
        <v>600</v>
      </c>
      <c r="S639" s="477">
        <f t="shared" si="39"/>
        <v>2003.0895</v>
      </c>
      <c r="T639" s="473"/>
      <c r="U639" s="473"/>
      <c r="V639" s="473"/>
    </row>
    <row r="640" s="419" customFormat="1" ht="16" customHeight="1" spans="1:23">
      <c r="A640" s="472">
        <v>46196</v>
      </c>
      <c r="B640" s="472">
        <v>46197</v>
      </c>
      <c r="C640" s="473" t="s">
        <v>734</v>
      </c>
      <c r="D640" s="473" t="s">
        <v>236</v>
      </c>
      <c r="E640" s="473" t="s">
        <v>75</v>
      </c>
      <c r="F640" s="473" t="s">
        <v>75</v>
      </c>
      <c r="G640" s="473" t="s">
        <v>76</v>
      </c>
      <c r="H640" s="473" t="s">
        <v>354</v>
      </c>
      <c r="I640" s="473" t="s">
        <v>369</v>
      </c>
      <c r="J640" s="473">
        <v>39.2</v>
      </c>
      <c r="K640" s="473" t="s">
        <v>356</v>
      </c>
      <c r="L640" s="473">
        <v>39.2</v>
      </c>
      <c r="M640" s="473">
        <v>68</v>
      </c>
      <c r="N640" s="473"/>
      <c r="O640" s="475">
        <f t="shared" si="37"/>
        <v>2665.6</v>
      </c>
      <c r="P640" s="476">
        <v>15</v>
      </c>
      <c r="Q640" s="474">
        <f t="shared" si="38"/>
        <v>186.592</v>
      </c>
      <c r="R640" s="475">
        <v>600</v>
      </c>
      <c r="S640" s="477">
        <f t="shared" si="39"/>
        <v>1864.008</v>
      </c>
      <c r="T640" s="473"/>
      <c r="U640" s="473"/>
      <c r="V640" s="473"/>
      <c r="W640" s="419">
        <v>1</v>
      </c>
    </row>
    <row r="641" s="419" customFormat="1" ht="16" customHeight="1" spans="1:23">
      <c r="A641" s="472">
        <v>46196</v>
      </c>
      <c r="B641" s="472">
        <v>46197</v>
      </c>
      <c r="C641" s="473" t="s">
        <v>735</v>
      </c>
      <c r="D641" s="473" t="s">
        <v>236</v>
      </c>
      <c r="E641" s="473" t="s">
        <v>124</v>
      </c>
      <c r="F641" s="473" t="s">
        <v>124</v>
      </c>
      <c r="G641" s="473" t="s">
        <v>125</v>
      </c>
      <c r="H641" s="473" t="s">
        <v>354</v>
      </c>
      <c r="I641" s="473" t="s">
        <v>369</v>
      </c>
      <c r="J641" s="473">
        <v>36.62</v>
      </c>
      <c r="K641" s="473" t="s">
        <v>356</v>
      </c>
      <c r="L641" s="473">
        <v>36.56</v>
      </c>
      <c r="M641" s="473">
        <v>68</v>
      </c>
      <c r="N641" s="473"/>
      <c r="O641" s="475">
        <f t="shared" si="37"/>
        <v>2486.08</v>
      </c>
      <c r="P641" s="476">
        <v>15</v>
      </c>
      <c r="Q641" s="474">
        <f t="shared" si="38"/>
        <v>174.0256</v>
      </c>
      <c r="R641" s="475">
        <v>600</v>
      </c>
      <c r="S641" s="477">
        <f t="shared" si="39"/>
        <v>1697.0544</v>
      </c>
      <c r="T641" s="473"/>
      <c r="U641" s="473"/>
      <c r="V641" s="473"/>
      <c r="W641" s="419">
        <v>1</v>
      </c>
    </row>
    <row r="642" s="419" customFormat="1" ht="16" customHeight="1" spans="1:23">
      <c r="A642" s="472">
        <v>46196</v>
      </c>
      <c r="B642" s="472">
        <v>46197</v>
      </c>
      <c r="C642" s="473" t="s">
        <v>736</v>
      </c>
      <c r="D642" s="473" t="s">
        <v>236</v>
      </c>
      <c r="E642" s="473" t="s">
        <v>54</v>
      </c>
      <c r="F642" s="473" t="s">
        <v>54</v>
      </c>
      <c r="G642" s="473" t="s">
        <v>55</v>
      </c>
      <c r="H642" s="473" t="s">
        <v>354</v>
      </c>
      <c r="I642" s="473" t="s">
        <v>369</v>
      </c>
      <c r="J642" s="473">
        <v>37.78</v>
      </c>
      <c r="K642" s="473" t="s">
        <v>356</v>
      </c>
      <c r="L642" s="473">
        <v>37.72</v>
      </c>
      <c r="M642" s="473">
        <v>68</v>
      </c>
      <c r="N642" s="473"/>
      <c r="O642" s="475">
        <f t="shared" si="37"/>
        <v>2564.96</v>
      </c>
      <c r="P642" s="476">
        <v>15</v>
      </c>
      <c r="Q642" s="474">
        <f t="shared" si="38"/>
        <v>179.5472</v>
      </c>
      <c r="R642" s="475">
        <v>600</v>
      </c>
      <c r="S642" s="477">
        <f t="shared" si="39"/>
        <v>1770.4128</v>
      </c>
      <c r="T642" s="473"/>
      <c r="U642" s="473"/>
      <c r="V642" s="473"/>
      <c r="W642" s="419">
        <v>1</v>
      </c>
    </row>
    <row r="643" s="419" customFormat="1" ht="16" customHeight="1" spans="1:23">
      <c r="A643" s="472">
        <v>46196</v>
      </c>
      <c r="B643" s="472">
        <v>46197</v>
      </c>
      <c r="C643" s="473" t="s">
        <v>737</v>
      </c>
      <c r="D643" s="473" t="s">
        <v>236</v>
      </c>
      <c r="E643" s="473" t="s">
        <v>105</v>
      </c>
      <c r="F643" s="473" t="s">
        <v>105</v>
      </c>
      <c r="G643" s="473" t="s">
        <v>328</v>
      </c>
      <c r="H643" s="473" t="s">
        <v>354</v>
      </c>
      <c r="I643" s="473" t="s">
        <v>369</v>
      </c>
      <c r="J643" s="473">
        <v>40.02</v>
      </c>
      <c r="K643" s="473" t="s">
        <v>356</v>
      </c>
      <c r="L643" s="473">
        <v>40.02</v>
      </c>
      <c r="M643" s="473">
        <v>68</v>
      </c>
      <c r="N643" s="473"/>
      <c r="O643" s="475">
        <f t="shared" si="37"/>
        <v>2721.36</v>
      </c>
      <c r="P643" s="476">
        <v>15</v>
      </c>
      <c r="Q643" s="474">
        <f t="shared" si="38"/>
        <v>190.4952</v>
      </c>
      <c r="R643" s="475">
        <v>600</v>
      </c>
      <c r="S643" s="477">
        <f t="shared" si="39"/>
        <v>1915.8648</v>
      </c>
      <c r="T643" s="473"/>
      <c r="U643" s="473"/>
      <c r="V643" s="473"/>
      <c r="W643" s="419">
        <v>1</v>
      </c>
    </row>
    <row r="644" s="419" customFormat="1" ht="16" customHeight="1" spans="1:23">
      <c r="A644" s="472">
        <v>46195</v>
      </c>
      <c r="B644" s="472">
        <v>46196</v>
      </c>
      <c r="C644" s="473" t="s">
        <v>738</v>
      </c>
      <c r="D644" s="473" t="s">
        <v>233</v>
      </c>
      <c r="E644" s="473" t="s">
        <v>90</v>
      </c>
      <c r="F644" s="473" t="s">
        <v>90</v>
      </c>
      <c r="G644" s="473" t="s">
        <v>91</v>
      </c>
      <c r="H644" s="473" t="s">
        <v>354</v>
      </c>
      <c r="I644" s="473" t="s">
        <v>355</v>
      </c>
      <c r="J644" s="473">
        <v>39.56</v>
      </c>
      <c r="K644" s="473" t="s">
        <v>356</v>
      </c>
      <c r="L644" s="473">
        <v>39.54</v>
      </c>
      <c r="M644" s="473">
        <v>67</v>
      </c>
      <c r="N644" s="473"/>
      <c r="O644" s="475">
        <f t="shared" si="37"/>
        <v>2649.18</v>
      </c>
      <c r="P644" s="476">
        <v>15</v>
      </c>
      <c r="Q644" s="474">
        <f t="shared" si="38"/>
        <v>185.4426</v>
      </c>
      <c r="R644" s="475">
        <v>600</v>
      </c>
      <c r="S644" s="477">
        <f t="shared" si="39"/>
        <v>1848.7374</v>
      </c>
      <c r="T644" s="473"/>
      <c r="U644" s="473"/>
      <c r="V644" s="473"/>
      <c r="W644" s="419">
        <v>1</v>
      </c>
    </row>
    <row r="645" s="419" customFormat="1" ht="16" customHeight="1" spans="1:23">
      <c r="A645" s="472">
        <v>46196</v>
      </c>
      <c r="B645" s="472">
        <v>46197</v>
      </c>
      <c r="C645" s="473" t="s">
        <v>739</v>
      </c>
      <c r="D645" s="473" t="s">
        <v>233</v>
      </c>
      <c r="E645" s="473" t="s">
        <v>135</v>
      </c>
      <c r="F645" s="473" t="s">
        <v>135</v>
      </c>
      <c r="G645" s="473" t="s">
        <v>136</v>
      </c>
      <c r="H645" s="473" t="s">
        <v>354</v>
      </c>
      <c r="I645" s="473" t="s">
        <v>355</v>
      </c>
      <c r="J645" s="473">
        <v>41</v>
      </c>
      <c r="K645" s="473" t="s">
        <v>356</v>
      </c>
      <c r="L645" s="473">
        <v>40.96</v>
      </c>
      <c r="M645" s="473">
        <v>67</v>
      </c>
      <c r="N645" s="473"/>
      <c r="O645" s="475">
        <f t="shared" si="37"/>
        <v>2744.32</v>
      </c>
      <c r="P645" s="476">
        <v>15</v>
      </c>
      <c r="Q645" s="474">
        <f t="shared" si="38"/>
        <v>192.1024</v>
      </c>
      <c r="R645" s="475">
        <v>600</v>
      </c>
      <c r="S645" s="477">
        <f t="shared" si="39"/>
        <v>1937.2176</v>
      </c>
      <c r="T645" s="473"/>
      <c r="U645" s="473"/>
      <c r="V645" s="473"/>
      <c r="W645" s="419">
        <v>1</v>
      </c>
    </row>
    <row r="646" s="419" customFormat="1" ht="16" customHeight="1" spans="1:23">
      <c r="A646" s="472">
        <v>46196</v>
      </c>
      <c r="B646" s="472">
        <v>46197</v>
      </c>
      <c r="C646" s="473" t="s">
        <v>740</v>
      </c>
      <c r="D646" s="473" t="s">
        <v>233</v>
      </c>
      <c r="E646" s="473" t="s">
        <v>51</v>
      </c>
      <c r="F646" s="473" t="s">
        <v>51</v>
      </c>
      <c r="G646" s="473" t="s">
        <v>52</v>
      </c>
      <c r="H646" s="473" t="s">
        <v>354</v>
      </c>
      <c r="I646" s="473" t="s">
        <v>355</v>
      </c>
      <c r="J646" s="473">
        <v>41.54</v>
      </c>
      <c r="K646" s="473" t="s">
        <v>356</v>
      </c>
      <c r="L646" s="473">
        <v>41.54</v>
      </c>
      <c r="M646" s="473">
        <v>67</v>
      </c>
      <c r="N646" s="473"/>
      <c r="O646" s="475">
        <f t="shared" si="37"/>
        <v>2783.18</v>
      </c>
      <c r="P646" s="476">
        <v>15</v>
      </c>
      <c r="Q646" s="474">
        <f t="shared" si="38"/>
        <v>194.8226</v>
      </c>
      <c r="R646" s="475">
        <v>600</v>
      </c>
      <c r="S646" s="477">
        <f t="shared" si="39"/>
        <v>1973.3574</v>
      </c>
      <c r="T646" s="473"/>
      <c r="U646" s="473"/>
      <c r="V646" s="473"/>
      <c r="W646" s="419">
        <v>1</v>
      </c>
    </row>
    <row r="647" s="419" customFormat="1" ht="16" customHeight="1" spans="1:23">
      <c r="A647" s="472">
        <v>46196</v>
      </c>
      <c r="B647" s="472">
        <v>46197</v>
      </c>
      <c r="C647" s="473" t="s">
        <v>741</v>
      </c>
      <c r="D647" s="473" t="s">
        <v>233</v>
      </c>
      <c r="E647" s="473" t="s">
        <v>114</v>
      </c>
      <c r="F647" s="473" t="s">
        <v>114</v>
      </c>
      <c r="G647" s="473" t="s">
        <v>115</v>
      </c>
      <c r="H647" s="473" t="s">
        <v>354</v>
      </c>
      <c r="I647" s="473" t="s">
        <v>355</v>
      </c>
      <c r="J647" s="473">
        <v>41.42</v>
      </c>
      <c r="K647" s="473" t="s">
        <v>356</v>
      </c>
      <c r="L647" s="473">
        <v>41.42</v>
      </c>
      <c r="M647" s="473">
        <v>67</v>
      </c>
      <c r="N647" s="473"/>
      <c r="O647" s="475">
        <f t="shared" si="37"/>
        <v>2775.14</v>
      </c>
      <c r="P647" s="476">
        <v>15</v>
      </c>
      <c r="Q647" s="474">
        <f t="shared" si="38"/>
        <v>194.2598</v>
      </c>
      <c r="R647" s="475">
        <v>600</v>
      </c>
      <c r="S647" s="477">
        <f t="shared" si="39"/>
        <v>1965.8802</v>
      </c>
      <c r="T647" s="473"/>
      <c r="U647" s="473"/>
      <c r="V647" s="473"/>
      <c r="W647" s="419">
        <v>1</v>
      </c>
    </row>
    <row r="648" s="419" customFormat="1" ht="16" customHeight="1" spans="1:23">
      <c r="A648" s="472">
        <v>46196</v>
      </c>
      <c r="B648" s="472">
        <v>46197</v>
      </c>
      <c r="C648" s="473" t="s">
        <v>742</v>
      </c>
      <c r="D648" s="473" t="s">
        <v>233</v>
      </c>
      <c r="E648" s="473" t="s">
        <v>57</v>
      </c>
      <c r="F648" s="473" t="s">
        <v>57</v>
      </c>
      <c r="G648" s="473" t="s">
        <v>58</v>
      </c>
      <c r="H648" s="473" t="s">
        <v>354</v>
      </c>
      <c r="I648" s="473" t="s">
        <v>355</v>
      </c>
      <c r="J648" s="473">
        <v>38.86</v>
      </c>
      <c r="K648" s="473" t="s">
        <v>356</v>
      </c>
      <c r="L648" s="473">
        <v>38.8</v>
      </c>
      <c r="M648" s="473">
        <v>67</v>
      </c>
      <c r="N648" s="473"/>
      <c r="O648" s="475">
        <f t="shared" si="37"/>
        <v>2599.6</v>
      </c>
      <c r="P648" s="476">
        <v>15</v>
      </c>
      <c r="Q648" s="474">
        <f t="shared" si="38"/>
        <v>181.972</v>
      </c>
      <c r="R648" s="475">
        <v>600</v>
      </c>
      <c r="S648" s="477">
        <f t="shared" si="39"/>
        <v>1802.628</v>
      </c>
      <c r="T648" s="473"/>
      <c r="U648" s="473"/>
      <c r="V648" s="473"/>
      <c r="W648" s="419">
        <v>1</v>
      </c>
    </row>
    <row r="649" s="419" customFormat="1" ht="16" customHeight="1" spans="1:23">
      <c r="A649" s="472">
        <v>46196</v>
      </c>
      <c r="B649" s="472">
        <v>46197</v>
      </c>
      <c r="C649" s="473" t="s">
        <v>743</v>
      </c>
      <c r="D649" s="473" t="s">
        <v>233</v>
      </c>
      <c r="E649" s="473" t="s">
        <v>102</v>
      </c>
      <c r="F649" s="473" t="s">
        <v>102</v>
      </c>
      <c r="G649" s="473" t="s">
        <v>103</v>
      </c>
      <c r="H649" s="473" t="s">
        <v>354</v>
      </c>
      <c r="I649" s="473" t="s">
        <v>355</v>
      </c>
      <c r="J649" s="473">
        <v>39.2</v>
      </c>
      <c r="K649" s="473" t="s">
        <v>356</v>
      </c>
      <c r="L649" s="473">
        <v>39.18</v>
      </c>
      <c r="M649" s="473">
        <v>67</v>
      </c>
      <c r="N649" s="473"/>
      <c r="O649" s="475">
        <f t="shared" si="37"/>
        <v>2625.06</v>
      </c>
      <c r="P649" s="476">
        <v>15</v>
      </c>
      <c r="Q649" s="474">
        <f t="shared" si="38"/>
        <v>183.7542</v>
      </c>
      <c r="R649" s="475">
        <v>600</v>
      </c>
      <c r="S649" s="477">
        <f t="shared" si="39"/>
        <v>1826.3058</v>
      </c>
      <c r="T649" s="473"/>
      <c r="U649" s="473"/>
      <c r="V649" s="473"/>
      <c r="W649" s="419">
        <v>1</v>
      </c>
    </row>
    <row r="650" s="417" customFormat="1" ht="16" customHeight="1" spans="1:23">
      <c r="A650" s="449">
        <v>46196</v>
      </c>
      <c r="B650" s="449"/>
      <c r="C650" s="7" t="s">
        <v>744</v>
      </c>
      <c r="D650" s="7" t="s">
        <v>233</v>
      </c>
      <c r="E650" s="7"/>
      <c r="F650" s="7" t="s">
        <v>96</v>
      </c>
      <c r="G650" s="7" t="s">
        <v>97</v>
      </c>
      <c r="H650" s="7" t="s">
        <v>354</v>
      </c>
      <c r="I650" s="7" t="s">
        <v>355</v>
      </c>
      <c r="J650" s="74">
        <v>39.24</v>
      </c>
      <c r="K650" s="7" t="s">
        <v>356</v>
      </c>
      <c r="L650" s="74"/>
      <c r="M650" s="7">
        <v>67</v>
      </c>
      <c r="N650" s="7"/>
      <c r="O650" s="438">
        <f t="shared" si="37"/>
        <v>0</v>
      </c>
      <c r="P650" s="464"/>
      <c r="Q650" s="465">
        <f t="shared" si="38"/>
        <v>0</v>
      </c>
      <c r="R650" s="438"/>
      <c r="S650" s="439">
        <f t="shared" si="39"/>
        <v>0</v>
      </c>
      <c r="T650" s="7"/>
      <c r="U650" s="7"/>
      <c r="V650" s="7"/>
      <c r="W650" s="417">
        <v>1</v>
      </c>
    </row>
    <row r="651" s="419" customFormat="1" ht="16" customHeight="1" spans="1:23">
      <c r="A651" s="472">
        <v>46196</v>
      </c>
      <c r="B651" s="472">
        <v>46196</v>
      </c>
      <c r="C651" s="473"/>
      <c r="D651" s="473" t="s">
        <v>235</v>
      </c>
      <c r="E651" s="473" t="s">
        <v>72</v>
      </c>
      <c r="F651" s="473" t="s">
        <v>72</v>
      </c>
      <c r="G651" s="473" t="s">
        <v>73</v>
      </c>
      <c r="H651" s="473" t="s">
        <v>368</v>
      </c>
      <c r="I651" s="473" t="s">
        <v>356</v>
      </c>
      <c r="J651" s="473">
        <v>47.04</v>
      </c>
      <c r="K651" s="473" t="s">
        <v>369</v>
      </c>
      <c r="L651" s="473">
        <v>47.12</v>
      </c>
      <c r="M651" s="473">
        <v>48</v>
      </c>
      <c r="N651" s="473"/>
      <c r="O651" s="475">
        <f t="shared" si="37"/>
        <v>2261.76</v>
      </c>
      <c r="P651" s="476">
        <v>15</v>
      </c>
      <c r="Q651" s="474">
        <f t="shared" si="38"/>
        <v>158.3232</v>
      </c>
      <c r="R651" s="475">
        <v>600</v>
      </c>
      <c r="S651" s="477">
        <f t="shared" si="39"/>
        <v>1488.4368</v>
      </c>
      <c r="T651" s="473"/>
      <c r="U651" s="473"/>
      <c r="V651" s="473"/>
      <c r="W651" s="419">
        <v>1</v>
      </c>
    </row>
    <row r="652" s="419" customFormat="1" ht="16" customHeight="1" spans="1:23">
      <c r="A652" s="472">
        <v>46196</v>
      </c>
      <c r="B652" s="472">
        <v>46197</v>
      </c>
      <c r="C652" s="473"/>
      <c r="D652" s="473" t="s">
        <v>235</v>
      </c>
      <c r="E652" s="473" t="s">
        <v>78</v>
      </c>
      <c r="F652" s="473" t="s">
        <v>78</v>
      </c>
      <c r="G652" s="473" t="s">
        <v>79</v>
      </c>
      <c r="H652" s="473" t="s">
        <v>368</v>
      </c>
      <c r="I652" s="473" t="s">
        <v>356</v>
      </c>
      <c r="J652" s="473">
        <v>46.24</v>
      </c>
      <c r="K652" s="473" t="s">
        <v>369</v>
      </c>
      <c r="L652" s="473">
        <v>46.24</v>
      </c>
      <c r="M652" s="473">
        <v>48</v>
      </c>
      <c r="N652" s="473"/>
      <c r="O652" s="475">
        <f t="shared" si="37"/>
        <v>2219.52</v>
      </c>
      <c r="P652" s="476">
        <v>15</v>
      </c>
      <c r="Q652" s="474">
        <f t="shared" si="38"/>
        <v>155.3664</v>
      </c>
      <c r="R652" s="475">
        <v>600</v>
      </c>
      <c r="S652" s="477">
        <f t="shared" si="39"/>
        <v>1449.1536</v>
      </c>
      <c r="T652" s="473"/>
      <c r="U652" s="473"/>
      <c r="V652" s="473"/>
      <c r="W652" s="419">
        <v>1</v>
      </c>
    </row>
    <row r="653" s="419" customFormat="1" ht="16" customHeight="1" spans="1:23">
      <c r="A653" s="472">
        <v>46196</v>
      </c>
      <c r="B653" s="472">
        <v>46197</v>
      </c>
      <c r="C653" s="473"/>
      <c r="D653" s="473" t="s">
        <v>235</v>
      </c>
      <c r="E653" s="473" t="s">
        <v>132</v>
      </c>
      <c r="F653" s="473" t="s">
        <v>132</v>
      </c>
      <c r="G653" s="473" t="s">
        <v>133</v>
      </c>
      <c r="H653" s="473" t="s">
        <v>368</v>
      </c>
      <c r="I653" s="473" t="s">
        <v>356</v>
      </c>
      <c r="J653" s="473">
        <v>43.9</v>
      </c>
      <c r="K653" s="473" t="s">
        <v>369</v>
      </c>
      <c r="L653" s="473">
        <v>43.92</v>
      </c>
      <c r="M653" s="473">
        <v>48</v>
      </c>
      <c r="N653" s="473"/>
      <c r="O653" s="475">
        <f t="shared" si="37"/>
        <v>2108.16</v>
      </c>
      <c r="P653" s="476">
        <v>15</v>
      </c>
      <c r="Q653" s="474">
        <f t="shared" si="38"/>
        <v>147.5712</v>
      </c>
      <c r="R653" s="475">
        <v>600</v>
      </c>
      <c r="S653" s="477">
        <f t="shared" si="39"/>
        <v>1345.5888</v>
      </c>
      <c r="T653" s="473"/>
      <c r="U653" s="473"/>
      <c r="V653" s="473"/>
      <c r="W653" s="419">
        <v>1</v>
      </c>
    </row>
    <row r="654" s="419" customFormat="1" ht="16" customHeight="1" spans="1:23">
      <c r="A654" s="472">
        <v>46196</v>
      </c>
      <c r="B654" s="472">
        <v>46196</v>
      </c>
      <c r="C654" s="473"/>
      <c r="D654" s="473" t="s">
        <v>235</v>
      </c>
      <c r="E654" s="473" t="s">
        <v>111</v>
      </c>
      <c r="F654" s="473" t="s">
        <v>111</v>
      </c>
      <c r="G654" s="473" t="s">
        <v>112</v>
      </c>
      <c r="H654" s="473" t="s">
        <v>368</v>
      </c>
      <c r="I654" s="473" t="s">
        <v>356</v>
      </c>
      <c r="J654" s="473">
        <v>44.94</v>
      </c>
      <c r="K654" s="473" t="s">
        <v>369</v>
      </c>
      <c r="L654" s="473">
        <v>44.98</v>
      </c>
      <c r="M654" s="473">
        <v>48</v>
      </c>
      <c r="N654" s="473"/>
      <c r="O654" s="475">
        <f t="shared" si="37"/>
        <v>2159.04</v>
      </c>
      <c r="P654" s="476">
        <v>15</v>
      </c>
      <c r="Q654" s="474">
        <f t="shared" si="38"/>
        <v>151.1328</v>
      </c>
      <c r="R654" s="475">
        <v>600</v>
      </c>
      <c r="S654" s="477">
        <f t="shared" si="39"/>
        <v>1392.9072</v>
      </c>
      <c r="T654" s="473"/>
      <c r="U654" s="473"/>
      <c r="V654" s="473"/>
      <c r="W654" s="419">
        <v>1</v>
      </c>
    </row>
    <row r="655" s="419" customFormat="1" ht="16" customHeight="1" spans="1:23">
      <c r="A655" s="472">
        <v>46196</v>
      </c>
      <c r="B655" s="472">
        <v>46197</v>
      </c>
      <c r="C655" s="473"/>
      <c r="D655" s="473" t="s">
        <v>235</v>
      </c>
      <c r="E655" s="473" t="s">
        <v>99</v>
      </c>
      <c r="F655" s="473" t="s">
        <v>99</v>
      </c>
      <c r="G655" s="473" t="s">
        <v>100</v>
      </c>
      <c r="H655" s="473" t="s">
        <v>368</v>
      </c>
      <c r="I655" s="473" t="s">
        <v>356</v>
      </c>
      <c r="J655" s="473">
        <v>45.06</v>
      </c>
      <c r="K655" s="473" t="s">
        <v>369</v>
      </c>
      <c r="L655" s="473">
        <v>45.08</v>
      </c>
      <c r="M655" s="473">
        <v>48</v>
      </c>
      <c r="N655" s="473"/>
      <c r="O655" s="475">
        <f t="shared" si="37"/>
        <v>2163.84</v>
      </c>
      <c r="P655" s="476">
        <v>15</v>
      </c>
      <c r="Q655" s="474">
        <f t="shared" si="38"/>
        <v>151.4688</v>
      </c>
      <c r="R655" s="475">
        <v>600</v>
      </c>
      <c r="S655" s="477">
        <f t="shared" si="39"/>
        <v>1397.3712</v>
      </c>
      <c r="T655" s="473"/>
      <c r="U655" s="473"/>
      <c r="V655" s="473"/>
      <c r="W655" s="419">
        <v>1</v>
      </c>
    </row>
    <row r="656" s="419" customFormat="1" ht="16" customHeight="1" spans="1:23">
      <c r="A656" s="472">
        <v>46196</v>
      </c>
      <c r="B656" s="472">
        <v>46197</v>
      </c>
      <c r="C656" s="473"/>
      <c r="D656" s="473" t="s">
        <v>235</v>
      </c>
      <c r="E656" s="473" t="s">
        <v>66</v>
      </c>
      <c r="F656" s="473" t="s">
        <v>66</v>
      </c>
      <c r="G656" s="473" t="s">
        <v>67</v>
      </c>
      <c r="H656" s="473" t="s">
        <v>368</v>
      </c>
      <c r="I656" s="473" t="s">
        <v>356</v>
      </c>
      <c r="J656" s="473">
        <v>43.48</v>
      </c>
      <c r="K656" s="473" t="s">
        <v>369</v>
      </c>
      <c r="L656" s="473">
        <v>43.56</v>
      </c>
      <c r="M656" s="473">
        <v>48</v>
      </c>
      <c r="N656" s="473"/>
      <c r="O656" s="475">
        <f t="shared" si="37"/>
        <v>2090.88</v>
      </c>
      <c r="P656" s="476">
        <v>15</v>
      </c>
      <c r="Q656" s="474">
        <f t="shared" si="38"/>
        <v>146.3616</v>
      </c>
      <c r="R656" s="475">
        <v>600</v>
      </c>
      <c r="S656" s="477">
        <f t="shared" si="39"/>
        <v>1329.5184</v>
      </c>
      <c r="T656" s="473"/>
      <c r="U656" s="473"/>
      <c r="V656" s="473"/>
      <c r="W656" s="419">
        <v>1</v>
      </c>
    </row>
    <row r="657" s="419" customFormat="1" ht="16" customHeight="1" spans="1:23">
      <c r="A657" s="472">
        <v>46196</v>
      </c>
      <c r="B657" s="472">
        <v>46197</v>
      </c>
      <c r="C657" s="473"/>
      <c r="D657" s="473" t="s">
        <v>235</v>
      </c>
      <c r="E657" s="473" t="s">
        <v>84</v>
      </c>
      <c r="F657" s="473" t="s">
        <v>84</v>
      </c>
      <c r="G657" s="473" t="s">
        <v>85</v>
      </c>
      <c r="H657" s="473" t="s">
        <v>368</v>
      </c>
      <c r="I657" s="473" t="s">
        <v>356</v>
      </c>
      <c r="J657" s="473">
        <v>44.48</v>
      </c>
      <c r="K657" s="473" t="s">
        <v>369</v>
      </c>
      <c r="L657" s="473">
        <v>44.52</v>
      </c>
      <c r="M657" s="473">
        <v>48</v>
      </c>
      <c r="N657" s="473"/>
      <c r="O657" s="475">
        <f t="shared" si="37"/>
        <v>2136.96</v>
      </c>
      <c r="P657" s="476">
        <v>15</v>
      </c>
      <c r="Q657" s="474">
        <f t="shared" si="38"/>
        <v>149.5872</v>
      </c>
      <c r="R657" s="475">
        <v>600</v>
      </c>
      <c r="S657" s="477">
        <f t="shared" si="39"/>
        <v>1372.3728</v>
      </c>
      <c r="T657" s="473"/>
      <c r="U657" s="473"/>
      <c r="V657" s="473"/>
      <c r="W657" s="419">
        <v>1</v>
      </c>
    </row>
    <row r="658" s="419" customFormat="1" ht="16" customHeight="1" spans="1:23">
      <c r="A658" s="472">
        <v>46196</v>
      </c>
      <c r="B658" s="472">
        <v>46197</v>
      </c>
      <c r="C658" s="473"/>
      <c r="D658" s="473" t="s">
        <v>235</v>
      </c>
      <c r="E658" s="473" t="s">
        <v>87</v>
      </c>
      <c r="F658" s="473" t="s">
        <v>87</v>
      </c>
      <c r="G658" s="473" t="s">
        <v>88</v>
      </c>
      <c r="H658" s="473" t="s">
        <v>368</v>
      </c>
      <c r="I658" s="473" t="s">
        <v>356</v>
      </c>
      <c r="J658" s="473">
        <v>44.4</v>
      </c>
      <c r="K658" s="473" t="s">
        <v>369</v>
      </c>
      <c r="L658" s="473">
        <v>44.36</v>
      </c>
      <c r="M658" s="473">
        <v>48</v>
      </c>
      <c r="N658" s="473"/>
      <c r="O658" s="475">
        <f t="shared" si="37"/>
        <v>2129.28</v>
      </c>
      <c r="P658" s="476">
        <v>15</v>
      </c>
      <c r="Q658" s="474">
        <f t="shared" si="38"/>
        <v>149.0496</v>
      </c>
      <c r="R658" s="475">
        <v>600</v>
      </c>
      <c r="S658" s="477">
        <f t="shared" si="39"/>
        <v>1365.2304</v>
      </c>
      <c r="T658" s="473"/>
      <c r="U658" s="473"/>
      <c r="V658" s="473"/>
      <c r="W658" s="419">
        <v>1</v>
      </c>
    </row>
    <row r="659" s="419" customFormat="1" ht="16" customHeight="1" spans="1:23">
      <c r="A659" s="472">
        <v>46196</v>
      </c>
      <c r="B659" s="472">
        <v>46197</v>
      </c>
      <c r="C659" s="473"/>
      <c r="D659" s="473" t="s">
        <v>235</v>
      </c>
      <c r="E659" s="473" t="s">
        <v>60</v>
      </c>
      <c r="F659" s="473" t="s">
        <v>60</v>
      </c>
      <c r="G659" s="473" t="s">
        <v>61</v>
      </c>
      <c r="H659" s="473" t="s">
        <v>368</v>
      </c>
      <c r="I659" s="473" t="s">
        <v>356</v>
      </c>
      <c r="J659" s="473">
        <v>42.62</v>
      </c>
      <c r="K659" s="473" t="s">
        <v>369</v>
      </c>
      <c r="L659" s="473">
        <v>42.64</v>
      </c>
      <c r="M659" s="473">
        <v>48</v>
      </c>
      <c r="N659" s="473"/>
      <c r="O659" s="475">
        <f t="shared" si="37"/>
        <v>2046.72</v>
      </c>
      <c r="P659" s="476">
        <v>15</v>
      </c>
      <c r="Q659" s="474">
        <f t="shared" si="38"/>
        <v>143.2704</v>
      </c>
      <c r="R659" s="475">
        <v>600</v>
      </c>
      <c r="S659" s="477">
        <f t="shared" si="39"/>
        <v>1288.4496</v>
      </c>
      <c r="T659" s="473"/>
      <c r="U659" s="473"/>
      <c r="V659" s="473"/>
      <c r="W659" s="419">
        <v>1</v>
      </c>
    </row>
    <row r="660" s="419" customFormat="1" ht="16" customHeight="1" spans="1:23">
      <c r="A660" s="472">
        <v>46196</v>
      </c>
      <c r="B660" s="472">
        <v>46197</v>
      </c>
      <c r="C660" s="473"/>
      <c r="D660" s="473" t="s">
        <v>235</v>
      </c>
      <c r="E660" s="473" t="s">
        <v>130</v>
      </c>
      <c r="F660" s="473" t="s">
        <v>130</v>
      </c>
      <c r="G660" s="473" t="s">
        <v>122</v>
      </c>
      <c r="H660" s="473" t="s">
        <v>368</v>
      </c>
      <c r="I660" s="473" t="s">
        <v>356</v>
      </c>
      <c r="J660" s="473">
        <v>42.92</v>
      </c>
      <c r="K660" s="473" t="s">
        <v>369</v>
      </c>
      <c r="L660" s="473">
        <v>42.94</v>
      </c>
      <c r="M660" s="473">
        <v>48</v>
      </c>
      <c r="N660" s="473"/>
      <c r="O660" s="475">
        <f t="shared" si="37"/>
        <v>2061.12</v>
      </c>
      <c r="P660" s="476">
        <v>15</v>
      </c>
      <c r="Q660" s="474">
        <f t="shared" si="38"/>
        <v>144.2784</v>
      </c>
      <c r="R660" s="475">
        <v>600</v>
      </c>
      <c r="S660" s="477">
        <f t="shared" si="39"/>
        <v>1301.8416</v>
      </c>
      <c r="T660" s="473"/>
      <c r="U660" s="473"/>
      <c r="V660" s="473"/>
      <c r="W660" s="419">
        <v>1</v>
      </c>
    </row>
    <row r="661" s="419" customFormat="1" ht="16" customHeight="1" spans="1:23">
      <c r="A661" s="472">
        <v>46196</v>
      </c>
      <c r="B661" s="472">
        <v>46197</v>
      </c>
      <c r="C661" s="473"/>
      <c r="D661" s="473" t="s">
        <v>235</v>
      </c>
      <c r="E661" s="473" t="s">
        <v>81</v>
      </c>
      <c r="F661" s="473" t="s">
        <v>81</v>
      </c>
      <c r="G661" s="473" t="s">
        <v>82</v>
      </c>
      <c r="H661" s="473" t="s">
        <v>368</v>
      </c>
      <c r="I661" s="473" t="s">
        <v>356</v>
      </c>
      <c r="J661" s="473">
        <v>42.74</v>
      </c>
      <c r="K661" s="473" t="s">
        <v>369</v>
      </c>
      <c r="L661" s="473">
        <v>42.74</v>
      </c>
      <c r="M661" s="473">
        <v>48</v>
      </c>
      <c r="N661" s="473"/>
      <c r="O661" s="475">
        <f t="shared" si="37"/>
        <v>2051.52</v>
      </c>
      <c r="P661" s="476">
        <v>15</v>
      </c>
      <c r="Q661" s="474">
        <f t="shared" si="38"/>
        <v>143.6064</v>
      </c>
      <c r="R661" s="475">
        <v>600</v>
      </c>
      <c r="S661" s="477">
        <f t="shared" si="39"/>
        <v>1292.9136</v>
      </c>
      <c r="T661" s="473"/>
      <c r="U661" s="473"/>
      <c r="V661" s="473"/>
      <c r="W661" s="419">
        <v>1</v>
      </c>
    </row>
    <row r="662" s="419" customFormat="1" ht="16" customHeight="1" spans="1:23">
      <c r="A662" s="472">
        <v>46196</v>
      </c>
      <c r="B662" s="472">
        <v>46197</v>
      </c>
      <c r="C662" s="473"/>
      <c r="D662" s="473" t="s">
        <v>235</v>
      </c>
      <c r="E662" s="473" t="s">
        <v>141</v>
      </c>
      <c r="F662" s="473" t="s">
        <v>141</v>
      </c>
      <c r="G662" s="473" t="s">
        <v>142</v>
      </c>
      <c r="H662" s="473" t="s">
        <v>368</v>
      </c>
      <c r="I662" s="473" t="s">
        <v>356</v>
      </c>
      <c r="J662" s="473">
        <v>42.58</v>
      </c>
      <c r="K662" s="473" t="s">
        <v>369</v>
      </c>
      <c r="L662" s="473">
        <v>42.58</v>
      </c>
      <c r="M662" s="473">
        <v>48</v>
      </c>
      <c r="N662" s="473"/>
      <c r="O662" s="475">
        <f t="shared" si="37"/>
        <v>2043.84</v>
      </c>
      <c r="P662" s="476">
        <v>15</v>
      </c>
      <c r="Q662" s="474">
        <f t="shared" si="38"/>
        <v>143.0688</v>
      </c>
      <c r="R662" s="475">
        <v>600</v>
      </c>
      <c r="S662" s="477">
        <f t="shared" si="39"/>
        <v>1285.7712</v>
      </c>
      <c r="T662" s="473"/>
      <c r="U662" s="473"/>
      <c r="V662" s="473"/>
      <c r="W662" s="419">
        <v>1</v>
      </c>
    </row>
    <row r="663" s="419" customFormat="1" ht="16" customHeight="1" spans="1:23">
      <c r="A663" s="472">
        <v>46196</v>
      </c>
      <c r="B663" s="472">
        <v>46197</v>
      </c>
      <c r="C663" s="473"/>
      <c r="D663" s="473" t="s">
        <v>235</v>
      </c>
      <c r="E663" s="473" t="s">
        <v>63</v>
      </c>
      <c r="F663" s="473" t="s">
        <v>63</v>
      </c>
      <c r="G663" s="473" t="s">
        <v>327</v>
      </c>
      <c r="H663" s="473" t="s">
        <v>368</v>
      </c>
      <c r="I663" s="473" t="s">
        <v>356</v>
      </c>
      <c r="J663" s="473">
        <v>43.06</v>
      </c>
      <c r="K663" s="473" t="s">
        <v>369</v>
      </c>
      <c r="L663" s="473">
        <v>43.16</v>
      </c>
      <c r="M663" s="473">
        <v>48</v>
      </c>
      <c r="N663" s="473"/>
      <c r="O663" s="475">
        <f t="shared" si="37"/>
        <v>2071.68</v>
      </c>
      <c r="P663" s="476">
        <v>15</v>
      </c>
      <c r="Q663" s="474">
        <f t="shared" si="38"/>
        <v>145.0176</v>
      </c>
      <c r="R663" s="475">
        <v>600</v>
      </c>
      <c r="S663" s="477">
        <f t="shared" si="39"/>
        <v>1311.6624</v>
      </c>
      <c r="T663" s="473"/>
      <c r="U663" s="473"/>
      <c r="V663" s="473"/>
      <c r="W663" s="419">
        <v>1</v>
      </c>
    </row>
    <row r="664" s="419" customFormat="1" ht="16" customHeight="1" spans="1:23">
      <c r="A664" s="472">
        <v>46196</v>
      </c>
      <c r="B664" s="472">
        <v>46197</v>
      </c>
      <c r="C664" s="473"/>
      <c r="D664" s="473" t="s">
        <v>235</v>
      </c>
      <c r="E664" s="473" t="s">
        <v>127</v>
      </c>
      <c r="F664" s="473" t="s">
        <v>127</v>
      </c>
      <c r="G664" s="473" t="s">
        <v>128</v>
      </c>
      <c r="H664" s="473" t="s">
        <v>368</v>
      </c>
      <c r="I664" s="473" t="s">
        <v>356</v>
      </c>
      <c r="J664" s="473">
        <v>43.3</v>
      </c>
      <c r="K664" s="473" t="s">
        <v>369</v>
      </c>
      <c r="L664" s="473">
        <v>43.22</v>
      </c>
      <c r="M664" s="473">
        <v>48</v>
      </c>
      <c r="N664" s="473"/>
      <c r="O664" s="475">
        <f t="shared" si="37"/>
        <v>2074.56</v>
      </c>
      <c r="P664" s="476">
        <v>15</v>
      </c>
      <c r="Q664" s="474">
        <f t="shared" si="38"/>
        <v>145.2192</v>
      </c>
      <c r="R664" s="475">
        <v>600</v>
      </c>
      <c r="S664" s="477">
        <f t="shared" si="39"/>
        <v>1314.3408</v>
      </c>
      <c r="T664" s="473"/>
      <c r="U664" s="473"/>
      <c r="V664" s="473"/>
      <c r="W664" s="419">
        <v>1</v>
      </c>
    </row>
    <row r="665" s="419" customFormat="1" ht="16" customHeight="1" spans="1:23">
      <c r="A665" s="472">
        <v>46196</v>
      </c>
      <c r="B665" s="472">
        <v>46197</v>
      </c>
      <c r="C665" s="473"/>
      <c r="D665" s="473" t="s">
        <v>235</v>
      </c>
      <c r="E665" s="473" t="s">
        <v>138</v>
      </c>
      <c r="F665" s="473" t="s">
        <v>138</v>
      </c>
      <c r="G665" s="473" t="s">
        <v>139</v>
      </c>
      <c r="H665" s="473" t="s">
        <v>368</v>
      </c>
      <c r="I665" s="473" t="s">
        <v>356</v>
      </c>
      <c r="J665" s="473">
        <v>43.32</v>
      </c>
      <c r="K665" s="473" t="s">
        <v>369</v>
      </c>
      <c r="L665" s="473">
        <v>43.32</v>
      </c>
      <c r="M665" s="473">
        <v>48</v>
      </c>
      <c r="N665" s="473"/>
      <c r="O665" s="475">
        <f t="shared" si="37"/>
        <v>2079.36</v>
      </c>
      <c r="P665" s="476">
        <v>15</v>
      </c>
      <c r="Q665" s="474">
        <f t="shared" si="38"/>
        <v>145.5552</v>
      </c>
      <c r="R665" s="475">
        <v>600</v>
      </c>
      <c r="S665" s="477">
        <f t="shared" si="39"/>
        <v>1318.8048</v>
      </c>
      <c r="T665" s="473"/>
      <c r="U665" s="473"/>
      <c r="V665" s="473"/>
      <c r="W665" s="419">
        <v>1</v>
      </c>
    </row>
    <row r="666" s="419" customFormat="1" ht="16" customHeight="1" spans="1:23">
      <c r="A666" s="472">
        <v>46196</v>
      </c>
      <c r="B666" s="472">
        <v>46197</v>
      </c>
      <c r="C666" s="473"/>
      <c r="D666" s="473" t="s">
        <v>235</v>
      </c>
      <c r="E666" s="473" t="s">
        <v>69</v>
      </c>
      <c r="F666" s="473" t="s">
        <v>69</v>
      </c>
      <c r="G666" s="473" t="s">
        <v>70</v>
      </c>
      <c r="H666" s="473" t="s">
        <v>368</v>
      </c>
      <c r="I666" s="473" t="s">
        <v>356</v>
      </c>
      <c r="J666" s="473">
        <v>44.52</v>
      </c>
      <c r="K666" s="473" t="s">
        <v>369</v>
      </c>
      <c r="L666" s="473">
        <v>44.5</v>
      </c>
      <c r="M666" s="473">
        <v>48</v>
      </c>
      <c r="N666" s="473"/>
      <c r="O666" s="475">
        <f t="shared" si="37"/>
        <v>2136</v>
      </c>
      <c r="P666" s="476">
        <v>15</v>
      </c>
      <c r="Q666" s="474">
        <f t="shared" si="38"/>
        <v>149.52</v>
      </c>
      <c r="R666" s="475">
        <v>600</v>
      </c>
      <c r="S666" s="477">
        <f t="shared" si="39"/>
        <v>1371.48</v>
      </c>
      <c r="T666" s="473"/>
      <c r="U666" s="473"/>
      <c r="V666" s="473"/>
      <c r="W666" s="419">
        <v>1</v>
      </c>
    </row>
    <row r="667" s="419" customFormat="1" ht="16" customHeight="1" spans="1:23">
      <c r="A667" s="472">
        <v>46196</v>
      </c>
      <c r="B667" s="472">
        <v>46197</v>
      </c>
      <c r="C667" s="473" t="s">
        <v>745</v>
      </c>
      <c r="D667" s="473" t="s">
        <v>237</v>
      </c>
      <c r="E667" s="473" t="s">
        <v>338</v>
      </c>
      <c r="F667" s="473" t="s">
        <v>338</v>
      </c>
      <c r="G667" s="473" t="s">
        <v>158</v>
      </c>
      <c r="H667" s="473" t="s">
        <v>354</v>
      </c>
      <c r="I667" s="473" t="s">
        <v>407</v>
      </c>
      <c r="J667" s="473">
        <v>40.24</v>
      </c>
      <c r="K667" s="473" t="s">
        <v>356</v>
      </c>
      <c r="L667" s="473">
        <v>40.24</v>
      </c>
      <c r="M667" s="473">
        <v>87</v>
      </c>
      <c r="N667" s="473"/>
      <c r="O667" s="475">
        <f t="shared" si="37"/>
        <v>3500.88</v>
      </c>
      <c r="P667" s="476">
        <v>15</v>
      </c>
      <c r="Q667" s="474">
        <f t="shared" si="38"/>
        <v>245.0616</v>
      </c>
      <c r="R667" s="475">
        <v>800</v>
      </c>
      <c r="S667" s="477">
        <f t="shared" si="39"/>
        <v>2440.8184</v>
      </c>
      <c r="T667" s="473"/>
      <c r="U667" s="473"/>
      <c r="V667" s="473"/>
      <c r="W667" s="419">
        <v>1</v>
      </c>
    </row>
    <row r="668" s="419" customFormat="1" ht="16" customHeight="1" spans="1:23">
      <c r="A668" s="472">
        <v>46196</v>
      </c>
      <c r="B668" s="472">
        <v>46197</v>
      </c>
      <c r="C668" s="473" t="s">
        <v>746</v>
      </c>
      <c r="D668" s="473" t="s">
        <v>237</v>
      </c>
      <c r="E668" s="473" t="s">
        <v>154</v>
      </c>
      <c r="F668" s="473" t="s">
        <v>154</v>
      </c>
      <c r="G668" s="473" t="s">
        <v>155</v>
      </c>
      <c r="H668" s="473" t="s">
        <v>354</v>
      </c>
      <c r="I668" s="473" t="s">
        <v>407</v>
      </c>
      <c r="J668" s="473">
        <v>40.38</v>
      </c>
      <c r="K668" s="473" t="s">
        <v>356</v>
      </c>
      <c r="L668" s="473">
        <v>40.36</v>
      </c>
      <c r="M668" s="473">
        <v>87</v>
      </c>
      <c r="N668" s="473"/>
      <c r="O668" s="475">
        <f t="shared" ref="O668:O731" si="40">L668*M668</f>
        <v>3511.32</v>
      </c>
      <c r="P668" s="476">
        <v>15</v>
      </c>
      <c r="Q668" s="474">
        <f t="shared" ref="Q668:Q731" si="41">O668*0.07</f>
        <v>245.7924</v>
      </c>
      <c r="R668" s="475">
        <v>800</v>
      </c>
      <c r="S668" s="477">
        <f t="shared" ref="S668:S731" si="42">O668-P668-R668-Q668</f>
        <v>2450.5276</v>
      </c>
      <c r="T668" s="473"/>
      <c r="U668" s="473"/>
      <c r="V668" s="473"/>
      <c r="W668" s="419">
        <v>1</v>
      </c>
    </row>
    <row r="669" s="419" customFormat="1" ht="16" customHeight="1" spans="1:23">
      <c r="A669" s="472">
        <v>46196</v>
      </c>
      <c r="B669" s="472">
        <v>46197</v>
      </c>
      <c r="C669" s="473" t="s">
        <v>747</v>
      </c>
      <c r="D669" s="473" t="s">
        <v>237</v>
      </c>
      <c r="E669" s="473" t="s">
        <v>160</v>
      </c>
      <c r="F669" s="473" t="s">
        <v>160</v>
      </c>
      <c r="G669" s="473" t="s">
        <v>161</v>
      </c>
      <c r="H669" s="473" t="s">
        <v>354</v>
      </c>
      <c r="I669" s="473" t="s">
        <v>407</v>
      </c>
      <c r="J669" s="473">
        <v>40.1</v>
      </c>
      <c r="K669" s="473" t="s">
        <v>356</v>
      </c>
      <c r="L669" s="473">
        <v>40.1</v>
      </c>
      <c r="M669" s="473">
        <v>87</v>
      </c>
      <c r="N669" s="473"/>
      <c r="O669" s="475">
        <f t="shared" si="40"/>
        <v>3488.7</v>
      </c>
      <c r="P669" s="476">
        <v>15</v>
      </c>
      <c r="Q669" s="474">
        <f t="shared" si="41"/>
        <v>244.209</v>
      </c>
      <c r="R669" s="475">
        <v>800</v>
      </c>
      <c r="S669" s="477">
        <f t="shared" si="42"/>
        <v>2429.491</v>
      </c>
      <c r="T669" s="473"/>
      <c r="U669" s="473"/>
      <c r="V669" s="473"/>
      <c r="W669" s="419">
        <v>1</v>
      </c>
    </row>
    <row r="670" s="419" customFormat="1" ht="16" customHeight="1" spans="1:23">
      <c r="A670" s="472">
        <v>46196</v>
      </c>
      <c r="B670" s="472">
        <v>46197</v>
      </c>
      <c r="C670" s="473" t="s">
        <v>748</v>
      </c>
      <c r="D670" s="473" t="s">
        <v>237</v>
      </c>
      <c r="E670" s="473" t="s">
        <v>204</v>
      </c>
      <c r="F670" s="473" t="s">
        <v>204</v>
      </c>
      <c r="G670" s="473" t="s">
        <v>715</v>
      </c>
      <c r="H670" s="473" t="s">
        <v>354</v>
      </c>
      <c r="I670" s="473" t="s">
        <v>407</v>
      </c>
      <c r="J670" s="473">
        <v>40.22</v>
      </c>
      <c r="K670" s="473" t="s">
        <v>356</v>
      </c>
      <c r="L670" s="473">
        <v>40.22</v>
      </c>
      <c r="M670" s="473">
        <v>87</v>
      </c>
      <c r="N670" s="473"/>
      <c r="O670" s="475">
        <f t="shared" si="40"/>
        <v>3499.14</v>
      </c>
      <c r="P670" s="476">
        <v>15</v>
      </c>
      <c r="Q670" s="474">
        <f t="shared" si="41"/>
        <v>244.9398</v>
      </c>
      <c r="R670" s="475">
        <v>800</v>
      </c>
      <c r="S670" s="477">
        <f t="shared" si="42"/>
        <v>2439.2002</v>
      </c>
      <c r="T670" s="473"/>
      <c r="U670" s="473"/>
      <c r="V670" s="473"/>
      <c r="W670" s="419">
        <v>1</v>
      </c>
    </row>
    <row r="671" s="419" customFormat="1" ht="16" customHeight="1" spans="1:23">
      <c r="A671" s="472">
        <v>46196</v>
      </c>
      <c r="B671" s="472">
        <v>46197</v>
      </c>
      <c r="C671" s="473" t="s">
        <v>749</v>
      </c>
      <c r="D671" s="473" t="s">
        <v>237</v>
      </c>
      <c r="E671" s="473" t="s">
        <v>221</v>
      </c>
      <c r="F671" s="473" t="s">
        <v>221</v>
      </c>
      <c r="G671" s="473" t="s">
        <v>704</v>
      </c>
      <c r="H671" s="473" t="s">
        <v>354</v>
      </c>
      <c r="I671" s="473" t="s">
        <v>407</v>
      </c>
      <c r="J671" s="473">
        <v>40.4</v>
      </c>
      <c r="K671" s="473" t="s">
        <v>356</v>
      </c>
      <c r="L671" s="473">
        <v>40.38</v>
      </c>
      <c r="M671" s="473">
        <v>87</v>
      </c>
      <c r="N671" s="473"/>
      <c r="O671" s="475">
        <f t="shared" si="40"/>
        <v>3513.06</v>
      </c>
      <c r="P671" s="476">
        <v>15</v>
      </c>
      <c r="Q671" s="474">
        <f t="shared" si="41"/>
        <v>245.9142</v>
      </c>
      <c r="R671" s="475">
        <v>800</v>
      </c>
      <c r="S671" s="477">
        <f t="shared" si="42"/>
        <v>2452.1458</v>
      </c>
      <c r="T671" s="473"/>
      <c r="U671" s="473"/>
      <c r="V671" s="473"/>
      <c r="W671" s="419">
        <v>1</v>
      </c>
    </row>
    <row r="672" s="419" customFormat="1" ht="16" customHeight="1" spans="1:23">
      <c r="A672" s="472">
        <v>46196</v>
      </c>
      <c r="B672" s="472">
        <v>46197</v>
      </c>
      <c r="C672" s="473" t="s">
        <v>750</v>
      </c>
      <c r="D672" s="473" t="s">
        <v>237</v>
      </c>
      <c r="E672" s="473" t="s">
        <v>223</v>
      </c>
      <c r="F672" s="473" t="s">
        <v>223</v>
      </c>
      <c r="G672" s="473" t="s">
        <v>708</v>
      </c>
      <c r="H672" s="473" t="s">
        <v>354</v>
      </c>
      <c r="I672" s="473" t="s">
        <v>407</v>
      </c>
      <c r="J672" s="473">
        <v>40.3</v>
      </c>
      <c r="K672" s="473" t="s">
        <v>356</v>
      </c>
      <c r="L672" s="473">
        <v>40.3</v>
      </c>
      <c r="M672" s="473">
        <v>87</v>
      </c>
      <c r="N672" s="473"/>
      <c r="O672" s="475">
        <f t="shared" si="40"/>
        <v>3506.1</v>
      </c>
      <c r="P672" s="476">
        <v>15</v>
      </c>
      <c r="Q672" s="474">
        <f t="shared" si="41"/>
        <v>245.427</v>
      </c>
      <c r="R672" s="475">
        <v>800</v>
      </c>
      <c r="S672" s="477">
        <f t="shared" si="42"/>
        <v>2445.673</v>
      </c>
      <c r="T672" s="473"/>
      <c r="U672" s="473"/>
      <c r="V672" s="473"/>
      <c r="W672" s="419">
        <v>1</v>
      </c>
    </row>
    <row r="673" s="419" customFormat="1" ht="16" customHeight="1" spans="1:23">
      <c r="A673" s="472">
        <v>46196</v>
      </c>
      <c r="B673" s="472">
        <v>46197</v>
      </c>
      <c r="C673" s="473" t="s">
        <v>751</v>
      </c>
      <c r="D673" s="473" t="s">
        <v>237</v>
      </c>
      <c r="E673" s="473" t="s">
        <v>163</v>
      </c>
      <c r="F673" s="473" t="s">
        <v>163</v>
      </c>
      <c r="G673" s="473" t="s">
        <v>164</v>
      </c>
      <c r="H673" s="473" t="s">
        <v>354</v>
      </c>
      <c r="I673" s="473" t="s">
        <v>407</v>
      </c>
      <c r="J673" s="473">
        <v>39.46</v>
      </c>
      <c r="K673" s="473" t="s">
        <v>356</v>
      </c>
      <c r="L673" s="473">
        <v>39.46</v>
      </c>
      <c r="M673" s="473">
        <v>87</v>
      </c>
      <c r="N673" s="473"/>
      <c r="O673" s="475">
        <f t="shared" si="40"/>
        <v>3433.02</v>
      </c>
      <c r="P673" s="476">
        <v>15</v>
      </c>
      <c r="Q673" s="474">
        <f t="shared" si="41"/>
        <v>240.3114</v>
      </c>
      <c r="R673" s="475">
        <v>800</v>
      </c>
      <c r="S673" s="477">
        <f t="shared" si="42"/>
        <v>2377.7086</v>
      </c>
      <c r="T673" s="473"/>
      <c r="U673" s="473"/>
      <c r="V673" s="473"/>
      <c r="W673" s="419">
        <v>1</v>
      </c>
    </row>
    <row r="674" s="419" customFormat="1" ht="16" customHeight="1" spans="1:23">
      <c r="A674" s="472">
        <v>46196</v>
      </c>
      <c r="B674" s="472">
        <v>46196</v>
      </c>
      <c r="C674" s="473" t="s">
        <v>752</v>
      </c>
      <c r="D674" s="473" t="s">
        <v>233</v>
      </c>
      <c r="E674" s="473" t="s">
        <v>151</v>
      </c>
      <c r="F674" s="473" t="s">
        <v>151</v>
      </c>
      <c r="G674" s="473" t="s">
        <v>152</v>
      </c>
      <c r="H674" s="473" t="s">
        <v>354</v>
      </c>
      <c r="I674" s="473" t="s">
        <v>355</v>
      </c>
      <c r="J674" s="473">
        <v>44.46</v>
      </c>
      <c r="K674" s="473" t="s">
        <v>356</v>
      </c>
      <c r="L674" s="473">
        <v>44.44</v>
      </c>
      <c r="M674" s="473">
        <v>67</v>
      </c>
      <c r="N674" s="473"/>
      <c r="O674" s="475">
        <f t="shared" si="40"/>
        <v>2977.48</v>
      </c>
      <c r="P674" s="476">
        <v>15</v>
      </c>
      <c r="Q674" s="474">
        <f t="shared" si="41"/>
        <v>208.4236</v>
      </c>
      <c r="R674" s="475">
        <v>600</v>
      </c>
      <c r="S674" s="477">
        <f t="shared" si="42"/>
        <v>2154.0564</v>
      </c>
      <c r="T674" s="473"/>
      <c r="U674" s="473"/>
      <c r="V674" s="473"/>
      <c r="W674" s="419">
        <v>1</v>
      </c>
    </row>
    <row r="675" s="419" customFormat="1" ht="16" customHeight="1" spans="1:23">
      <c r="A675" s="472">
        <v>46196</v>
      </c>
      <c r="B675" s="472">
        <v>46197</v>
      </c>
      <c r="C675" s="473" t="s">
        <v>753</v>
      </c>
      <c r="D675" s="473" t="s">
        <v>233</v>
      </c>
      <c r="E675" s="473" t="s">
        <v>210</v>
      </c>
      <c r="F675" s="473" t="s">
        <v>210</v>
      </c>
      <c r="G675" s="473" t="s">
        <v>211</v>
      </c>
      <c r="H675" s="473" t="s">
        <v>354</v>
      </c>
      <c r="I675" s="473" t="s">
        <v>355</v>
      </c>
      <c r="J675" s="473">
        <v>44.8</v>
      </c>
      <c r="K675" s="473" t="s">
        <v>356</v>
      </c>
      <c r="L675" s="473">
        <v>44.8</v>
      </c>
      <c r="M675" s="473">
        <v>67</v>
      </c>
      <c r="N675" s="473"/>
      <c r="O675" s="475">
        <f t="shared" si="40"/>
        <v>3001.6</v>
      </c>
      <c r="P675" s="476">
        <v>15</v>
      </c>
      <c r="Q675" s="474">
        <f t="shared" si="41"/>
        <v>210.112</v>
      </c>
      <c r="R675" s="475">
        <v>600</v>
      </c>
      <c r="S675" s="477">
        <f t="shared" si="42"/>
        <v>2176.488</v>
      </c>
      <c r="T675" s="473"/>
      <c r="U675" s="473"/>
      <c r="V675" s="473"/>
      <c r="W675" s="419">
        <v>1</v>
      </c>
    </row>
    <row r="676" s="419" customFormat="1" ht="16" customHeight="1" spans="1:23">
      <c r="A676" s="472">
        <v>46196</v>
      </c>
      <c r="B676" s="472">
        <v>46197</v>
      </c>
      <c r="C676" s="473"/>
      <c r="D676" s="473" t="s">
        <v>235</v>
      </c>
      <c r="E676" s="473" t="s">
        <v>166</v>
      </c>
      <c r="F676" s="473" t="s">
        <v>166</v>
      </c>
      <c r="G676" s="473" t="s">
        <v>167</v>
      </c>
      <c r="H676" s="473" t="s">
        <v>368</v>
      </c>
      <c r="I676" s="473" t="s">
        <v>356</v>
      </c>
      <c r="J676" s="473">
        <v>45.48</v>
      </c>
      <c r="K676" s="473" t="s">
        <v>369</v>
      </c>
      <c r="L676" s="473">
        <v>45.48</v>
      </c>
      <c r="M676" s="473">
        <v>48</v>
      </c>
      <c r="N676" s="473"/>
      <c r="O676" s="475">
        <f t="shared" si="40"/>
        <v>2183.04</v>
      </c>
      <c r="P676" s="476">
        <v>15</v>
      </c>
      <c r="Q676" s="474">
        <f t="shared" si="41"/>
        <v>152.8128</v>
      </c>
      <c r="R676" s="475">
        <v>600</v>
      </c>
      <c r="S676" s="477">
        <f t="shared" si="42"/>
        <v>1415.2272</v>
      </c>
      <c r="T676" s="473"/>
      <c r="U676" s="473"/>
      <c r="V676" s="473"/>
      <c r="W676" s="419">
        <v>1</v>
      </c>
    </row>
    <row r="677" s="419" customFormat="1" ht="16" customHeight="1" spans="1:23">
      <c r="A677" s="472">
        <v>46196</v>
      </c>
      <c r="B677" s="472">
        <v>46197</v>
      </c>
      <c r="C677" s="473" t="s">
        <v>754</v>
      </c>
      <c r="D677" s="473" t="s">
        <v>235</v>
      </c>
      <c r="E677" s="473" t="s">
        <v>177</v>
      </c>
      <c r="F677" s="473" t="s">
        <v>177</v>
      </c>
      <c r="G677" s="473" t="s">
        <v>178</v>
      </c>
      <c r="H677" s="473" t="s">
        <v>384</v>
      </c>
      <c r="I677" s="473" t="s">
        <v>356</v>
      </c>
      <c r="J677" s="473">
        <v>40.88</v>
      </c>
      <c r="K677" s="473" t="s">
        <v>371</v>
      </c>
      <c r="L677" s="473">
        <v>40.66</v>
      </c>
      <c r="M677" s="473">
        <v>61</v>
      </c>
      <c r="N677" s="473"/>
      <c r="O677" s="475">
        <f t="shared" si="40"/>
        <v>2480.26</v>
      </c>
      <c r="P677" s="476">
        <v>15</v>
      </c>
      <c r="Q677" s="474">
        <f t="shared" si="41"/>
        <v>173.6182</v>
      </c>
      <c r="R677" s="475">
        <v>600</v>
      </c>
      <c r="S677" s="477">
        <f t="shared" si="42"/>
        <v>1691.6418</v>
      </c>
      <c r="T677" s="473"/>
      <c r="U677" s="473"/>
      <c r="V677" s="473"/>
      <c r="W677" s="419">
        <v>1</v>
      </c>
    </row>
    <row r="678" s="419" customFormat="1" ht="16" customHeight="1" spans="1:23">
      <c r="A678" s="472">
        <v>46196</v>
      </c>
      <c r="B678" s="472">
        <v>46197</v>
      </c>
      <c r="C678" s="473"/>
      <c r="D678" s="473" t="s">
        <v>235</v>
      </c>
      <c r="E678" s="473" t="s">
        <v>213</v>
      </c>
      <c r="F678" s="473" t="s">
        <v>213</v>
      </c>
      <c r="G678" s="473" t="s">
        <v>214</v>
      </c>
      <c r="H678" s="473" t="s">
        <v>368</v>
      </c>
      <c r="I678" s="473" t="s">
        <v>356</v>
      </c>
      <c r="J678" s="473">
        <v>48.16</v>
      </c>
      <c r="K678" s="473" t="s">
        <v>369</v>
      </c>
      <c r="L678" s="473">
        <v>47.48</v>
      </c>
      <c r="M678" s="473">
        <v>48</v>
      </c>
      <c r="N678" s="473"/>
      <c r="O678" s="475">
        <f t="shared" si="40"/>
        <v>2279.04</v>
      </c>
      <c r="P678" s="476">
        <v>15</v>
      </c>
      <c r="Q678" s="474">
        <f t="shared" si="41"/>
        <v>159.5328</v>
      </c>
      <c r="R678" s="475">
        <v>600</v>
      </c>
      <c r="S678" s="477">
        <f t="shared" si="42"/>
        <v>1504.5072</v>
      </c>
      <c r="T678" s="473"/>
      <c r="U678" s="473"/>
      <c r="V678" s="473"/>
      <c r="W678" s="419">
        <v>1</v>
      </c>
    </row>
    <row r="679" s="419" customFormat="1" ht="16" customHeight="1" spans="1:23">
      <c r="A679" s="472">
        <v>46196</v>
      </c>
      <c r="B679" s="472">
        <v>46197</v>
      </c>
      <c r="C679" s="473"/>
      <c r="D679" s="473" t="s">
        <v>235</v>
      </c>
      <c r="E679" s="473" t="s">
        <v>670</v>
      </c>
      <c r="F679" s="473" t="s">
        <v>670</v>
      </c>
      <c r="G679" s="473" t="s">
        <v>217</v>
      </c>
      <c r="H679" s="473" t="s">
        <v>368</v>
      </c>
      <c r="I679" s="473" t="s">
        <v>356</v>
      </c>
      <c r="J679" s="473">
        <v>44.74</v>
      </c>
      <c r="K679" s="473" t="s">
        <v>369</v>
      </c>
      <c r="L679" s="473">
        <v>44.7</v>
      </c>
      <c r="M679" s="473">
        <v>48</v>
      </c>
      <c r="N679" s="473"/>
      <c r="O679" s="475">
        <f t="shared" si="40"/>
        <v>2145.6</v>
      </c>
      <c r="P679" s="476">
        <v>15</v>
      </c>
      <c r="Q679" s="474">
        <f t="shared" si="41"/>
        <v>150.192</v>
      </c>
      <c r="R679" s="475">
        <v>600</v>
      </c>
      <c r="S679" s="477">
        <f t="shared" si="42"/>
        <v>1380.408</v>
      </c>
      <c r="T679" s="473"/>
      <c r="U679" s="473"/>
      <c r="V679" s="473"/>
      <c r="W679" s="419">
        <v>1</v>
      </c>
    </row>
    <row r="680" s="419" customFormat="1" ht="16" customHeight="1" spans="1:23">
      <c r="A680" s="472">
        <v>46196</v>
      </c>
      <c r="B680" s="472">
        <v>46196</v>
      </c>
      <c r="C680" s="473" t="s">
        <v>755</v>
      </c>
      <c r="D680" s="473" t="s">
        <v>237</v>
      </c>
      <c r="E680" s="473" t="s">
        <v>195</v>
      </c>
      <c r="F680" s="473" t="s">
        <v>195</v>
      </c>
      <c r="G680" s="473" t="s">
        <v>196</v>
      </c>
      <c r="H680" s="473" t="s">
        <v>354</v>
      </c>
      <c r="I680" s="473" t="s">
        <v>407</v>
      </c>
      <c r="J680" s="473">
        <v>40.16</v>
      </c>
      <c r="K680" s="473" t="s">
        <v>356</v>
      </c>
      <c r="L680" s="473">
        <v>40.14</v>
      </c>
      <c r="M680" s="473">
        <v>87</v>
      </c>
      <c r="N680" s="473"/>
      <c r="O680" s="475">
        <f t="shared" si="40"/>
        <v>3492.18</v>
      </c>
      <c r="P680" s="476">
        <v>15</v>
      </c>
      <c r="Q680" s="474">
        <f t="shared" si="41"/>
        <v>244.4526</v>
      </c>
      <c r="R680" s="475">
        <v>800</v>
      </c>
      <c r="S680" s="477">
        <f t="shared" si="42"/>
        <v>2432.7274</v>
      </c>
      <c r="T680" s="473"/>
      <c r="U680" s="473"/>
      <c r="V680" s="473"/>
      <c r="W680" s="419">
        <v>1</v>
      </c>
    </row>
    <row r="681" s="419" customFormat="1" ht="16" customHeight="1" spans="1:23">
      <c r="A681" s="472">
        <v>46194</v>
      </c>
      <c r="B681" s="472">
        <v>46196</v>
      </c>
      <c r="C681" s="473"/>
      <c r="D681" s="473" t="s">
        <v>234</v>
      </c>
      <c r="E681" s="473" t="s">
        <v>192</v>
      </c>
      <c r="F681" s="473" t="s">
        <v>192</v>
      </c>
      <c r="G681" s="473" t="s">
        <v>193</v>
      </c>
      <c r="H681" s="473" t="s">
        <v>354</v>
      </c>
      <c r="I681" s="473" t="s">
        <v>507</v>
      </c>
      <c r="J681" s="473">
        <v>37.98</v>
      </c>
      <c r="K681" s="473" t="s">
        <v>356</v>
      </c>
      <c r="L681" s="473">
        <v>37.94</v>
      </c>
      <c r="M681" s="473">
        <v>71</v>
      </c>
      <c r="N681" s="473"/>
      <c r="O681" s="475">
        <f t="shared" si="40"/>
        <v>2693.74</v>
      </c>
      <c r="P681" s="476">
        <v>15</v>
      </c>
      <c r="Q681" s="474">
        <f t="shared" si="41"/>
        <v>188.5618</v>
      </c>
      <c r="R681" s="475">
        <v>600</v>
      </c>
      <c r="S681" s="477">
        <f t="shared" si="42"/>
        <v>1890.1782</v>
      </c>
      <c r="T681" s="473"/>
      <c r="U681" s="473"/>
      <c r="V681" s="473"/>
      <c r="W681" s="419">
        <v>1</v>
      </c>
    </row>
    <row r="682" s="419" customFormat="1" ht="16" customHeight="1" spans="1:23">
      <c r="A682" s="472">
        <v>46196</v>
      </c>
      <c r="B682" s="472">
        <v>46196</v>
      </c>
      <c r="C682" s="473"/>
      <c r="D682" s="473" t="s">
        <v>235</v>
      </c>
      <c r="E682" s="473" t="s">
        <v>207</v>
      </c>
      <c r="F682" s="473" t="s">
        <v>207</v>
      </c>
      <c r="G682" s="473" t="s">
        <v>678</v>
      </c>
      <c r="H682" s="473" t="s">
        <v>368</v>
      </c>
      <c r="I682" s="473" t="s">
        <v>356</v>
      </c>
      <c r="J682" s="473">
        <v>44.08</v>
      </c>
      <c r="K682" s="473" t="s">
        <v>369</v>
      </c>
      <c r="L682" s="473">
        <v>44.16</v>
      </c>
      <c r="M682" s="473">
        <v>48</v>
      </c>
      <c r="N682" s="473"/>
      <c r="O682" s="475">
        <f t="shared" si="40"/>
        <v>2119.68</v>
      </c>
      <c r="P682" s="476">
        <v>15</v>
      </c>
      <c r="Q682" s="474">
        <f t="shared" si="41"/>
        <v>148.3776</v>
      </c>
      <c r="R682" s="475">
        <v>600</v>
      </c>
      <c r="S682" s="477">
        <f t="shared" si="42"/>
        <v>1356.3024</v>
      </c>
      <c r="T682" s="473"/>
      <c r="U682" s="473"/>
      <c r="V682" s="473"/>
      <c r="W682" s="419">
        <v>1</v>
      </c>
    </row>
    <row r="683" s="419" customFormat="1" ht="16" customHeight="1" spans="1:23">
      <c r="A683" s="472">
        <v>46196</v>
      </c>
      <c r="B683" s="472">
        <v>46196</v>
      </c>
      <c r="C683" s="473"/>
      <c r="D683" s="473" t="s">
        <v>235</v>
      </c>
      <c r="E683" s="473" t="s">
        <v>183</v>
      </c>
      <c r="F683" s="473" t="s">
        <v>183</v>
      </c>
      <c r="G683" s="473" t="s">
        <v>184</v>
      </c>
      <c r="H683" s="473" t="s">
        <v>368</v>
      </c>
      <c r="I683" s="473" t="s">
        <v>356</v>
      </c>
      <c r="J683" s="473">
        <v>42.54</v>
      </c>
      <c r="K683" s="473" t="s">
        <v>369</v>
      </c>
      <c r="L683" s="473">
        <v>42.56</v>
      </c>
      <c r="M683" s="473">
        <v>48</v>
      </c>
      <c r="N683" s="473"/>
      <c r="O683" s="475">
        <f t="shared" si="40"/>
        <v>2042.88</v>
      </c>
      <c r="P683" s="476">
        <v>15</v>
      </c>
      <c r="Q683" s="474">
        <f t="shared" si="41"/>
        <v>143.0016</v>
      </c>
      <c r="R683" s="475">
        <v>600</v>
      </c>
      <c r="S683" s="477">
        <f t="shared" si="42"/>
        <v>1284.8784</v>
      </c>
      <c r="T683" s="473"/>
      <c r="U683" s="473"/>
      <c r="V683" s="473"/>
      <c r="W683" s="419">
        <v>1</v>
      </c>
    </row>
    <row r="684" s="419" customFormat="1" ht="16" customHeight="1" spans="1:23">
      <c r="A684" s="472">
        <v>46196</v>
      </c>
      <c r="B684" s="472">
        <v>46197</v>
      </c>
      <c r="C684" s="473"/>
      <c r="D684" s="473" t="s">
        <v>235</v>
      </c>
      <c r="E684" s="473" t="s">
        <v>201</v>
      </c>
      <c r="F684" s="473" t="s">
        <v>201</v>
      </c>
      <c r="G684" s="473" t="s">
        <v>719</v>
      </c>
      <c r="H684" s="473" t="s">
        <v>368</v>
      </c>
      <c r="I684" s="473" t="s">
        <v>356</v>
      </c>
      <c r="J684" s="473">
        <v>45.72</v>
      </c>
      <c r="K684" s="473" t="s">
        <v>369</v>
      </c>
      <c r="L684" s="473">
        <v>45.78</v>
      </c>
      <c r="M684" s="473">
        <v>48</v>
      </c>
      <c r="N684" s="473"/>
      <c r="O684" s="475">
        <f t="shared" si="40"/>
        <v>2197.44</v>
      </c>
      <c r="P684" s="476">
        <v>15</v>
      </c>
      <c r="Q684" s="474">
        <f t="shared" si="41"/>
        <v>153.8208</v>
      </c>
      <c r="R684" s="475">
        <v>600</v>
      </c>
      <c r="S684" s="477">
        <f t="shared" si="42"/>
        <v>1428.6192</v>
      </c>
      <c r="T684" s="473"/>
      <c r="U684" s="473"/>
      <c r="V684" s="473"/>
      <c r="W684" s="419">
        <v>1</v>
      </c>
    </row>
    <row r="685" s="419" customFormat="1" ht="16" customHeight="1" spans="1:23">
      <c r="A685" s="472">
        <v>46196</v>
      </c>
      <c r="B685" s="472">
        <v>46197</v>
      </c>
      <c r="C685" s="473"/>
      <c r="D685" s="473" t="s">
        <v>235</v>
      </c>
      <c r="E685" s="473" t="s">
        <v>192</v>
      </c>
      <c r="F685" s="473" t="s">
        <v>192</v>
      </c>
      <c r="G685" s="473" t="s">
        <v>193</v>
      </c>
      <c r="H685" s="473" t="s">
        <v>368</v>
      </c>
      <c r="I685" s="473" t="s">
        <v>356</v>
      </c>
      <c r="J685" s="473">
        <v>46.6</v>
      </c>
      <c r="K685" s="473" t="s">
        <v>369</v>
      </c>
      <c r="L685" s="473">
        <v>46.64</v>
      </c>
      <c r="M685" s="473">
        <v>48</v>
      </c>
      <c r="N685" s="473"/>
      <c r="O685" s="475">
        <f t="shared" si="40"/>
        <v>2238.72</v>
      </c>
      <c r="P685" s="476">
        <v>15</v>
      </c>
      <c r="Q685" s="474">
        <f t="shared" si="41"/>
        <v>156.7104</v>
      </c>
      <c r="R685" s="475">
        <v>600</v>
      </c>
      <c r="S685" s="477">
        <f t="shared" si="42"/>
        <v>1467.0096</v>
      </c>
      <c r="T685" s="473"/>
      <c r="U685" s="473"/>
      <c r="V685" s="473"/>
      <c r="W685" s="419">
        <v>1</v>
      </c>
    </row>
    <row r="686" s="419" customFormat="1" ht="16" customHeight="1" spans="1:23">
      <c r="A686" s="472">
        <v>46197</v>
      </c>
      <c r="B686" s="472">
        <v>46198</v>
      </c>
      <c r="C686" s="473" t="s">
        <v>756</v>
      </c>
      <c r="D686" s="473" t="s">
        <v>237</v>
      </c>
      <c r="E686" s="473" t="s">
        <v>108</v>
      </c>
      <c r="F686" s="473" t="s">
        <v>108</v>
      </c>
      <c r="G686" s="473" t="s">
        <v>109</v>
      </c>
      <c r="H686" s="473" t="s">
        <v>354</v>
      </c>
      <c r="I686" s="473" t="s">
        <v>407</v>
      </c>
      <c r="J686" s="473">
        <v>43.58</v>
      </c>
      <c r="K686" s="473" t="s">
        <v>356</v>
      </c>
      <c r="L686" s="473">
        <v>43.56</v>
      </c>
      <c r="M686" s="473">
        <v>87</v>
      </c>
      <c r="N686" s="473"/>
      <c r="O686" s="475">
        <f t="shared" si="40"/>
        <v>3789.72</v>
      </c>
      <c r="P686" s="476">
        <v>15</v>
      </c>
      <c r="Q686" s="474">
        <f t="shared" si="41"/>
        <v>265.2804</v>
      </c>
      <c r="R686" s="475">
        <v>800</v>
      </c>
      <c r="S686" s="477">
        <f t="shared" si="42"/>
        <v>2709.4396</v>
      </c>
      <c r="T686" s="473"/>
      <c r="U686" s="473"/>
      <c r="V686" s="473"/>
      <c r="W686" s="419">
        <v>1</v>
      </c>
    </row>
    <row r="687" s="419" customFormat="1" ht="16" customHeight="1" spans="1:23">
      <c r="A687" s="472">
        <v>46197</v>
      </c>
      <c r="B687" s="472">
        <v>46198</v>
      </c>
      <c r="C687" s="473" t="s">
        <v>757</v>
      </c>
      <c r="D687" s="473" t="s">
        <v>236</v>
      </c>
      <c r="E687" s="473" t="s">
        <v>72</v>
      </c>
      <c r="F687" s="473" t="s">
        <v>72</v>
      </c>
      <c r="G687" s="473" t="s">
        <v>73</v>
      </c>
      <c r="H687" s="473" t="s">
        <v>354</v>
      </c>
      <c r="I687" s="473" t="s">
        <v>369</v>
      </c>
      <c r="J687" s="473">
        <v>37.6</v>
      </c>
      <c r="K687" s="473" t="s">
        <v>356</v>
      </c>
      <c r="L687" s="473">
        <v>37.58</v>
      </c>
      <c r="M687" s="473">
        <v>68</v>
      </c>
      <c r="N687" s="473"/>
      <c r="O687" s="475">
        <f t="shared" si="40"/>
        <v>2555.44</v>
      </c>
      <c r="P687" s="476">
        <v>15</v>
      </c>
      <c r="Q687" s="474">
        <f t="shared" si="41"/>
        <v>178.8808</v>
      </c>
      <c r="R687" s="475">
        <v>600</v>
      </c>
      <c r="S687" s="477">
        <f t="shared" si="42"/>
        <v>1761.5592</v>
      </c>
      <c r="T687" s="473"/>
      <c r="U687" s="473"/>
      <c r="V687" s="473"/>
      <c r="W687" s="419">
        <v>1</v>
      </c>
    </row>
    <row r="688" s="419" customFormat="1" ht="16" customHeight="1" spans="1:23">
      <c r="A688" s="472">
        <v>46197</v>
      </c>
      <c r="B688" s="472">
        <v>46198</v>
      </c>
      <c r="C688" s="473" t="s">
        <v>758</v>
      </c>
      <c r="D688" s="473" t="s">
        <v>236</v>
      </c>
      <c r="E688" s="473" t="s">
        <v>78</v>
      </c>
      <c r="F688" s="473" t="s">
        <v>78</v>
      </c>
      <c r="G688" s="473" t="s">
        <v>79</v>
      </c>
      <c r="H688" s="473" t="s">
        <v>354</v>
      </c>
      <c r="I688" s="473" t="s">
        <v>369</v>
      </c>
      <c r="J688" s="473">
        <v>37.72</v>
      </c>
      <c r="K688" s="473" t="s">
        <v>356</v>
      </c>
      <c r="L688" s="473">
        <v>37.68</v>
      </c>
      <c r="M688" s="473">
        <v>68</v>
      </c>
      <c r="N688" s="473"/>
      <c r="O688" s="475">
        <f t="shared" si="40"/>
        <v>2562.24</v>
      </c>
      <c r="P688" s="476">
        <v>15</v>
      </c>
      <c r="Q688" s="474">
        <f t="shared" si="41"/>
        <v>179.3568</v>
      </c>
      <c r="R688" s="475">
        <v>600</v>
      </c>
      <c r="S688" s="477">
        <f t="shared" si="42"/>
        <v>1767.8832</v>
      </c>
      <c r="T688" s="473"/>
      <c r="U688" s="473"/>
      <c r="V688" s="473"/>
      <c r="W688" s="419">
        <v>1</v>
      </c>
    </row>
    <row r="689" s="419" customFormat="1" ht="16" customHeight="1" spans="1:23">
      <c r="A689" s="472">
        <v>46197</v>
      </c>
      <c r="B689" s="472">
        <v>46198</v>
      </c>
      <c r="C689" s="473" t="s">
        <v>759</v>
      </c>
      <c r="D689" s="473" t="s">
        <v>236</v>
      </c>
      <c r="E689" s="473" t="s">
        <v>81</v>
      </c>
      <c r="F689" s="473" t="s">
        <v>81</v>
      </c>
      <c r="G689" s="473" t="s">
        <v>82</v>
      </c>
      <c r="H689" s="473" t="s">
        <v>354</v>
      </c>
      <c r="I689" s="473" t="s">
        <v>369</v>
      </c>
      <c r="J689" s="473">
        <v>37.48</v>
      </c>
      <c r="K689" s="473" t="s">
        <v>356</v>
      </c>
      <c r="L689" s="473">
        <v>37.46</v>
      </c>
      <c r="M689" s="473">
        <v>68</v>
      </c>
      <c r="N689" s="473"/>
      <c r="O689" s="475">
        <f t="shared" si="40"/>
        <v>2547.28</v>
      </c>
      <c r="P689" s="476">
        <v>15</v>
      </c>
      <c r="Q689" s="474">
        <f t="shared" si="41"/>
        <v>178.3096</v>
      </c>
      <c r="R689" s="475">
        <v>600</v>
      </c>
      <c r="S689" s="477">
        <f t="shared" si="42"/>
        <v>1753.9704</v>
      </c>
      <c r="T689" s="473"/>
      <c r="U689" s="473"/>
      <c r="V689" s="473"/>
      <c r="W689" s="419">
        <v>1</v>
      </c>
    </row>
    <row r="690" s="419" customFormat="1" ht="16" customHeight="1" spans="1:23">
      <c r="A690" s="472">
        <v>46197</v>
      </c>
      <c r="B690" s="472">
        <v>46198</v>
      </c>
      <c r="C690" s="473" t="s">
        <v>760</v>
      </c>
      <c r="D690" s="473" t="s">
        <v>236</v>
      </c>
      <c r="E690" s="473" t="s">
        <v>60</v>
      </c>
      <c r="F690" s="473" t="s">
        <v>60</v>
      </c>
      <c r="G690" s="473" t="s">
        <v>61</v>
      </c>
      <c r="H690" s="473" t="s">
        <v>354</v>
      </c>
      <c r="I690" s="473" t="s">
        <v>369</v>
      </c>
      <c r="J690" s="473">
        <v>37.62</v>
      </c>
      <c r="K690" s="473" t="s">
        <v>356</v>
      </c>
      <c r="L690" s="473">
        <v>37.58</v>
      </c>
      <c r="M690" s="473">
        <v>68</v>
      </c>
      <c r="N690" s="473"/>
      <c r="O690" s="475">
        <f t="shared" si="40"/>
        <v>2555.44</v>
      </c>
      <c r="P690" s="476">
        <v>15</v>
      </c>
      <c r="Q690" s="474">
        <f t="shared" si="41"/>
        <v>178.8808</v>
      </c>
      <c r="R690" s="475">
        <v>600</v>
      </c>
      <c r="S690" s="477">
        <f t="shared" si="42"/>
        <v>1761.5592</v>
      </c>
      <c r="T690" s="473"/>
      <c r="U690" s="473"/>
      <c r="V690" s="473"/>
      <c r="W690" s="419">
        <v>1</v>
      </c>
    </row>
    <row r="691" s="419" customFormat="1" ht="16" customHeight="1" spans="1:23">
      <c r="A691" s="472">
        <v>46197</v>
      </c>
      <c r="B691" s="472">
        <v>46198</v>
      </c>
      <c r="C691" s="473" t="s">
        <v>761</v>
      </c>
      <c r="D691" s="473" t="s">
        <v>236</v>
      </c>
      <c r="E691" s="473" t="s">
        <v>132</v>
      </c>
      <c r="F691" s="473" t="s">
        <v>132</v>
      </c>
      <c r="G691" s="473" t="s">
        <v>133</v>
      </c>
      <c r="H691" s="473" t="s">
        <v>354</v>
      </c>
      <c r="I691" s="473" t="s">
        <v>369</v>
      </c>
      <c r="J691" s="473">
        <v>37.48</v>
      </c>
      <c r="K691" s="473" t="s">
        <v>356</v>
      </c>
      <c r="L691" s="473">
        <v>37.48</v>
      </c>
      <c r="M691" s="473">
        <v>68</v>
      </c>
      <c r="N691" s="473"/>
      <c r="O691" s="475">
        <f t="shared" si="40"/>
        <v>2548.64</v>
      </c>
      <c r="P691" s="476">
        <v>15</v>
      </c>
      <c r="Q691" s="474">
        <f t="shared" si="41"/>
        <v>178.4048</v>
      </c>
      <c r="R691" s="475">
        <v>600</v>
      </c>
      <c r="S691" s="477">
        <f t="shared" si="42"/>
        <v>1755.2352</v>
      </c>
      <c r="T691" s="473"/>
      <c r="U691" s="473"/>
      <c r="V691" s="473"/>
      <c r="W691" s="419">
        <v>1</v>
      </c>
    </row>
    <row r="692" s="419" customFormat="1" ht="16" customHeight="1" spans="1:23">
      <c r="A692" s="472">
        <v>46197</v>
      </c>
      <c r="B692" s="472">
        <v>46199</v>
      </c>
      <c r="C692" s="473" t="s">
        <v>762</v>
      </c>
      <c r="D692" s="473" t="s">
        <v>236</v>
      </c>
      <c r="E692" s="473" t="s">
        <v>84</v>
      </c>
      <c r="F692" s="473" t="s">
        <v>84</v>
      </c>
      <c r="G692" s="473" t="s">
        <v>85</v>
      </c>
      <c r="H692" s="473" t="s">
        <v>354</v>
      </c>
      <c r="I692" s="473" t="s">
        <v>369</v>
      </c>
      <c r="J692" s="473">
        <v>39.48</v>
      </c>
      <c r="K692" s="473" t="s">
        <v>356</v>
      </c>
      <c r="L692" s="473">
        <v>39.48</v>
      </c>
      <c r="M692" s="473">
        <v>68</v>
      </c>
      <c r="N692" s="473"/>
      <c r="O692" s="475">
        <f t="shared" si="40"/>
        <v>2684.64</v>
      </c>
      <c r="P692" s="476">
        <v>15</v>
      </c>
      <c r="Q692" s="474">
        <f t="shared" si="41"/>
        <v>187.9248</v>
      </c>
      <c r="R692" s="475">
        <v>600</v>
      </c>
      <c r="S692" s="477">
        <f t="shared" si="42"/>
        <v>1881.7152</v>
      </c>
      <c r="T692" s="473"/>
      <c r="U692" s="473"/>
      <c r="V692" s="473"/>
      <c r="W692" s="419">
        <v>1</v>
      </c>
    </row>
    <row r="693" s="419" customFormat="1" ht="16" customHeight="1" spans="1:23">
      <c r="A693" s="472">
        <v>46197</v>
      </c>
      <c r="B693" s="472">
        <v>46198</v>
      </c>
      <c r="C693" s="473" t="s">
        <v>763</v>
      </c>
      <c r="D693" s="473" t="s">
        <v>236</v>
      </c>
      <c r="E693" s="473" t="s">
        <v>99</v>
      </c>
      <c r="F693" s="473" t="s">
        <v>99</v>
      </c>
      <c r="G693" s="473" t="s">
        <v>100</v>
      </c>
      <c r="H693" s="473" t="s">
        <v>354</v>
      </c>
      <c r="I693" s="473" t="s">
        <v>369</v>
      </c>
      <c r="J693" s="473">
        <v>37.36</v>
      </c>
      <c r="K693" s="473" t="s">
        <v>356</v>
      </c>
      <c r="L693" s="473">
        <v>37.32</v>
      </c>
      <c r="M693" s="473">
        <v>68</v>
      </c>
      <c r="N693" s="473"/>
      <c r="O693" s="475">
        <f t="shared" si="40"/>
        <v>2537.76</v>
      </c>
      <c r="P693" s="476">
        <v>15</v>
      </c>
      <c r="Q693" s="474">
        <f t="shared" si="41"/>
        <v>177.6432</v>
      </c>
      <c r="R693" s="475">
        <v>600</v>
      </c>
      <c r="S693" s="477">
        <f t="shared" si="42"/>
        <v>1745.1168</v>
      </c>
      <c r="T693" s="473"/>
      <c r="U693" s="473"/>
      <c r="V693" s="473"/>
      <c r="W693" s="419">
        <v>1</v>
      </c>
    </row>
    <row r="694" s="419" customFormat="1" ht="16" customHeight="1" spans="1:23">
      <c r="A694" s="472">
        <v>46197</v>
      </c>
      <c r="B694" s="472">
        <v>46198</v>
      </c>
      <c r="C694" s="473" t="s">
        <v>764</v>
      </c>
      <c r="D694" s="473" t="s">
        <v>236</v>
      </c>
      <c r="E694" s="473" t="s">
        <v>141</v>
      </c>
      <c r="F694" s="473" t="s">
        <v>141</v>
      </c>
      <c r="G694" s="473" t="s">
        <v>142</v>
      </c>
      <c r="H694" s="473" t="s">
        <v>354</v>
      </c>
      <c r="I694" s="473" t="s">
        <v>369</v>
      </c>
      <c r="J694" s="473">
        <v>39.58</v>
      </c>
      <c r="K694" s="473" t="s">
        <v>356</v>
      </c>
      <c r="L694" s="473">
        <v>39.52</v>
      </c>
      <c r="M694" s="473">
        <v>68</v>
      </c>
      <c r="N694" s="473"/>
      <c r="O694" s="475">
        <f t="shared" si="40"/>
        <v>2687.36</v>
      </c>
      <c r="P694" s="476">
        <v>15</v>
      </c>
      <c r="Q694" s="474">
        <f t="shared" si="41"/>
        <v>188.1152</v>
      </c>
      <c r="R694" s="475">
        <v>600</v>
      </c>
      <c r="S694" s="477">
        <f t="shared" si="42"/>
        <v>1884.2448</v>
      </c>
      <c r="T694" s="473"/>
      <c r="U694" s="473"/>
      <c r="V694" s="473"/>
      <c r="W694" s="419">
        <v>1</v>
      </c>
    </row>
    <row r="695" s="419" customFormat="1" ht="16" customHeight="1" spans="1:23">
      <c r="A695" s="472">
        <v>46197</v>
      </c>
      <c r="B695" s="472">
        <v>46198</v>
      </c>
      <c r="C695" s="473" t="s">
        <v>765</v>
      </c>
      <c r="D695" s="473" t="s">
        <v>236</v>
      </c>
      <c r="E695" s="473" t="s">
        <v>63</v>
      </c>
      <c r="F695" s="473" t="s">
        <v>63</v>
      </c>
      <c r="G695" s="473" t="s">
        <v>327</v>
      </c>
      <c r="H695" s="473" t="s">
        <v>354</v>
      </c>
      <c r="I695" s="473" t="s">
        <v>369</v>
      </c>
      <c r="J695" s="473">
        <v>37.46</v>
      </c>
      <c r="K695" s="473" t="s">
        <v>356</v>
      </c>
      <c r="L695" s="473">
        <v>37.4</v>
      </c>
      <c r="M695" s="473">
        <v>68</v>
      </c>
      <c r="N695" s="473"/>
      <c r="O695" s="475">
        <f t="shared" si="40"/>
        <v>2543.2</v>
      </c>
      <c r="P695" s="476">
        <v>15</v>
      </c>
      <c r="Q695" s="474">
        <f t="shared" si="41"/>
        <v>178.024</v>
      </c>
      <c r="R695" s="475">
        <v>600</v>
      </c>
      <c r="S695" s="477">
        <f t="shared" si="42"/>
        <v>1750.176</v>
      </c>
      <c r="T695" s="473"/>
      <c r="U695" s="473"/>
      <c r="V695" s="473"/>
      <c r="W695" s="419">
        <v>1</v>
      </c>
    </row>
    <row r="696" s="419" customFormat="1" ht="16" customHeight="1" spans="1:23">
      <c r="A696" s="472">
        <v>46196</v>
      </c>
      <c r="B696" s="472">
        <v>46198</v>
      </c>
      <c r="C696" s="473" t="s">
        <v>766</v>
      </c>
      <c r="D696" s="473" t="s">
        <v>233</v>
      </c>
      <c r="E696" s="473" t="s">
        <v>93</v>
      </c>
      <c r="F696" s="473" t="s">
        <v>93</v>
      </c>
      <c r="G696" s="473" t="s">
        <v>94</v>
      </c>
      <c r="H696" s="473" t="s">
        <v>354</v>
      </c>
      <c r="I696" s="473" t="s">
        <v>355</v>
      </c>
      <c r="J696" s="473">
        <v>38.92</v>
      </c>
      <c r="K696" s="473" t="s">
        <v>356</v>
      </c>
      <c r="L696" s="473">
        <v>38.92</v>
      </c>
      <c r="M696" s="473">
        <v>67</v>
      </c>
      <c r="N696" s="473"/>
      <c r="O696" s="475">
        <f t="shared" si="40"/>
        <v>2607.64</v>
      </c>
      <c r="P696" s="476">
        <v>15</v>
      </c>
      <c r="Q696" s="474">
        <f t="shared" si="41"/>
        <v>182.5348</v>
      </c>
      <c r="R696" s="475">
        <v>600</v>
      </c>
      <c r="S696" s="477">
        <f t="shared" si="42"/>
        <v>1810.1052</v>
      </c>
      <c r="T696" s="473"/>
      <c r="U696" s="473"/>
      <c r="V696" s="473"/>
      <c r="W696" s="419">
        <v>1</v>
      </c>
    </row>
    <row r="697" s="419" customFormat="1" ht="16" customHeight="1" spans="1:23">
      <c r="A697" s="472">
        <v>46197</v>
      </c>
      <c r="B697" s="472">
        <v>46198</v>
      </c>
      <c r="C697" s="473" t="s">
        <v>767</v>
      </c>
      <c r="D697" s="473" t="s">
        <v>233</v>
      </c>
      <c r="E697" s="473" t="s">
        <v>111</v>
      </c>
      <c r="F697" s="473" t="s">
        <v>111</v>
      </c>
      <c r="G697" s="473" t="s">
        <v>112</v>
      </c>
      <c r="H697" s="473" t="s">
        <v>354</v>
      </c>
      <c r="I697" s="473" t="s">
        <v>355</v>
      </c>
      <c r="J697" s="473">
        <v>38.82</v>
      </c>
      <c r="K697" s="473" t="s">
        <v>356</v>
      </c>
      <c r="L697" s="473">
        <v>38.8</v>
      </c>
      <c r="M697" s="473">
        <v>67</v>
      </c>
      <c r="N697" s="473"/>
      <c r="O697" s="475">
        <f t="shared" si="40"/>
        <v>2599.6</v>
      </c>
      <c r="P697" s="476">
        <v>15</v>
      </c>
      <c r="Q697" s="474">
        <f t="shared" si="41"/>
        <v>181.972</v>
      </c>
      <c r="R697" s="475">
        <v>600</v>
      </c>
      <c r="S697" s="477">
        <f t="shared" si="42"/>
        <v>1802.628</v>
      </c>
      <c r="T697" s="473"/>
      <c r="U697" s="473"/>
      <c r="V697" s="473"/>
      <c r="W697" s="419">
        <v>1</v>
      </c>
    </row>
    <row r="698" s="419" customFormat="1" ht="16" customHeight="1" spans="1:23">
      <c r="A698" s="472">
        <v>46197</v>
      </c>
      <c r="B698" s="472">
        <v>46198</v>
      </c>
      <c r="C698" s="473" t="s">
        <v>768</v>
      </c>
      <c r="D698" s="473" t="s">
        <v>233</v>
      </c>
      <c r="E698" s="473" t="s">
        <v>90</v>
      </c>
      <c r="F698" s="473" t="s">
        <v>90</v>
      </c>
      <c r="G698" s="473" t="s">
        <v>91</v>
      </c>
      <c r="H698" s="473" t="s">
        <v>354</v>
      </c>
      <c r="I698" s="473" t="s">
        <v>355</v>
      </c>
      <c r="J698" s="473">
        <v>39.26</v>
      </c>
      <c r="K698" s="473" t="s">
        <v>356</v>
      </c>
      <c r="L698" s="473">
        <v>39.26</v>
      </c>
      <c r="M698" s="473">
        <v>67</v>
      </c>
      <c r="N698" s="473"/>
      <c r="O698" s="475">
        <f t="shared" si="40"/>
        <v>2630.42</v>
      </c>
      <c r="P698" s="476">
        <v>15</v>
      </c>
      <c r="Q698" s="474">
        <f t="shared" si="41"/>
        <v>184.1294</v>
      </c>
      <c r="R698" s="475">
        <v>600</v>
      </c>
      <c r="S698" s="477">
        <f t="shared" si="42"/>
        <v>1831.2906</v>
      </c>
      <c r="T698" s="473"/>
      <c r="U698" s="473"/>
      <c r="V698" s="473"/>
      <c r="W698" s="419">
        <v>1</v>
      </c>
    </row>
    <row r="699" s="419" customFormat="1" ht="16" customHeight="1" spans="1:23">
      <c r="A699" s="472">
        <v>46197</v>
      </c>
      <c r="B699" s="472">
        <v>46199</v>
      </c>
      <c r="C699" s="473" t="s">
        <v>769</v>
      </c>
      <c r="D699" s="473" t="s">
        <v>233</v>
      </c>
      <c r="E699" s="473"/>
      <c r="F699" s="473" t="s">
        <v>66</v>
      </c>
      <c r="G699" s="473" t="s">
        <v>67</v>
      </c>
      <c r="H699" s="473" t="s">
        <v>354</v>
      </c>
      <c r="I699" s="473" t="s">
        <v>355</v>
      </c>
      <c r="J699" s="473">
        <v>39.5</v>
      </c>
      <c r="K699" s="473" t="s">
        <v>356</v>
      </c>
      <c r="L699" s="473">
        <v>39.48</v>
      </c>
      <c r="M699" s="473">
        <v>67</v>
      </c>
      <c r="N699" s="473"/>
      <c r="O699" s="475">
        <f t="shared" si="40"/>
        <v>2645.16</v>
      </c>
      <c r="P699" s="476">
        <v>15</v>
      </c>
      <c r="Q699" s="474">
        <f t="shared" si="41"/>
        <v>185.1612</v>
      </c>
      <c r="R699" s="475">
        <v>600</v>
      </c>
      <c r="S699" s="477">
        <f t="shared" si="42"/>
        <v>1844.9988</v>
      </c>
      <c r="T699" s="473"/>
      <c r="U699" s="473"/>
      <c r="V699" s="473"/>
      <c r="W699" s="419">
        <v>1</v>
      </c>
    </row>
    <row r="700" s="419" customFormat="1" ht="16" customHeight="1" spans="1:23">
      <c r="A700" s="472">
        <v>46197</v>
      </c>
      <c r="B700" s="472">
        <v>46198</v>
      </c>
      <c r="C700" s="473" t="s">
        <v>770</v>
      </c>
      <c r="D700" s="473" t="s">
        <v>233</v>
      </c>
      <c r="E700" s="473" t="s">
        <v>138</v>
      </c>
      <c r="F700" s="473" t="s">
        <v>138</v>
      </c>
      <c r="G700" s="473" t="s">
        <v>139</v>
      </c>
      <c r="H700" s="473" t="s">
        <v>354</v>
      </c>
      <c r="I700" s="473" t="s">
        <v>355</v>
      </c>
      <c r="J700" s="473">
        <v>39.84</v>
      </c>
      <c r="K700" s="473" t="s">
        <v>356</v>
      </c>
      <c r="L700" s="473">
        <v>39.82</v>
      </c>
      <c r="M700" s="473">
        <v>67</v>
      </c>
      <c r="N700" s="473"/>
      <c r="O700" s="475">
        <f t="shared" si="40"/>
        <v>2667.94</v>
      </c>
      <c r="P700" s="476">
        <v>15</v>
      </c>
      <c r="Q700" s="474">
        <f t="shared" si="41"/>
        <v>186.7558</v>
      </c>
      <c r="R700" s="475">
        <v>600</v>
      </c>
      <c r="S700" s="477">
        <f t="shared" si="42"/>
        <v>1866.1842</v>
      </c>
      <c r="T700" s="473"/>
      <c r="U700" s="473"/>
      <c r="V700" s="473"/>
      <c r="W700" s="419">
        <v>1</v>
      </c>
    </row>
    <row r="701" s="419" customFormat="1" ht="16" customHeight="1" spans="1:23">
      <c r="A701" s="472">
        <v>46197</v>
      </c>
      <c r="B701" s="472">
        <v>46198</v>
      </c>
      <c r="C701" s="473" t="s">
        <v>771</v>
      </c>
      <c r="D701" s="473" t="s">
        <v>233</v>
      </c>
      <c r="E701" s="473" t="s">
        <v>130</v>
      </c>
      <c r="F701" s="473" t="s">
        <v>130</v>
      </c>
      <c r="G701" s="473" t="s">
        <v>122</v>
      </c>
      <c r="H701" s="473" t="s">
        <v>354</v>
      </c>
      <c r="I701" s="473" t="s">
        <v>355</v>
      </c>
      <c r="J701" s="473">
        <v>38.48</v>
      </c>
      <c r="K701" s="473" t="s">
        <v>356</v>
      </c>
      <c r="L701" s="473">
        <v>38.48</v>
      </c>
      <c r="M701" s="473">
        <v>67</v>
      </c>
      <c r="N701" s="473"/>
      <c r="O701" s="475">
        <f t="shared" si="40"/>
        <v>2578.16</v>
      </c>
      <c r="P701" s="476">
        <v>15</v>
      </c>
      <c r="Q701" s="474">
        <f t="shared" si="41"/>
        <v>180.4712</v>
      </c>
      <c r="R701" s="475">
        <v>600</v>
      </c>
      <c r="S701" s="477">
        <f t="shared" si="42"/>
        <v>1782.6888</v>
      </c>
      <c r="T701" s="473"/>
      <c r="U701" s="473"/>
      <c r="V701" s="473"/>
      <c r="W701" s="419">
        <v>1</v>
      </c>
    </row>
    <row r="702" s="419" customFormat="1" ht="16" customHeight="1" spans="1:23">
      <c r="A702" s="472">
        <v>46197</v>
      </c>
      <c r="B702" s="472">
        <v>46197</v>
      </c>
      <c r="C702" s="473"/>
      <c r="D702" s="473" t="s">
        <v>235</v>
      </c>
      <c r="E702" s="473" t="s">
        <v>90</v>
      </c>
      <c r="F702" s="473" t="s">
        <v>90</v>
      </c>
      <c r="G702" s="473" t="s">
        <v>91</v>
      </c>
      <c r="H702" s="473" t="s">
        <v>368</v>
      </c>
      <c r="I702" s="473" t="s">
        <v>356</v>
      </c>
      <c r="J702" s="473">
        <v>44.7</v>
      </c>
      <c r="K702" s="473" t="s">
        <v>369</v>
      </c>
      <c r="L702" s="473">
        <v>44.68</v>
      </c>
      <c r="M702" s="473">
        <v>48</v>
      </c>
      <c r="N702" s="473"/>
      <c r="O702" s="475">
        <f t="shared" si="40"/>
        <v>2144.64</v>
      </c>
      <c r="P702" s="476">
        <v>15</v>
      </c>
      <c r="Q702" s="474">
        <f t="shared" si="41"/>
        <v>150.1248</v>
      </c>
      <c r="R702" s="475">
        <v>600</v>
      </c>
      <c r="S702" s="477">
        <f t="shared" si="42"/>
        <v>1379.5152</v>
      </c>
      <c r="T702" s="473"/>
      <c r="U702" s="473"/>
      <c r="V702" s="473"/>
      <c r="W702" s="419">
        <v>1</v>
      </c>
    </row>
    <row r="703" s="419" customFormat="1" ht="16" customHeight="1" spans="1:23">
      <c r="A703" s="472">
        <v>46197</v>
      </c>
      <c r="B703" s="472">
        <v>46198</v>
      </c>
      <c r="C703" s="473" t="s">
        <v>772</v>
      </c>
      <c r="D703" s="473" t="s">
        <v>237</v>
      </c>
      <c r="E703" s="473" t="s">
        <v>180</v>
      </c>
      <c r="F703" s="473" t="s">
        <v>180</v>
      </c>
      <c r="G703" s="473" t="s">
        <v>181</v>
      </c>
      <c r="H703" s="473" t="s">
        <v>354</v>
      </c>
      <c r="I703" s="473" t="s">
        <v>407</v>
      </c>
      <c r="J703" s="473">
        <v>40.18</v>
      </c>
      <c r="K703" s="473" t="s">
        <v>356</v>
      </c>
      <c r="L703" s="473">
        <v>40.18</v>
      </c>
      <c r="M703" s="473">
        <v>87</v>
      </c>
      <c r="N703" s="473"/>
      <c r="O703" s="475">
        <f t="shared" si="40"/>
        <v>3495.66</v>
      </c>
      <c r="P703" s="476">
        <v>15</v>
      </c>
      <c r="Q703" s="474">
        <f t="shared" si="41"/>
        <v>244.6962</v>
      </c>
      <c r="R703" s="475">
        <v>800</v>
      </c>
      <c r="S703" s="477">
        <f t="shared" si="42"/>
        <v>2435.9638</v>
      </c>
      <c r="T703" s="473"/>
      <c r="U703" s="473"/>
      <c r="V703" s="473"/>
      <c r="W703" s="419">
        <v>1</v>
      </c>
    </row>
    <row r="704" s="419" customFormat="1" ht="16" customHeight="1" spans="1:23">
      <c r="A704" s="472">
        <v>46197</v>
      </c>
      <c r="B704" s="472">
        <v>46198</v>
      </c>
      <c r="C704" s="473" t="s">
        <v>773</v>
      </c>
      <c r="D704" s="473" t="s">
        <v>237</v>
      </c>
      <c r="E704" s="473" t="s">
        <v>144</v>
      </c>
      <c r="F704" s="473" t="s">
        <v>144</v>
      </c>
      <c r="G704" s="473" t="s">
        <v>774</v>
      </c>
      <c r="H704" s="473" t="s">
        <v>354</v>
      </c>
      <c r="I704" s="473" t="s">
        <v>407</v>
      </c>
      <c r="J704" s="473">
        <v>39.3</v>
      </c>
      <c r="K704" s="473" t="s">
        <v>356</v>
      </c>
      <c r="L704" s="473">
        <v>39.3</v>
      </c>
      <c r="M704" s="473">
        <v>87</v>
      </c>
      <c r="N704" s="473"/>
      <c r="O704" s="475">
        <f t="shared" si="40"/>
        <v>3419.1</v>
      </c>
      <c r="P704" s="476">
        <v>15</v>
      </c>
      <c r="Q704" s="474">
        <f t="shared" si="41"/>
        <v>239.337</v>
      </c>
      <c r="R704" s="475">
        <v>800</v>
      </c>
      <c r="S704" s="477">
        <f t="shared" si="42"/>
        <v>2364.763</v>
      </c>
      <c r="T704" s="473"/>
      <c r="U704" s="473"/>
      <c r="V704" s="473"/>
      <c r="W704" s="419">
        <v>1</v>
      </c>
    </row>
    <row r="705" s="419" customFormat="1" ht="16" customHeight="1" spans="1:23">
      <c r="A705" s="472">
        <v>46197</v>
      </c>
      <c r="B705" s="472">
        <v>46198</v>
      </c>
      <c r="C705" s="473" t="s">
        <v>775</v>
      </c>
      <c r="D705" s="473" t="s">
        <v>237</v>
      </c>
      <c r="E705" s="473" t="s">
        <v>339</v>
      </c>
      <c r="F705" s="473" t="s">
        <v>339</v>
      </c>
      <c r="G705" s="473" t="s">
        <v>170</v>
      </c>
      <c r="H705" s="473" t="s">
        <v>354</v>
      </c>
      <c r="I705" s="473" t="s">
        <v>407</v>
      </c>
      <c r="J705" s="473">
        <v>40.16</v>
      </c>
      <c r="K705" s="473" t="s">
        <v>356</v>
      </c>
      <c r="L705" s="473">
        <v>40.16</v>
      </c>
      <c r="M705" s="473">
        <v>87</v>
      </c>
      <c r="N705" s="473"/>
      <c r="O705" s="475">
        <f t="shared" si="40"/>
        <v>3493.92</v>
      </c>
      <c r="P705" s="476">
        <v>15</v>
      </c>
      <c r="Q705" s="474">
        <f t="shared" si="41"/>
        <v>244.5744</v>
      </c>
      <c r="R705" s="475">
        <v>800</v>
      </c>
      <c r="S705" s="477">
        <f t="shared" si="42"/>
        <v>2434.3456</v>
      </c>
      <c r="T705" s="473"/>
      <c r="U705" s="473"/>
      <c r="V705" s="473"/>
      <c r="W705" s="419">
        <v>1</v>
      </c>
    </row>
    <row r="706" s="419" customFormat="1" ht="16" customHeight="1" spans="1:23">
      <c r="A706" s="472">
        <v>46197</v>
      </c>
      <c r="B706" s="472">
        <v>46197</v>
      </c>
      <c r="C706" s="473" t="s">
        <v>776</v>
      </c>
      <c r="D706" s="473" t="s">
        <v>233</v>
      </c>
      <c r="E706" s="473" t="s">
        <v>186</v>
      </c>
      <c r="F706" s="473" t="s">
        <v>186</v>
      </c>
      <c r="G706" s="473" t="s">
        <v>187</v>
      </c>
      <c r="H706" s="473" t="s">
        <v>354</v>
      </c>
      <c r="I706" s="473" t="s">
        <v>355</v>
      </c>
      <c r="J706" s="473">
        <v>44.72</v>
      </c>
      <c r="K706" s="473" t="s">
        <v>356</v>
      </c>
      <c r="L706" s="473">
        <v>44.7</v>
      </c>
      <c r="M706" s="473">
        <v>67</v>
      </c>
      <c r="N706" s="473"/>
      <c r="O706" s="475">
        <f t="shared" si="40"/>
        <v>2994.9</v>
      </c>
      <c r="P706" s="476">
        <v>15</v>
      </c>
      <c r="Q706" s="474">
        <f t="shared" si="41"/>
        <v>209.643</v>
      </c>
      <c r="R706" s="475">
        <v>600</v>
      </c>
      <c r="S706" s="477">
        <f t="shared" si="42"/>
        <v>2170.257</v>
      </c>
      <c r="T706" s="473"/>
      <c r="U706" s="473"/>
      <c r="V706" s="473"/>
      <c r="W706" s="419">
        <v>1</v>
      </c>
    </row>
    <row r="707" s="419" customFormat="1" ht="16" customHeight="1" spans="1:23">
      <c r="A707" s="472">
        <v>46197</v>
      </c>
      <c r="B707" s="472">
        <v>46199</v>
      </c>
      <c r="C707" s="473" t="s">
        <v>777</v>
      </c>
      <c r="D707" s="473" t="s">
        <v>237</v>
      </c>
      <c r="E707" s="473" t="s">
        <v>148</v>
      </c>
      <c r="F707" s="473" t="s">
        <v>148</v>
      </c>
      <c r="G707" s="473" t="s">
        <v>149</v>
      </c>
      <c r="H707" s="473" t="s">
        <v>354</v>
      </c>
      <c r="I707" s="473" t="s">
        <v>407</v>
      </c>
      <c r="J707" s="473">
        <v>40.92</v>
      </c>
      <c r="K707" s="473" t="s">
        <v>356</v>
      </c>
      <c r="L707" s="473">
        <v>40.92</v>
      </c>
      <c r="M707" s="473">
        <v>87</v>
      </c>
      <c r="N707" s="473"/>
      <c r="O707" s="475">
        <f t="shared" si="40"/>
        <v>3560.04</v>
      </c>
      <c r="P707" s="476">
        <v>15</v>
      </c>
      <c r="Q707" s="474">
        <f t="shared" si="41"/>
        <v>249.2028</v>
      </c>
      <c r="R707" s="475">
        <v>800</v>
      </c>
      <c r="S707" s="477">
        <f t="shared" si="42"/>
        <v>2495.8372</v>
      </c>
      <c r="T707" s="473"/>
      <c r="U707" s="473"/>
      <c r="V707" s="473"/>
      <c r="W707" s="419">
        <v>1</v>
      </c>
    </row>
    <row r="708" s="419" customFormat="1" ht="16" customHeight="1" spans="1:23">
      <c r="A708" s="472">
        <v>46197</v>
      </c>
      <c r="B708" s="472">
        <v>46199</v>
      </c>
      <c r="C708" s="473" t="s">
        <v>778</v>
      </c>
      <c r="D708" s="473" t="s">
        <v>237</v>
      </c>
      <c r="E708" s="473" t="s">
        <v>189</v>
      </c>
      <c r="F708" s="473" t="s">
        <v>189</v>
      </c>
      <c r="G708" s="473" t="s">
        <v>190</v>
      </c>
      <c r="H708" s="473" t="s">
        <v>354</v>
      </c>
      <c r="I708" s="473" t="s">
        <v>407</v>
      </c>
      <c r="J708" s="473">
        <v>40.42</v>
      </c>
      <c r="K708" s="473" t="s">
        <v>356</v>
      </c>
      <c r="L708" s="473">
        <v>40.38</v>
      </c>
      <c r="M708" s="473">
        <v>87</v>
      </c>
      <c r="N708" s="473"/>
      <c r="O708" s="475">
        <f t="shared" si="40"/>
        <v>3513.06</v>
      </c>
      <c r="P708" s="476">
        <v>15</v>
      </c>
      <c r="Q708" s="474">
        <f t="shared" si="41"/>
        <v>245.9142</v>
      </c>
      <c r="R708" s="475">
        <v>800</v>
      </c>
      <c r="S708" s="477">
        <f t="shared" si="42"/>
        <v>2452.1458</v>
      </c>
      <c r="T708" s="473"/>
      <c r="U708" s="473"/>
      <c r="V708" s="473"/>
      <c r="W708" s="419">
        <v>1</v>
      </c>
    </row>
    <row r="709" s="420" customFormat="1" ht="16" customHeight="1" spans="1:23">
      <c r="A709" s="472">
        <v>46198</v>
      </c>
      <c r="B709" s="472">
        <v>46199</v>
      </c>
      <c r="C709" s="473" t="s">
        <v>779</v>
      </c>
      <c r="D709" s="473" t="s">
        <v>237</v>
      </c>
      <c r="E709" s="473" t="s">
        <v>87</v>
      </c>
      <c r="F709" s="473" t="s">
        <v>87</v>
      </c>
      <c r="G709" s="473" t="s">
        <v>88</v>
      </c>
      <c r="H709" s="473" t="s">
        <v>354</v>
      </c>
      <c r="I709" s="473" t="s">
        <v>407</v>
      </c>
      <c r="J709" s="473">
        <v>42.54</v>
      </c>
      <c r="K709" s="473" t="s">
        <v>356</v>
      </c>
      <c r="L709" s="473">
        <v>42.54</v>
      </c>
      <c r="M709" s="473">
        <v>87</v>
      </c>
      <c r="N709" s="473"/>
      <c r="O709" s="474">
        <f t="shared" si="40"/>
        <v>3700.98</v>
      </c>
      <c r="P709" s="476">
        <v>15</v>
      </c>
      <c r="Q709" s="474">
        <f t="shared" si="41"/>
        <v>259.0686</v>
      </c>
      <c r="R709" s="475">
        <v>800</v>
      </c>
      <c r="S709" s="477">
        <f t="shared" si="42"/>
        <v>2626.9114</v>
      </c>
      <c r="T709" s="473"/>
      <c r="U709" s="473"/>
      <c r="V709" s="473"/>
      <c r="W709" s="419">
        <v>1</v>
      </c>
    </row>
    <row r="710" s="420" customFormat="1" ht="16" customHeight="1" spans="1:23">
      <c r="A710" s="472">
        <v>46198</v>
      </c>
      <c r="B710" s="472">
        <v>46199</v>
      </c>
      <c r="C710" s="473" t="s">
        <v>780</v>
      </c>
      <c r="D710" s="473" t="s">
        <v>237</v>
      </c>
      <c r="E710" s="473" t="s">
        <v>69</v>
      </c>
      <c r="F710" s="473" t="s">
        <v>69</v>
      </c>
      <c r="G710" s="473" t="s">
        <v>70</v>
      </c>
      <c r="H710" s="473" t="s">
        <v>354</v>
      </c>
      <c r="I710" s="473" t="s">
        <v>407</v>
      </c>
      <c r="J710" s="473">
        <v>42.58</v>
      </c>
      <c r="K710" s="473" t="s">
        <v>356</v>
      </c>
      <c r="L710" s="473">
        <v>42.58</v>
      </c>
      <c r="M710" s="473">
        <v>87</v>
      </c>
      <c r="N710" s="473"/>
      <c r="O710" s="474">
        <f t="shared" si="40"/>
        <v>3704.46</v>
      </c>
      <c r="P710" s="476">
        <v>15</v>
      </c>
      <c r="Q710" s="474">
        <f t="shared" si="41"/>
        <v>259.3122</v>
      </c>
      <c r="R710" s="475">
        <v>800</v>
      </c>
      <c r="S710" s="477">
        <f t="shared" si="42"/>
        <v>2630.1478</v>
      </c>
      <c r="T710" s="473"/>
      <c r="U710" s="473"/>
      <c r="V710" s="473"/>
      <c r="W710" s="419">
        <v>1</v>
      </c>
    </row>
    <row r="711" s="420" customFormat="1" ht="16" customHeight="1" spans="1:23">
      <c r="A711" s="472">
        <v>46198</v>
      </c>
      <c r="B711" s="472">
        <v>46199</v>
      </c>
      <c r="C711" s="473" t="s">
        <v>781</v>
      </c>
      <c r="D711" s="473" t="s">
        <v>236</v>
      </c>
      <c r="E711" s="473" t="s">
        <v>127</v>
      </c>
      <c r="F711" s="473" t="s">
        <v>127</v>
      </c>
      <c r="G711" s="473" t="s">
        <v>128</v>
      </c>
      <c r="H711" s="473" t="s">
        <v>354</v>
      </c>
      <c r="I711" s="473" t="s">
        <v>369</v>
      </c>
      <c r="J711" s="473">
        <v>37.82</v>
      </c>
      <c r="K711" s="473" t="s">
        <v>356</v>
      </c>
      <c r="L711" s="473">
        <v>37.8</v>
      </c>
      <c r="M711" s="473">
        <v>68</v>
      </c>
      <c r="N711" s="473"/>
      <c r="O711" s="474">
        <f t="shared" si="40"/>
        <v>2570.4</v>
      </c>
      <c r="P711" s="476">
        <v>15</v>
      </c>
      <c r="Q711" s="474">
        <f t="shared" si="41"/>
        <v>179.928</v>
      </c>
      <c r="R711" s="475">
        <v>600</v>
      </c>
      <c r="S711" s="477">
        <f t="shared" si="42"/>
        <v>1775.472</v>
      </c>
      <c r="T711" s="473"/>
      <c r="U711" s="473"/>
      <c r="V711" s="473"/>
      <c r="W711" s="419">
        <v>1</v>
      </c>
    </row>
    <row r="712" s="420" customFormat="1" ht="16" customHeight="1" spans="1:23">
      <c r="A712" s="472">
        <v>46198</v>
      </c>
      <c r="B712" s="472">
        <v>46199</v>
      </c>
      <c r="C712" s="473" t="s">
        <v>782</v>
      </c>
      <c r="D712" s="473" t="s">
        <v>236</v>
      </c>
      <c r="E712" s="473" t="s">
        <v>124</v>
      </c>
      <c r="F712" s="473" t="s">
        <v>124</v>
      </c>
      <c r="G712" s="473" t="s">
        <v>125</v>
      </c>
      <c r="H712" s="473" t="s">
        <v>354</v>
      </c>
      <c r="I712" s="473" t="s">
        <v>369</v>
      </c>
      <c r="J712" s="473">
        <v>37.04</v>
      </c>
      <c r="K712" s="473" t="s">
        <v>356</v>
      </c>
      <c r="L712" s="473">
        <v>37.04</v>
      </c>
      <c r="M712" s="473">
        <v>68</v>
      </c>
      <c r="N712" s="473"/>
      <c r="O712" s="474">
        <f t="shared" si="40"/>
        <v>2518.72</v>
      </c>
      <c r="P712" s="476">
        <v>15</v>
      </c>
      <c r="Q712" s="474">
        <f t="shared" si="41"/>
        <v>176.3104</v>
      </c>
      <c r="R712" s="475">
        <v>600</v>
      </c>
      <c r="S712" s="477">
        <f t="shared" si="42"/>
        <v>1727.4096</v>
      </c>
      <c r="T712" s="473"/>
      <c r="U712" s="473"/>
      <c r="V712" s="473"/>
      <c r="W712" s="419">
        <v>1</v>
      </c>
    </row>
    <row r="713" s="420" customFormat="1" ht="16" customHeight="1" spans="1:23">
      <c r="A713" s="472">
        <v>46198</v>
      </c>
      <c r="B713" s="472">
        <v>46199</v>
      </c>
      <c r="C713" s="473" t="s">
        <v>783</v>
      </c>
      <c r="D713" s="473" t="s">
        <v>236</v>
      </c>
      <c r="E713" s="473" t="s">
        <v>102</v>
      </c>
      <c r="F713" s="473" t="s">
        <v>102</v>
      </c>
      <c r="G713" s="473" t="s">
        <v>103</v>
      </c>
      <c r="H713" s="473" t="s">
        <v>354</v>
      </c>
      <c r="I713" s="473" t="s">
        <v>369</v>
      </c>
      <c r="J713" s="473">
        <v>36.9</v>
      </c>
      <c r="K713" s="473" t="s">
        <v>356</v>
      </c>
      <c r="L713" s="473">
        <v>36.88</v>
      </c>
      <c r="M713" s="473">
        <v>68</v>
      </c>
      <c r="N713" s="473"/>
      <c r="O713" s="474">
        <f t="shared" ref="O713:O720" si="43">L713*M713+300</f>
        <v>2807.84</v>
      </c>
      <c r="P713" s="476">
        <v>15</v>
      </c>
      <c r="Q713" s="474">
        <f t="shared" si="41"/>
        <v>196.5488</v>
      </c>
      <c r="R713" s="476">
        <v>800</v>
      </c>
      <c r="S713" s="477">
        <f t="shared" si="42"/>
        <v>1796.2912</v>
      </c>
      <c r="T713" s="473"/>
      <c r="U713" s="473"/>
      <c r="V713" s="473"/>
      <c r="W713" s="419">
        <v>1</v>
      </c>
    </row>
    <row r="714" s="420" customFormat="1" ht="16" customHeight="1" spans="1:23">
      <c r="A714" s="472">
        <v>46198</v>
      </c>
      <c r="B714" s="472">
        <v>46199</v>
      </c>
      <c r="C714" s="473" t="s">
        <v>784</v>
      </c>
      <c r="D714" s="473" t="s">
        <v>236</v>
      </c>
      <c r="E714" s="473" t="s">
        <v>105</v>
      </c>
      <c r="F714" s="473" t="s">
        <v>105</v>
      </c>
      <c r="G714" s="473" t="s">
        <v>58</v>
      </c>
      <c r="H714" s="473" t="s">
        <v>354</v>
      </c>
      <c r="I714" s="473" t="s">
        <v>369</v>
      </c>
      <c r="J714" s="473">
        <v>37.48</v>
      </c>
      <c r="K714" s="473" t="s">
        <v>356</v>
      </c>
      <c r="L714" s="473">
        <v>37.48</v>
      </c>
      <c r="M714" s="473">
        <v>68</v>
      </c>
      <c r="N714" s="473"/>
      <c r="O714" s="474">
        <f t="shared" si="43"/>
        <v>2848.64</v>
      </c>
      <c r="P714" s="476">
        <v>15</v>
      </c>
      <c r="Q714" s="474">
        <f t="shared" si="41"/>
        <v>199.4048</v>
      </c>
      <c r="R714" s="476">
        <v>800</v>
      </c>
      <c r="S714" s="477">
        <f t="shared" si="42"/>
        <v>1834.2352</v>
      </c>
      <c r="T714" s="473"/>
      <c r="U714" s="473"/>
      <c r="V714" s="473"/>
      <c r="W714" s="419">
        <v>1</v>
      </c>
    </row>
    <row r="715" s="420" customFormat="1" ht="16" customHeight="1" spans="1:23">
      <c r="A715" s="472">
        <v>46198</v>
      </c>
      <c r="B715" s="472">
        <v>46199</v>
      </c>
      <c r="C715" s="473" t="s">
        <v>785</v>
      </c>
      <c r="D715" s="473" t="s">
        <v>236</v>
      </c>
      <c r="E715" s="473" t="s">
        <v>54</v>
      </c>
      <c r="F715" s="473" t="s">
        <v>54</v>
      </c>
      <c r="G715" s="473" t="s">
        <v>55</v>
      </c>
      <c r="H715" s="473" t="s">
        <v>354</v>
      </c>
      <c r="I715" s="473" t="s">
        <v>369</v>
      </c>
      <c r="J715" s="473">
        <v>39.72</v>
      </c>
      <c r="K715" s="473" t="s">
        <v>356</v>
      </c>
      <c r="L715" s="473">
        <v>39.72</v>
      </c>
      <c r="M715" s="473">
        <v>68</v>
      </c>
      <c r="N715" s="473"/>
      <c r="O715" s="474">
        <f t="shared" si="43"/>
        <v>3000.96</v>
      </c>
      <c r="P715" s="476">
        <v>15</v>
      </c>
      <c r="Q715" s="474">
        <f t="shared" si="41"/>
        <v>210.0672</v>
      </c>
      <c r="R715" s="476">
        <v>800</v>
      </c>
      <c r="S715" s="477">
        <f t="shared" si="42"/>
        <v>1975.8928</v>
      </c>
      <c r="T715" s="473"/>
      <c r="U715" s="473"/>
      <c r="V715" s="473"/>
      <c r="W715" s="419">
        <v>1</v>
      </c>
    </row>
    <row r="716" s="420" customFormat="1" ht="16" customHeight="1" spans="1:23">
      <c r="A716" s="472">
        <v>46198</v>
      </c>
      <c r="B716" s="472">
        <v>46199</v>
      </c>
      <c r="C716" s="473" t="s">
        <v>786</v>
      </c>
      <c r="D716" s="473" t="s">
        <v>236</v>
      </c>
      <c r="E716" s="473" t="s">
        <v>51</v>
      </c>
      <c r="F716" s="473" t="s">
        <v>51</v>
      </c>
      <c r="G716" s="473" t="s">
        <v>52</v>
      </c>
      <c r="H716" s="473" t="s">
        <v>354</v>
      </c>
      <c r="I716" s="473" t="s">
        <v>369</v>
      </c>
      <c r="J716" s="473">
        <v>37.58</v>
      </c>
      <c r="K716" s="473" t="s">
        <v>356</v>
      </c>
      <c r="L716" s="473">
        <v>37.58</v>
      </c>
      <c r="M716" s="473">
        <v>68</v>
      </c>
      <c r="N716" s="473"/>
      <c r="O716" s="474">
        <f t="shared" si="43"/>
        <v>2855.44</v>
      </c>
      <c r="P716" s="476">
        <v>15</v>
      </c>
      <c r="Q716" s="474">
        <f t="shared" si="41"/>
        <v>199.8808</v>
      </c>
      <c r="R716" s="476">
        <v>800</v>
      </c>
      <c r="S716" s="477">
        <f t="shared" si="42"/>
        <v>1840.5592</v>
      </c>
      <c r="T716" s="473"/>
      <c r="U716" s="473"/>
      <c r="V716" s="473"/>
      <c r="W716" s="419">
        <v>1</v>
      </c>
    </row>
    <row r="717" s="420" customFormat="1" ht="16" customHeight="1" spans="1:23">
      <c r="A717" s="472">
        <v>46197</v>
      </c>
      <c r="B717" s="472">
        <v>46199</v>
      </c>
      <c r="C717" s="473" t="s">
        <v>787</v>
      </c>
      <c r="D717" s="473" t="s">
        <v>233</v>
      </c>
      <c r="E717" s="473" t="s">
        <v>75</v>
      </c>
      <c r="F717" s="473" t="s">
        <v>75</v>
      </c>
      <c r="G717" s="473" t="s">
        <v>76</v>
      </c>
      <c r="H717" s="473" t="s">
        <v>354</v>
      </c>
      <c r="I717" s="473" t="s">
        <v>355</v>
      </c>
      <c r="J717" s="473">
        <v>39.38</v>
      </c>
      <c r="K717" s="473" t="s">
        <v>356</v>
      </c>
      <c r="L717" s="473">
        <v>39.38</v>
      </c>
      <c r="M717" s="473">
        <v>67</v>
      </c>
      <c r="N717" s="473"/>
      <c r="O717" s="474">
        <f t="shared" si="43"/>
        <v>2938.46</v>
      </c>
      <c r="P717" s="476">
        <v>15</v>
      </c>
      <c r="Q717" s="474">
        <f t="shared" si="41"/>
        <v>205.6922</v>
      </c>
      <c r="R717" s="476">
        <v>800</v>
      </c>
      <c r="S717" s="477">
        <f t="shared" si="42"/>
        <v>1917.7678</v>
      </c>
      <c r="T717" s="473"/>
      <c r="U717" s="473"/>
      <c r="V717" s="473"/>
      <c r="W717" s="419">
        <v>1</v>
      </c>
    </row>
    <row r="718" s="420" customFormat="1" ht="16" customHeight="1" spans="1:23">
      <c r="A718" s="472">
        <v>46197</v>
      </c>
      <c r="B718" s="472">
        <v>46199</v>
      </c>
      <c r="C718" s="473" t="s">
        <v>788</v>
      </c>
      <c r="D718" s="473" t="s">
        <v>233</v>
      </c>
      <c r="E718" s="473" t="s">
        <v>135</v>
      </c>
      <c r="F718" s="473" t="s">
        <v>135</v>
      </c>
      <c r="G718" s="473" t="s">
        <v>136</v>
      </c>
      <c r="H718" s="473" t="s">
        <v>354</v>
      </c>
      <c r="I718" s="473" t="s">
        <v>355</v>
      </c>
      <c r="J718" s="473">
        <v>39.14</v>
      </c>
      <c r="K718" s="473" t="s">
        <v>356</v>
      </c>
      <c r="L718" s="473">
        <v>39.12</v>
      </c>
      <c r="M718" s="473">
        <v>67</v>
      </c>
      <c r="N718" s="473"/>
      <c r="O718" s="474">
        <f t="shared" si="43"/>
        <v>2921.04</v>
      </c>
      <c r="P718" s="476">
        <v>15</v>
      </c>
      <c r="Q718" s="474">
        <f t="shared" si="41"/>
        <v>204.4728</v>
      </c>
      <c r="R718" s="476">
        <v>800</v>
      </c>
      <c r="S718" s="477">
        <f t="shared" si="42"/>
        <v>1901.5672</v>
      </c>
      <c r="T718" s="473"/>
      <c r="U718" s="473"/>
      <c r="V718" s="473"/>
      <c r="W718" s="419">
        <v>1</v>
      </c>
    </row>
    <row r="719" s="420" customFormat="1" ht="16" customHeight="1" spans="1:23">
      <c r="A719" s="472">
        <v>46198</v>
      </c>
      <c r="B719" s="472">
        <v>46199</v>
      </c>
      <c r="C719" s="473" t="s">
        <v>789</v>
      </c>
      <c r="D719" s="473" t="s">
        <v>233</v>
      </c>
      <c r="E719" s="473" t="s">
        <v>93</v>
      </c>
      <c r="F719" s="473" t="s">
        <v>93</v>
      </c>
      <c r="G719" s="473" t="s">
        <v>94</v>
      </c>
      <c r="H719" s="473" t="s">
        <v>354</v>
      </c>
      <c r="I719" s="473" t="s">
        <v>355</v>
      </c>
      <c r="J719" s="473">
        <v>39.46</v>
      </c>
      <c r="K719" s="473" t="s">
        <v>356</v>
      </c>
      <c r="L719" s="473">
        <v>39.46</v>
      </c>
      <c r="M719" s="473">
        <v>67</v>
      </c>
      <c r="N719" s="473"/>
      <c r="O719" s="474">
        <f t="shared" si="43"/>
        <v>2943.82</v>
      </c>
      <c r="P719" s="476">
        <v>15</v>
      </c>
      <c r="Q719" s="474">
        <f t="shared" si="41"/>
        <v>206.0674</v>
      </c>
      <c r="R719" s="476">
        <v>800</v>
      </c>
      <c r="S719" s="477">
        <f t="shared" si="42"/>
        <v>1922.7526</v>
      </c>
      <c r="T719" s="473"/>
      <c r="U719" s="473"/>
      <c r="V719" s="473"/>
      <c r="W719" s="419">
        <v>1</v>
      </c>
    </row>
    <row r="720" s="420" customFormat="1" ht="16" customHeight="1" spans="1:23">
      <c r="A720" s="472">
        <v>46198</v>
      </c>
      <c r="B720" s="472">
        <v>46199</v>
      </c>
      <c r="C720" s="473" t="s">
        <v>790</v>
      </c>
      <c r="D720" s="473" t="s">
        <v>233</v>
      </c>
      <c r="E720" s="473" t="s">
        <v>96</v>
      </c>
      <c r="F720" s="473" t="s">
        <v>96</v>
      </c>
      <c r="G720" s="473" t="s">
        <v>97</v>
      </c>
      <c r="H720" s="473" t="s">
        <v>354</v>
      </c>
      <c r="I720" s="473" t="s">
        <v>355</v>
      </c>
      <c r="J720" s="473">
        <v>39.1</v>
      </c>
      <c r="K720" s="473" t="s">
        <v>356</v>
      </c>
      <c r="L720" s="473">
        <v>39.1</v>
      </c>
      <c r="M720" s="473">
        <v>67</v>
      </c>
      <c r="N720" s="473"/>
      <c r="O720" s="474">
        <f t="shared" si="43"/>
        <v>2919.7</v>
      </c>
      <c r="P720" s="476">
        <v>15</v>
      </c>
      <c r="Q720" s="474">
        <f t="shared" si="41"/>
        <v>204.379</v>
      </c>
      <c r="R720" s="476">
        <v>800</v>
      </c>
      <c r="S720" s="477">
        <f t="shared" si="42"/>
        <v>1900.321</v>
      </c>
      <c r="T720" s="473"/>
      <c r="U720" s="473"/>
      <c r="V720" s="473"/>
      <c r="W720" s="419">
        <v>1</v>
      </c>
    </row>
    <row r="721" s="420" customFormat="1" ht="16" customHeight="1" spans="1:23">
      <c r="A721" s="472">
        <v>46198</v>
      </c>
      <c r="B721" s="472">
        <v>46199</v>
      </c>
      <c r="C721" s="473" t="s">
        <v>791</v>
      </c>
      <c r="D721" s="473" t="s">
        <v>237</v>
      </c>
      <c r="E721" s="473" t="s">
        <v>177</v>
      </c>
      <c r="F721" s="473" t="s">
        <v>177</v>
      </c>
      <c r="G721" s="473" t="s">
        <v>178</v>
      </c>
      <c r="H721" s="473" t="s">
        <v>354</v>
      </c>
      <c r="I721" s="473" t="s">
        <v>407</v>
      </c>
      <c r="J721" s="473">
        <v>40.34</v>
      </c>
      <c r="K721" s="473" t="s">
        <v>356</v>
      </c>
      <c r="L721" s="473">
        <v>40.34</v>
      </c>
      <c r="M721" s="473">
        <v>87</v>
      </c>
      <c r="N721" s="473"/>
      <c r="O721" s="474">
        <f t="shared" si="40"/>
        <v>3509.58</v>
      </c>
      <c r="P721" s="476"/>
      <c r="Q721" s="474">
        <f t="shared" si="41"/>
        <v>245.6706</v>
      </c>
      <c r="R721" s="476">
        <v>800</v>
      </c>
      <c r="S721" s="477">
        <f t="shared" si="42"/>
        <v>2463.9094</v>
      </c>
      <c r="T721" s="473"/>
      <c r="U721" s="473"/>
      <c r="V721" s="473"/>
      <c r="W721" s="419">
        <v>1</v>
      </c>
    </row>
    <row r="722" s="420" customFormat="1" ht="16" customHeight="1" spans="1:23">
      <c r="A722" s="472">
        <v>46198</v>
      </c>
      <c r="B722" s="472">
        <v>46199</v>
      </c>
      <c r="C722" s="473" t="s">
        <v>792</v>
      </c>
      <c r="D722" s="473" t="s">
        <v>237</v>
      </c>
      <c r="E722" s="473" t="s">
        <v>166</v>
      </c>
      <c r="F722" s="473" t="s">
        <v>166</v>
      </c>
      <c r="G722" s="473" t="s">
        <v>167</v>
      </c>
      <c r="H722" s="473" t="s">
        <v>354</v>
      </c>
      <c r="I722" s="473" t="s">
        <v>407</v>
      </c>
      <c r="J722" s="473">
        <v>40.92</v>
      </c>
      <c r="K722" s="473" t="s">
        <v>356</v>
      </c>
      <c r="L722" s="473">
        <v>40.92</v>
      </c>
      <c r="M722" s="473">
        <v>87</v>
      </c>
      <c r="N722" s="473"/>
      <c r="O722" s="474">
        <f t="shared" si="40"/>
        <v>3560.04</v>
      </c>
      <c r="P722" s="476">
        <v>15</v>
      </c>
      <c r="Q722" s="474">
        <f t="shared" si="41"/>
        <v>249.2028</v>
      </c>
      <c r="R722" s="476">
        <v>800</v>
      </c>
      <c r="S722" s="477">
        <f t="shared" si="42"/>
        <v>2495.8372</v>
      </c>
      <c r="T722" s="473"/>
      <c r="U722" s="473"/>
      <c r="V722" s="473"/>
      <c r="W722" s="419">
        <v>1</v>
      </c>
    </row>
    <row r="723" s="420" customFormat="1" ht="16" customHeight="1" spans="1:23">
      <c r="A723" s="472">
        <v>46197</v>
      </c>
      <c r="B723" s="472">
        <v>46199</v>
      </c>
      <c r="C723" s="473" t="s">
        <v>793</v>
      </c>
      <c r="D723" s="473" t="s">
        <v>233</v>
      </c>
      <c r="E723" s="473" t="s">
        <v>670</v>
      </c>
      <c r="F723" s="473" t="s">
        <v>670</v>
      </c>
      <c r="G723" s="473" t="s">
        <v>217</v>
      </c>
      <c r="H723" s="473" t="s">
        <v>354</v>
      </c>
      <c r="I723" s="473" t="s">
        <v>355</v>
      </c>
      <c r="J723" s="473">
        <v>44.18</v>
      </c>
      <c r="K723" s="473" t="s">
        <v>356</v>
      </c>
      <c r="L723" s="473">
        <v>44.16</v>
      </c>
      <c r="M723" s="473">
        <v>67</v>
      </c>
      <c r="N723" s="473"/>
      <c r="O723" s="474">
        <f t="shared" si="40"/>
        <v>2958.72</v>
      </c>
      <c r="P723" s="476">
        <v>15</v>
      </c>
      <c r="Q723" s="474">
        <f t="shared" si="41"/>
        <v>207.1104</v>
      </c>
      <c r="R723" s="476">
        <v>600</v>
      </c>
      <c r="S723" s="477">
        <f t="shared" si="42"/>
        <v>2136.6096</v>
      </c>
      <c r="T723" s="473"/>
      <c r="U723" s="473"/>
      <c r="V723" s="473"/>
      <c r="W723" s="419">
        <v>1</v>
      </c>
    </row>
    <row r="724" s="420" customFormat="1" ht="16" customHeight="1" spans="1:23">
      <c r="A724" s="472">
        <v>46197</v>
      </c>
      <c r="B724" s="472">
        <v>46199</v>
      </c>
      <c r="C724" s="473" t="s">
        <v>794</v>
      </c>
      <c r="D724" s="473" t="s">
        <v>233</v>
      </c>
      <c r="E724" s="473" t="s">
        <v>213</v>
      </c>
      <c r="F724" s="473" t="s">
        <v>213</v>
      </c>
      <c r="G724" s="473" t="s">
        <v>214</v>
      </c>
      <c r="H724" s="473" t="s">
        <v>354</v>
      </c>
      <c r="I724" s="473" t="s">
        <v>355</v>
      </c>
      <c r="J724" s="473">
        <v>43.28</v>
      </c>
      <c r="K724" s="473" t="s">
        <v>356</v>
      </c>
      <c r="L724" s="473">
        <v>43.28</v>
      </c>
      <c r="M724" s="473">
        <v>67</v>
      </c>
      <c r="N724" s="473"/>
      <c r="O724" s="474">
        <f t="shared" si="40"/>
        <v>2899.76</v>
      </c>
      <c r="P724" s="476">
        <v>15</v>
      </c>
      <c r="Q724" s="474">
        <f t="shared" si="41"/>
        <v>202.9832</v>
      </c>
      <c r="R724" s="476">
        <v>600</v>
      </c>
      <c r="S724" s="477">
        <f t="shared" si="42"/>
        <v>2081.7768</v>
      </c>
      <c r="T724" s="473"/>
      <c r="U724" s="473"/>
      <c r="V724" s="473"/>
      <c r="W724" s="419">
        <v>1</v>
      </c>
    </row>
    <row r="725" s="420" customFormat="1" ht="16" customHeight="1" spans="1:23">
      <c r="A725" s="472">
        <v>46198</v>
      </c>
      <c r="B725" s="472">
        <v>46199</v>
      </c>
      <c r="C725" s="473" t="s">
        <v>795</v>
      </c>
      <c r="D725" s="473" t="s">
        <v>233</v>
      </c>
      <c r="E725" s="473" t="s">
        <v>174</v>
      </c>
      <c r="F725" s="473" t="s">
        <v>174</v>
      </c>
      <c r="G725" s="473" t="s">
        <v>175</v>
      </c>
      <c r="H725" s="473" t="s">
        <v>354</v>
      </c>
      <c r="I725" s="473" t="s">
        <v>355</v>
      </c>
      <c r="J725" s="473">
        <v>43.04</v>
      </c>
      <c r="K725" s="473" t="s">
        <v>356</v>
      </c>
      <c r="L725" s="473">
        <v>43.02</v>
      </c>
      <c r="M725" s="473">
        <v>67</v>
      </c>
      <c r="N725" s="473"/>
      <c r="O725" s="474">
        <f t="shared" si="40"/>
        <v>2882.34</v>
      </c>
      <c r="P725" s="476">
        <v>15</v>
      </c>
      <c r="Q725" s="474">
        <f t="shared" si="41"/>
        <v>201.7638</v>
      </c>
      <c r="R725" s="476">
        <v>600</v>
      </c>
      <c r="S725" s="477">
        <f t="shared" si="42"/>
        <v>2065.5762</v>
      </c>
      <c r="T725" s="473"/>
      <c r="U725" s="473"/>
      <c r="V725" s="473"/>
      <c r="W725" s="419">
        <v>1</v>
      </c>
    </row>
    <row r="726" s="420" customFormat="1" ht="16" customHeight="1" spans="1:23">
      <c r="A726" s="472">
        <v>46197</v>
      </c>
      <c r="B726" s="472">
        <v>46199</v>
      </c>
      <c r="C726" s="473" t="s">
        <v>796</v>
      </c>
      <c r="D726" s="473" t="s">
        <v>233</v>
      </c>
      <c r="E726" s="473" t="s">
        <v>154</v>
      </c>
      <c r="F726" s="473" t="s">
        <v>154</v>
      </c>
      <c r="G726" s="473" t="s">
        <v>155</v>
      </c>
      <c r="H726" s="473" t="s">
        <v>354</v>
      </c>
      <c r="I726" s="473" t="s">
        <v>355</v>
      </c>
      <c r="J726" s="473">
        <v>44.08</v>
      </c>
      <c r="K726" s="473" t="s">
        <v>356</v>
      </c>
      <c r="L726" s="473">
        <v>44.04</v>
      </c>
      <c r="M726" s="473">
        <v>67</v>
      </c>
      <c r="N726" s="473"/>
      <c r="O726" s="474">
        <f t="shared" si="40"/>
        <v>2950.68</v>
      </c>
      <c r="P726" s="476">
        <v>15</v>
      </c>
      <c r="Q726" s="474">
        <f t="shared" si="41"/>
        <v>206.5476</v>
      </c>
      <c r="R726" s="476">
        <v>600</v>
      </c>
      <c r="S726" s="477">
        <f t="shared" si="42"/>
        <v>2129.1324</v>
      </c>
      <c r="T726" s="473"/>
      <c r="U726" s="473"/>
      <c r="V726" s="473"/>
      <c r="W726" s="419">
        <v>1</v>
      </c>
    </row>
    <row r="727" s="420" customFormat="1" ht="16" customHeight="1" spans="1:23">
      <c r="A727" s="472">
        <v>46197</v>
      </c>
      <c r="B727" s="472">
        <v>46198</v>
      </c>
      <c r="C727" s="473" t="s">
        <v>797</v>
      </c>
      <c r="D727" s="473" t="s">
        <v>237</v>
      </c>
      <c r="E727" s="473" t="s">
        <v>207</v>
      </c>
      <c r="F727" s="473" t="s">
        <v>207</v>
      </c>
      <c r="G727" s="473" t="s">
        <v>678</v>
      </c>
      <c r="H727" s="473" t="s">
        <v>354</v>
      </c>
      <c r="I727" s="473" t="s">
        <v>407</v>
      </c>
      <c r="J727" s="473">
        <v>40.4</v>
      </c>
      <c r="K727" s="473" t="s">
        <v>356</v>
      </c>
      <c r="L727" s="473">
        <v>40.4</v>
      </c>
      <c r="M727" s="473">
        <v>87</v>
      </c>
      <c r="N727" s="473"/>
      <c r="O727" s="474">
        <f t="shared" si="40"/>
        <v>3514.8</v>
      </c>
      <c r="P727" s="476">
        <v>15</v>
      </c>
      <c r="Q727" s="474">
        <f t="shared" si="41"/>
        <v>246.036</v>
      </c>
      <c r="R727" s="476">
        <v>800</v>
      </c>
      <c r="S727" s="477">
        <f t="shared" si="42"/>
        <v>2453.764</v>
      </c>
      <c r="T727" s="7"/>
      <c r="U727" s="7"/>
      <c r="V727" s="7"/>
      <c r="W727" s="417">
        <v>1</v>
      </c>
    </row>
    <row r="728" s="420" customFormat="1" ht="16" customHeight="1" spans="1:23">
      <c r="A728" s="472">
        <v>46198</v>
      </c>
      <c r="B728" s="472">
        <v>46199</v>
      </c>
      <c r="C728" s="473" t="s">
        <v>798</v>
      </c>
      <c r="D728" s="473" t="s">
        <v>237</v>
      </c>
      <c r="E728" s="473" t="s">
        <v>198</v>
      </c>
      <c r="F728" s="473" t="s">
        <v>198</v>
      </c>
      <c r="G728" s="473" t="s">
        <v>330</v>
      </c>
      <c r="H728" s="473" t="s">
        <v>354</v>
      </c>
      <c r="I728" s="473" t="s">
        <v>407</v>
      </c>
      <c r="J728" s="473">
        <v>40.62</v>
      </c>
      <c r="K728" s="473" t="s">
        <v>356</v>
      </c>
      <c r="L728" s="473">
        <v>40.6</v>
      </c>
      <c r="M728" s="473">
        <v>87</v>
      </c>
      <c r="N728" s="473"/>
      <c r="O728" s="474">
        <f t="shared" si="40"/>
        <v>3532.2</v>
      </c>
      <c r="P728" s="476">
        <v>15</v>
      </c>
      <c r="Q728" s="474">
        <f t="shared" si="41"/>
        <v>247.254</v>
      </c>
      <c r="R728" s="476">
        <v>800</v>
      </c>
      <c r="S728" s="477">
        <f t="shared" si="42"/>
        <v>2469.946</v>
      </c>
      <c r="T728" s="473"/>
      <c r="U728" s="473"/>
      <c r="V728" s="473"/>
      <c r="W728" s="419">
        <v>1</v>
      </c>
    </row>
    <row r="729" s="420" customFormat="1" ht="16" customHeight="1" spans="1:23">
      <c r="A729" s="472">
        <v>46198</v>
      </c>
      <c r="B729" s="472">
        <v>46199</v>
      </c>
      <c r="C729" s="473" t="s">
        <v>799</v>
      </c>
      <c r="D729" s="473" t="s">
        <v>237</v>
      </c>
      <c r="E729" s="473" t="s">
        <v>183</v>
      </c>
      <c r="F729" s="473" t="s">
        <v>183</v>
      </c>
      <c r="G729" s="473" t="s">
        <v>184</v>
      </c>
      <c r="H729" s="473" t="s">
        <v>354</v>
      </c>
      <c r="I729" s="473" t="s">
        <v>407</v>
      </c>
      <c r="J729" s="473">
        <v>40.96</v>
      </c>
      <c r="K729" s="473" t="s">
        <v>356</v>
      </c>
      <c r="L729" s="473">
        <v>40.94</v>
      </c>
      <c r="M729" s="473">
        <v>87</v>
      </c>
      <c r="N729" s="473"/>
      <c r="O729" s="474">
        <f t="shared" si="40"/>
        <v>3561.78</v>
      </c>
      <c r="P729" s="476">
        <v>15</v>
      </c>
      <c r="Q729" s="474">
        <f t="shared" si="41"/>
        <v>249.3246</v>
      </c>
      <c r="R729" s="476">
        <v>800</v>
      </c>
      <c r="S729" s="477">
        <f t="shared" si="42"/>
        <v>2497.4554</v>
      </c>
      <c r="T729" s="473"/>
      <c r="U729" s="473"/>
      <c r="V729" s="473"/>
      <c r="W729" s="419">
        <v>1</v>
      </c>
    </row>
    <row r="730" s="420" customFormat="1" ht="16" customHeight="1" spans="1:23">
      <c r="A730" s="472">
        <v>46197</v>
      </c>
      <c r="B730" s="472">
        <v>46199</v>
      </c>
      <c r="C730" s="473" t="s">
        <v>800</v>
      </c>
      <c r="D730" s="473" t="s">
        <v>233</v>
      </c>
      <c r="E730" s="473" t="s">
        <v>192</v>
      </c>
      <c r="F730" s="473" t="s">
        <v>192</v>
      </c>
      <c r="G730" s="473" t="s">
        <v>193</v>
      </c>
      <c r="H730" s="473" t="s">
        <v>354</v>
      </c>
      <c r="I730" s="473" t="s">
        <v>355</v>
      </c>
      <c r="J730" s="473">
        <v>43.42</v>
      </c>
      <c r="K730" s="473" t="s">
        <v>356</v>
      </c>
      <c r="L730" s="473">
        <v>43.42</v>
      </c>
      <c r="M730" s="473">
        <v>67</v>
      </c>
      <c r="N730" s="473"/>
      <c r="O730" s="474">
        <f t="shared" si="40"/>
        <v>2909.14</v>
      </c>
      <c r="P730" s="476">
        <v>15</v>
      </c>
      <c r="Q730" s="474">
        <f t="shared" si="41"/>
        <v>203.6398</v>
      </c>
      <c r="R730" s="476">
        <v>600</v>
      </c>
      <c r="S730" s="477">
        <f t="shared" si="42"/>
        <v>2090.5002</v>
      </c>
      <c r="T730" s="473"/>
      <c r="U730" s="473"/>
      <c r="V730" s="473"/>
      <c r="W730" s="419">
        <v>1</v>
      </c>
    </row>
    <row r="731" s="420" customFormat="1" ht="16" customHeight="1" spans="1:23">
      <c r="A731" s="472">
        <v>46197</v>
      </c>
      <c r="B731" s="472">
        <v>46199</v>
      </c>
      <c r="C731" s="473" t="s">
        <v>801</v>
      </c>
      <c r="D731" s="473" t="s">
        <v>233</v>
      </c>
      <c r="E731" s="473" t="s">
        <v>201</v>
      </c>
      <c r="F731" s="473" t="s">
        <v>201</v>
      </c>
      <c r="G731" s="473" t="s">
        <v>719</v>
      </c>
      <c r="H731" s="473" t="s">
        <v>354</v>
      </c>
      <c r="I731" s="473" t="s">
        <v>355</v>
      </c>
      <c r="J731" s="473">
        <v>43.78</v>
      </c>
      <c r="K731" s="473" t="s">
        <v>356</v>
      </c>
      <c r="L731" s="473">
        <v>43.74</v>
      </c>
      <c r="M731" s="473">
        <v>67</v>
      </c>
      <c r="N731" s="473"/>
      <c r="O731" s="474">
        <f t="shared" si="40"/>
        <v>2930.58</v>
      </c>
      <c r="P731" s="476">
        <v>15</v>
      </c>
      <c r="Q731" s="474">
        <f t="shared" si="41"/>
        <v>205.1406</v>
      </c>
      <c r="R731" s="476">
        <v>600</v>
      </c>
      <c r="S731" s="477">
        <f t="shared" si="42"/>
        <v>2110.4394</v>
      </c>
      <c r="T731" s="473"/>
      <c r="U731" s="473"/>
      <c r="V731" s="473"/>
      <c r="W731" s="419">
        <v>1</v>
      </c>
    </row>
    <row r="732" s="420" customFormat="1" ht="16" customHeight="1" spans="1:23">
      <c r="A732" s="472">
        <v>46199</v>
      </c>
      <c r="B732" s="472">
        <v>46200</v>
      </c>
      <c r="C732" s="473" t="s">
        <v>802</v>
      </c>
      <c r="D732" s="473" t="s">
        <v>236</v>
      </c>
      <c r="E732" s="473" t="s">
        <v>72</v>
      </c>
      <c r="F732" s="473" t="s">
        <v>72</v>
      </c>
      <c r="G732" s="473" t="s">
        <v>73</v>
      </c>
      <c r="H732" s="473" t="s">
        <v>354</v>
      </c>
      <c r="I732" s="473" t="s">
        <v>369</v>
      </c>
      <c r="J732" s="473">
        <v>40.4</v>
      </c>
      <c r="K732" s="473" t="s">
        <v>356</v>
      </c>
      <c r="L732" s="473">
        <v>40.4</v>
      </c>
      <c r="M732" s="473">
        <v>68</v>
      </c>
      <c r="N732" s="473"/>
      <c r="O732" s="474">
        <f>L732*M732+300</f>
        <v>3047.2</v>
      </c>
      <c r="P732" s="476">
        <v>15</v>
      </c>
      <c r="Q732" s="474">
        <f t="shared" ref="Q732:Q795" si="44">O732*0.07</f>
        <v>213.304</v>
      </c>
      <c r="R732" s="476">
        <v>800</v>
      </c>
      <c r="S732" s="477">
        <f t="shared" ref="S732:S795" si="45">O732-P732-R732-Q732</f>
        <v>2018.896</v>
      </c>
      <c r="T732" s="473"/>
      <c r="U732" s="473"/>
      <c r="V732" s="473"/>
      <c r="W732" s="419"/>
    </row>
    <row r="733" s="420" customFormat="1" ht="16" customHeight="1" spans="1:23">
      <c r="A733" s="472">
        <v>46199</v>
      </c>
      <c r="B733" s="472">
        <v>46200</v>
      </c>
      <c r="C733" s="473" t="s">
        <v>803</v>
      </c>
      <c r="D733" s="473" t="s">
        <v>236</v>
      </c>
      <c r="E733" s="473" t="s">
        <v>90</v>
      </c>
      <c r="F733" s="473" t="s">
        <v>90</v>
      </c>
      <c r="G733" s="473" t="s">
        <v>91</v>
      </c>
      <c r="H733" s="473" t="s">
        <v>354</v>
      </c>
      <c r="I733" s="473" t="s">
        <v>369</v>
      </c>
      <c r="J733" s="473">
        <v>39.9</v>
      </c>
      <c r="K733" s="473" t="s">
        <v>356</v>
      </c>
      <c r="L733" s="473">
        <v>39.82</v>
      </c>
      <c r="M733" s="473">
        <v>68</v>
      </c>
      <c r="N733" s="473"/>
      <c r="O733" s="474">
        <f>L733*M733+300</f>
        <v>3007.76</v>
      </c>
      <c r="P733" s="476">
        <v>15</v>
      </c>
      <c r="Q733" s="474">
        <f t="shared" si="44"/>
        <v>210.5432</v>
      </c>
      <c r="R733" s="476">
        <v>800</v>
      </c>
      <c r="S733" s="477">
        <f t="shared" si="45"/>
        <v>1982.2168</v>
      </c>
      <c r="T733" s="473"/>
      <c r="U733" s="473"/>
      <c r="V733" s="473"/>
      <c r="W733" s="419"/>
    </row>
    <row r="734" s="420" customFormat="1" ht="16" customHeight="1" spans="1:23">
      <c r="A734" s="472">
        <v>46199</v>
      </c>
      <c r="B734" s="472">
        <v>46200</v>
      </c>
      <c r="C734" s="473" t="s">
        <v>804</v>
      </c>
      <c r="D734" s="473" t="s">
        <v>236</v>
      </c>
      <c r="E734" s="473" t="s">
        <v>63</v>
      </c>
      <c r="F734" s="473" t="s">
        <v>63</v>
      </c>
      <c r="G734" s="473" t="s">
        <v>327</v>
      </c>
      <c r="H734" s="473" t="s">
        <v>354</v>
      </c>
      <c r="I734" s="473" t="s">
        <v>369</v>
      </c>
      <c r="J734" s="473">
        <v>38.14</v>
      </c>
      <c r="K734" s="473" t="s">
        <v>356</v>
      </c>
      <c r="L734" s="473">
        <v>38.06</v>
      </c>
      <c r="M734" s="473">
        <v>68</v>
      </c>
      <c r="N734" s="473"/>
      <c r="O734" s="474">
        <f>L734*M734+300</f>
        <v>2888.08</v>
      </c>
      <c r="P734" s="476">
        <v>15</v>
      </c>
      <c r="Q734" s="474">
        <f t="shared" si="44"/>
        <v>202.1656</v>
      </c>
      <c r="R734" s="476">
        <v>800</v>
      </c>
      <c r="S734" s="477">
        <f t="shared" si="45"/>
        <v>1870.9144</v>
      </c>
      <c r="T734" s="473"/>
      <c r="U734" s="473"/>
      <c r="V734" s="473"/>
      <c r="W734" s="419"/>
    </row>
    <row r="735" s="420" customFormat="1" ht="16" customHeight="1" spans="1:23">
      <c r="A735" s="472">
        <v>46199</v>
      </c>
      <c r="B735" s="472">
        <v>46200</v>
      </c>
      <c r="C735" s="473" t="s">
        <v>805</v>
      </c>
      <c r="D735" s="473" t="s">
        <v>236</v>
      </c>
      <c r="E735" s="473" t="s">
        <v>60</v>
      </c>
      <c r="F735" s="473" t="s">
        <v>60</v>
      </c>
      <c r="G735" s="473" t="s">
        <v>61</v>
      </c>
      <c r="H735" s="473" t="s">
        <v>354</v>
      </c>
      <c r="I735" s="473" t="s">
        <v>369</v>
      </c>
      <c r="J735" s="473">
        <v>38.46</v>
      </c>
      <c r="K735" s="473" t="s">
        <v>356</v>
      </c>
      <c r="L735" s="473">
        <v>38.38</v>
      </c>
      <c r="M735" s="473">
        <v>68</v>
      </c>
      <c r="N735" s="473"/>
      <c r="O735" s="474">
        <f>L735*M735+300</f>
        <v>2909.84</v>
      </c>
      <c r="P735" s="476">
        <v>15</v>
      </c>
      <c r="Q735" s="474">
        <f t="shared" si="44"/>
        <v>203.6888</v>
      </c>
      <c r="R735" s="476">
        <v>800</v>
      </c>
      <c r="S735" s="477">
        <f t="shared" si="45"/>
        <v>1891.1512</v>
      </c>
      <c r="T735" s="473"/>
      <c r="U735" s="473"/>
      <c r="V735" s="473"/>
      <c r="W735" s="419"/>
    </row>
    <row r="736" s="420" customFormat="1" ht="16" customHeight="1" spans="1:23">
      <c r="A736" s="472">
        <v>46199</v>
      </c>
      <c r="B736" s="472">
        <v>46200</v>
      </c>
      <c r="C736" s="473" t="s">
        <v>806</v>
      </c>
      <c r="D736" s="473" t="s">
        <v>236</v>
      </c>
      <c r="E736" s="473" t="s">
        <v>132</v>
      </c>
      <c r="F736" s="473" t="s">
        <v>132</v>
      </c>
      <c r="G736" s="473" t="s">
        <v>133</v>
      </c>
      <c r="H736" s="473" t="s">
        <v>354</v>
      </c>
      <c r="I736" s="473" t="s">
        <v>369</v>
      </c>
      <c r="J736" s="473">
        <v>40.52</v>
      </c>
      <c r="K736" s="473" t="s">
        <v>356</v>
      </c>
      <c r="L736" s="473">
        <v>40.5</v>
      </c>
      <c r="M736" s="473">
        <v>68</v>
      </c>
      <c r="N736" s="473"/>
      <c r="O736" s="474">
        <f>L736*M736+300</f>
        <v>3054</v>
      </c>
      <c r="P736" s="476">
        <v>15</v>
      </c>
      <c r="Q736" s="474">
        <f t="shared" si="44"/>
        <v>213.78</v>
      </c>
      <c r="R736" s="476">
        <v>800</v>
      </c>
      <c r="S736" s="477">
        <f t="shared" si="45"/>
        <v>2025.22</v>
      </c>
      <c r="T736" s="473"/>
      <c r="U736" s="473"/>
      <c r="V736" s="473"/>
      <c r="W736" s="419"/>
    </row>
    <row r="737" s="420" customFormat="1" ht="16" customHeight="1" spans="1:23">
      <c r="A737" s="472">
        <v>46199</v>
      </c>
      <c r="B737" s="472">
        <v>46200</v>
      </c>
      <c r="C737" s="473" t="s">
        <v>807</v>
      </c>
      <c r="D737" s="473" t="s">
        <v>236</v>
      </c>
      <c r="E737" s="473" t="s">
        <v>78</v>
      </c>
      <c r="F737" s="473" t="s">
        <v>78</v>
      </c>
      <c r="G737" s="473" t="s">
        <v>79</v>
      </c>
      <c r="H737" s="473" t="s">
        <v>354</v>
      </c>
      <c r="I737" s="473" t="s">
        <v>369</v>
      </c>
      <c r="J737" s="473">
        <v>38.02</v>
      </c>
      <c r="K737" s="473" t="s">
        <v>356</v>
      </c>
      <c r="L737" s="473">
        <v>38</v>
      </c>
      <c r="M737" s="473">
        <v>68</v>
      </c>
      <c r="N737" s="473"/>
      <c r="O737" s="474">
        <f>L737*M737+300</f>
        <v>2884</v>
      </c>
      <c r="P737" s="476">
        <v>15</v>
      </c>
      <c r="Q737" s="474">
        <f t="shared" si="44"/>
        <v>201.88</v>
      </c>
      <c r="R737" s="476">
        <v>800</v>
      </c>
      <c r="S737" s="477">
        <f t="shared" si="45"/>
        <v>1867.12</v>
      </c>
      <c r="T737" s="473"/>
      <c r="U737" s="473"/>
      <c r="V737" s="473"/>
      <c r="W737" s="419"/>
    </row>
    <row r="738" s="420" customFormat="1" ht="16" customHeight="1" spans="1:23">
      <c r="A738" s="472">
        <v>46199</v>
      </c>
      <c r="B738" s="472">
        <v>46199</v>
      </c>
      <c r="C738" s="608" t="s">
        <v>808</v>
      </c>
      <c r="D738" s="473" t="s">
        <v>234</v>
      </c>
      <c r="E738" s="473" t="s">
        <v>81</v>
      </c>
      <c r="F738" s="473" t="s">
        <v>81</v>
      </c>
      <c r="G738" s="473" t="s">
        <v>82</v>
      </c>
      <c r="H738" s="473" t="s">
        <v>354</v>
      </c>
      <c r="I738" s="473" t="s">
        <v>507</v>
      </c>
      <c r="J738" s="473">
        <v>36.64</v>
      </c>
      <c r="K738" s="473" t="s">
        <v>356</v>
      </c>
      <c r="L738" s="473">
        <v>36.64</v>
      </c>
      <c r="M738" s="473">
        <v>71</v>
      </c>
      <c r="N738" s="473"/>
      <c r="O738" s="474">
        <f t="shared" ref="O738:O742" si="46">L738*M738+300</f>
        <v>2901.44</v>
      </c>
      <c r="P738" s="476">
        <v>15</v>
      </c>
      <c r="Q738" s="474">
        <f t="shared" si="44"/>
        <v>203.1008</v>
      </c>
      <c r="R738" s="476">
        <v>800</v>
      </c>
      <c r="S738" s="477">
        <f t="shared" si="45"/>
        <v>1883.3392</v>
      </c>
      <c r="T738" s="473"/>
      <c r="U738" s="473"/>
      <c r="V738" s="473"/>
      <c r="W738" s="419"/>
    </row>
    <row r="739" s="420" customFormat="1" ht="16" customHeight="1" spans="1:23">
      <c r="A739" s="472">
        <v>46198</v>
      </c>
      <c r="B739" s="472">
        <v>46199</v>
      </c>
      <c r="C739" s="473" t="s">
        <v>809</v>
      </c>
      <c r="D739" s="473" t="s">
        <v>233</v>
      </c>
      <c r="E739" s="473" t="s">
        <v>114</v>
      </c>
      <c r="F739" s="473" t="s">
        <v>114</v>
      </c>
      <c r="G739" s="473" t="s">
        <v>115</v>
      </c>
      <c r="H739" s="473" t="s">
        <v>354</v>
      </c>
      <c r="I739" s="473" t="s">
        <v>355</v>
      </c>
      <c r="J739" s="473">
        <v>41.6</v>
      </c>
      <c r="K739" s="473" t="s">
        <v>356</v>
      </c>
      <c r="L739" s="473">
        <v>41.58</v>
      </c>
      <c r="M739" s="473">
        <v>67</v>
      </c>
      <c r="N739" s="473"/>
      <c r="O739" s="474">
        <f t="shared" si="46"/>
        <v>3085.86</v>
      </c>
      <c r="P739" s="476">
        <v>15</v>
      </c>
      <c r="Q739" s="474">
        <f t="shared" si="44"/>
        <v>216.0102</v>
      </c>
      <c r="R739" s="476">
        <v>800</v>
      </c>
      <c r="S739" s="477">
        <f t="shared" si="45"/>
        <v>2054.8498</v>
      </c>
      <c r="T739" s="473"/>
      <c r="U739" s="473"/>
      <c r="V739" s="473"/>
      <c r="W739" s="419"/>
    </row>
    <row r="740" s="420" customFormat="1" ht="16" customHeight="1" spans="1:23">
      <c r="A740" s="472">
        <v>46199</v>
      </c>
      <c r="B740" s="472">
        <v>46199</v>
      </c>
      <c r="C740" s="473" t="s">
        <v>810</v>
      </c>
      <c r="D740" s="473" t="s">
        <v>233</v>
      </c>
      <c r="E740" s="473" t="s">
        <v>111</v>
      </c>
      <c r="F740" s="473" t="s">
        <v>111</v>
      </c>
      <c r="G740" s="473" t="s">
        <v>112</v>
      </c>
      <c r="H740" s="473" t="s">
        <v>354</v>
      </c>
      <c r="I740" s="473" t="s">
        <v>355</v>
      </c>
      <c r="J740" s="473">
        <v>38.72</v>
      </c>
      <c r="K740" s="473" t="s">
        <v>356</v>
      </c>
      <c r="L740" s="473">
        <v>38.72</v>
      </c>
      <c r="M740" s="473">
        <v>67</v>
      </c>
      <c r="N740" s="473"/>
      <c r="O740" s="474">
        <f t="shared" si="46"/>
        <v>2894.24</v>
      </c>
      <c r="P740" s="476">
        <v>15</v>
      </c>
      <c r="Q740" s="474">
        <f t="shared" si="44"/>
        <v>202.5968</v>
      </c>
      <c r="R740" s="476">
        <v>800</v>
      </c>
      <c r="S740" s="477">
        <f t="shared" si="45"/>
        <v>1876.6432</v>
      </c>
      <c r="T740" s="473"/>
      <c r="U740" s="473"/>
      <c r="V740" s="473"/>
      <c r="W740" s="419"/>
    </row>
    <row r="741" s="420" customFormat="1" ht="16" customHeight="1" spans="1:23">
      <c r="A741" s="472">
        <v>46199</v>
      </c>
      <c r="B741" s="472">
        <v>46200</v>
      </c>
      <c r="C741" s="473" t="s">
        <v>811</v>
      </c>
      <c r="D741" s="473" t="s">
        <v>233</v>
      </c>
      <c r="E741" s="473" t="s">
        <v>130</v>
      </c>
      <c r="F741" s="473" t="s">
        <v>130</v>
      </c>
      <c r="G741" s="473" t="s">
        <v>122</v>
      </c>
      <c r="H741" s="473" t="s">
        <v>354</v>
      </c>
      <c r="I741" s="473" t="s">
        <v>355</v>
      </c>
      <c r="J741" s="473">
        <v>38.86</v>
      </c>
      <c r="K741" s="473" t="s">
        <v>356</v>
      </c>
      <c r="L741" s="473">
        <v>38.82</v>
      </c>
      <c r="M741" s="473">
        <v>67</v>
      </c>
      <c r="N741" s="473"/>
      <c r="O741" s="474">
        <f t="shared" si="46"/>
        <v>2900.94</v>
      </c>
      <c r="P741" s="476">
        <v>15</v>
      </c>
      <c r="Q741" s="474">
        <f t="shared" si="44"/>
        <v>203.0658</v>
      </c>
      <c r="R741" s="476">
        <v>800</v>
      </c>
      <c r="S741" s="477">
        <f t="shared" si="45"/>
        <v>1882.8742</v>
      </c>
      <c r="T741" s="473"/>
      <c r="U741" s="473"/>
      <c r="V741" s="473"/>
      <c r="W741" s="419"/>
    </row>
    <row r="742" s="420" customFormat="1" ht="16" customHeight="1" spans="1:23">
      <c r="A742" s="472">
        <v>46199</v>
      </c>
      <c r="B742" s="472">
        <v>46200</v>
      </c>
      <c r="C742" s="473" t="s">
        <v>812</v>
      </c>
      <c r="D742" s="473" t="s">
        <v>233</v>
      </c>
      <c r="E742" s="473" t="s">
        <v>141</v>
      </c>
      <c r="F742" s="473" t="s">
        <v>141</v>
      </c>
      <c r="G742" s="473" t="s">
        <v>142</v>
      </c>
      <c r="H742" s="473" t="s">
        <v>354</v>
      </c>
      <c r="I742" s="473" t="s">
        <v>355</v>
      </c>
      <c r="J742" s="473">
        <v>41.2</v>
      </c>
      <c r="K742" s="473" t="s">
        <v>356</v>
      </c>
      <c r="L742" s="473">
        <v>41.2</v>
      </c>
      <c r="M742" s="473">
        <v>67</v>
      </c>
      <c r="N742" s="473"/>
      <c r="O742" s="474">
        <f t="shared" si="46"/>
        <v>3060.4</v>
      </c>
      <c r="P742" s="476">
        <v>15</v>
      </c>
      <c r="Q742" s="474">
        <f t="shared" si="44"/>
        <v>214.228</v>
      </c>
      <c r="R742" s="476">
        <v>800</v>
      </c>
      <c r="S742" s="477">
        <f t="shared" si="45"/>
        <v>2031.172</v>
      </c>
      <c r="T742" s="473"/>
      <c r="U742" s="473"/>
      <c r="V742" s="473"/>
      <c r="W742" s="419"/>
    </row>
    <row r="743" s="420" customFormat="1" ht="16" customHeight="1" spans="1:23">
      <c r="A743" s="472">
        <v>46199</v>
      </c>
      <c r="B743" s="472">
        <v>46200</v>
      </c>
      <c r="C743" s="473" t="s">
        <v>813</v>
      </c>
      <c r="D743" s="473" t="s">
        <v>237</v>
      </c>
      <c r="E743" s="473" t="s">
        <v>204</v>
      </c>
      <c r="F743" s="473" t="s">
        <v>204</v>
      </c>
      <c r="G743" s="473" t="s">
        <v>715</v>
      </c>
      <c r="H743" s="473" t="s">
        <v>354</v>
      </c>
      <c r="I743" s="473" t="s">
        <v>407</v>
      </c>
      <c r="J743" s="473">
        <v>39.94</v>
      </c>
      <c r="K743" s="473" t="s">
        <v>356</v>
      </c>
      <c r="L743" s="473">
        <v>39.94</v>
      </c>
      <c r="M743" s="473">
        <v>87</v>
      </c>
      <c r="N743" s="473"/>
      <c r="O743" s="474">
        <f t="shared" ref="O741:O750" si="47">L743*M743</f>
        <v>3474.78</v>
      </c>
      <c r="P743" s="476">
        <v>15</v>
      </c>
      <c r="Q743" s="474">
        <f t="shared" si="44"/>
        <v>243.2346</v>
      </c>
      <c r="R743" s="476">
        <v>800</v>
      </c>
      <c r="S743" s="477">
        <f t="shared" si="45"/>
        <v>2416.5454</v>
      </c>
      <c r="T743" s="473"/>
      <c r="U743" s="473"/>
      <c r="V743" s="473"/>
      <c r="W743" s="419"/>
    </row>
    <row r="744" s="420" customFormat="1" ht="16" customHeight="1" spans="1:23">
      <c r="A744" s="472">
        <v>46199</v>
      </c>
      <c r="B744" s="472">
        <v>46200</v>
      </c>
      <c r="C744" s="473" t="s">
        <v>814</v>
      </c>
      <c r="D744" s="473" t="s">
        <v>237</v>
      </c>
      <c r="E744" s="473" t="s">
        <v>180</v>
      </c>
      <c r="F744" s="473" t="s">
        <v>180</v>
      </c>
      <c r="G744" s="473" t="s">
        <v>181</v>
      </c>
      <c r="H744" s="473" t="s">
        <v>354</v>
      </c>
      <c r="I744" s="473" t="s">
        <v>407</v>
      </c>
      <c r="J744" s="473">
        <v>40.56</v>
      </c>
      <c r="K744" s="473" t="s">
        <v>356</v>
      </c>
      <c r="L744" s="473">
        <v>40.54</v>
      </c>
      <c r="M744" s="473">
        <v>87</v>
      </c>
      <c r="N744" s="473"/>
      <c r="O744" s="474">
        <f t="shared" si="47"/>
        <v>3526.98</v>
      </c>
      <c r="P744" s="476">
        <v>15</v>
      </c>
      <c r="Q744" s="474">
        <f t="shared" si="44"/>
        <v>246.8886</v>
      </c>
      <c r="R744" s="476">
        <v>800</v>
      </c>
      <c r="S744" s="477">
        <f t="shared" si="45"/>
        <v>2465.0914</v>
      </c>
      <c r="T744" s="473"/>
      <c r="U744" s="473"/>
      <c r="V744" s="473"/>
      <c r="W744" s="419"/>
    </row>
    <row r="745" s="420" customFormat="1" ht="16" customHeight="1" spans="1:23">
      <c r="A745" s="472">
        <v>46199</v>
      </c>
      <c r="B745" s="472">
        <v>46200</v>
      </c>
      <c r="C745" s="473" t="s">
        <v>815</v>
      </c>
      <c r="D745" s="473" t="s">
        <v>237</v>
      </c>
      <c r="E745" s="473" t="s">
        <v>338</v>
      </c>
      <c r="F745" s="473" t="s">
        <v>338</v>
      </c>
      <c r="G745" s="473" t="s">
        <v>158</v>
      </c>
      <c r="H745" s="473" t="s">
        <v>354</v>
      </c>
      <c r="I745" s="473" t="s">
        <v>407</v>
      </c>
      <c r="J745" s="473">
        <v>39.88</v>
      </c>
      <c r="K745" s="473" t="s">
        <v>356</v>
      </c>
      <c r="L745" s="473">
        <v>39.88</v>
      </c>
      <c r="M745" s="473">
        <v>87</v>
      </c>
      <c r="N745" s="473"/>
      <c r="O745" s="474">
        <f t="shared" si="47"/>
        <v>3469.56</v>
      </c>
      <c r="P745" s="476">
        <v>15</v>
      </c>
      <c r="Q745" s="474">
        <f t="shared" si="44"/>
        <v>242.8692</v>
      </c>
      <c r="R745" s="476">
        <v>800</v>
      </c>
      <c r="S745" s="477">
        <f t="shared" si="45"/>
        <v>2411.6908</v>
      </c>
      <c r="T745" s="473"/>
      <c r="U745" s="473"/>
      <c r="V745" s="473"/>
      <c r="W745" s="419"/>
    </row>
    <row r="746" s="420" customFormat="1" ht="16" customHeight="1" spans="1:23">
      <c r="A746" s="472">
        <v>46199</v>
      </c>
      <c r="B746" s="472">
        <v>46200</v>
      </c>
      <c r="C746" s="473" t="s">
        <v>816</v>
      </c>
      <c r="D746" s="473" t="s">
        <v>233</v>
      </c>
      <c r="E746" s="473" t="s">
        <v>221</v>
      </c>
      <c r="F746" s="473" t="s">
        <v>221</v>
      </c>
      <c r="G746" s="473" t="s">
        <v>704</v>
      </c>
      <c r="H746" s="473" t="s">
        <v>354</v>
      </c>
      <c r="I746" s="473" t="s">
        <v>355</v>
      </c>
      <c r="J746" s="473">
        <v>44.24</v>
      </c>
      <c r="K746" s="473" t="s">
        <v>356</v>
      </c>
      <c r="L746" s="473">
        <v>44.22</v>
      </c>
      <c r="M746" s="473">
        <v>67</v>
      </c>
      <c r="N746" s="473"/>
      <c r="O746" s="474">
        <f t="shared" si="47"/>
        <v>2962.74</v>
      </c>
      <c r="P746" s="476">
        <v>15</v>
      </c>
      <c r="Q746" s="474">
        <f t="shared" si="44"/>
        <v>207.3918</v>
      </c>
      <c r="R746" s="476">
        <v>600</v>
      </c>
      <c r="S746" s="477">
        <f t="shared" si="45"/>
        <v>2140.3482</v>
      </c>
      <c r="T746" s="473"/>
      <c r="U746" s="473"/>
      <c r="V746" s="473"/>
      <c r="W746" s="419"/>
    </row>
    <row r="747" s="420" customFormat="1" ht="16" customHeight="1" spans="1:23">
      <c r="A747" s="472">
        <v>46199</v>
      </c>
      <c r="B747" s="472">
        <v>46200</v>
      </c>
      <c r="C747" s="473" t="s">
        <v>817</v>
      </c>
      <c r="D747" s="473" t="s">
        <v>233</v>
      </c>
      <c r="E747" s="473" t="s">
        <v>219</v>
      </c>
      <c r="F747" s="473" t="s">
        <v>219</v>
      </c>
      <c r="G747" s="473" t="s">
        <v>818</v>
      </c>
      <c r="H747" s="473" t="s">
        <v>354</v>
      </c>
      <c r="I747" s="473" t="s">
        <v>355</v>
      </c>
      <c r="J747" s="473">
        <v>44.38</v>
      </c>
      <c r="K747" s="473" t="s">
        <v>356</v>
      </c>
      <c r="L747" s="473">
        <v>44.38</v>
      </c>
      <c r="M747" s="473">
        <v>67</v>
      </c>
      <c r="N747" s="473"/>
      <c r="O747" s="474">
        <f t="shared" si="47"/>
        <v>2973.46</v>
      </c>
      <c r="P747" s="476">
        <v>15</v>
      </c>
      <c r="Q747" s="474">
        <f t="shared" si="44"/>
        <v>208.1422</v>
      </c>
      <c r="R747" s="476">
        <v>600</v>
      </c>
      <c r="S747" s="477">
        <f t="shared" si="45"/>
        <v>2150.3178</v>
      </c>
      <c r="T747" s="473"/>
      <c r="U747" s="473"/>
      <c r="V747" s="473"/>
      <c r="W747" s="419"/>
    </row>
    <row r="748" s="420" customFormat="1" ht="16" customHeight="1" spans="1:23">
      <c r="A748" s="472">
        <v>46199</v>
      </c>
      <c r="B748" s="472">
        <v>46199</v>
      </c>
      <c r="C748" s="473" t="s">
        <v>819</v>
      </c>
      <c r="D748" s="473" t="s">
        <v>233</v>
      </c>
      <c r="E748" s="473" t="s">
        <v>186</v>
      </c>
      <c r="F748" s="473" t="s">
        <v>186</v>
      </c>
      <c r="G748" s="473" t="s">
        <v>187</v>
      </c>
      <c r="H748" s="473" t="s">
        <v>354</v>
      </c>
      <c r="I748" s="473" t="s">
        <v>355</v>
      </c>
      <c r="J748" s="473">
        <v>43.24</v>
      </c>
      <c r="K748" s="473" t="s">
        <v>356</v>
      </c>
      <c r="L748" s="473">
        <v>43.24</v>
      </c>
      <c r="M748" s="473">
        <v>67</v>
      </c>
      <c r="N748" s="473"/>
      <c r="O748" s="474">
        <f t="shared" si="47"/>
        <v>2897.08</v>
      </c>
      <c r="P748" s="476">
        <v>15</v>
      </c>
      <c r="Q748" s="474">
        <f t="shared" si="44"/>
        <v>202.7956</v>
      </c>
      <c r="R748" s="476">
        <v>600</v>
      </c>
      <c r="S748" s="477">
        <f t="shared" si="45"/>
        <v>2079.2844</v>
      </c>
      <c r="T748" s="473"/>
      <c r="U748" s="473"/>
      <c r="V748" s="473"/>
      <c r="W748" s="419"/>
    </row>
    <row r="749" s="420" customFormat="1" ht="16" customHeight="1" spans="1:23">
      <c r="A749" s="472">
        <v>46198</v>
      </c>
      <c r="B749" s="472">
        <v>46199</v>
      </c>
      <c r="C749" s="473" t="s">
        <v>820</v>
      </c>
      <c r="D749" s="473" t="s">
        <v>235</v>
      </c>
      <c r="E749" s="473" t="s">
        <v>180</v>
      </c>
      <c r="F749" s="473" t="s">
        <v>180</v>
      </c>
      <c r="G749" s="473" t="s">
        <v>181</v>
      </c>
      <c r="H749" s="473" t="s">
        <v>384</v>
      </c>
      <c r="I749" s="473" t="s">
        <v>356</v>
      </c>
      <c r="J749" s="473">
        <v>40.66</v>
      </c>
      <c r="K749" s="473" t="s">
        <v>371</v>
      </c>
      <c r="L749" s="473">
        <v>40.5</v>
      </c>
      <c r="M749" s="473">
        <v>61</v>
      </c>
      <c r="N749" s="473"/>
      <c r="O749" s="474">
        <f t="shared" si="47"/>
        <v>2470.5</v>
      </c>
      <c r="P749" s="476">
        <v>15</v>
      </c>
      <c r="Q749" s="474">
        <f t="shared" si="44"/>
        <v>172.935</v>
      </c>
      <c r="R749" s="476">
        <v>600</v>
      </c>
      <c r="S749" s="477">
        <f t="shared" si="45"/>
        <v>1682.565</v>
      </c>
      <c r="T749" s="473"/>
      <c r="U749" s="473"/>
      <c r="V749" s="473"/>
      <c r="W749" s="419"/>
    </row>
    <row r="750" s="420" customFormat="1" ht="16" customHeight="1" spans="1:23">
      <c r="A750" s="472">
        <v>46199</v>
      </c>
      <c r="B750" s="472">
        <v>46200</v>
      </c>
      <c r="C750" s="473" t="s">
        <v>821</v>
      </c>
      <c r="D750" s="473" t="s">
        <v>237</v>
      </c>
      <c r="E750" s="473" t="s">
        <v>195</v>
      </c>
      <c r="F750" s="473" t="s">
        <v>195</v>
      </c>
      <c r="G750" s="473" t="s">
        <v>196</v>
      </c>
      <c r="H750" s="473" t="s">
        <v>354</v>
      </c>
      <c r="I750" s="473" t="s">
        <v>407</v>
      </c>
      <c r="J750" s="473">
        <v>40.56</v>
      </c>
      <c r="K750" s="473" t="s">
        <v>356</v>
      </c>
      <c r="L750" s="473">
        <v>40.56</v>
      </c>
      <c r="M750" s="473">
        <v>87</v>
      </c>
      <c r="N750" s="473"/>
      <c r="O750" s="474">
        <f t="shared" si="47"/>
        <v>3528.72</v>
      </c>
      <c r="P750" s="476">
        <v>15</v>
      </c>
      <c r="Q750" s="474">
        <f t="shared" si="44"/>
        <v>247.0104</v>
      </c>
      <c r="R750" s="476">
        <v>800</v>
      </c>
      <c r="S750" s="477">
        <f t="shared" si="45"/>
        <v>2466.7096</v>
      </c>
      <c r="T750" s="473"/>
      <c r="U750" s="473"/>
      <c r="V750" s="473"/>
      <c r="W750" s="419"/>
    </row>
    <row r="751" s="420" customFormat="1" ht="16" customHeight="1" spans="1:23">
      <c r="A751" s="472">
        <v>46200</v>
      </c>
      <c r="B751" s="472">
        <v>46201</v>
      </c>
      <c r="C751" s="473" t="s">
        <v>822</v>
      </c>
      <c r="D751" s="473" t="s">
        <v>236</v>
      </c>
      <c r="E751" s="473" t="s">
        <v>105</v>
      </c>
      <c r="F751" s="473" t="s">
        <v>105</v>
      </c>
      <c r="G751" s="473" t="s">
        <v>58</v>
      </c>
      <c r="H751" s="473" t="s">
        <v>354</v>
      </c>
      <c r="I751" s="473" t="s">
        <v>369</v>
      </c>
      <c r="J751" s="473">
        <v>40.14</v>
      </c>
      <c r="K751" s="473" t="s">
        <v>356</v>
      </c>
      <c r="L751" s="473">
        <v>40.12</v>
      </c>
      <c r="M751" s="473">
        <v>68</v>
      </c>
      <c r="N751" s="473"/>
      <c r="O751" s="474">
        <f t="shared" ref="O751:O758" si="48">L751*M751+300</f>
        <v>3028.16</v>
      </c>
      <c r="P751" s="476">
        <v>15</v>
      </c>
      <c r="Q751" s="474">
        <f t="shared" si="44"/>
        <v>211.9712</v>
      </c>
      <c r="R751" s="476">
        <v>800</v>
      </c>
      <c r="S751" s="477">
        <f t="shared" si="45"/>
        <v>2001.1888</v>
      </c>
      <c r="T751" s="473"/>
      <c r="U751" s="473"/>
      <c r="V751" s="473"/>
      <c r="W751" s="419">
        <v>1</v>
      </c>
    </row>
    <row r="752" s="420" customFormat="1" ht="16" customHeight="1" spans="1:23">
      <c r="A752" s="472">
        <v>46200</v>
      </c>
      <c r="B752" s="472">
        <v>46201</v>
      </c>
      <c r="C752" s="473" t="s">
        <v>823</v>
      </c>
      <c r="D752" s="473" t="s">
        <v>236</v>
      </c>
      <c r="E752" s="473" t="s">
        <v>124</v>
      </c>
      <c r="F752" s="473" t="s">
        <v>124</v>
      </c>
      <c r="G752" s="473" t="s">
        <v>125</v>
      </c>
      <c r="H752" s="473" t="s">
        <v>354</v>
      </c>
      <c r="I752" s="473" t="s">
        <v>369</v>
      </c>
      <c r="J752" s="473">
        <v>39.68</v>
      </c>
      <c r="K752" s="473" t="s">
        <v>356</v>
      </c>
      <c r="L752" s="473">
        <v>39.66</v>
      </c>
      <c r="M752" s="473">
        <v>68</v>
      </c>
      <c r="N752" s="473"/>
      <c r="O752" s="474">
        <f t="shared" si="48"/>
        <v>2996.88</v>
      </c>
      <c r="P752" s="476">
        <v>15</v>
      </c>
      <c r="Q752" s="474">
        <f t="shared" si="44"/>
        <v>209.7816</v>
      </c>
      <c r="R752" s="476">
        <v>800</v>
      </c>
      <c r="S752" s="477">
        <f t="shared" si="45"/>
        <v>1972.0984</v>
      </c>
      <c r="T752" s="473"/>
      <c r="U752" s="473"/>
      <c r="V752" s="473"/>
      <c r="W752" s="419">
        <v>1</v>
      </c>
    </row>
    <row r="753" s="420" customFormat="1" ht="16" customHeight="1" spans="1:23">
      <c r="A753" s="472">
        <v>46200</v>
      </c>
      <c r="B753" s="472">
        <v>46201</v>
      </c>
      <c r="C753" s="473" t="s">
        <v>824</v>
      </c>
      <c r="D753" s="473" t="s">
        <v>236</v>
      </c>
      <c r="E753" s="473" t="s">
        <v>96</v>
      </c>
      <c r="F753" s="473" t="s">
        <v>96</v>
      </c>
      <c r="G753" s="473" t="s">
        <v>97</v>
      </c>
      <c r="H753" s="473" t="s">
        <v>354</v>
      </c>
      <c r="I753" s="473" t="s">
        <v>369</v>
      </c>
      <c r="J753" s="473">
        <v>39.7</v>
      </c>
      <c r="K753" s="473" t="s">
        <v>356</v>
      </c>
      <c r="L753" s="473">
        <v>39.68</v>
      </c>
      <c r="M753" s="473">
        <v>68</v>
      </c>
      <c r="N753" s="473"/>
      <c r="O753" s="474">
        <f t="shared" si="48"/>
        <v>2998.24</v>
      </c>
      <c r="P753" s="476">
        <v>15</v>
      </c>
      <c r="Q753" s="474">
        <f t="shared" si="44"/>
        <v>209.8768</v>
      </c>
      <c r="R753" s="476">
        <v>800</v>
      </c>
      <c r="S753" s="477">
        <f t="shared" si="45"/>
        <v>1973.3632</v>
      </c>
      <c r="T753" s="473"/>
      <c r="U753" s="473"/>
      <c r="V753" s="473"/>
      <c r="W753" s="419">
        <v>1</v>
      </c>
    </row>
    <row r="754" s="420" customFormat="1" ht="16" customHeight="1" spans="1:23">
      <c r="A754" s="472">
        <v>46200</v>
      </c>
      <c r="B754" s="472">
        <v>46201</v>
      </c>
      <c r="C754" s="473" t="s">
        <v>825</v>
      </c>
      <c r="D754" s="473" t="s">
        <v>236</v>
      </c>
      <c r="E754" s="473" t="s">
        <v>51</v>
      </c>
      <c r="F754" s="473" t="s">
        <v>51</v>
      </c>
      <c r="G754" s="473" t="s">
        <v>52</v>
      </c>
      <c r="H754" s="473" t="s">
        <v>354</v>
      </c>
      <c r="I754" s="473" t="s">
        <v>369</v>
      </c>
      <c r="J754" s="473">
        <v>40</v>
      </c>
      <c r="K754" s="473" t="s">
        <v>356</v>
      </c>
      <c r="L754" s="473">
        <v>39.98</v>
      </c>
      <c r="M754" s="473">
        <v>68</v>
      </c>
      <c r="N754" s="473"/>
      <c r="O754" s="474">
        <f t="shared" si="48"/>
        <v>3018.64</v>
      </c>
      <c r="P754" s="476">
        <v>15</v>
      </c>
      <c r="Q754" s="474">
        <f t="shared" si="44"/>
        <v>211.3048</v>
      </c>
      <c r="R754" s="476">
        <v>800</v>
      </c>
      <c r="S754" s="477">
        <f t="shared" si="45"/>
        <v>1992.3352</v>
      </c>
      <c r="T754" s="473"/>
      <c r="U754" s="473"/>
      <c r="V754" s="473"/>
      <c r="W754" s="419">
        <v>1</v>
      </c>
    </row>
    <row r="755" s="420" customFormat="1" ht="16" customHeight="1" spans="1:23">
      <c r="A755" s="472">
        <v>46200</v>
      </c>
      <c r="B755" s="472">
        <v>46201</v>
      </c>
      <c r="C755" s="473" t="s">
        <v>826</v>
      </c>
      <c r="D755" s="473" t="s">
        <v>236</v>
      </c>
      <c r="E755" s="473" t="s">
        <v>69</v>
      </c>
      <c r="F755" s="473" t="s">
        <v>69</v>
      </c>
      <c r="G755" s="473" t="s">
        <v>70</v>
      </c>
      <c r="H755" s="473" t="s">
        <v>354</v>
      </c>
      <c r="I755" s="473" t="s">
        <v>369</v>
      </c>
      <c r="J755" s="473">
        <v>40.04</v>
      </c>
      <c r="K755" s="473" t="s">
        <v>356</v>
      </c>
      <c r="L755" s="473">
        <v>40.04</v>
      </c>
      <c r="M755" s="473">
        <v>68</v>
      </c>
      <c r="N755" s="473"/>
      <c r="O755" s="474">
        <f t="shared" si="48"/>
        <v>3022.72</v>
      </c>
      <c r="P755" s="476">
        <v>15</v>
      </c>
      <c r="Q755" s="474">
        <f t="shared" si="44"/>
        <v>211.5904</v>
      </c>
      <c r="R755" s="476">
        <v>800</v>
      </c>
      <c r="S755" s="477">
        <f t="shared" si="45"/>
        <v>1996.1296</v>
      </c>
      <c r="T755" s="473"/>
      <c r="U755" s="473"/>
      <c r="V755" s="473"/>
      <c r="W755" s="419">
        <v>1</v>
      </c>
    </row>
    <row r="756" s="420" customFormat="1" ht="16" customHeight="1" spans="1:23">
      <c r="A756" s="472">
        <v>46200</v>
      </c>
      <c r="B756" s="472">
        <v>46201</v>
      </c>
      <c r="C756" s="473" t="s">
        <v>827</v>
      </c>
      <c r="D756" s="473" t="s">
        <v>236</v>
      </c>
      <c r="E756" s="473" t="s">
        <v>127</v>
      </c>
      <c r="F756" s="473" t="s">
        <v>127</v>
      </c>
      <c r="G756" s="473" t="s">
        <v>128</v>
      </c>
      <c r="H756" s="473" t="s">
        <v>354</v>
      </c>
      <c r="I756" s="473" t="s">
        <v>369</v>
      </c>
      <c r="J756" s="473">
        <v>37.74</v>
      </c>
      <c r="K756" s="473" t="s">
        <v>356</v>
      </c>
      <c r="L756" s="473">
        <v>37.72</v>
      </c>
      <c r="M756" s="473">
        <v>68</v>
      </c>
      <c r="N756" s="473"/>
      <c r="O756" s="474">
        <f t="shared" si="48"/>
        <v>2864.96</v>
      </c>
      <c r="P756" s="476">
        <v>15</v>
      </c>
      <c r="Q756" s="474">
        <f t="shared" si="44"/>
        <v>200.5472</v>
      </c>
      <c r="R756" s="476">
        <v>800</v>
      </c>
      <c r="S756" s="477">
        <f t="shared" si="45"/>
        <v>1849.4128</v>
      </c>
      <c r="T756" s="473"/>
      <c r="U756" s="473"/>
      <c r="V756" s="473"/>
      <c r="W756" s="419">
        <v>1</v>
      </c>
    </row>
    <row r="757" s="420" customFormat="1" ht="16" customHeight="1" spans="1:23">
      <c r="A757" s="472">
        <v>46200</v>
      </c>
      <c r="B757" s="472">
        <v>46201</v>
      </c>
      <c r="C757" s="473" t="s">
        <v>828</v>
      </c>
      <c r="D757" s="473" t="s">
        <v>236</v>
      </c>
      <c r="E757" s="473" t="s">
        <v>114</v>
      </c>
      <c r="F757" s="473" t="s">
        <v>114</v>
      </c>
      <c r="G757" s="473" t="s">
        <v>115</v>
      </c>
      <c r="H757" s="473" t="s">
        <v>354</v>
      </c>
      <c r="I757" s="473" t="s">
        <v>369</v>
      </c>
      <c r="J757" s="473">
        <v>38.72</v>
      </c>
      <c r="K757" s="473" t="s">
        <v>356</v>
      </c>
      <c r="L757" s="473">
        <v>38.72</v>
      </c>
      <c r="M757" s="473">
        <v>68</v>
      </c>
      <c r="N757" s="473"/>
      <c r="O757" s="474">
        <f t="shared" si="48"/>
        <v>2932.96</v>
      </c>
      <c r="P757" s="476">
        <v>15</v>
      </c>
      <c r="Q757" s="474">
        <f t="shared" si="44"/>
        <v>205.3072</v>
      </c>
      <c r="R757" s="476">
        <v>800</v>
      </c>
      <c r="S757" s="477">
        <f t="shared" si="45"/>
        <v>1912.6528</v>
      </c>
      <c r="T757" s="473"/>
      <c r="U757" s="473"/>
      <c r="V757" s="473"/>
      <c r="W757" s="419">
        <v>1</v>
      </c>
    </row>
    <row r="758" s="420" customFormat="1" ht="16" customHeight="1" spans="1:23">
      <c r="A758" s="472">
        <v>46200</v>
      </c>
      <c r="B758" s="472">
        <v>46201</v>
      </c>
      <c r="C758" s="473" t="s">
        <v>829</v>
      </c>
      <c r="D758" s="473" t="s">
        <v>236</v>
      </c>
      <c r="E758" s="473" t="s">
        <v>72</v>
      </c>
      <c r="F758" s="473" t="s">
        <v>72</v>
      </c>
      <c r="G758" s="473" t="s">
        <v>73</v>
      </c>
      <c r="H758" s="473" t="s">
        <v>354</v>
      </c>
      <c r="I758" s="473" t="s">
        <v>369</v>
      </c>
      <c r="J758" s="473">
        <v>40.22</v>
      </c>
      <c r="K758" s="473" t="s">
        <v>356</v>
      </c>
      <c r="L758" s="473">
        <v>40.22</v>
      </c>
      <c r="M758" s="473">
        <v>68</v>
      </c>
      <c r="N758" s="473"/>
      <c r="O758" s="474">
        <f t="shared" si="48"/>
        <v>3034.96</v>
      </c>
      <c r="P758" s="476">
        <v>15</v>
      </c>
      <c r="Q758" s="474">
        <f t="shared" si="44"/>
        <v>212.4472</v>
      </c>
      <c r="R758" s="476">
        <v>800</v>
      </c>
      <c r="S758" s="477">
        <f t="shared" si="45"/>
        <v>2007.5128</v>
      </c>
      <c r="T758" s="473"/>
      <c r="U758" s="473"/>
      <c r="V758" s="473"/>
      <c r="W758" s="419">
        <v>1</v>
      </c>
    </row>
    <row r="759" s="421" customFormat="1" ht="16" customHeight="1" spans="1:23">
      <c r="A759" s="449">
        <v>46200</v>
      </c>
      <c r="B759" s="7"/>
      <c r="C759" s="7" t="s">
        <v>830</v>
      </c>
      <c r="D759" s="7" t="s">
        <v>236</v>
      </c>
      <c r="E759" s="7"/>
      <c r="F759" s="7" t="s">
        <v>93</v>
      </c>
      <c r="G759" s="7" t="s">
        <v>94</v>
      </c>
      <c r="H759" s="7" t="s">
        <v>354</v>
      </c>
      <c r="I759" s="7" t="s">
        <v>369</v>
      </c>
      <c r="J759" s="480">
        <v>40.3</v>
      </c>
      <c r="K759" s="7" t="s">
        <v>356</v>
      </c>
      <c r="L759" s="7"/>
      <c r="M759" s="7">
        <v>68</v>
      </c>
      <c r="N759" s="7"/>
      <c r="O759" s="465">
        <f t="shared" ref="O759:O768" si="49">L759*M759</f>
        <v>0</v>
      </c>
      <c r="P759" s="464"/>
      <c r="Q759" s="465">
        <f t="shared" si="44"/>
        <v>0</v>
      </c>
      <c r="R759" s="464"/>
      <c r="S759" s="439">
        <f t="shared" si="45"/>
        <v>0</v>
      </c>
      <c r="T759" s="7"/>
      <c r="U759" s="7"/>
      <c r="V759" s="7"/>
      <c r="W759" s="417">
        <v>1</v>
      </c>
    </row>
    <row r="760" s="421" customFormat="1" ht="16" customHeight="1" spans="1:23">
      <c r="A760" s="449">
        <v>46200</v>
      </c>
      <c r="B760" s="449">
        <v>46201</v>
      </c>
      <c r="C760" s="7" t="s">
        <v>831</v>
      </c>
      <c r="D760" s="7" t="s">
        <v>236</v>
      </c>
      <c r="E760" s="7" t="s">
        <v>63</v>
      </c>
      <c r="F760" s="7" t="s">
        <v>63</v>
      </c>
      <c r="G760" s="7" t="s">
        <v>327</v>
      </c>
      <c r="H760" s="7" t="s">
        <v>354</v>
      </c>
      <c r="I760" s="7" t="s">
        <v>369</v>
      </c>
      <c r="J760" s="480">
        <v>37.98</v>
      </c>
      <c r="K760" s="7" t="s">
        <v>356</v>
      </c>
      <c r="L760" s="480">
        <v>37.96</v>
      </c>
      <c r="M760" s="7">
        <v>68</v>
      </c>
      <c r="N760" s="7"/>
      <c r="O760" s="481">
        <f>L760*M760+300</f>
        <v>2881.28</v>
      </c>
      <c r="P760" s="464">
        <v>15</v>
      </c>
      <c r="Q760" s="465">
        <f t="shared" si="44"/>
        <v>201.6896</v>
      </c>
      <c r="R760" s="482">
        <v>800</v>
      </c>
      <c r="S760" s="439">
        <f t="shared" si="45"/>
        <v>1864.5904</v>
      </c>
      <c r="T760" s="7"/>
      <c r="U760" s="7"/>
      <c r="V760" s="7"/>
      <c r="W760" s="417">
        <v>1</v>
      </c>
    </row>
    <row r="761" s="421" customFormat="1" ht="16" customHeight="1" spans="1:23">
      <c r="A761" s="449">
        <v>46201</v>
      </c>
      <c r="B761" s="7"/>
      <c r="C761" s="7" t="s">
        <v>832</v>
      </c>
      <c r="D761" s="7" t="s">
        <v>236</v>
      </c>
      <c r="E761" s="7"/>
      <c r="F761" s="7" t="s">
        <v>78</v>
      </c>
      <c r="G761" s="7" t="s">
        <v>79</v>
      </c>
      <c r="H761" s="7" t="s">
        <v>354</v>
      </c>
      <c r="I761" s="7" t="s">
        <v>369</v>
      </c>
      <c r="J761" s="480">
        <v>38.18</v>
      </c>
      <c r="K761" s="7" t="s">
        <v>356</v>
      </c>
      <c r="L761" s="7"/>
      <c r="M761" s="7">
        <v>68</v>
      </c>
      <c r="N761" s="7"/>
      <c r="O761" s="465">
        <f t="shared" si="49"/>
        <v>0</v>
      </c>
      <c r="P761" s="464"/>
      <c r="Q761" s="465">
        <f t="shared" si="44"/>
        <v>0</v>
      </c>
      <c r="R761" s="464"/>
      <c r="S761" s="439">
        <f t="shared" si="45"/>
        <v>0</v>
      </c>
      <c r="T761" s="7"/>
      <c r="U761" s="7"/>
      <c r="V761" s="7"/>
      <c r="W761" s="417">
        <v>1</v>
      </c>
    </row>
    <row r="762" s="421" customFormat="1" ht="16" customHeight="1" spans="1:23">
      <c r="A762" s="449">
        <v>46201</v>
      </c>
      <c r="B762" s="7"/>
      <c r="C762" s="7" t="s">
        <v>833</v>
      </c>
      <c r="D762" s="7" t="s">
        <v>236</v>
      </c>
      <c r="E762" s="7"/>
      <c r="F762" s="7" t="s">
        <v>130</v>
      </c>
      <c r="G762" s="7" t="s">
        <v>122</v>
      </c>
      <c r="H762" s="7" t="s">
        <v>354</v>
      </c>
      <c r="I762" s="7" t="s">
        <v>369</v>
      </c>
      <c r="J762" s="480">
        <v>38.16</v>
      </c>
      <c r="K762" s="7" t="s">
        <v>356</v>
      </c>
      <c r="L762" s="7"/>
      <c r="M762" s="7">
        <v>68</v>
      </c>
      <c r="N762" s="7"/>
      <c r="O762" s="465">
        <f t="shared" si="49"/>
        <v>0</v>
      </c>
      <c r="P762" s="464"/>
      <c r="Q762" s="465">
        <f t="shared" si="44"/>
        <v>0</v>
      </c>
      <c r="R762" s="464"/>
      <c r="S762" s="439">
        <f t="shared" si="45"/>
        <v>0</v>
      </c>
      <c r="T762" s="7"/>
      <c r="U762" s="7"/>
      <c r="V762" s="7"/>
      <c r="W762" s="417">
        <v>1</v>
      </c>
    </row>
    <row r="763" s="421" customFormat="1" ht="16" customHeight="1" spans="1:23">
      <c r="A763" s="449">
        <v>46201</v>
      </c>
      <c r="B763" s="7"/>
      <c r="C763" s="7" t="s">
        <v>834</v>
      </c>
      <c r="D763" s="7" t="s">
        <v>236</v>
      </c>
      <c r="E763" s="7"/>
      <c r="F763" s="7" t="s">
        <v>132</v>
      </c>
      <c r="G763" s="7" t="s">
        <v>133</v>
      </c>
      <c r="H763" s="7" t="s">
        <v>354</v>
      </c>
      <c r="I763" s="7" t="s">
        <v>369</v>
      </c>
      <c r="J763" s="480">
        <v>39.42</v>
      </c>
      <c r="K763" s="7" t="s">
        <v>356</v>
      </c>
      <c r="L763" s="7"/>
      <c r="M763" s="7">
        <v>68</v>
      </c>
      <c r="N763" s="7"/>
      <c r="O763" s="465">
        <f t="shared" si="49"/>
        <v>0</v>
      </c>
      <c r="P763" s="464"/>
      <c r="Q763" s="465">
        <f t="shared" si="44"/>
        <v>0</v>
      </c>
      <c r="R763" s="464"/>
      <c r="S763" s="439">
        <f t="shared" si="45"/>
        <v>0</v>
      </c>
      <c r="T763" s="7"/>
      <c r="U763" s="7"/>
      <c r="V763" s="7"/>
      <c r="W763" s="417">
        <v>1</v>
      </c>
    </row>
    <row r="764" s="421" customFormat="1" ht="16" customHeight="1" spans="1:23">
      <c r="A764" s="449">
        <v>46201</v>
      </c>
      <c r="B764" s="7"/>
      <c r="C764" s="7" t="s">
        <v>835</v>
      </c>
      <c r="D764" s="7" t="s">
        <v>236</v>
      </c>
      <c r="E764" s="7"/>
      <c r="F764" s="7" t="s">
        <v>141</v>
      </c>
      <c r="G764" s="7" t="s">
        <v>142</v>
      </c>
      <c r="H764" s="7" t="s">
        <v>354</v>
      </c>
      <c r="I764" s="7" t="s">
        <v>369</v>
      </c>
      <c r="J764" s="480">
        <v>39.36</v>
      </c>
      <c r="K764" s="7" t="s">
        <v>356</v>
      </c>
      <c r="L764" s="7"/>
      <c r="M764" s="7">
        <v>68</v>
      </c>
      <c r="N764" s="7"/>
      <c r="O764" s="465">
        <f t="shared" si="49"/>
        <v>0</v>
      </c>
      <c r="P764" s="464"/>
      <c r="Q764" s="465">
        <f t="shared" si="44"/>
        <v>0</v>
      </c>
      <c r="R764" s="464"/>
      <c r="S764" s="439">
        <f t="shared" si="45"/>
        <v>0</v>
      </c>
      <c r="T764" s="7"/>
      <c r="U764" s="7"/>
      <c r="V764" s="7"/>
      <c r="W764" s="417">
        <v>1</v>
      </c>
    </row>
    <row r="765" s="421" customFormat="1" ht="16" customHeight="1" spans="1:23">
      <c r="A765" s="449">
        <v>46201</v>
      </c>
      <c r="B765" s="7"/>
      <c r="C765" s="7" t="s">
        <v>836</v>
      </c>
      <c r="D765" s="7" t="s">
        <v>236</v>
      </c>
      <c r="E765" s="7"/>
      <c r="F765" s="7" t="s">
        <v>75</v>
      </c>
      <c r="G765" s="7" t="s">
        <v>76</v>
      </c>
      <c r="H765" s="7" t="s">
        <v>354</v>
      </c>
      <c r="I765" s="7" t="s">
        <v>369</v>
      </c>
      <c r="J765" s="480">
        <v>37.72</v>
      </c>
      <c r="K765" s="7" t="s">
        <v>356</v>
      </c>
      <c r="L765" s="7"/>
      <c r="M765" s="7">
        <v>68</v>
      </c>
      <c r="N765" s="7"/>
      <c r="O765" s="465">
        <f t="shared" si="49"/>
        <v>0</v>
      </c>
      <c r="P765" s="464"/>
      <c r="Q765" s="465">
        <f t="shared" si="44"/>
        <v>0</v>
      </c>
      <c r="R765" s="464"/>
      <c r="S765" s="439">
        <f t="shared" si="45"/>
        <v>0</v>
      </c>
      <c r="T765" s="7"/>
      <c r="U765" s="7"/>
      <c r="V765" s="7"/>
      <c r="W765" s="417">
        <v>1</v>
      </c>
    </row>
    <row r="766" s="421" customFormat="1" ht="16" customHeight="1" spans="1:23">
      <c r="A766" s="449">
        <v>46201</v>
      </c>
      <c r="B766" s="7"/>
      <c r="C766" s="7" t="s">
        <v>837</v>
      </c>
      <c r="D766" s="7" t="s">
        <v>236</v>
      </c>
      <c r="E766" s="7"/>
      <c r="F766" s="7" t="s">
        <v>105</v>
      </c>
      <c r="G766" s="7" t="s">
        <v>58</v>
      </c>
      <c r="H766" s="7" t="s">
        <v>354</v>
      </c>
      <c r="I766" s="7" t="s">
        <v>369</v>
      </c>
      <c r="J766" s="480">
        <v>38.08</v>
      </c>
      <c r="K766" s="7" t="s">
        <v>356</v>
      </c>
      <c r="L766" s="7"/>
      <c r="M766" s="7">
        <v>68</v>
      </c>
      <c r="N766" s="7"/>
      <c r="O766" s="465">
        <f t="shared" si="49"/>
        <v>0</v>
      </c>
      <c r="P766" s="464"/>
      <c r="Q766" s="465">
        <f t="shared" si="44"/>
        <v>0</v>
      </c>
      <c r="R766" s="464"/>
      <c r="S766" s="439">
        <f t="shared" si="45"/>
        <v>0</v>
      </c>
      <c r="T766" s="7"/>
      <c r="U766" s="7"/>
      <c r="V766" s="7"/>
      <c r="W766" s="417">
        <v>1</v>
      </c>
    </row>
    <row r="767" s="421" customFormat="1" ht="16" customHeight="1" spans="1:23">
      <c r="A767" s="449">
        <v>46201</v>
      </c>
      <c r="B767" s="7"/>
      <c r="C767" s="7" t="s">
        <v>838</v>
      </c>
      <c r="D767" s="7" t="s">
        <v>236</v>
      </c>
      <c r="E767" s="7"/>
      <c r="F767" s="7" t="s">
        <v>96</v>
      </c>
      <c r="G767" s="7" t="s">
        <v>97</v>
      </c>
      <c r="H767" s="7" t="s">
        <v>354</v>
      </c>
      <c r="I767" s="7" t="s">
        <v>369</v>
      </c>
      <c r="J767" s="480">
        <v>38.02</v>
      </c>
      <c r="K767" s="7" t="s">
        <v>356</v>
      </c>
      <c r="L767" s="7"/>
      <c r="M767" s="7">
        <v>68</v>
      </c>
      <c r="N767" s="7"/>
      <c r="O767" s="465">
        <f t="shared" si="49"/>
        <v>0</v>
      </c>
      <c r="P767" s="464"/>
      <c r="Q767" s="465">
        <f t="shared" si="44"/>
        <v>0</v>
      </c>
      <c r="R767" s="464"/>
      <c r="S767" s="439">
        <f t="shared" si="45"/>
        <v>0</v>
      </c>
      <c r="T767" s="7"/>
      <c r="U767" s="7"/>
      <c r="V767" s="7"/>
      <c r="W767" s="417">
        <v>1</v>
      </c>
    </row>
    <row r="768" s="421" customFormat="1" ht="16" customHeight="1" spans="1:23">
      <c r="A768" s="449">
        <v>46201</v>
      </c>
      <c r="B768" s="7"/>
      <c r="C768" s="7" t="s">
        <v>839</v>
      </c>
      <c r="D768" s="7" t="s">
        <v>236</v>
      </c>
      <c r="E768" s="7"/>
      <c r="F768" s="7" t="s">
        <v>124</v>
      </c>
      <c r="G768" s="7" t="s">
        <v>125</v>
      </c>
      <c r="H768" s="7" t="s">
        <v>354</v>
      </c>
      <c r="I768" s="7" t="s">
        <v>369</v>
      </c>
      <c r="J768" s="480">
        <v>39.22</v>
      </c>
      <c r="K768" s="7" t="s">
        <v>356</v>
      </c>
      <c r="L768" s="7"/>
      <c r="M768" s="7">
        <v>68</v>
      </c>
      <c r="N768" s="7"/>
      <c r="O768" s="465">
        <f t="shared" si="49"/>
        <v>0</v>
      </c>
      <c r="P768" s="464"/>
      <c r="Q768" s="465">
        <f t="shared" si="44"/>
        <v>0</v>
      </c>
      <c r="R768" s="464"/>
      <c r="S768" s="439">
        <f t="shared" si="45"/>
        <v>0</v>
      </c>
      <c r="T768" s="7"/>
      <c r="U768" s="7"/>
      <c r="V768" s="7"/>
      <c r="W768" s="417">
        <v>1</v>
      </c>
    </row>
    <row r="769" s="421" customFormat="1" ht="16" customHeight="1" spans="1:23">
      <c r="A769" s="449">
        <v>46199</v>
      </c>
      <c r="B769" s="449">
        <v>46200</v>
      </c>
      <c r="C769" s="7" t="s">
        <v>840</v>
      </c>
      <c r="D769" s="7" t="s">
        <v>233</v>
      </c>
      <c r="E769" s="7" t="s">
        <v>99</v>
      </c>
      <c r="F769" s="7" t="s">
        <v>99</v>
      </c>
      <c r="G769" s="7" t="s">
        <v>100</v>
      </c>
      <c r="H769" s="7" t="s">
        <v>354</v>
      </c>
      <c r="I769" s="7" t="s">
        <v>355</v>
      </c>
      <c r="J769" s="480">
        <v>39.88</v>
      </c>
      <c r="K769" s="7" t="s">
        <v>356</v>
      </c>
      <c r="L769" s="480">
        <v>39.86</v>
      </c>
      <c r="M769" s="7">
        <v>67</v>
      </c>
      <c r="N769" s="7"/>
      <c r="O769" s="481">
        <f t="shared" ref="O769:O780" si="50">L769*M769+300</f>
        <v>2970.62</v>
      </c>
      <c r="P769" s="464">
        <v>15</v>
      </c>
      <c r="Q769" s="465">
        <f t="shared" si="44"/>
        <v>207.9434</v>
      </c>
      <c r="R769" s="464">
        <v>800</v>
      </c>
      <c r="S769" s="439">
        <f t="shared" si="45"/>
        <v>1947.6766</v>
      </c>
      <c r="T769" s="7"/>
      <c r="U769" s="7"/>
      <c r="V769" s="7"/>
      <c r="W769" s="417">
        <v>1</v>
      </c>
    </row>
    <row r="770" s="421" customFormat="1" ht="16" customHeight="1" spans="1:23">
      <c r="A770" s="449">
        <v>46199</v>
      </c>
      <c r="B770" s="449">
        <v>46200</v>
      </c>
      <c r="C770" s="7" t="s">
        <v>841</v>
      </c>
      <c r="D770" s="7" t="s">
        <v>233</v>
      </c>
      <c r="E770" s="7" t="s">
        <v>66</v>
      </c>
      <c r="F770" s="7" t="s">
        <v>66</v>
      </c>
      <c r="G770" s="7" t="s">
        <v>67</v>
      </c>
      <c r="H770" s="7" t="s">
        <v>354</v>
      </c>
      <c r="I770" s="7" t="s">
        <v>355</v>
      </c>
      <c r="J770" s="480">
        <v>39.98</v>
      </c>
      <c r="K770" s="7" t="s">
        <v>356</v>
      </c>
      <c r="L770" s="480">
        <v>39.98</v>
      </c>
      <c r="M770" s="7">
        <v>67</v>
      </c>
      <c r="N770" s="7"/>
      <c r="O770" s="481">
        <f t="shared" si="50"/>
        <v>2978.66</v>
      </c>
      <c r="P770" s="464">
        <v>15</v>
      </c>
      <c r="Q770" s="465">
        <f t="shared" si="44"/>
        <v>208.5062</v>
      </c>
      <c r="R770" s="464">
        <v>800</v>
      </c>
      <c r="S770" s="439">
        <f t="shared" si="45"/>
        <v>1955.1538</v>
      </c>
      <c r="T770" s="7"/>
      <c r="U770" s="7"/>
      <c r="V770" s="7"/>
      <c r="W770" s="417">
        <v>1</v>
      </c>
    </row>
    <row r="771" s="421" customFormat="1" ht="16" customHeight="1" spans="1:23">
      <c r="A771" s="449">
        <v>46199</v>
      </c>
      <c r="B771" s="449">
        <v>46200</v>
      </c>
      <c r="C771" s="7" t="s">
        <v>842</v>
      </c>
      <c r="D771" s="7" t="s">
        <v>233</v>
      </c>
      <c r="E771" s="7" t="s">
        <v>138</v>
      </c>
      <c r="F771" s="7" t="s">
        <v>138</v>
      </c>
      <c r="G771" s="7" t="s">
        <v>139</v>
      </c>
      <c r="H771" s="7" t="s">
        <v>354</v>
      </c>
      <c r="I771" s="7" t="s">
        <v>355</v>
      </c>
      <c r="J771" s="480">
        <v>40.32</v>
      </c>
      <c r="K771" s="7" t="s">
        <v>356</v>
      </c>
      <c r="L771" s="480">
        <v>40.32</v>
      </c>
      <c r="M771" s="7">
        <v>67</v>
      </c>
      <c r="N771" s="7"/>
      <c r="O771" s="481">
        <f t="shared" si="50"/>
        <v>3001.44</v>
      </c>
      <c r="P771" s="464">
        <v>15</v>
      </c>
      <c r="Q771" s="465">
        <f t="shared" si="44"/>
        <v>210.1008</v>
      </c>
      <c r="R771" s="464">
        <v>800</v>
      </c>
      <c r="S771" s="439">
        <f t="shared" si="45"/>
        <v>1976.3392</v>
      </c>
      <c r="T771" s="7"/>
      <c r="U771" s="7"/>
      <c r="V771" s="7"/>
      <c r="W771" s="417">
        <v>1</v>
      </c>
    </row>
    <row r="772" s="421" customFormat="1" ht="16" customHeight="1" spans="1:23">
      <c r="A772" s="449">
        <v>46199</v>
      </c>
      <c r="B772" s="449">
        <v>46201</v>
      </c>
      <c r="C772" s="7" t="s">
        <v>843</v>
      </c>
      <c r="D772" s="7" t="s">
        <v>233</v>
      </c>
      <c r="E772" s="7" t="s">
        <v>84</v>
      </c>
      <c r="F772" s="7" t="s">
        <v>84</v>
      </c>
      <c r="G772" s="7" t="s">
        <v>85</v>
      </c>
      <c r="H772" s="7" t="s">
        <v>354</v>
      </c>
      <c r="I772" s="7" t="s">
        <v>355</v>
      </c>
      <c r="J772" s="480">
        <v>38.4</v>
      </c>
      <c r="K772" s="7" t="s">
        <v>356</v>
      </c>
      <c r="L772" s="480">
        <v>38.38</v>
      </c>
      <c r="M772" s="7">
        <v>67</v>
      </c>
      <c r="N772" s="7"/>
      <c r="O772" s="481">
        <f t="shared" si="50"/>
        <v>2871.46</v>
      </c>
      <c r="P772" s="464">
        <v>15</v>
      </c>
      <c r="Q772" s="465">
        <f t="shared" si="44"/>
        <v>201.0022</v>
      </c>
      <c r="R772" s="464">
        <v>800</v>
      </c>
      <c r="S772" s="439">
        <f t="shared" si="45"/>
        <v>1855.4578</v>
      </c>
      <c r="T772" s="7"/>
      <c r="U772" s="7"/>
      <c r="V772" s="7"/>
      <c r="W772" s="417">
        <v>1</v>
      </c>
    </row>
    <row r="773" s="421" customFormat="1" ht="16" customHeight="1" spans="1:23">
      <c r="A773" s="449">
        <v>46199</v>
      </c>
      <c r="B773" s="449">
        <v>46201</v>
      </c>
      <c r="C773" s="7" t="s">
        <v>844</v>
      </c>
      <c r="D773" s="7" t="s">
        <v>233</v>
      </c>
      <c r="E773" s="7" t="s">
        <v>102</v>
      </c>
      <c r="F773" s="7" t="s">
        <v>102</v>
      </c>
      <c r="G773" s="7" t="s">
        <v>103</v>
      </c>
      <c r="H773" s="7" t="s">
        <v>354</v>
      </c>
      <c r="I773" s="7" t="s">
        <v>355</v>
      </c>
      <c r="J773" s="480">
        <v>39.5</v>
      </c>
      <c r="K773" s="7" t="s">
        <v>356</v>
      </c>
      <c r="L773" s="480">
        <v>39.46</v>
      </c>
      <c r="M773" s="7">
        <v>67</v>
      </c>
      <c r="N773" s="7"/>
      <c r="O773" s="481">
        <f t="shared" si="50"/>
        <v>2943.82</v>
      </c>
      <c r="P773" s="464">
        <v>15</v>
      </c>
      <c r="Q773" s="465">
        <f t="shared" si="44"/>
        <v>206.0674</v>
      </c>
      <c r="R773" s="464">
        <v>800</v>
      </c>
      <c r="S773" s="439">
        <f t="shared" si="45"/>
        <v>1922.7526</v>
      </c>
      <c r="T773" s="7"/>
      <c r="U773" s="7"/>
      <c r="V773" s="7"/>
      <c r="W773" s="417">
        <v>1</v>
      </c>
    </row>
    <row r="774" s="421" customFormat="1" ht="16" customHeight="1" spans="1:23">
      <c r="A774" s="449">
        <v>46199</v>
      </c>
      <c r="B774" s="449">
        <v>46200</v>
      </c>
      <c r="C774" s="7" t="s">
        <v>845</v>
      </c>
      <c r="D774" s="7" t="s">
        <v>233</v>
      </c>
      <c r="E774" s="7" t="s">
        <v>75</v>
      </c>
      <c r="F774" s="7" t="s">
        <v>75</v>
      </c>
      <c r="G774" s="7" t="s">
        <v>76</v>
      </c>
      <c r="H774" s="7" t="s">
        <v>354</v>
      </c>
      <c r="I774" s="7" t="s">
        <v>355</v>
      </c>
      <c r="J774" s="480">
        <v>42.1</v>
      </c>
      <c r="K774" s="7" t="s">
        <v>356</v>
      </c>
      <c r="L774" s="480">
        <v>42.08</v>
      </c>
      <c r="M774" s="7">
        <v>67</v>
      </c>
      <c r="N774" s="7"/>
      <c r="O774" s="481">
        <f t="shared" si="50"/>
        <v>3119.36</v>
      </c>
      <c r="P774" s="464">
        <v>15</v>
      </c>
      <c r="Q774" s="465">
        <f t="shared" si="44"/>
        <v>218.3552</v>
      </c>
      <c r="R774" s="464">
        <v>800</v>
      </c>
      <c r="S774" s="439">
        <f t="shared" si="45"/>
        <v>2086.0048</v>
      </c>
      <c r="T774" s="7"/>
      <c r="U774" s="7"/>
      <c r="V774" s="7"/>
      <c r="W774" s="417">
        <v>1</v>
      </c>
    </row>
    <row r="775" s="421" customFormat="1" ht="16" customHeight="1" spans="1:23">
      <c r="A775" s="449">
        <v>46200</v>
      </c>
      <c r="B775" s="449">
        <v>46201</v>
      </c>
      <c r="C775" s="7" t="s">
        <v>846</v>
      </c>
      <c r="D775" s="7" t="s">
        <v>233</v>
      </c>
      <c r="E775" s="7" t="s">
        <v>135</v>
      </c>
      <c r="F775" s="7" t="s">
        <v>135</v>
      </c>
      <c r="G775" s="7" t="s">
        <v>136</v>
      </c>
      <c r="H775" s="7" t="s">
        <v>354</v>
      </c>
      <c r="I775" s="7" t="s">
        <v>355</v>
      </c>
      <c r="J775" s="480">
        <v>38.8</v>
      </c>
      <c r="K775" s="7" t="s">
        <v>356</v>
      </c>
      <c r="L775" s="480">
        <v>38.78</v>
      </c>
      <c r="M775" s="7">
        <v>67</v>
      </c>
      <c r="N775" s="7"/>
      <c r="O775" s="481">
        <f t="shared" si="50"/>
        <v>2898.26</v>
      </c>
      <c r="P775" s="464">
        <v>15</v>
      </c>
      <c r="Q775" s="465">
        <f t="shared" si="44"/>
        <v>202.8782</v>
      </c>
      <c r="R775" s="464">
        <v>800</v>
      </c>
      <c r="S775" s="439">
        <f t="shared" si="45"/>
        <v>1880.3818</v>
      </c>
      <c r="T775" s="7"/>
      <c r="U775" s="7"/>
      <c r="V775" s="7"/>
      <c r="W775" s="417">
        <v>1</v>
      </c>
    </row>
    <row r="776" s="421" customFormat="1" ht="16" customHeight="1" spans="1:23">
      <c r="A776" s="449">
        <v>46200</v>
      </c>
      <c r="B776" s="449">
        <v>46201</v>
      </c>
      <c r="C776" s="7" t="s">
        <v>847</v>
      </c>
      <c r="D776" s="7" t="s">
        <v>233</v>
      </c>
      <c r="E776" s="7" t="s">
        <v>54</v>
      </c>
      <c r="F776" s="7" t="s">
        <v>54</v>
      </c>
      <c r="G776" s="7" t="s">
        <v>55</v>
      </c>
      <c r="H776" s="7" t="s">
        <v>354</v>
      </c>
      <c r="I776" s="7" t="s">
        <v>355</v>
      </c>
      <c r="J776" s="480">
        <v>40.96</v>
      </c>
      <c r="K776" s="7" t="s">
        <v>356</v>
      </c>
      <c r="L776" s="480">
        <v>40.94</v>
      </c>
      <c r="M776" s="7">
        <v>67</v>
      </c>
      <c r="N776" s="7"/>
      <c r="O776" s="481">
        <f t="shared" si="50"/>
        <v>3042.98</v>
      </c>
      <c r="P776" s="464">
        <v>15</v>
      </c>
      <c r="Q776" s="465">
        <f t="shared" si="44"/>
        <v>213.0086</v>
      </c>
      <c r="R776" s="464">
        <v>800</v>
      </c>
      <c r="S776" s="439">
        <f t="shared" si="45"/>
        <v>2014.9714</v>
      </c>
      <c r="T776" s="7"/>
      <c r="U776" s="7"/>
      <c r="V776" s="7"/>
      <c r="W776" s="417">
        <v>1</v>
      </c>
    </row>
    <row r="777" s="421" customFormat="1" ht="16" customHeight="1" spans="1:23">
      <c r="A777" s="449">
        <v>46200</v>
      </c>
      <c r="B777" s="449">
        <v>46201</v>
      </c>
      <c r="C777" s="7" t="s">
        <v>848</v>
      </c>
      <c r="D777" s="7" t="s">
        <v>233</v>
      </c>
      <c r="E777" s="7" t="s">
        <v>111</v>
      </c>
      <c r="F777" s="7" t="s">
        <v>111</v>
      </c>
      <c r="G777" s="7" t="s">
        <v>112</v>
      </c>
      <c r="H777" s="7" t="s">
        <v>354</v>
      </c>
      <c r="I777" s="7" t="s">
        <v>355</v>
      </c>
      <c r="J777" s="480">
        <v>38.86</v>
      </c>
      <c r="K777" s="7" t="s">
        <v>356</v>
      </c>
      <c r="L777" s="480">
        <v>38.86</v>
      </c>
      <c r="M777" s="7">
        <v>67</v>
      </c>
      <c r="N777" s="7"/>
      <c r="O777" s="481">
        <f t="shared" si="50"/>
        <v>2903.62</v>
      </c>
      <c r="P777" s="464">
        <v>15</v>
      </c>
      <c r="Q777" s="465">
        <f t="shared" si="44"/>
        <v>203.2534</v>
      </c>
      <c r="R777" s="464">
        <v>800</v>
      </c>
      <c r="S777" s="439">
        <f t="shared" si="45"/>
        <v>1885.3666</v>
      </c>
      <c r="T777" s="7"/>
      <c r="U777" s="7"/>
      <c r="V777" s="7"/>
      <c r="W777" s="417">
        <v>1</v>
      </c>
    </row>
    <row r="778" s="421" customFormat="1" ht="16" customHeight="1" spans="1:23">
      <c r="A778" s="449">
        <v>46200</v>
      </c>
      <c r="B778" s="449">
        <v>46201</v>
      </c>
      <c r="C778" s="7" t="s">
        <v>849</v>
      </c>
      <c r="D778" s="7" t="s">
        <v>233</v>
      </c>
      <c r="E778" s="7" t="s">
        <v>81</v>
      </c>
      <c r="F778" s="7" t="s">
        <v>81</v>
      </c>
      <c r="G778" s="7" t="s">
        <v>82</v>
      </c>
      <c r="H778" s="7" t="s">
        <v>354</v>
      </c>
      <c r="I778" s="7" t="s">
        <v>355</v>
      </c>
      <c r="J778" s="480">
        <v>40.5</v>
      </c>
      <c r="K778" s="7" t="s">
        <v>356</v>
      </c>
      <c r="L778" s="480">
        <v>40.48</v>
      </c>
      <c r="M778" s="7">
        <v>67</v>
      </c>
      <c r="N778" s="7"/>
      <c r="O778" s="481">
        <f t="shared" si="50"/>
        <v>3012.16</v>
      </c>
      <c r="P778" s="464">
        <v>15</v>
      </c>
      <c r="Q778" s="465">
        <f t="shared" si="44"/>
        <v>210.8512</v>
      </c>
      <c r="R778" s="464">
        <v>800</v>
      </c>
      <c r="S778" s="439">
        <f t="shared" si="45"/>
        <v>1986.3088</v>
      </c>
      <c r="T778" s="7"/>
      <c r="U778" s="7"/>
      <c r="V778" s="7"/>
      <c r="W778" s="417">
        <v>1</v>
      </c>
    </row>
    <row r="779" s="421" customFormat="1" ht="16" customHeight="1" spans="1:23">
      <c r="A779" s="449">
        <v>46200</v>
      </c>
      <c r="B779" s="449">
        <v>46201</v>
      </c>
      <c r="C779" s="7" t="s">
        <v>850</v>
      </c>
      <c r="D779" s="7" t="s">
        <v>233</v>
      </c>
      <c r="E779" s="7" t="s">
        <v>87</v>
      </c>
      <c r="F779" s="7" t="s">
        <v>87</v>
      </c>
      <c r="G779" s="7" t="s">
        <v>88</v>
      </c>
      <c r="H779" s="7" t="s">
        <v>354</v>
      </c>
      <c r="I779" s="7" t="s">
        <v>355</v>
      </c>
      <c r="J779" s="480">
        <v>39.22</v>
      </c>
      <c r="K779" s="7" t="s">
        <v>356</v>
      </c>
      <c r="L779" s="480">
        <v>39.2</v>
      </c>
      <c r="M779" s="7">
        <v>67</v>
      </c>
      <c r="N779" s="7"/>
      <c r="O779" s="481">
        <f t="shared" si="50"/>
        <v>2926.4</v>
      </c>
      <c r="P779" s="464">
        <v>15</v>
      </c>
      <c r="Q779" s="465">
        <f t="shared" si="44"/>
        <v>204.848</v>
      </c>
      <c r="R779" s="464">
        <v>800</v>
      </c>
      <c r="S779" s="439">
        <f t="shared" si="45"/>
        <v>1906.552</v>
      </c>
      <c r="T779" s="7"/>
      <c r="U779" s="7"/>
      <c r="V779" s="7"/>
      <c r="W779" s="417">
        <v>1</v>
      </c>
    </row>
    <row r="780" s="421" customFormat="1" ht="16" customHeight="1" spans="1:23">
      <c r="A780" s="449">
        <v>46200</v>
      </c>
      <c r="B780" s="449">
        <v>46201</v>
      </c>
      <c r="C780" s="7" t="s">
        <v>851</v>
      </c>
      <c r="D780" s="7" t="s">
        <v>233</v>
      </c>
      <c r="E780" s="7" t="s">
        <v>90</v>
      </c>
      <c r="F780" s="7" t="s">
        <v>90</v>
      </c>
      <c r="G780" s="7" t="s">
        <v>91</v>
      </c>
      <c r="H780" s="7" t="s">
        <v>354</v>
      </c>
      <c r="I780" s="7" t="s">
        <v>355</v>
      </c>
      <c r="J780" s="480">
        <v>40.3</v>
      </c>
      <c r="K780" s="7" t="s">
        <v>356</v>
      </c>
      <c r="L780" s="480">
        <v>40.28</v>
      </c>
      <c r="M780" s="7">
        <v>67</v>
      </c>
      <c r="N780" s="7"/>
      <c r="O780" s="481">
        <f t="shared" si="50"/>
        <v>2998.76</v>
      </c>
      <c r="P780" s="464">
        <v>15</v>
      </c>
      <c r="Q780" s="465">
        <f t="shared" si="44"/>
        <v>209.9132</v>
      </c>
      <c r="R780" s="464">
        <v>800</v>
      </c>
      <c r="S780" s="439">
        <f t="shared" si="45"/>
        <v>1973.8468</v>
      </c>
      <c r="T780" s="7"/>
      <c r="U780" s="7"/>
      <c r="V780" s="7"/>
      <c r="W780" s="417">
        <v>1</v>
      </c>
    </row>
    <row r="781" s="421" customFormat="1" ht="16" customHeight="1" spans="1:23">
      <c r="A781" s="449">
        <v>46200</v>
      </c>
      <c r="B781" s="7"/>
      <c r="C781" s="7" t="s">
        <v>852</v>
      </c>
      <c r="D781" s="7" t="s">
        <v>233</v>
      </c>
      <c r="E781" s="7"/>
      <c r="F781" s="7" t="s">
        <v>60</v>
      </c>
      <c r="G781" s="7" t="s">
        <v>61</v>
      </c>
      <c r="H781" s="7" t="s">
        <v>354</v>
      </c>
      <c r="I781" s="7" t="s">
        <v>355</v>
      </c>
      <c r="J781" s="480">
        <v>39.28</v>
      </c>
      <c r="K781" s="7" t="s">
        <v>356</v>
      </c>
      <c r="L781" s="7"/>
      <c r="M781" s="7">
        <v>67</v>
      </c>
      <c r="N781" s="7"/>
      <c r="O781" s="465">
        <f t="shared" ref="O781:O798" si="51">L781*M781</f>
        <v>0</v>
      </c>
      <c r="P781" s="464"/>
      <c r="Q781" s="465">
        <f t="shared" si="44"/>
        <v>0</v>
      </c>
      <c r="R781" s="464"/>
      <c r="S781" s="439">
        <f t="shared" si="45"/>
        <v>0</v>
      </c>
      <c r="T781" s="7"/>
      <c r="U781" s="7"/>
      <c r="V781" s="7"/>
      <c r="W781" s="417">
        <v>1</v>
      </c>
    </row>
    <row r="782" s="421" customFormat="1" ht="16" customHeight="1" spans="1:23">
      <c r="A782" s="449">
        <v>46201</v>
      </c>
      <c r="B782" s="7"/>
      <c r="C782" s="7" t="s">
        <v>853</v>
      </c>
      <c r="D782" s="7" t="s">
        <v>233</v>
      </c>
      <c r="E782" s="7"/>
      <c r="F782" s="7" t="s">
        <v>138</v>
      </c>
      <c r="G782" s="7" t="s">
        <v>139</v>
      </c>
      <c r="H782" s="7" t="s">
        <v>354</v>
      </c>
      <c r="I782" s="7" t="s">
        <v>355</v>
      </c>
      <c r="J782" s="480">
        <v>42.3</v>
      </c>
      <c r="K782" s="7" t="s">
        <v>356</v>
      </c>
      <c r="L782" s="7"/>
      <c r="M782" s="7">
        <v>67</v>
      </c>
      <c r="N782" s="7"/>
      <c r="O782" s="465">
        <f t="shared" si="51"/>
        <v>0</v>
      </c>
      <c r="P782" s="464"/>
      <c r="Q782" s="465">
        <f t="shared" si="44"/>
        <v>0</v>
      </c>
      <c r="R782" s="464"/>
      <c r="S782" s="439">
        <f t="shared" si="45"/>
        <v>0</v>
      </c>
      <c r="T782" s="7"/>
      <c r="U782" s="7"/>
      <c r="V782" s="7"/>
      <c r="W782" s="417">
        <v>1</v>
      </c>
    </row>
    <row r="783" s="421" customFormat="1" ht="16" customHeight="1" spans="1:23">
      <c r="A783" s="449">
        <v>46201</v>
      </c>
      <c r="B783" s="7"/>
      <c r="C783" s="7" t="s">
        <v>854</v>
      </c>
      <c r="D783" s="7" t="s">
        <v>233</v>
      </c>
      <c r="E783" s="7"/>
      <c r="F783" s="7" t="s">
        <v>84</v>
      </c>
      <c r="G783" s="7" t="s">
        <v>85</v>
      </c>
      <c r="H783" s="7" t="s">
        <v>354</v>
      </c>
      <c r="I783" s="7" t="s">
        <v>355</v>
      </c>
      <c r="J783" s="480">
        <v>39.12</v>
      </c>
      <c r="K783" s="7" t="s">
        <v>356</v>
      </c>
      <c r="L783" s="7"/>
      <c r="M783" s="7">
        <v>67</v>
      </c>
      <c r="N783" s="7"/>
      <c r="O783" s="465">
        <f t="shared" si="51"/>
        <v>0</v>
      </c>
      <c r="P783" s="464"/>
      <c r="Q783" s="465">
        <f t="shared" si="44"/>
        <v>0</v>
      </c>
      <c r="R783" s="464"/>
      <c r="S783" s="439">
        <f t="shared" si="45"/>
        <v>0</v>
      </c>
      <c r="T783" s="7"/>
      <c r="U783" s="7"/>
      <c r="V783" s="7"/>
      <c r="W783" s="417">
        <v>1</v>
      </c>
    </row>
    <row r="784" s="421" customFormat="1" ht="16" customHeight="1" spans="1:23">
      <c r="A784" s="449">
        <v>46201</v>
      </c>
      <c r="B784" s="7"/>
      <c r="C784" s="7" t="s">
        <v>855</v>
      </c>
      <c r="D784" s="7" t="s">
        <v>237</v>
      </c>
      <c r="E784" s="7"/>
      <c r="F784" s="7" t="s">
        <v>166</v>
      </c>
      <c r="G784" s="7" t="s">
        <v>167</v>
      </c>
      <c r="H784" s="7" t="s">
        <v>354</v>
      </c>
      <c r="I784" s="7" t="s">
        <v>407</v>
      </c>
      <c r="J784" s="480">
        <v>42.82</v>
      </c>
      <c r="K784" s="7" t="s">
        <v>356</v>
      </c>
      <c r="L784" s="7"/>
      <c r="M784" s="7">
        <v>87</v>
      </c>
      <c r="N784" s="7"/>
      <c r="O784" s="465">
        <f t="shared" si="51"/>
        <v>0</v>
      </c>
      <c r="P784" s="464"/>
      <c r="Q784" s="465">
        <f t="shared" si="44"/>
        <v>0</v>
      </c>
      <c r="R784" s="464"/>
      <c r="S784" s="439">
        <f t="shared" si="45"/>
        <v>0</v>
      </c>
      <c r="T784" s="7"/>
      <c r="U784" s="7"/>
      <c r="V784" s="7"/>
      <c r="W784" s="417">
        <v>1</v>
      </c>
    </row>
    <row r="785" s="421" customFormat="1" ht="16" customHeight="1" spans="1:23">
      <c r="A785" s="449">
        <v>46201</v>
      </c>
      <c r="B785" s="7"/>
      <c r="C785" s="7" t="s">
        <v>856</v>
      </c>
      <c r="D785" s="7" t="s">
        <v>237</v>
      </c>
      <c r="E785" s="7"/>
      <c r="F785" s="7" t="s">
        <v>204</v>
      </c>
      <c r="G785" s="7" t="s">
        <v>715</v>
      </c>
      <c r="H785" s="7" t="s">
        <v>354</v>
      </c>
      <c r="I785" s="7" t="s">
        <v>407</v>
      </c>
      <c r="J785" s="480">
        <v>40.1</v>
      </c>
      <c r="K785" s="7" t="s">
        <v>356</v>
      </c>
      <c r="L785" s="7"/>
      <c r="M785" s="7">
        <v>87</v>
      </c>
      <c r="N785" s="7"/>
      <c r="O785" s="465">
        <f t="shared" si="51"/>
        <v>0</v>
      </c>
      <c r="P785" s="464"/>
      <c r="Q785" s="465">
        <f t="shared" si="44"/>
        <v>0</v>
      </c>
      <c r="R785" s="464"/>
      <c r="S785" s="439">
        <f t="shared" si="45"/>
        <v>0</v>
      </c>
      <c r="T785" s="7"/>
      <c r="U785" s="7"/>
      <c r="V785" s="7"/>
      <c r="W785" s="417">
        <v>1</v>
      </c>
    </row>
    <row r="786" s="421" customFormat="1" ht="16" customHeight="1" spans="1:23">
      <c r="A786" s="449">
        <v>46201</v>
      </c>
      <c r="B786" s="7"/>
      <c r="C786" s="7" t="s">
        <v>857</v>
      </c>
      <c r="D786" s="7" t="s">
        <v>237</v>
      </c>
      <c r="E786" s="7"/>
      <c r="F786" s="7" t="s">
        <v>223</v>
      </c>
      <c r="G786" s="7" t="s">
        <v>708</v>
      </c>
      <c r="H786" s="7" t="s">
        <v>354</v>
      </c>
      <c r="I786" s="7" t="s">
        <v>407</v>
      </c>
      <c r="J786" s="480">
        <v>39.8</v>
      </c>
      <c r="K786" s="7" t="s">
        <v>356</v>
      </c>
      <c r="L786" s="7"/>
      <c r="M786" s="7">
        <v>87</v>
      </c>
      <c r="N786" s="7"/>
      <c r="O786" s="465">
        <f t="shared" si="51"/>
        <v>0</v>
      </c>
      <c r="P786" s="464"/>
      <c r="Q786" s="465">
        <f t="shared" si="44"/>
        <v>0</v>
      </c>
      <c r="R786" s="464"/>
      <c r="S786" s="439">
        <f t="shared" si="45"/>
        <v>0</v>
      </c>
      <c r="T786" s="7"/>
      <c r="U786" s="7"/>
      <c r="V786" s="7"/>
      <c r="W786" s="417">
        <v>1</v>
      </c>
    </row>
    <row r="787" s="421" customFormat="1" ht="16" customHeight="1" spans="1:23">
      <c r="A787" s="449">
        <v>46201</v>
      </c>
      <c r="B787" s="7"/>
      <c r="C787" s="7" t="s">
        <v>858</v>
      </c>
      <c r="D787" s="7" t="s">
        <v>237</v>
      </c>
      <c r="E787" s="7"/>
      <c r="F787" s="7" t="s">
        <v>163</v>
      </c>
      <c r="G787" s="7" t="s">
        <v>164</v>
      </c>
      <c r="H787" s="7" t="s">
        <v>354</v>
      </c>
      <c r="I787" s="7" t="s">
        <v>407</v>
      </c>
      <c r="J787" s="480">
        <v>39.94</v>
      </c>
      <c r="K787" s="7" t="s">
        <v>356</v>
      </c>
      <c r="L787" s="7"/>
      <c r="M787" s="7">
        <v>87</v>
      </c>
      <c r="N787" s="7"/>
      <c r="O787" s="465">
        <f t="shared" si="51"/>
        <v>0</v>
      </c>
      <c r="P787" s="464"/>
      <c r="Q787" s="465">
        <f t="shared" si="44"/>
        <v>0</v>
      </c>
      <c r="R787" s="464"/>
      <c r="S787" s="439">
        <f t="shared" si="45"/>
        <v>0</v>
      </c>
      <c r="T787" s="7"/>
      <c r="U787" s="7"/>
      <c r="V787" s="7"/>
      <c r="W787" s="417">
        <v>1</v>
      </c>
    </row>
    <row r="788" s="421" customFormat="1" ht="16" customHeight="1" spans="1:23">
      <c r="A788" s="449">
        <v>46201</v>
      </c>
      <c r="B788" s="7"/>
      <c r="C788" s="7" t="s">
        <v>859</v>
      </c>
      <c r="D788" s="7" t="s">
        <v>237</v>
      </c>
      <c r="E788" s="7"/>
      <c r="F788" s="7" t="s">
        <v>160</v>
      </c>
      <c r="G788" s="7" t="s">
        <v>161</v>
      </c>
      <c r="H788" s="7" t="s">
        <v>354</v>
      </c>
      <c r="I788" s="7" t="s">
        <v>407</v>
      </c>
      <c r="J788" s="480">
        <v>39.84</v>
      </c>
      <c r="K788" s="7" t="s">
        <v>356</v>
      </c>
      <c r="L788" s="7"/>
      <c r="M788" s="7">
        <v>87</v>
      </c>
      <c r="N788" s="7"/>
      <c r="O788" s="465">
        <f t="shared" si="51"/>
        <v>0</v>
      </c>
      <c r="P788" s="464"/>
      <c r="Q788" s="465">
        <f t="shared" si="44"/>
        <v>0</v>
      </c>
      <c r="R788" s="464"/>
      <c r="S788" s="439">
        <f t="shared" si="45"/>
        <v>0</v>
      </c>
      <c r="T788" s="7"/>
      <c r="U788" s="7"/>
      <c r="V788" s="7"/>
      <c r="W788" s="417">
        <v>1</v>
      </c>
    </row>
    <row r="789" s="421" customFormat="1" ht="16" customHeight="1" spans="1:23">
      <c r="A789" s="449">
        <v>46201</v>
      </c>
      <c r="B789" s="7"/>
      <c r="C789" s="7" t="s">
        <v>860</v>
      </c>
      <c r="D789" s="7" t="s">
        <v>237</v>
      </c>
      <c r="E789" s="7"/>
      <c r="F789" s="7" t="s">
        <v>338</v>
      </c>
      <c r="G789" s="7" t="s">
        <v>158</v>
      </c>
      <c r="H789" s="7" t="s">
        <v>354</v>
      </c>
      <c r="I789" s="7" t="s">
        <v>407</v>
      </c>
      <c r="J789" s="480">
        <v>40.22</v>
      </c>
      <c r="K789" s="7" t="s">
        <v>356</v>
      </c>
      <c r="L789" s="7"/>
      <c r="M789" s="7">
        <v>87</v>
      </c>
      <c r="N789" s="7"/>
      <c r="O789" s="465">
        <f t="shared" si="51"/>
        <v>0</v>
      </c>
      <c r="P789" s="464"/>
      <c r="Q789" s="465">
        <f t="shared" si="44"/>
        <v>0</v>
      </c>
      <c r="R789" s="464"/>
      <c r="S789" s="439">
        <f t="shared" si="45"/>
        <v>0</v>
      </c>
      <c r="T789" s="7"/>
      <c r="U789" s="7"/>
      <c r="V789" s="7"/>
      <c r="W789" s="417">
        <v>1</v>
      </c>
    </row>
    <row r="790" s="421" customFormat="1" ht="16" customHeight="1" spans="1:23">
      <c r="A790" s="449">
        <v>46199</v>
      </c>
      <c r="B790" s="449">
        <v>46201</v>
      </c>
      <c r="C790" s="7" t="s">
        <v>861</v>
      </c>
      <c r="D790" s="7" t="s">
        <v>233</v>
      </c>
      <c r="E790" s="7" t="s">
        <v>144</v>
      </c>
      <c r="F790" s="7" t="s">
        <v>144</v>
      </c>
      <c r="G790" s="7" t="s">
        <v>774</v>
      </c>
      <c r="H790" s="7" t="s">
        <v>354</v>
      </c>
      <c r="I790" s="7" t="s">
        <v>355</v>
      </c>
      <c r="J790" s="480">
        <v>39.94</v>
      </c>
      <c r="K790" s="7" t="s">
        <v>356</v>
      </c>
      <c r="L790" s="480">
        <v>39.9</v>
      </c>
      <c r="M790" s="7">
        <v>67</v>
      </c>
      <c r="N790" s="7"/>
      <c r="O790" s="465">
        <f t="shared" si="51"/>
        <v>2673.3</v>
      </c>
      <c r="P790" s="464">
        <v>15</v>
      </c>
      <c r="Q790" s="465">
        <f t="shared" si="44"/>
        <v>187.131</v>
      </c>
      <c r="R790" s="464">
        <v>600</v>
      </c>
      <c r="S790" s="439">
        <f t="shared" si="45"/>
        <v>1871.169</v>
      </c>
      <c r="T790" s="7"/>
      <c r="U790" s="7"/>
      <c r="V790" s="7"/>
      <c r="W790" s="417">
        <v>1</v>
      </c>
    </row>
    <row r="791" s="421" customFormat="1" ht="16" customHeight="1" spans="1:23">
      <c r="A791" s="449">
        <v>46200</v>
      </c>
      <c r="B791" s="449">
        <v>46201</v>
      </c>
      <c r="C791" s="7" t="s">
        <v>862</v>
      </c>
      <c r="D791" s="7" t="s">
        <v>233</v>
      </c>
      <c r="E791" s="7" t="s">
        <v>339</v>
      </c>
      <c r="F791" s="7" t="s">
        <v>339</v>
      </c>
      <c r="G791" s="7" t="s">
        <v>170</v>
      </c>
      <c r="H791" s="7" t="s">
        <v>354</v>
      </c>
      <c r="I791" s="7" t="s">
        <v>355</v>
      </c>
      <c r="J791" s="480">
        <v>41.76</v>
      </c>
      <c r="K791" s="7" t="s">
        <v>356</v>
      </c>
      <c r="L791" s="480">
        <v>41.76</v>
      </c>
      <c r="M791" s="7">
        <v>67</v>
      </c>
      <c r="N791" s="7"/>
      <c r="O791" s="465">
        <f t="shared" si="51"/>
        <v>2797.92</v>
      </c>
      <c r="P791" s="464">
        <v>15</v>
      </c>
      <c r="Q791" s="465">
        <f t="shared" si="44"/>
        <v>195.8544</v>
      </c>
      <c r="R791" s="464">
        <v>600</v>
      </c>
      <c r="S791" s="439">
        <f t="shared" si="45"/>
        <v>1987.0656</v>
      </c>
      <c r="T791" s="7"/>
      <c r="U791" s="7"/>
      <c r="V791" s="7"/>
      <c r="W791" s="417">
        <v>1</v>
      </c>
    </row>
    <row r="792" s="421" customFormat="1" ht="16" customHeight="1" spans="1:23">
      <c r="A792" s="449">
        <v>46200</v>
      </c>
      <c r="B792" s="449">
        <v>46201</v>
      </c>
      <c r="C792" s="7" t="s">
        <v>863</v>
      </c>
      <c r="D792" s="7" t="s">
        <v>233</v>
      </c>
      <c r="E792" s="7" t="s">
        <v>186</v>
      </c>
      <c r="F792" s="7" t="s">
        <v>186</v>
      </c>
      <c r="G792" s="7" t="s">
        <v>187</v>
      </c>
      <c r="H792" s="7" t="s">
        <v>354</v>
      </c>
      <c r="I792" s="7" t="s">
        <v>355</v>
      </c>
      <c r="J792" s="480">
        <v>43.62</v>
      </c>
      <c r="K792" s="7" t="s">
        <v>356</v>
      </c>
      <c r="L792" s="480">
        <v>43.6</v>
      </c>
      <c r="M792" s="7">
        <v>67</v>
      </c>
      <c r="N792" s="7"/>
      <c r="O792" s="465">
        <f t="shared" si="51"/>
        <v>2921.2</v>
      </c>
      <c r="P792" s="464">
        <v>15</v>
      </c>
      <c r="Q792" s="465">
        <f t="shared" si="44"/>
        <v>204.484</v>
      </c>
      <c r="R792" s="464">
        <v>600</v>
      </c>
      <c r="S792" s="439">
        <f t="shared" si="45"/>
        <v>2101.716</v>
      </c>
      <c r="T792" s="7"/>
      <c r="U792" s="7"/>
      <c r="V792" s="7"/>
      <c r="W792" s="417">
        <v>1</v>
      </c>
    </row>
    <row r="793" s="421" customFormat="1" ht="16" customHeight="1" spans="1:23">
      <c r="A793" s="449">
        <v>46200</v>
      </c>
      <c r="B793" s="7"/>
      <c r="C793" s="7" t="s">
        <v>864</v>
      </c>
      <c r="D793" s="7" t="s">
        <v>233</v>
      </c>
      <c r="E793" s="7"/>
      <c r="F793" s="7" t="s">
        <v>210</v>
      </c>
      <c r="G793" s="7" t="s">
        <v>211</v>
      </c>
      <c r="H793" s="7" t="s">
        <v>354</v>
      </c>
      <c r="I793" s="7" t="s">
        <v>355</v>
      </c>
      <c r="J793" s="480">
        <v>41.74</v>
      </c>
      <c r="K793" s="7" t="s">
        <v>356</v>
      </c>
      <c r="L793" s="7"/>
      <c r="M793" s="7">
        <v>67</v>
      </c>
      <c r="N793" s="7"/>
      <c r="O793" s="465">
        <f t="shared" si="51"/>
        <v>0</v>
      </c>
      <c r="P793" s="464"/>
      <c r="Q793" s="465">
        <f t="shared" si="44"/>
        <v>0</v>
      </c>
      <c r="R793" s="464"/>
      <c r="S793" s="439">
        <f t="shared" si="45"/>
        <v>0</v>
      </c>
      <c r="T793" s="7"/>
      <c r="U793" s="7"/>
      <c r="V793" s="7"/>
      <c r="W793" s="417">
        <v>1</v>
      </c>
    </row>
    <row r="794" s="421" customFormat="1" ht="16" customHeight="1" spans="1:23">
      <c r="A794" s="449">
        <v>46200</v>
      </c>
      <c r="B794" s="7"/>
      <c r="C794" s="7" t="s">
        <v>865</v>
      </c>
      <c r="D794" s="7" t="s">
        <v>233</v>
      </c>
      <c r="E794" s="7"/>
      <c r="F794" s="7" t="s">
        <v>174</v>
      </c>
      <c r="G794" s="7" t="s">
        <v>175</v>
      </c>
      <c r="H794" s="7" t="s">
        <v>354</v>
      </c>
      <c r="I794" s="7" t="s">
        <v>355</v>
      </c>
      <c r="J794" s="480">
        <v>40.48</v>
      </c>
      <c r="K794" s="7" t="s">
        <v>356</v>
      </c>
      <c r="L794" s="7"/>
      <c r="M794" s="7">
        <v>67</v>
      </c>
      <c r="N794" s="7"/>
      <c r="O794" s="465">
        <f t="shared" si="51"/>
        <v>0</v>
      </c>
      <c r="P794" s="464"/>
      <c r="Q794" s="465">
        <f t="shared" si="44"/>
        <v>0</v>
      </c>
      <c r="R794" s="464"/>
      <c r="S794" s="439">
        <f t="shared" si="45"/>
        <v>0</v>
      </c>
      <c r="T794" s="7"/>
      <c r="U794" s="7"/>
      <c r="V794" s="7"/>
      <c r="W794" s="417">
        <v>1</v>
      </c>
    </row>
    <row r="795" s="421" customFormat="1" ht="16" customHeight="1" spans="1:23">
      <c r="A795" s="449">
        <v>46200</v>
      </c>
      <c r="B795" s="7"/>
      <c r="C795" s="7" t="s">
        <v>866</v>
      </c>
      <c r="D795" s="7" t="s">
        <v>233</v>
      </c>
      <c r="E795" s="7"/>
      <c r="F795" s="7" t="s">
        <v>151</v>
      </c>
      <c r="G795" s="7" t="s">
        <v>152</v>
      </c>
      <c r="H795" s="7" t="s">
        <v>354</v>
      </c>
      <c r="I795" s="7" t="s">
        <v>355</v>
      </c>
      <c r="J795" s="480">
        <v>40.46</v>
      </c>
      <c r="K795" s="7" t="s">
        <v>356</v>
      </c>
      <c r="L795" s="7"/>
      <c r="M795" s="7">
        <v>67</v>
      </c>
      <c r="N795" s="7"/>
      <c r="O795" s="465">
        <f t="shared" si="51"/>
        <v>0</v>
      </c>
      <c r="P795" s="464"/>
      <c r="Q795" s="465">
        <f t="shared" si="44"/>
        <v>0</v>
      </c>
      <c r="R795" s="464"/>
      <c r="S795" s="439">
        <f t="shared" si="45"/>
        <v>0</v>
      </c>
      <c r="T795" s="7"/>
      <c r="U795" s="7"/>
      <c r="V795" s="7"/>
      <c r="W795" s="417">
        <v>1</v>
      </c>
    </row>
    <row r="796" s="421" customFormat="1" ht="16" customHeight="1" spans="1:23">
      <c r="A796" s="449">
        <v>46200</v>
      </c>
      <c r="B796" s="449">
        <v>46201</v>
      </c>
      <c r="C796" s="7" t="s">
        <v>867</v>
      </c>
      <c r="D796" s="7" t="s">
        <v>235</v>
      </c>
      <c r="E796" s="7" t="s">
        <v>154</v>
      </c>
      <c r="F796" s="7" t="s">
        <v>154</v>
      </c>
      <c r="G796" s="7" t="s">
        <v>155</v>
      </c>
      <c r="H796" s="7" t="s">
        <v>384</v>
      </c>
      <c r="I796" s="7" t="s">
        <v>356</v>
      </c>
      <c r="J796" s="480">
        <v>42.22</v>
      </c>
      <c r="K796" s="7" t="s">
        <v>371</v>
      </c>
      <c r="L796" s="480">
        <v>42.02</v>
      </c>
      <c r="M796" s="7">
        <v>61</v>
      </c>
      <c r="N796" s="7"/>
      <c r="O796" s="465">
        <f t="shared" si="51"/>
        <v>2563.22</v>
      </c>
      <c r="P796" s="464">
        <v>15</v>
      </c>
      <c r="Q796" s="465">
        <f t="shared" ref="Q796:Q798" si="52">O796*0.07</f>
        <v>179.4254</v>
      </c>
      <c r="R796" s="464">
        <v>600</v>
      </c>
      <c r="S796" s="439">
        <f t="shared" ref="S796:S798" si="53">O796-P796-R796-Q796</f>
        <v>1768.7946</v>
      </c>
      <c r="T796" s="7"/>
      <c r="U796" s="7"/>
      <c r="V796" s="7"/>
      <c r="W796" s="417">
        <v>1</v>
      </c>
    </row>
    <row r="797" s="421" customFormat="1" ht="16" customHeight="1" spans="1:23">
      <c r="A797" s="449">
        <v>46201</v>
      </c>
      <c r="B797" s="7"/>
      <c r="C797" s="7" t="s">
        <v>868</v>
      </c>
      <c r="D797" s="7" t="s">
        <v>235</v>
      </c>
      <c r="E797" s="7"/>
      <c r="F797" s="7" t="s">
        <v>177</v>
      </c>
      <c r="G797" s="7" t="s">
        <v>178</v>
      </c>
      <c r="H797" s="7" t="s">
        <v>384</v>
      </c>
      <c r="I797" s="7" t="s">
        <v>356</v>
      </c>
      <c r="J797" s="480">
        <v>41.36</v>
      </c>
      <c r="K797" s="7" t="s">
        <v>371</v>
      </c>
      <c r="L797" s="7"/>
      <c r="M797" s="7">
        <v>61</v>
      </c>
      <c r="N797" s="7"/>
      <c r="O797" s="465">
        <f t="shared" si="51"/>
        <v>0</v>
      </c>
      <c r="P797" s="464"/>
      <c r="Q797" s="465">
        <f t="shared" si="52"/>
        <v>0</v>
      </c>
      <c r="R797" s="464"/>
      <c r="S797" s="439">
        <f t="shared" si="53"/>
        <v>0</v>
      </c>
      <c r="T797" s="7"/>
      <c r="U797" s="7"/>
      <c r="V797" s="7"/>
      <c r="W797" s="417">
        <v>1</v>
      </c>
    </row>
    <row r="798" s="421" customFormat="1" ht="16" customHeight="1" spans="1:23">
      <c r="A798" s="449">
        <v>46200</v>
      </c>
      <c r="B798" s="449">
        <v>46201</v>
      </c>
      <c r="C798" s="7" t="s">
        <v>869</v>
      </c>
      <c r="D798" s="7" t="s">
        <v>233</v>
      </c>
      <c r="E798" s="7" t="s">
        <v>192</v>
      </c>
      <c r="F798" s="7" t="s">
        <v>192</v>
      </c>
      <c r="G798" s="7" t="s">
        <v>193</v>
      </c>
      <c r="H798" s="7" t="s">
        <v>354</v>
      </c>
      <c r="I798" s="7" t="s">
        <v>355</v>
      </c>
      <c r="J798" s="480">
        <v>43.8</v>
      </c>
      <c r="K798" s="7" t="s">
        <v>356</v>
      </c>
      <c r="L798" s="480">
        <v>43.8</v>
      </c>
      <c r="M798" s="7">
        <v>67</v>
      </c>
      <c r="N798" s="7"/>
      <c r="O798" s="465">
        <f t="shared" si="51"/>
        <v>2934.6</v>
      </c>
      <c r="P798" s="464">
        <v>15</v>
      </c>
      <c r="Q798" s="465">
        <f t="shared" si="52"/>
        <v>205.422</v>
      </c>
      <c r="R798" s="464">
        <v>600</v>
      </c>
      <c r="S798" s="439">
        <f t="shared" si="53"/>
        <v>2114.178</v>
      </c>
      <c r="T798" s="7"/>
      <c r="U798" s="7"/>
      <c r="V798" s="7"/>
      <c r="W798" s="417">
        <v>1</v>
      </c>
    </row>
  </sheetData>
  <autoFilter xmlns:etc="http://www.wps.cn/officeDocument/2017/etCustomData" ref="A1:W750" etc:filterBottomFollowUsedRange="0">
    <extLst/>
  </autoFilter>
  <conditionalFormatting sqref="E296">
    <cfRule type="duplicateValues" dxfId="0" priority="2"/>
  </conditionalFormatting>
  <conditionalFormatting sqref="F296">
    <cfRule type="duplicateValues" dxfId="0" priority="1"/>
  </conditionalFormatting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8516"/>
  <sheetViews>
    <sheetView workbookViewId="0">
      <selection activeCell="F41" sqref="F41"/>
    </sheetView>
  </sheetViews>
  <sheetFormatPr defaultColWidth="9" defaultRowHeight="13.5"/>
  <cols>
    <col min="1" max="1" width="9" style="394"/>
    <col min="2" max="5" width="9" style="95"/>
    <col min="6" max="6" width="50" style="108" customWidth="1"/>
    <col min="7" max="7" width="9" style="96"/>
    <col min="8" max="9" width="9" style="395"/>
    <col min="10" max="10" width="14.125" style="394" customWidth="1"/>
    <col min="11" max="16384" width="9" style="95"/>
  </cols>
  <sheetData>
    <row r="1" s="409" customFormat="1" ht="24" customHeight="1" spans="1:10">
      <c r="A1" s="410" t="s">
        <v>870</v>
      </c>
      <c r="B1" s="411" t="s">
        <v>871</v>
      </c>
      <c r="C1" s="411" t="s">
        <v>872</v>
      </c>
      <c r="D1" s="411" t="s">
        <v>3</v>
      </c>
      <c r="E1" s="411" t="s">
        <v>352</v>
      </c>
      <c r="F1" s="412" t="s">
        <v>873</v>
      </c>
      <c r="G1" s="413" t="s">
        <v>874</v>
      </c>
      <c r="H1" s="413" t="s">
        <v>875</v>
      </c>
      <c r="I1" s="413" t="s">
        <v>876</v>
      </c>
      <c r="J1" s="410" t="s">
        <v>352</v>
      </c>
    </row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52"/>
  <sheetViews>
    <sheetView workbookViewId="0">
      <pane ySplit="1" topLeftCell="A1440" activePane="bottomLeft" state="frozen"/>
      <selection/>
      <selection pane="bottomLeft" activeCell="F1466" sqref="F1466"/>
    </sheetView>
  </sheetViews>
  <sheetFormatPr defaultColWidth="9" defaultRowHeight="13.5"/>
  <cols>
    <col min="1" max="1" width="10.875" style="394" customWidth="1"/>
    <col min="2" max="2" width="15.375" style="95" customWidth="1"/>
    <col min="3" max="3" width="29.5" style="95" customWidth="1"/>
    <col min="4" max="4" width="12.7583333333333" style="95"/>
    <col min="5" max="5" width="6.625" style="95" customWidth="1"/>
    <col min="6" max="6" width="79.5" style="108" customWidth="1"/>
    <col min="7" max="7" width="13.625" style="96" customWidth="1"/>
    <col min="8" max="8" width="16.25" style="395" customWidth="1"/>
    <col min="9" max="9" width="12.75" style="394"/>
    <col min="10" max="10" width="12.75" style="95"/>
    <col min="11" max="11" width="9.125" style="95"/>
    <col min="12" max="16384" width="9" style="95"/>
  </cols>
  <sheetData>
    <row r="1" s="94" customFormat="1" ht="24" customHeight="1" spans="1:9">
      <c r="A1" s="396" t="s">
        <v>870</v>
      </c>
      <c r="B1" s="397" t="s">
        <v>871</v>
      </c>
      <c r="C1" s="397" t="s">
        <v>872</v>
      </c>
      <c r="D1" s="397" t="s">
        <v>3</v>
      </c>
      <c r="E1" s="397" t="s">
        <v>352</v>
      </c>
      <c r="F1" s="398" t="s">
        <v>873</v>
      </c>
      <c r="G1" s="69" t="s">
        <v>874</v>
      </c>
      <c r="H1" s="69" t="s">
        <v>876</v>
      </c>
      <c r="I1" s="396" t="s">
        <v>352</v>
      </c>
    </row>
    <row r="2" ht="16.5" spans="1:9">
      <c r="A2" s="81">
        <v>46173</v>
      </c>
      <c r="B2" s="82" t="s">
        <v>35</v>
      </c>
      <c r="C2" s="10" t="s">
        <v>82</v>
      </c>
      <c r="D2" s="83" t="s">
        <v>81</v>
      </c>
      <c r="E2" s="82" t="s">
        <v>877</v>
      </c>
      <c r="F2" s="85" t="s">
        <v>878</v>
      </c>
      <c r="G2" s="103">
        <v>25</v>
      </c>
    </row>
    <row r="3" ht="16.5" spans="1:9">
      <c r="A3" s="81">
        <v>46174</v>
      </c>
      <c r="B3" s="82" t="s">
        <v>35</v>
      </c>
      <c r="C3" s="10" t="s">
        <v>82</v>
      </c>
      <c r="D3" s="83" t="s">
        <v>81</v>
      </c>
      <c r="E3" s="82" t="s">
        <v>877</v>
      </c>
      <c r="F3" s="85" t="s">
        <v>879</v>
      </c>
      <c r="G3" s="103">
        <v>12</v>
      </c>
    </row>
    <row r="4" ht="16.5" spans="1:9">
      <c r="A4" s="81">
        <v>46174</v>
      </c>
      <c r="B4" s="82" t="s">
        <v>35</v>
      </c>
      <c r="C4" s="10" t="s">
        <v>79</v>
      </c>
      <c r="D4" s="83" t="s">
        <v>78</v>
      </c>
      <c r="E4" s="82" t="s">
        <v>877</v>
      </c>
      <c r="F4" s="85" t="s">
        <v>880</v>
      </c>
      <c r="G4" s="103">
        <v>15</v>
      </c>
    </row>
    <row r="5" ht="16.5" spans="1:9">
      <c r="A5" s="81">
        <v>46175</v>
      </c>
      <c r="B5" s="82" t="s">
        <v>35</v>
      </c>
      <c r="C5" s="10" t="s">
        <v>79</v>
      </c>
      <c r="D5" s="83" t="s">
        <v>78</v>
      </c>
      <c r="E5" s="82" t="s">
        <v>877</v>
      </c>
      <c r="F5" s="85" t="s">
        <v>881</v>
      </c>
      <c r="G5" s="103">
        <v>10</v>
      </c>
    </row>
    <row r="6" ht="16.5" spans="1:9">
      <c r="A6" s="81">
        <v>46174</v>
      </c>
      <c r="B6" s="82" t="s">
        <v>35</v>
      </c>
      <c r="C6" s="10" t="s">
        <v>79</v>
      </c>
      <c r="D6" s="83" t="s">
        <v>78</v>
      </c>
      <c r="E6" s="82" t="s">
        <v>877</v>
      </c>
      <c r="F6" s="106" t="s">
        <v>882</v>
      </c>
      <c r="G6" s="103">
        <v>5</v>
      </c>
    </row>
    <row r="7" ht="16.5" spans="1:9">
      <c r="A7" s="81">
        <v>46170</v>
      </c>
      <c r="B7" s="82" t="s">
        <v>250</v>
      </c>
      <c r="C7" s="10" t="s">
        <v>146</v>
      </c>
      <c r="D7" s="83" t="s">
        <v>57</v>
      </c>
      <c r="E7" s="82" t="s">
        <v>877</v>
      </c>
      <c r="F7" s="85" t="s">
        <v>883</v>
      </c>
      <c r="G7" s="103">
        <v>1019.15</v>
      </c>
    </row>
    <row r="8" ht="16.5" spans="1:9">
      <c r="A8" s="81">
        <v>46171</v>
      </c>
      <c r="B8" s="82" t="s">
        <v>250</v>
      </c>
      <c r="C8" s="10" t="s">
        <v>146</v>
      </c>
      <c r="D8" s="83" t="s">
        <v>57</v>
      </c>
      <c r="E8" s="82" t="s">
        <v>877</v>
      </c>
      <c r="F8" s="85" t="s">
        <v>884</v>
      </c>
      <c r="G8" s="103">
        <v>790</v>
      </c>
    </row>
    <row r="9" ht="16.5" spans="1:9">
      <c r="A9" s="81">
        <v>46171</v>
      </c>
      <c r="B9" s="82" t="s">
        <v>250</v>
      </c>
      <c r="C9" s="10" t="s">
        <v>146</v>
      </c>
      <c r="D9" s="83" t="s">
        <v>172</v>
      </c>
      <c r="E9" s="82" t="s">
        <v>877</v>
      </c>
      <c r="F9" s="85" t="s">
        <v>885</v>
      </c>
      <c r="G9" s="103">
        <v>635</v>
      </c>
    </row>
    <row r="10" ht="16.5" spans="1:9">
      <c r="A10" s="81">
        <v>46166</v>
      </c>
      <c r="B10" s="82" t="s">
        <v>250</v>
      </c>
      <c r="C10" s="10" t="s">
        <v>146</v>
      </c>
      <c r="D10" s="83" t="s">
        <v>172</v>
      </c>
      <c r="E10" s="82" t="s">
        <v>877</v>
      </c>
      <c r="F10" s="85" t="s">
        <v>886</v>
      </c>
      <c r="G10" s="103">
        <v>336</v>
      </c>
    </row>
    <row r="11" ht="16.5" spans="1:9">
      <c r="A11" s="81">
        <v>46171</v>
      </c>
      <c r="B11" s="82" t="s">
        <v>250</v>
      </c>
      <c r="C11" s="10" t="s">
        <v>146</v>
      </c>
      <c r="D11" s="83" t="s">
        <v>172</v>
      </c>
      <c r="E11" s="82" t="s">
        <v>877</v>
      </c>
      <c r="F11" s="85" t="s">
        <v>887</v>
      </c>
      <c r="G11" s="103">
        <v>21</v>
      </c>
    </row>
    <row r="12" ht="16.5" spans="1:9">
      <c r="A12" s="81">
        <v>46175</v>
      </c>
      <c r="B12" s="82" t="s">
        <v>35</v>
      </c>
      <c r="C12" s="10" t="s">
        <v>58</v>
      </c>
      <c r="D12" s="83" t="s">
        <v>57</v>
      </c>
      <c r="E12" s="82" t="s">
        <v>877</v>
      </c>
      <c r="F12" s="104" t="s">
        <v>888</v>
      </c>
      <c r="G12" s="103">
        <v>25</v>
      </c>
    </row>
    <row r="13" ht="16.5" spans="1:9">
      <c r="A13" s="81">
        <v>46175</v>
      </c>
      <c r="B13" s="82" t="s">
        <v>35</v>
      </c>
      <c r="C13" s="10" t="s">
        <v>58</v>
      </c>
      <c r="D13" s="83" t="s">
        <v>57</v>
      </c>
      <c r="E13" s="82" t="s">
        <v>877</v>
      </c>
      <c r="F13" s="104" t="s">
        <v>889</v>
      </c>
      <c r="G13" s="103">
        <v>20</v>
      </c>
    </row>
    <row r="14" ht="16.5" spans="1:9">
      <c r="A14" s="81">
        <v>46173</v>
      </c>
      <c r="B14" s="82" t="s">
        <v>35</v>
      </c>
      <c r="C14" s="10" t="s">
        <v>370</v>
      </c>
      <c r="D14" s="83" t="s">
        <v>172</v>
      </c>
      <c r="E14" s="82" t="s">
        <v>877</v>
      </c>
      <c r="F14" s="106" t="s">
        <v>890</v>
      </c>
      <c r="G14" s="103">
        <v>10</v>
      </c>
    </row>
    <row r="15" ht="16.5" spans="1:9">
      <c r="A15" s="81">
        <v>46174</v>
      </c>
      <c r="B15" s="82" t="s">
        <v>35</v>
      </c>
      <c r="C15" s="10" t="s">
        <v>370</v>
      </c>
      <c r="D15" s="83" t="s">
        <v>172</v>
      </c>
      <c r="E15" s="82" t="s">
        <v>877</v>
      </c>
      <c r="F15" s="105" t="s">
        <v>891</v>
      </c>
      <c r="G15" s="103">
        <v>10</v>
      </c>
    </row>
    <row r="16" ht="16.5" spans="1:9">
      <c r="A16" s="81">
        <v>46174</v>
      </c>
      <c r="B16" s="82" t="s">
        <v>35</v>
      </c>
      <c r="C16" s="10" t="s">
        <v>370</v>
      </c>
      <c r="D16" s="83" t="s">
        <v>172</v>
      </c>
      <c r="E16" s="82" t="s">
        <v>877</v>
      </c>
      <c r="F16" s="105" t="s">
        <v>892</v>
      </c>
      <c r="G16" s="103">
        <v>30</v>
      </c>
    </row>
    <row r="17" ht="16.5" spans="1:7">
      <c r="A17" s="81">
        <v>46175</v>
      </c>
      <c r="B17" s="82" t="s">
        <v>35</v>
      </c>
      <c r="C17" s="10" t="s">
        <v>370</v>
      </c>
      <c r="D17" s="83" t="s">
        <v>172</v>
      </c>
      <c r="E17" s="82" t="s">
        <v>877</v>
      </c>
      <c r="F17" s="85" t="s">
        <v>893</v>
      </c>
      <c r="G17" s="103">
        <v>15</v>
      </c>
    </row>
    <row r="18" ht="16.5" spans="1:7">
      <c r="A18" s="81">
        <v>46175</v>
      </c>
      <c r="B18" s="82" t="s">
        <v>250</v>
      </c>
      <c r="C18" s="10" t="s">
        <v>894</v>
      </c>
      <c r="D18" s="83" t="s">
        <v>66</v>
      </c>
      <c r="E18" s="82" t="s">
        <v>877</v>
      </c>
      <c r="F18" s="85" t="s">
        <v>895</v>
      </c>
      <c r="G18" s="103">
        <v>46</v>
      </c>
    </row>
    <row r="19" ht="16.5" spans="1:7">
      <c r="A19" s="81">
        <v>46175</v>
      </c>
      <c r="B19" s="82" t="s">
        <v>250</v>
      </c>
      <c r="C19" s="10" t="s">
        <v>894</v>
      </c>
      <c r="D19" s="83" t="s">
        <v>66</v>
      </c>
      <c r="E19" s="82" t="s">
        <v>877</v>
      </c>
      <c r="F19" s="85" t="s">
        <v>896</v>
      </c>
      <c r="G19" s="103">
        <v>39.44</v>
      </c>
    </row>
    <row r="20" ht="16.5" spans="1:7">
      <c r="A20" s="81">
        <v>46175</v>
      </c>
      <c r="B20" s="82" t="s">
        <v>253</v>
      </c>
      <c r="C20" s="10" t="s">
        <v>139</v>
      </c>
      <c r="D20" s="83" t="s">
        <v>102</v>
      </c>
      <c r="E20" s="82" t="s">
        <v>877</v>
      </c>
      <c r="F20" s="85" t="s">
        <v>897</v>
      </c>
      <c r="G20" s="103">
        <v>200</v>
      </c>
    </row>
    <row r="21" ht="16.5" spans="1:7">
      <c r="A21" s="81">
        <v>46175</v>
      </c>
      <c r="B21" s="82" t="s">
        <v>249</v>
      </c>
      <c r="C21" s="10" t="s">
        <v>139</v>
      </c>
      <c r="D21" s="83" t="s">
        <v>114</v>
      </c>
      <c r="E21" s="82" t="s">
        <v>877</v>
      </c>
      <c r="F21" s="85" t="s">
        <v>898</v>
      </c>
      <c r="G21" s="103">
        <v>200</v>
      </c>
    </row>
    <row r="22" ht="16.5" spans="1:7">
      <c r="A22" s="81">
        <v>46175</v>
      </c>
      <c r="B22" s="82" t="s">
        <v>35</v>
      </c>
      <c r="C22" s="10" t="s">
        <v>139</v>
      </c>
      <c r="D22" s="83" t="s">
        <v>130</v>
      </c>
      <c r="E22" s="82" t="s">
        <v>877</v>
      </c>
      <c r="F22" s="85" t="s">
        <v>899</v>
      </c>
      <c r="G22" s="103">
        <v>20</v>
      </c>
    </row>
    <row r="23" ht="16.5" spans="1:7">
      <c r="A23" s="87">
        <v>46175</v>
      </c>
      <c r="B23" s="82" t="s">
        <v>35</v>
      </c>
      <c r="C23" s="10" t="s">
        <v>139</v>
      </c>
      <c r="D23" s="83" t="s">
        <v>130</v>
      </c>
      <c r="E23" s="82" t="s">
        <v>877</v>
      </c>
      <c r="F23" s="85" t="s">
        <v>900</v>
      </c>
      <c r="G23" s="103">
        <v>10</v>
      </c>
    </row>
    <row r="24" ht="16.5" spans="1:7">
      <c r="A24" s="81">
        <v>46175</v>
      </c>
      <c r="B24" s="82" t="s">
        <v>35</v>
      </c>
      <c r="C24" s="10" t="s">
        <v>55</v>
      </c>
      <c r="D24" s="83" t="s">
        <v>54</v>
      </c>
      <c r="E24" s="82" t="s">
        <v>877</v>
      </c>
      <c r="F24" s="105" t="s">
        <v>901</v>
      </c>
      <c r="G24" s="103">
        <v>30</v>
      </c>
    </row>
    <row r="25" ht="16.5" spans="1:7">
      <c r="A25" s="81">
        <v>46175</v>
      </c>
      <c r="B25" s="82" t="s">
        <v>35</v>
      </c>
      <c r="C25" s="10" t="s">
        <v>55</v>
      </c>
      <c r="D25" s="83" t="s">
        <v>54</v>
      </c>
      <c r="E25" s="82" t="s">
        <v>877</v>
      </c>
      <c r="F25" s="106" t="s">
        <v>893</v>
      </c>
      <c r="G25" s="103">
        <v>15</v>
      </c>
    </row>
    <row r="26" ht="16.5" spans="1:7">
      <c r="A26" s="81">
        <v>46175</v>
      </c>
      <c r="B26" s="82" t="s">
        <v>35</v>
      </c>
      <c r="C26" s="10" t="s">
        <v>55</v>
      </c>
      <c r="D26" s="83" t="s">
        <v>54</v>
      </c>
      <c r="E26" s="82" t="s">
        <v>877</v>
      </c>
      <c r="F26" s="105" t="s">
        <v>902</v>
      </c>
      <c r="G26" s="103">
        <v>10</v>
      </c>
    </row>
    <row r="27" ht="16.5" spans="1:7">
      <c r="A27" s="81">
        <v>46175</v>
      </c>
      <c r="B27" s="82" t="s">
        <v>35</v>
      </c>
      <c r="C27" s="10" t="s">
        <v>67</v>
      </c>
      <c r="D27" s="83" t="s">
        <v>66</v>
      </c>
      <c r="E27" s="82" t="s">
        <v>877</v>
      </c>
      <c r="F27" s="85" t="s">
        <v>903</v>
      </c>
      <c r="G27" s="103">
        <v>20</v>
      </c>
    </row>
    <row r="28" ht="16.5" spans="1:7">
      <c r="A28" s="81">
        <v>46175</v>
      </c>
      <c r="B28" s="82" t="s">
        <v>35</v>
      </c>
      <c r="C28" s="10" t="s">
        <v>67</v>
      </c>
      <c r="D28" s="83" t="s">
        <v>66</v>
      </c>
      <c r="E28" s="82" t="s">
        <v>877</v>
      </c>
      <c r="F28" s="85" t="s">
        <v>904</v>
      </c>
      <c r="G28" s="103">
        <v>10</v>
      </c>
    </row>
    <row r="29" ht="16.5" spans="1:7">
      <c r="A29" s="81">
        <v>46175</v>
      </c>
      <c r="B29" s="82" t="s">
        <v>253</v>
      </c>
      <c r="C29" s="10" t="s">
        <v>372</v>
      </c>
      <c r="D29" s="83" t="s">
        <v>121</v>
      </c>
      <c r="E29" s="82" t="s">
        <v>877</v>
      </c>
      <c r="F29" s="85" t="s">
        <v>905</v>
      </c>
      <c r="G29" s="103">
        <v>200</v>
      </c>
    </row>
    <row r="30" ht="16.5" spans="1:7">
      <c r="A30" s="81">
        <v>46175</v>
      </c>
      <c r="B30" s="82" t="s">
        <v>249</v>
      </c>
      <c r="C30" s="10" t="s">
        <v>372</v>
      </c>
      <c r="D30" s="83" t="s">
        <v>135</v>
      </c>
      <c r="E30" s="82" t="s">
        <v>877</v>
      </c>
      <c r="F30" s="85" t="s">
        <v>906</v>
      </c>
      <c r="G30" s="103">
        <v>200</v>
      </c>
    </row>
    <row r="31" ht="16.5" spans="1:7">
      <c r="A31" s="81">
        <v>46175</v>
      </c>
      <c r="B31" s="82" t="s">
        <v>35</v>
      </c>
      <c r="C31" s="10" t="s">
        <v>372</v>
      </c>
      <c r="D31" s="83" t="s">
        <v>102</v>
      </c>
      <c r="E31" s="82" t="s">
        <v>877</v>
      </c>
      <c r="F31" s="85" t="s">
        <v>907</v>
      </c>
      <c r="G31" s="103">
        <v>15</v>
      </c>
    </row>
    <row r="32" ht="16.5" spans="1:7">
      <c r="A32" s="81">
        <v>46175</v>
      </c>
      <c r="B32" s="82" t="s">
        <v>35</v>
      </c>
      <c r="C32" s="10" t="s">
        <v>115</v>
      </c>
      <c r="D32" s="83" t="s">
        <v>114</v>
      </c>
      <c r="E32" s="82" t="s">
        <v>877</v>
      </c>
      <c r="F32" s="85" t="s">
        <v>882</v>
      </c>
      <c r="G32" s="103">
        <v>5</v>
      </c>
    </row>
    <row r="33" ht="16.5" spans="1:7">
      <c r="A33" s="81">
        <v>46173</v>
      </c>
      <c r="B33" s="82" t="s">
        <v>35</v>
      </c>
      <c r="C33" s="10" t="s">
        <v>115</v>
      </c>
      <c r="D33" s="83" t="s">
        <v>114</v>
      </c>
      <c r="E33" s="82" t="s">
        <v>877</v>
      </c>
      <c r="F33" s="85" t="s">
        <v>908</v>
      </c>
      <c r="G33" s="103">
        <v>15</v>
      </c>
    </row>
    <row r="34" ht="16.5" spans="1:7">
      <c r="A34" s="87">
        <v>46174</v>
      </c>
      <c r="B34" s="82" t="s">
        <v>35</v>
      </c>
      <c r="C34" s="10" t="s">
        <v>115</v>
      </c>
      <c r="D34" s="83" t="s">
        <v>114</v>
      </c>
      <c r="E34" s="82" t="s">
        <v>877</v>
      </c>
      <c r="F34" s="85" t="s">
        <v>909</v>
      </c>
      <c r="G34" s="103">
        <v>10</v>
      </c>
    </row>
    <row r="35" ht="16.5" spans="1:7">
      <c r="A35" s="81">
        <v>46175</v>
      </c>
      <c r="B35" s="82" t="s">
        <v>35</v>
      </c>
      <c r="C35" s="10" t="s">
        <v>133</v>
      </c>
      <c r="D35" s="83" t="s">
        <v>132</v>
      </c>
      <c r="E35" s="82" t="s">
        <v>877</v>
      </c>
      <c r="F35" s="85" t="s">
        <v>910</v>
      </c>
      <c r="G35" s="103">
        <v>10</v>
      </c>
    </row>
    <row r="36" ht="16.5" spans="1:7">
      <c r="A36" s="81">
        <v>46175</v>
      </c>
      <c r="B36" s="82" t="s">
        <v>35</v>
      </c>
      <c r="C36" s="10" t="s">
        <v>133</v>
      </c>
      <c r="D36" s="83" t="s">
        <v>132</v>
      </c>
      <c r="E36" s="82" t="s">
        <v>877</v>
      </c>
      <c r="F36" s="85" t="s">
        <v>911</v>
      </c>
      <c r="G36" s="103">
        <v>10</v>
      </c>
    </row>
    <row r="37" ht="16.5" spans="1:7">
      <c r="A37" s="81">
        <v>46175</v>
      </c>
      <c r="B37" s="82" t="s">
        <v>35</v>
      </c>
      <c r="C37" s="10" t="s">
        <v>133</v>
      </c>
      <c r="D37" s="83" t="s">
        <v>132</v>
      </c>
      <c r="E37" s="82" t="s">
        <v>877</v>
      </c>
      <c r="F37" s="85" t="s">
        <v>912</v>
      </c>
      <c r="G37" s="103">
        <v>3</v>
      </c>
    </row>
    <row r="38" ht="16.5" spans="1:7">
      <c r="A38" s="81">
        <v>46175</v>
      </c>
      <c r="B38" s="82" t="s">
        <v>35</v>
      </c>
      <c r="C38" s="85" t="s">
        <v>122</v>
      </c>
      <c r="D38" s="83" t="s">
        <v>121</v>
      </c>
      <c r="E38" s="82" t="s">
        <v>877</v>
      </c>
      <c r="F38" s="85" t="s">
        <v>913</v>
      </c>
      <c r="G38" s="103">
        <v>20</v>
      </c>
    </row>
    <row r="39" ht="16.5" spans="1:7">
      <c r="A39" s="81">
        <v>46174</v>
      </c>
      <c r="B39" s="82" t="s">
        <v>35</v>
      </c>
      <c r="C39" s="85" t="s">
        <v>122</v>
      </c>
      <c r="D39" s="83" t="s">
        <v>121</v>
      </c>
      <c r="E39" s="82" t="s">
        <v>877</v>
      </c>
      <c r="F39" s="85" t="s">
        <v>914</v>
      </c>
      <c r="G39" s="103">
        <v>15</v>
      </c>
    </row>
    <row r="40" ht="16.5" spans="1:7">
      <c r="A40" s="81">
        <v>46175</v>
      </c>
      <c r="B40" s="82" t="s">
        <v>35</v>
      </c>
      <c r="C40" s="85" t="s">
        <v>122</v>
      </c>
      <c r="D40" s="83" t="s">
        <v>121</v>
      </c>
      <c r="E40" s="82" t="s">
        <v>877</v>
      </c>
      <c r="F40" s="105" t="s">
        <v>915</v>
      </c>
      <c r="G40" s="103">
        <v>10</v>
      </c>
    </row>
    <row r="41" ht="16.5" spans="1:7">
      <c r="A41" s="87">
        <v>46175</v>
      </c>
      <c r="B41" s="82" t="s">
        <v>35</v>
      </c>
      <c r="C41" s="85" t="s">
        <v>136</v>
      </c>
      <c r="D41" s="83" t="s">
        <v>135</v>
      </c>
      <c r="E41" s="82" t="s">
        <v>877</v>
      </c>
      <c r="F41" s="10" t="s">
        <v>910</v>
      </c>
      <c r="G41" s="103">
        <v>10</v>
      </c>
    </row>
    <row r="42" ht="16.5" spans="1:7">
      <c r="A42" s="87">
        <v>46175</v>
      </c>
      <c r="B42" s="82" t="s">
        <v>35</v>
      </c>
      <c r="C42" s="85" t="s">
        <v>136</v>
      </c>
      <c r="D42" s="83" t="s">
        <v>135</v>
      </c>
      <c r="E42" s="82" t="s">
        <v>877</v>
      </c>
      <c r="F42" s="10" t="s">
        <v>916</v>
      </c>
      <c r="G42" s="103">
        <v>15</v>
      </c>
    </row>
    <row r="43" ht="16.5" spans="1:7">
      <c r="A43" s="87">
        <v>46175</v>
      </c>
      <c r="B43" s="82" t="s">
        <v>35</v>
      </c>
      <c r="C43" s="85" t="s">
        <v>136</v>
      </c>
      <c r="D43" s="83" t="s">
        <v>135</v>
      </c>
      <c r="E43" s="82" t="s">
        <v>877</v>
      </c>
      <c r="F43" s="10" t="s">
        <v>911</v>
      </c>
      <c r="G43" s="103">
        <v>10</v>
      </c>
    </row>
    <row r="44" ht="16.5" spans="1:7">
      <c r="A44" s="87">
        <v>46175</v>
      </c>
      <c r="B44" s="82" t="s">
        <v>253</v>
      </c>
      <c r="C44" s="85" t="s">
        <v>100</v>
      </c>
      <c r="D44" s="83" t="s">
        <v>96</v>
      </c>
      <c r="E44" s="82" t="s">
        <v>877</v>
      </c>
      <c r="F44" s="10" t="s">
        <v>917</v>
      </c>
      <c r="G44" s="103">
        <v>20</v>
      </c>
    </row>
    <row r="45" ht="16.5" spans="1:7">
      <c r="A45" s="87">
        <v>46174</v>
      </c>
      <c r="B45" s="82" t="s">
        <v>35</v>
      </c>
      <c r="C45" s="85" t="s">
        <v>100</v>
      </c>
      <c r="D45" s="83" t="s">
        <v>99</v>
      </c>
      <c r="E45" s="82" t="s">
        <v>877</v>
      </c>
      <c r="F45" s="10" t="s">
        <v>918</v>
      </c>
      <c r="G45" s="103">
        <v>15</v>
      </c>
    </row>
    <row r="46" ht="16.5" spans="1:7">
      <c r="A46" s="87">
        <v>46175</v>
      </c>
      <c r="B46" s="82" t="s">
        <v>35</v>
      </c>
      <c r="C46" s="85" t="s">
        <v>100</v>
      </c>
      <c r="D46" s="83" t="s">
        <v>99</v>
      </c>
      <c r="E46" s="82" t="s">
        <v>877</v>
      </c>
      <c r="F46" s="10" t="s">
        <v>919</v>
      </c>
      <c r="G46" s="103">
        <v>10</v>
      </c>
    </row>
    <row r="47" ht="16.5" spans="1:7">
      <c r="A47" s="87">
        <v>46175</v>
      </c>
      <c r="B47" s="82" t="s">
        <v>35</v>
      </c>
      <c r="C47" s="85" t="s">
        <v>100</v>
      </c>
      <c r="D47" s="83" t="s">
        <v>99</v>
      </c>
      <c r="E47" s="82" t="s">
        <v>877</v>
      </c>
      <c r="F47" s="10" t="s">
        <v>920</v>
      </c>
      <c r="G47" s="103">
        <v>10</v>
      </c>
    </row>
    <row r="48" ht="16.5" spans="1:7">
      <c r="A48" s="87">
        <v>46175</v>
      </c>
      <c r="B48" s="82" t="s">
        <v>35</v>
      </c>
      <c r="C48" s="10" t="s">
        <v>52</v>
      </c>
      <c r="D48" s="83" t="s">
        <v>51</v>
      </c>
      <c r="E48" s="82" t="s">
        <v>877</v>
      </c>
      <c r="F48" s="10" t="s">
        <v>921</v>
      </c>
      <c r="G48" s="103">
        <v>15</v>
      </c>
    </row>
    <row r="49" ht="16.5" spans="1:7">
      <c r="A49" s="87">
        <v>46175</v>
      </c>
      <c r="B49" s="82" t="s">
        <v>35</v>
      </c>
      <c r="C49" s="10" t="s">
        <v>52</v>
      </c>
      <c r="D49" s="83" t="s">
        <v>51</v>
      </c>
      <c r="E49" s="82" t="s">
        <v>877</v>
      </c>
      <c r="F49" s="10" t="s">
        <v>904</v>
      </c>
      <c r="G49" s="103">
        <v>10</v>
      </c>
    </row>
    <row r="50" ht="16.5" spans="1:7">
      <c r="A50" s="87">
        <v>46175</v>
      </c>
      <c r="B50" s="82" t="s">
        <v>35</v>
      </c>
      <c r="C50" s="10" t="s">
        <v>70</v>
      </c>
      <c r="D50" s="83" t="s">
        <v>69</v>
      </c>
      <c r="E50" s="82" t="s">
        <v>877</v>
      </c>
      <c r="F50" s="10" t="s">
        <v>893</v>
      </c>
      <c r="G50" s="103">
        <v>15</v>
      </c>
    </row>
    <row r="51" ht="16.5" spans="1:7">
      <c r="A51" s="87">
        <v>46175</v>
      </c>
      <c r="B51" s="82" t="s">
        <v>35</v>
      </c>
      <c r="C51" s="10" t="s">
        <v>70</v>
      </c>
      <c r="D51" s="83" t="s">
        <v>69</v>
      </c>
      <c r="E51" s="82" t="s">
        <v>877</v>
      </c>
      <c r="F51" s="10" t="s">
        <v>922</v>
      </c>
      <c r="G51" s="103">
        <v>10</v>
      </c>
    </row>
    <row r="52" ht="16.5" spans="1:7">
      <c r="A52" s="87">
        <v>46175</v>
      </c>
      <c r="B52" s="82" t="s">
        <v>250</v>
      </c>
      <c r="C52" s="10" t="s">
        <v>47</v>
      </c>
      <c r="D52" s="83" t="s">
        <v>75</v>
      </c>
      <c r="E52" s="82" t="s">
        <v>877</v>
      </c>
      <c r="F52" s="10" t="s">
        <v>923</v>
      </c>
      <c r="G52" s="103">
        <v>338</v>
      </c>
    </row>
    <row r="53" ht="16.5" spans="1:7">
      <c r="A53" s="87">
        <v>46175</v>
      </c>
      <c r="B53" s="82" t="s">
        <v>250</v>
      </c>
      <c r="C53" s="10" t="s">
        <v>47</v>
      </c>
      <c r="D53" s="83" t="s">
        <v>72</v>
      </c>
      <c r="E53" s="82" t="s">
        <v>877</v>
      </c>
      <c r="F53" s="10" t="s">
        <v>924</v>
      </c>
      <c r="G53" s="103">
        <v>360</v>
      </c>
    </row>
    <row r="54" ht="16.5" spans="1:7">
      <c r="A54" s="81">
        <v>46175</v>
      </c>
      <c r="B54" s="82" t="s">
        <v>35</v>
      </c>
      <c r="C54" s="10" t="s">
        <v>106</v>
      </c>
      <c r="D54" s="83" t="s">
        <v>105</v>
      </c>
      <c r="E54" s="82" t="s">
        <v>877</v>
      </c>
      <c r="F54" s="85" t="s">
        <v>925</v>
      </c>
      <c r="G54" s="103">
        <v>30</v>
      </c>
    </row>
    <row r="55" ht="16.5" spans="1:7">
      <c r="A55" s="81">
        <v>46175</v>
      </c>
      <c r="B55" s="82" t="s">
        <v>35</v>
      </c>
      <c r="C55" s="10" t="s">
        <v>106</v>
      </c>
      <c r="D55" s="83" t="s">
        <v>105</v>
      </c>
      <c r="E55" s="82" t="s">
        <v>877</v>
      </c>
      <c r="F55" s="85" t="s">
        <v>926</v>
      </c>
      <c r="G55" s="103">
        <v>5</v>
      </c>
    </row>
    <row r="56" ht="16.5" spans="1:7">
      <c r="A56" s="81">
        <v>46175</v>
      </c>
      <c r="B56" s="82" t="s">
        <v>35</v>
      </c>
      <c r="C56" s="10" t="s">
        <v>125</v>
      </c>
      <c r="D56" s="83" t="s">
        <v>124</v>
      </c>
      <c r="E56" s="82" t="s">
        <v>877</v>
      </c>
      <c r="F56" s="85" t="s">
        <v>927</v>
      </c>
      <c r="G56" s="103">
        <v>15</v>
      </c>
    </row>
    <row r="57" ht="16.5" spans="1:7">
      <c r="A57" s="81">
        <v>46175</v>
      </c>
      <c r="B57" s="82" t="s">
        <v>35</v>
      </c>
      <c r="C57" s="10" t="s">
        <v>125</v>
      </c>
      <c r="D57" s="83" t="s">
        <v>124</v>
      </c>
      <c r="E57" s="82" t="s">
        <v>877</v>
      </c>
      <c r="F57" s="85" t="s">
        <v>911</v>
      </c>
      <c r="G57" s="103">
        <v>10</v>
      </c>
    </row>
    <row r="58" ht="16.5" spans="1:7">
      <c r="A58" s="81">
        <v>46174</v>
      </c>
      <c r="B58" s="82" t="s">
        <v>35</v>
      </c>
      <c r="C58" s="10" t="s">
        <v>97</v>
      </c>
      <c r="D58" s="83" t="s">
        <v>96</v>
      </c>
      <c r="E58" s="82" t="s">
        <v>877</v>
      </c>
      <c r="F58" s="85" t="s">
        <v>903</v>
      </c>
      <c r="G58" s="103">
        <v>20</v>
      </c>
    </row>
    <row r="59" ht="16.5" spans="1:7">
      <c r="A59" s="81">
        <v>46176</v>
      </c>
      <c r="B59" s="82" t="s">
        <v>35</v>
      </c>
      <c r="C59" s="10" t="s">
        <v>97</v>
      </c>
      <c r="D59" s="83" t="s">
        <v>96</v>
      </c>
      <c r="E59" s="82" t="s">
        <v>877</v>
      </c>
      <c r="F59" s="85" t="s">
        <v>907</v>
      </c>
      <c r="G59" s="103">
        <v>15</v>
      </c>
    </row>
    <row r="60" ht="16.5" spans="1:7">
      <c r="A60" s="81">
        <v>46175</v>
      </c>
      <c r="B60" s="82" t="s">
        <v>35</v>
      </c>
      <c r="C60" s="10" t="s">
        <v>97</v>
      </c>
      <c r="D60" s="83" t="s">
        <v>96</v>
      </c>
      <c r="E60" s="82" t="s">
        <v>877</v>
      </c>
      <c r="F60" s="106" t="s">
        <v>928</v>
      </c>
      <c r="G60" s="103">
        <v>12</v>
      </c>
    </row>
    <row r="61" ht="16.5" spans="1:7">
      <c r="A61" s="81">
        <v>46175</v>
      </c>
      <c r="B61" s="82" t="s">
        <v>35</v>
      </c>
      <c r="C61" s="10" t="s">
        <v>929</v>
      </c>
      <c r="D61" s="83" t="s">
        <v>117</v>
      </c>
      <c r="E61" s="82" t="s">
        <v>877</v>
      </c>
      <c r="F61" s="85" t="s">
        <v>930</v>
      </c>
      <c r="G61" s="103">
        <v>15</v>
      </c>
    </row>
    <row r="62" ht="16.5" spans="1:7">
      <c r="A62" s="81">
        <v>46174</v>
      </c>
      <c r="B62" s="82" t="s">
        <v>35</v>
      </c>
      <c r="C62" s="10" t="s">
        <v>929</v>
      </c>
      <c r="D62" s="83" t="s">
        <v>117</v>
      </c>
      <c r="E62" s="82" t="s">
        <v>877</v>
      </c>
      <c r="F62" s="85" t="s">
        <v>893</v>
      </c>
      <c r="G62" s="103">
        <v>15</v>
      </c>
    </row>
    <row r="63" ht="16.5" spans="1:7">
      <c r="A63" s="81">
        <v>46175</v>
      </c>
      <c r="B63" s="82" t="s">
        <v>35</v>
      </c>
      <c r="C63" s="10" t="s">
        <v>109</v>
      </c>
      <c r="D63" s="83" t="s">
        <v>108</v>
      </c>
      <c r="E63" s="82" t="s">
        <v>877</v>
      </c>
      <c r="F63" s="85" t="s">
        <v>931</v>
      </c>
      <c r="G63" s="103">
        <v>15</v>
      </c>
    </row>
    <row r="64" ht="16.5" spans="1:7">
      <c r="A64" s="81">
        <v>46175</v>
      </c>
      <c r="B64" s="82" t="s">
        <v>35</v>
      </c>
      <c r="C64" s="10" t="s">
        <v>109</v>
      </c>
      <c r="D64" s="83" t="s">
        <v>108</v>
      </c>
      <c r="E64" s="82" t="s">
        <v>877</v>
      </c>
      <c r="F64" s="85" t="s">
        <v>932</v>
      </c>
      <c r="G64" s="103">
        <v>20</v>
      </c>
    </row>
    <row r="65" ht="16.5" spans="1:7">
      <c r="A65" s="81">
        <v>46175</v>
      </c>
      <c r="B65" s="82" t="s">
        <v>35</v>
      </c>
      <c r="C65" s="10" t="s">
        <v>76</v>
      </c>
      <c r="D65" s="83" t="s">
        <v>75</v>
      </c>
      <c r="E65" s="82" t="s">
        <v>877</v>
      </c>
      <c r="F65" s="85" t="s">
        <v>933</v>
      </c>
      <c r="G65" s="103">
        <v>30</v>
      </c>
    </row>
    <row r="66" ht="16.5" spans="1:7">
      <c r="A66" s="81">
        <v>46174</v>
      </c>
      <c r="B66" s="82" t="s">
        <v>35</v>
      </c>
      <c r="C66" s="10" t="s">
        <v>76</v>
      </c>
      <c r="D66" s="83" t="s">
        <v>75</v>
      </c>
      <c r="E66" s="82" t="s">
        <v>877</v>
      </c>
      <c r="F66" s="104" t="s">
        <v>882</v>
      </c>
      <c r="G66" s="103">
        <v>5</v>
      </c>
    </row>
    <row r="67" ht="16.5" spans="1:7">
      <c r="A67" s="81">
        <v>46174</v>
      </c>
      <c r="B67" s="82" t="s">
        <v>253</v>
      </c>
      <c r="C67" s="10" t="s">
        <v>73</v>
      </c>
      <c r="D67" s="83" t="s">
        <v>81</v>
      </c>
      <c r="E67" s="82" t="s">
        <v>877</v>
      </c>
      <c r="F67" s="399" t="s">
        <v>934</v>
      </c>
      <c r="G67" s="103">
        <v>20</v>
      </c>
    </row>
    <row r="68" ht="16.5" spans="1:7">
      <c r="A68" s="81">
        <v>46175</v>
      </c>
      <c r="B68" s="82" t="s">
        <v>35</v>
      </c>
      <c r="C68" s="10" t="s">
        <v>73</v>
      </c>
      <c r="D68" s="83" t="s">
        <v>72</v>
      </c>
      <c r="E68" s="82" t="s">
        <v>877</v>
      </c>
      <c r="F68" s="104" t="s">
        <v>933</v>
      </c>
      <c r="G68" s="103">
        <v>30</v>
      </c>
    </row>
    <row r="69" ht="16.5" spans="1:7">
      <c r="A69" s="81">
        <v>46176</v>
      </c>
      <c r="B69" s="82" t="s">
        <v>35</v>
      </c>
      <c r="C69" s="10" t="s">
        <v>73</v>
      </c>
      <c r="D69" s="83" t="s">
        <v>72</v>
      </c>
      <c r="E69" s="82" t="s">
        <v>877</v>
      </c>
      <c r="F69" s="106" t="s">
        <v>935</v>
      </c>
      <c r="G69" s="103">
        <v>15</v>
      </c>
    </row>
    <row r="70" ht="16.5" spans="1:7">
      <c r="A70" s="81">
        <v>46176</v>
      </c>
      <c r="B70" s="82" t="s">
        <v>253</v>
      </c>
      <c r="C70" s="10" t="s">
        <v>70</v>
      </c>
      <c r="D70" s="83" t="s">
        <v>60</v>
      </c>
      <c r="E70" s="82" t="s">
        <v>877</v>
      </c>
      <c r="F70" s="105" t="s">
        <v>936</v>
      </c>
      <c r="G70" s="103">
        <v>200</v>
      </c>
    </row>
    <row r="71" ht="16.5" spans="1:7">
      <c r="A71" s="81">
        <v>46176</v>
      </c>
      <c r="B71" s="82" t="s">
        <v>249</v>
      </c>
      <c r="C71" s="10" t="s">
        <v>70</v>
      </c>
      <c r="D71" s="83" t="s">
        <v>60</v>
      </c>
      <c r="E71" s="82" t="s">
        <v>877</v>
      </c>
      <c r="F71" s="105" t="s">
        <v>937</v>
      </c>
      <c r="G71" s="103">
        <v>200</v>
      </c>
    </row>
    <row r="72" ht="16.5" spans="1:7">
      <c r="A72" s="81">
        <v>46176</v>
      </c>
      <c r="B72" s="82" t="s">
        <v>35</v>
      </c>
      <c r="C72" s="10" t="s">
        <v>70</v>
      </c>
      <c r="D72" s="83" t="s">
        <v>69</v>
      </c>
      <c r="E72" s="82" t="s">
        <v>877</v>
      </c>
      <c r="F72" s="85" t="s">
        <v>893</v>
      </c>
      <c r="G72" s="103">
        <v>15</v>
      </c>
    </row>
    <row r="73" ht="16.5" spans="1:7">
      <c r="A73" s="81">
        <v>46176</v>
      </c>
      <c r="B73" s="82" t="s">
        <v>35</v>
      </c>
      <c r="C73" s="10" t="s">
        <v>70</v>
      </c>
      <c r="D73" s="83" t="s">
        <v>69</v>
      </c>
      <c r="E73" s="82" t="s">
        <v>877</v>
      </c>
      <c r="F73" s="85" t="s">
        <v>922</v>
      </c>
      <c r="G73" s="103">
        <v>10</v>
      </c>
    </row>
    <row r="74" ht="16.5" spans="1:7">
      <c r="A74" s="81">
        <v>46177</v>
      </c>
      <c r="B74" s="82" t="s">
        <v>253</v>
      </c>
      <c r="C74" s="10" t="s">
        <v>112</v>
      </c>
      <c r="D74" s="83" t="s">
        <v>99</v>
      </c>
      <c r="E74" s="82" t="s">
        <v>877</v>
      </c>
      <c r="F74" s="85" t="s">
        <v>934</v>
      </c>
      <c r="G74" s="103">
        <v>20</v>
      </c>
    </row>
    <row r="75" ht="16.5" spans="1:7">
      <c r="A75" s="81">
        <v>46175</v>
      </c>
      <c r="B75" s="82" t="s">
        <v>35</v>
      </c>
      <c r="C75" s="10" t="s">
        <v>112</v>
      </c>
      <c r="D75" s="83" t="s">
        <v>111</v>
      </c>
      <c r="E75" s="82" t="s">
        <v>877</v>
      </c>
      <c r="F75" s="85" t="s">
        <v>938</v>
      </c>
      <c r="G75" s="103">
        <v>10</v>
      </c>
    </row>
    <row r="76" ht="16.5" spans="1:7">
      <c r="A76" s="81">
        <v>46176</v>
      </c>
      <c r="B76" s="82" t="s">
        <v>35</v>
      </c>
      <c r="C76" s="10" t="s">
        <v>112</v>
      </c>
      <c r="D76" s="83" t="s">
        <v>111</v>
      </c>
      <c r="E76" s="82" t="s">
        <v>877</v>
      </c>
      <c r="F76" s="85" t="s">
        <v>939</v>
      </c>
      <c r="G76" s="103">
        <v>20</v>
      </c>
    </row>
    <row r="77" ht="16.5" spans="1:7">
      <c r="A77" s="81">
        <v>46176</v>
      </c>
      <c r="B77" s="82" t="s">
        <v>35</v>
      </c>
      <c r="C77" s="10" t="s">
        <v>91</v>
      </c>
      <c r="D77" s="83" t="s">
        <v>90</v>
      </c>
      <c r="E77" s="82" t="s">
        <v>877</v>
      </c>
      <c r="F77" s="105" t="s">
        <v>911</v>
      </c>
      <c r="G77" s="103">
        <v>10</v>
      </c>
    </row>
    <row r="78" ht="16.5" spans="1:7">
      <c r="A78" s="81">
        <v>46175</v>
      </c>
      <c r="B78" s="82" t="s">
        <v>35</v>
      </c>
      <c r="C78" s="10" t="s">
        <v>91</v>
      </c>
      <c r="D78" s="83" t="s">
        <v>90</v>
      </c>
      <c r="E78" s="82" t="s">
        <v>877</v>
      </c>
      <c r="F78" s="85" t="s">
        <v>940</v>
      </c>
      <c r="G78" s="103">
        <v>15</v>
      </c>
    </row>
    <row r="79" ht="16.5" spans="1:7">
      <c r="A79" s="81">
        <v>46174</v>
      </c>
      <c r="B79" s="82" t="s">
        <v>35</v>
      </c>
      <c r="C79" s="10" t="s">
        <v>91</v>
      </c>
      <c r="D79" s="83" t="s">
        <v>90</v>
      </c>
      <c r="E79" s="82" t="s">
        <v>877</v>
      </c>
      <c r="F79" s="85" t="s">
        <v>941</v>
      </c>
      <c r="G79" s="103">
        <v>20</v>
      </c>
    </row>
    <row r="80" ht="16.5" spans="1:7">
      <c r="A80" s="81">
        <v>46176</v>
      </c>
      <c r="B80" s="82" t="s">
        <v>250</v>
      </c>
      <c r="C80" s="10" t="s">
        <v>47</v>
      </c>
      <c r="D80" s="83" t="s">
        <v>114</v>
      </c>
      <c r="E80" s="82" t="s">
        <v>877</v>
      </c>
      <c r="F80" s="85" t="s">
        <v>942</v>
      </c>
      <c r="G80" s="103">
        <v>430</v>
      </c>
    </row>
    <row r="81" ht="16.5" spans="1:7">
      <c r="A81" s="81">
        <v>46177</v>
      </c>
      <c r="B81" s="82" t="s">
        <v>35</v>
      </c>
      <c r="C81" s="10" t="s">
        <v>88</v>
      </c>
      <c r="D81" s="83" t="s">
        <v>87</v>
      </c>
      <c r="E81" s="82" t="s">
        <v>877</v>
      </c>
      <c r="F81" s="85" t="s">
        <v>893</v>
      </c>
      <c r="G81" s="103">
        <v>15</v>
      </c>
    </row>
    <row r="82" ht="16.5" spans="1:7">
      <c r="A82" s="81">
        <v>46175</v>
      </c>
      <c r="B82" s="82" t="s">
        <v>35</v>
      </c>
      <c r="C82" s="10" t="s">
        <v>88</v>
      </c>
      <c r="D82" s="83" t="s">
        <v>87</v>
      </c>
      <c r="E82" s="82" t="s">
        <v>877</v>
      </c>
      <c r="F82" s="85" t="s">
        <v>882</v>
      </c>
      <c r="G82" s="103">
        <v>5</v>
      </c>
    </row>
    <row r="83" ht="16.5" spans="1:7">
      <c r="A83" s="81">
        <v>46176</v>
      </c>
      <c r="B83" s="82" t="s">
        <v>250</v>
      </c>
      <c r="C83" s="74" t="s">
        <v>943</v>
      </c>
      <c r="D83" s="83" t="s">
        <v>130</v>
      </c>
      <c r="E83" s="82" t="s">
        <v>944</v>
      </c>
      <c r="F83" s="74" t="s">
        <v>945</v>
      </c>
      <c r="G83" s="103">
        <v>345</v>
      </c>
    </row>
    <row r="84" ht="16.5" spans="1:7">
      <c r="A84" s="81">
        <v>46167</v>
      </c>
      <c r="B84" s="82" t="s">
        <v>33</v>
      </c>
      <c r="C84" s="82" t="s">
        <v>946</v>
      </c>
      <c r="D84" s="83" t="s">
        <v>144</v>
      </c>
      <c r="E84" s="82" t="s">
        <v>944</v>
      </c>
      <c r="F84" s="85" t="s">
        <v>947</v>
      </c>
      <c r="G84" s="103">
        <v>18200</v>
      </c>
    </row>
    <row r="85" ht="16.5" spans="1:7">
      <c r="A85" s="87">
        <v>46173</v>
      </c>
      <c r="B85" s="82" t="s">
        <v>33</v>
      </c>
      <c r="C85" s="85" t="s">
        <v>946</v>
      </c>
      <c r="D85" s="83" t="s">
        <v>144</v>
      </c>
      <c r="E85" s="82" t="s">
        <v>944</v>
      </c>
      <c r="F85" s="10" t="s">
        <v>948</v>
      </c>
      <c r="G85" s="103">
        <v>16800</v>
      </c>
    </row>
    <row r="86" ht="16.5" spans="1:7">
      <c r="A86" s="81">
        <v>46176</v>
      </c>
      <c r="B86" s="82" t="s">
        <v>35</v>
      </c>
      <c r="C86" s="10" t="s">
        <v>55</v>
      </c>
      <c r="D86" s="83" t="s">
        <v>54</v>
      </c>
      <c r="E86" s="82" t="s">
        <v>877</v>
      </c>
      <c r="F86" s="85" t="s">
        <v>949</v>
      </c>
      <c r="G86" s="86">
        <v>15</v>
      </c>
    </row>
    <row r="87" ht="16.5" spans="1:7">
      <c r="A87" s="81">
        <v>46176</v>
      </c>
      <c r="B87" s="82" t="s">
        <v>250</v>
      </c>
      <c r="C87" s="10" t="s">
        <v>894</v>
      </c>
      <c r="D87" s="83" t="s">
        <v>138</v>
      </c>
      <c r="E87" s="82" t="s">
        <v>877</v>
      </c>
      <c r="F87" s="85" t="s">
        <v>950</v>
      </c>
      <c r="G87" s="86">
        <v>25</v>
      </c>
    </row>
    <row r="88" ht="16.5" spans="1:7">
      <c r="A88" s="81">
        <v>46176</v>
      </c>
      <c r="B88" s="82" t="s">
        <v>250</v>
      </c>
      <c r="C88" s="10" t="s">
        <v>894</v>
      </c>
      <c r="D88" s="83" t="s">
        <v>127</v>
      </c>
      <c r="E88" s="82" t="s">
        <v>877</v>
      </c>
      <c r="F88" s="85" t="s">
        <v>951</v>
      </c>
      <c r="G88" s="86">
        <v>43.07</v>
      </c>
    </row>
    <row r="89" ht="16.5" spans="1:7">
      <c r="A89" s="81">
        <v>46177</v>
      </c>
      <c r="B89" s="82" t="s">
        <v>250</v>
      </c>
      <c r="C89" s="10" t="s">
        <v>894</v>
      </c>
      <c r="D89" s="83" t="s">
        <v>127</v>
      </c>
      <c r="E89" s="82" t="s">
        <v>877</v>
      </c>
      <c r="F89" s="85" t="s">
        <v>952</v>
      </c>
      <c r="G89" s="86">
        <v>120</v>
      </c>
    </row>
    <row r="90" ht="16.5" spans="1:7">
      <c r="A90" s="81">
        <v>46176</v>
      </c>
      <c r="B90" s="82" t="s">
        <v>35</v>
      </c>
      <c r="C90" s="10" t="s">
        <v>125</v>
      </c>
      <c r="D90" s="83" t="s">
        <v>124</v>
      </c>
      <c r="E90" s="82" t="s">
        <v>877</v>
      </c>
      <c r="F90" s="85" t="s">
        <v>904</v>
      </c>
      <c r="G90" s="86">
        <v>10</v>
      </c>
    </row>
    <row r="91" ht="16.5" spans="1:7">
      <c r="A91" s="81">
        <v>46177</v>
      </c>
      <c r="B91" s="82" t="s">
        <v>35</v>
      </c>
      <c r="C91" s="10" t="s">
        <v>125</v>
      </c>
      <c r="D91" s="83" t="s">
        <v>124</v>
      </c>
      <c r="E91" s="82" t="s">
        <v>877</v>
      </c>
      <c r="F91" s="106" t="s">
        <v>938</v>
      </c>
      <c r="G91" s="86">
        <v>10</v>
      </c>
    </row>
    <row r="92" ht="16.5" spans="1:7">
      <c r="A92" s="81">
        <v>46176</v>
      </c>
      <c r="B92" s="82" t="s">
        <v>35</v>
      </c>
      <c r="C92" s="10" t="s">
        <v>82</v>
      </c>
      <c r="D92" s="83" t="s">
        <v>81</v>
      </c>
      <c r="E92" s="82" t="s">
        <v>877</v>
      </c>
      <c r="F92" s="85" t="s">
        <v>953</v>
      </c>
      <c r="G92" s="86">
        <v>30</v>
      </c>
    </row>
    <row r="93" ht="16.5" spans="1:7">
      <c r="A93" s="81">
        <v>46176</v>
      </c>
      <c r="B93" s="82" t="s">
        <v>35</v>
      </c>
      <c r="C93" s="10" t="s">
        <v>82</v>
      </c>
      <c r="D93" s="83" t="s">
        <v>81</v>
      </c>
      <c r="E93" s="82" t="s">
        <v>877</v>
      </c>
      <c r="F93" s="85" t="s">
        <v>879</v>
      </c>
      <c r="G93" s="86">
        <v>12</v>
      </c>
    </row>
    <row r="94" ht="16.5" spans="1:7">
      <c r="A94" s="81">
        <v>46176</v>
      </c>
      <c r="B94" s="82" t="s">
        <v>253</v>
      </c>
      <c r="C94" s="10" t="s">
        <v>61</v>
      </c>
      <c r="D94" s="83" t="s">
        <v>66</v>
      </c>
      <c r="E94" s="82" t="s">
        <v>877</v>
      </c>
      <c r="F94" s="104" t="s">
        <v>954</v>
      </c>
      <c r="G94" s="86">
        <v>20</v>
      </c>
    </row>
    <row r="95" ht="16.5" spans="1:7">
      <c r="A95" s="81">
        <v>46175</v>
      </c>
      <c r="B95" s="82" t="s">
        <v>35</v>
      </c>
      <c r="C95" s="10" t="s">
        <v>61</v>
      </c>
      <c r="D95" s="83" t="s">
        <v>60</v>
      </c>
      <c r="E95" s="82" t="s">
        <v>877</v>
      </c>
      <c r="F95" s="399" t="s">
        <v>955</v>
      </c>
      <c r="G95" s="86">
        <v>30</v>
      </c>
    </row>
    <row r="96" ht="16.5" spans="1:7">
      <c r="A96" s="81">
        <v>46176</v>
      </c>
      <c r="B96" s="82" t="s">
        <v>35</v>
      </c>
      <c r="C96" s="10" t="s">
        <v>61</v>
      </c>
      <c r="D96" s="83" t="s">
        <v>60</v>
      </c>
      <c r="E96" s="82" t="s">
        <v>877</v>
      </c>
      <c r="F96" s="104" t="s">
        <v>956</v>
      </c>
      <c r="G96" s="86">
        <v>10</v>
      </c>
    </row>
    <row r="97" ht="16.5" spans="1:7">
      <c r="A97" s="81">
        <v>46175</v>
      </c>
      <c r="B97" s="82" t="s">
        <v>35</v>
      </c>
      <c r="C97" s="10" t="s">
        <v>61</v>
      </c>
      <c r="D97" s="83" t="s">
        <v>60</v>
      </c>
      <c r="E97" s="82" t="s">
        <v>877</v>
      </c>
      <c r="F97" s="106" t="s">
        <v>926</v>
      </c>
      <c r="G97" s="86">
        <v>5</v>
      </c>
    </row>
    <row r="98" ht="16.5" spans="1:7">
      <c r="A98" s="81">
        <v>46176</v>
      </c>
      <c r="B98" s="82" t="s">
        <v>35</v>
      </c>
      <c r="C98" s="10" t="s">
        <v>67</v>
      </c>
      <c r="D98" s="83" t="s">
        <v>66</v>
      </c>
      <c r="E98" s="82" t="s">
        <v>877</v>
      </c>
      <c r="F98" s="105" t="s">
        <v>904</v>
      </c>
      <c r="G98" s="86">
        <v>10</v>
      </c>
    </row>
    <row r="99" ht="16.5" spans="1:7">
      <c r="A99" s="81">
        <v>46177</v>
      </c>
      <c r="B99" s="82" t="s">
        <v>35</v>
      </c>
      <c r="C99" s="10" t="s">
        <v>67</v>
      </c>
      <c r="D99" s="83" t="s">
        <v>66</v>
      </c>
      <c r="E99" s="82" t="s">
        <v>877</v>
      </c>
      <c r="F99" s="105" t="s">
        <v>893</v>
      </c>
      <c r="G99" s="86">
        <v>15</v>
      </c>
    </row>
    <row r="100" ht="16.5" spans="1:7">
      <c r="A100" s="81">
        <v>46177</v>
      </c>
      <c r="B100" s="82" t="s">
        <v>35</v>
      </c>
      <c r="C100" s="10" t="s">
        <v>100</v>
      </c>
      <c r="D100" s="83" t="s">
        <v>99</v>
      </c>
      <c r="E100" s="82" t="s">
        <v>877</v>
      </c>
      <c r="F100" s="10" t="s">
        <v>918</v>
      </c>
      <c r="G100" s="86">
        <v>15</v>
      </c>
    </row>
    <row r="101" ht="16.5" spans="1:7">
      <c r="A101" s="81">
        <v>46176</v>
      </c>
      <c r="B101" s="82" t="s">
        <v>35</v>
      </c>
      <c r="C101" s="10" t="s">
        <v>100</v>
      </c>
      <c r="D101" s="83" t="s">
        <v>99</v>
      </c>
      <c r="E101" s="82" t="s">
        <v>877</v>
      </c>
      <c r="F101" s="85" t="s">
        <v>920</v>
      </c>
      <c r="G101" s="86">
        <v>10</v>
      </c>
    </row>
    <row r="102" ht="16.5" spans="1:7">
      <c r="A102" s="81">
        <v>46177</v>
      </c>
      <c r="B102" s="82" t="s">
        <v>35</v>
      </c>
      <c r="C102" s="10" t="s">
        <v>94</v>
      </c>
      <c r="D102" s="83" t="s">
        <v>93</v>
      </c>
      <c r="E102" s="82" t="s">
        <v>877</v>
      </c>
      <c r="F102" s="85" t="s">
        <v>957</v>
      </c>
      <c r="G102" s="86">
        <v>30</v>
      </c>
    </row>
    <row r="103" ht="16.5" spans="1:7">
      <c r="A103" s="81">
        <v>46176</v>
      </c>
      <c r="B103" s="82" t="s">
        <v>35</v>
      </c>
      <c r="C103" s="10" t="s">
        <v>94</v>
      </c>
      <c r="D103" s="83" t="s">
        <v>93</v>
      </c>
      <c r="E103" s="82" t="s">
        <v>877</v>
      </c>
      <c r="F103" s="85" t="s">
        <v>889</v>
      </c>
      <c r="G103" s="86">
        <v>20</v>
      </c>
    </row>
    <row r="104" ht="16.5" spans="1:7">
      <c r="A104" s="81">
        <v>46176</v>
      </c>
      <c r="B104" s="82" t="s">
        <v>35</v>
      </c>
      <c r="C104" s="10" t="s">
        <v>115</v>
      </c>
      <c r="D104" s="83" t="s">
        <v>114</v>
      </c>
      <c r="E104" s="82" t="s">
        <v>877</v>
      </c>
      <c r="F104" s="85" t="s">
        <v>958</v>
      </c>
      <c r="G104" s="86">
        <v>75</v>
      </c>
    </row>
    <row r="105" ht="16.5" spans="1:7">
      <c r="A105" s="81">
        <v>46176</v>
      </c>
      <c r="B105" s="82" t="s">
        <v>35</v>
      </c>
      <c r="C105" s="10" t="s">
        <v>115</v>
      </c>
      <c r="D105" s="83" t="s">
        <v>114</v>
      </c>
      <c r="E105" s="82" t="s">
        <v>877</v>
      </c>
      <c r="F105" s="85" t="s">
        <v>959</v>
      </c>
      <c r="G105" s="86">
        <v>30</v>
      </c>
    </row>
    <row r="106" ht="16.5" spans="1:7">
      <c r="A106" s="81">
        <v>46176</v>
      </c>
      <c r="B106" s="82" t="s">
        <v>35</v>
      </c>
      <c r="C106" s="10" t="s">
        <v>115</v>
      </c>
      <c r="D106" s="83" t="s">
        <v>114</v>
      </c>
      <c r="E106" s="82" t="s">
        <v>877</v>
      </c>
      <c r="F106" s="85" t="s">
        <v>902</v>
      </c>
      <c r="G106" s="86">
        <v>10</v>
      </c>
    </row>
    <row r="107" ht="16.5" spans="1:7">
      <c r="A107" s="81">
        <v>46176</v>
      </c>
      <c r="B107" s="82" t="s">
        <v>35</v>
      </c>
      <c r="C107" s="10" t="s">
        <v>58</v>
      </c>
      <c r="D107" s="83" t="s">
        <v>57</v>
      </c>
      <c r="E107" s="82" t="s">
        <v>877</v>
      </c>
      <c r="F107" s="85" t="s">
        <v>960</v>
      </c>
      <c r="G107" s="86">
        <v>10</v>
      </c>
    </row>
    <row r="108" ht="16.5" spans="1:7">
      <c r="A108" s="81">
        <v>46176</v>
      </c>
      <c r="B108" s="82" t="s">
        <v>35</v>
      </c>
      <c r="C108" s="10" t="s">
        <v>58</v>
      </c>
      <c r="D108" s="83" t="s">
        <v>57</v>
      </c>
      <c r="E108" s="82" t="s">
        <v>877</v>
      </c>
      <c r="F108" s="85" t="s">
        <v>930</v>
      </c>
      <c r="G108" s="86">
        <v>15</v>
      </c>
    </row>
    <row r="109" ht="16.5" spans="1:7">
      <c r="A109" s="81">
        <v>46176</v>
      </c>
      <c r="B109" s="82" t="s">
        <v>35</v>
      </c>
      <c r="C109" s="10" t="s">
        <v>139</v>
      </c>
      <c r="D109" s="83" t="s">
        <v>130</v>
      </c>
      <c r="E109" s="82" t="s">
        <v>877</v>
      </c>
      <c r="F109" s="85" t="s">
        <v>961</v>
      </c>
      <c r="G109" s="86">
        <v>10</v>
      </c>
    </row>
    <row r="110" ht="16.5" spans="1:7">
      <c r="A110" s="81">
        <v>46177</v>
      </c>
      <c r="B110" s="82" t="s">
        <v>35</v>
      </c>
      <c r="C110" s="10" t="s">
        <v>145</v>
      </c>
      <c r="D110" s="83" t="s">
        <v>144</v>
      </c>
      <c r="E110" s="82" t="s">
        <v>877</v>
      </c>
      <c r="F110" s="85" t="s">
        <v>962</v>
      </c>
      <c r="G110" s="86">
        <v>10</v>
      </c>
    </row>
    <row r="111" ht="16.5" spans="1:7">
      <c r="A111" s="81">
        <v>46177</v>
      </c>
      <c r="B111" s="82" t="s">
        <v>35</v>
      </c>
      <c r="C111" s="10" t="s">
        <v>145</v>
      </c>
      <c r="D111" s="83" t="s">
        <v>144</v>
      </c>
      <c r="E111" s="82" t="s">
        <v>877</v>
      </c>
      <c r="F111" s="85" t="s">
        <v>930</v>
      </c>
      <c r="G111" s="86">
        <v>15</v>
      </c>
    </row>
    <row r="112" ht="16.5" spans="1:7">
      <c r="A112" s="81">
        <v>46177</v>
      </c>
      <c r="B112" s="82" t="s">
        <v>35</v>
      </c>
      <c r="C112" s="10" t="s">
        <v>419</v>
      </c>
      <c r="D112" s="83" t="s">
        <v>138</v>
      </c>
      <c r="E112" s="82" t="s">
        <v>877</v>
      </c>
      <c r="F112" s="85" t="s">
        <v>963</v>
      </c>
      <c r="G112" s="86">
        <v>10</v>
      </c>
    </row>
    <row r="113" ht="16.5" spans="1:7">
      <c r="A113" s="81">
        <v>46177</v>
      </c>
      <c r="B113" s="82" t="s">
        <v>35</v>
      </c>
      <c r="C113" s="10" t="s">
        <v>419</v>
      </c>
      <c r="D113" s="83" t="s">
        <v>138</v>
      </c>
      <c r="E113" s="82" t="s">
        <v>877</v>
      </c>
      <c r="F113" s="105" t="s">
        <v>915</v>
      </c>
      <c r="G113" s="86">
        <v>10</v>
      </c>
    </row>
    <row r="114" ht="16.5" spans="1:7">
      <c r="A114" s="81">
        <v>46177</v>
      </c>
      <c r="B114" s="82" t="s">
        <v>35</v>
      </c>
      <c r="C114" s="85" t="s">
        <v>128</v>
      </c>
      <c r="D114" s="83" t="s">
        <v>127</v>
      </c>
      <c r="E114" s="82" t="s">
        <v>877</v>
      </c>
      <c r="F114" s="105" t="s">
        <v>964</v>
      </c>
      <c r="G114" s="86">
        <v>20</v>
      </c>
    </row>
    <row r="115" ht="16.5" spans="1:7">
      <c r="A115" s="87">
        <v>46177</v>
      </c>
      <c r="B115" s="82" t="s">
        <v>35</v>
      </c>
      <c r="C115" s="85" t="s">
        <v>128</v>
      </c>
      <c r="D115" s="83" t="s">
        <v>127</v>
      </c>
      <c r="E115" s="82" t="s">
        <v>877</v>
      </c>
      <c r="F115" s="10" t="s">
        <v>889</v>
      </c>
      <c r="G115" s="86">
        <v>20</v>
      </c>
    </row>
    <row r="116" ht="16.5" spans="1:7">
      <c r="A116" s="87">
        <v>46177</v>
      </c>
      <c r="B116" s="82" t="s">
        <v>250</v>
      </c>
      <c r="C116" s="85" t="s">
        <v>47</v>
      </c>
      <c r="D116" s="83" t="s">
        <v>141</v>
      </c>
      <c r="E116" s="82" t="s">
        <v>877</v>
      </c>
      <c r="F116" s="10" t="s">
        <v>965</v>
      </c>
      <c r="G116" s="86">
        <v>100</v>
      </c>
    </row>
    <row r="117" ht="16.5" spans="1:7">
      <c r="A117" s="87">
        <v>46177</v>
      </c>
      <c r="B117" s="82" t="s">
        <v>250</v>
      </c>
      <c r="C117" s="85" t="s">
        <v>47</v>
      </c>
      <c r="D117" s="83" t="s">
        <v>141</v>
      </c>
      <c r="E117" s="82" t="s">
        <v>877</v>
      </c>
      <c r="F117" s="609" t="s">
        <v>966</v>
      </c>
      <c r="G117" s="86">
        <v>353</v>
      </c>
    </row>
    <row r="118" ht="16.5" spans="1:7">
      <c r="A118" s="87">
        <v>46177</v>
      </c>
      <c r="B118" s="82" t="s">
        <v>250</v>
      </c>
      <c r="C118" s="85" t="s">
        <v>894</v>
      </c>
      <c r="D118" s="83" t="s">
        <v>108</v>
      </c>
      <c r="E118" s="82" t="s">
        <v>877</v>
      </c>
      <c r="F118" s="10" t="s">
        <v>967</v>
      </c>
      <c r="G118" s="86">
        <v>107</v>
      </c>
    </row>
    <row r="119" ht="16.5" spans="1:7">
      <c r="A119" s="87">
        <v>46177</v>
      </c>
      <c r="B119" s="82" t="s">
        <v>253</v>
      </c>
      <c r="C119" s="85" t="s">
        <v>106</v>
      </c>
      <c r="D119" s="83" t="s">
        <v>108</v>
      </c>
      <c r="E119" s="82" t="s">
        <v>877</v>
      </c>
      <c r="F119" s="10" t="s">
        <v>968</v>
      </c>
      <c r="G119" s="86">
        <v>20</v>
      </c>
    </row>
    <row r="120" ht="16.5" spans="1:7">
      <c r="A120" s="87">
        <v>46176</v>
      </c>
      <c r="B120" s="82" t="s">
        <v>35</v>
      </c>
      <c r="C120" s="85" t="s">
        <v>106</v>
      </c>
      <c r="D120" s="83" t="s">
        <v>105</v>
      </c>
      <c r="E120" s="82" t="s">
        <v>877</v>
      </c>
      <c r="F120" s="10" t="s">
        <v>969</v>
      </c>
      <c r="G120" s="86">
        <v>45</v>
      </c>
    </row>
    <row r="121" ht="16.5" spans="1:7">
      <c r="A121" s="87">
        <v>46176</v>
      </c>
      <c r="B121" s="82" t="s">
        <v>35</v>
      </c>
      <c r="C121" s="85" t="s">
        <v>106</v>
      </c>
      <c r="D121" s="83" t="s">
        <v>105</v>
      </c>
      <c r="E121" s="82" t="s">
        <v>877</v>
      </c>
      <c r="F121" s="10" t="s">
        <v>970</v>
      </c>
      <c r="G121" s="86">
        <v>15</v>
      </c>
    </row>
    <row r="122" ht="16.5" spans="1:7">
      <c r="A122" s="87">
        <v>46177</v>
      </c>
      <c r="B122" s="82" t="s">
        <v>35</v>
      </c>
      <c r="C122" s="85" t="s">
        <v>106</v>
      </c>
      <c r="D122" s="83" t="s">
        <v>105</v>
      </c>
      <c r="E122" s="82" t="s">
        <v>877</v>
      </c>
      <c r="F122" s="10" t="s">
        <v>904</v>
      </c>
      <c r="G122" s="86">
        <v>10</v>
      </c>
    </row>
    <row r="123" ht="16.5" spans="1:7">
      <c r="A123" s="87">
        <v>46177</v>
      </c>
      <c r="B123" s="82" t="s">
        <v>253</v>
      </c>
      <c r="C123" s="10" t="s">
        <v>267</v>
      </c>
      <c r="D123" s="83" t="s">
        <v>90</v>
      </c>
      <c r="E123" s="82" t="s">
        <v>877</v>
      </c>
      <c r="F123" s="83" t="s">
        <v>971</v>
      </c>
      <c r="G123" s="86">
        <v>500</v>
      </c>
    </row>
    <row r="124" ht="16.5" spans="1:7">
      <c r="A124" s="81">
        <v>46177</v>
      </c>
      <c r="B124" s="82" t="s">
        <v>35</v>
      </c>
      <c r="C124" s="10" t="s">
        <v>67</v>
      </c>
      <c r="D124" s="83" t="s">
        <v>66</v>
      </c>
      <c r="E124" s="82" t="s">
        <v>877</v>
      </c>
      <c r="F124" s="85" t="s">
        <v>972</v>
      </c>
      <c r="G124" s="86">
        <v>10</v>
      </c>
    </row>
    <row r="125" ht="16.5" spans="1:7">
      <c r="A125" s="81">
        <v>46178</v>
      </c>
      <c r="B125" s="82" t="s">
        <v>35</v>
      </c>
      <c r="C125" s="10" t="s">
        <v>67</v>
      </c>
      <c r="D125" s="83" t="s">
        <v>66</v>
      </c>
      <c r="E125" s="82" t="s">
        <v>877</v>
      </c>
      <c r="F125" s="85" t="s">
        <v>938</v>
      </c>
      <c r="G125" s="86">
        <v>10</v>
      </c>
    </row>
    <row r="126" ht="16.5" spans="1:7">
      <c r="A126" s="81">
        <v>46177</v>
      </c>
      <c r="B126" s="82" t="s">
        <v>35</v>
      </c>
      <c r="C126" s="10" t="s">
        <v>55</v>
      </c>
      <c r="D126" s="83" t="s">
        <v>54</v>
      </c>
      <c r="E126" s="82" t="s">
        <v>877</v>
      </c>
      <c r="F126" s="85" t="s">
        <v>902</v>
      </c>
      <c r="G126" s="86">
        <v>10</v>
      </c>
    </row>
    <row r="127" ht="16.5" spans="1:7">
      <c r="A127" s="81">
        <v>46178</v>
      </c>
      <c r="B127" s="82" t="s">
        <v>35</v>
      </c>
      <c r="C127" s="10" t="s">
        <v>55</v>
      </c>
      <c r="D127" s="83" t="s">
        <v>54</v>
      </c>
      <c r="E127" s="82" t="s">
        <v>877</v>
      </c>
      <c r="F127" s="85" t="s">
        <v>973</v>
      </c>
      <c r="G127" s="86">
        <v>10</v>
      </c>
    </row>
    <row r="128" ht="16.5" spans="1:7">
      <c r="A128" s="81">
        <v>46177</v>
      </c>
      <c r="B128" s="82" t="s">
        <v>35</v>
      </c>
      <c r="C128" s="10" t="s">
        <v>55</v>
      </c>
      <c r="D128" s="83" t="s">
        <v>54</v>
      </c>
      <c r="E128" s="82" t="s">
        <v>877</v>
      </c>
      <c r="F128" s="85" t="s">
        <v>893</v>
      </c>
      <c r="G128" s="86">
        <v>15</v>
      </c>
    </row>
    <row r="129" ht="16.5" spans="1:7">
      <c r="A129" s="81">
        <v>46175</v>
      </c>
      <c r="B129" s="82" t="s">
        <v>250</v>
      </c>
      <c r="C129" s="10" t="s">
        <v>146</v>
      </c>
      <c r="D129" s="83" t="s">
        <v>72</v>
      </c>
      <c r="E129" s="82" t="s">
        <v>877</v>
      </c>
      <c r="F129" s="85" t="s">
        <v>974</v>
      </c>
      <c r="G129" s="86">
        <v>652</v>
      </c>
    </row>
    <row r="130" ht="16.5" spans="1:7">
      <c r="A130" s="81">
        <v>46177</v>
      </c>
      <c r="B130" s="82" t="s">
        <v>250</v>
      </c>
      <c r="C130" s="10" t="s">
        <v>146</v>
      </c>
      <c r="D130" s="83" t="s">
        <v>72</v>
      </c>
      <c r="E130" s="82" t="s">
        <v>877</v>
      </c>
      <c r="F130" s="106" t="s">
        <v>975</v>
      </c>
      <c r="G130" s="86">
        <v>405</v>
      </c>
    </row>
    <row r="131" ht="16.5" spans="1:7">
      <c r="A131" s="81">
        <v>46177</v>
      </c>
      <c r="B131" s="82" t="s">
        <v>250</v>
      </c>
      <c r="C131" s="10" t="s">
        <v>146</v>
      </c>
      <c r="D131" s="83" t="s">
        <v>54</v>
      </c>
      <c r="E131" s="82" t="s">
        <v>877</v>
      </c>
      <c r="F131" s="85" t="s">
        <v>976</v>
      </c>
      <c r="G131" s="86">
        <v>58</v>
      </c>
    </row>
    <row r="132" ht="16.5" spans="1:7">
      <c r="A132" s="81">
        <v>46178</v>
      </c>
      <c r="B132" s="82" t="s">
        <v>35</v>
      </c>
      <c r="C132" s="10" t="s">
        <v>97</v>
      </c>
      <c r="D132" s="83" t="s">
        <v>96</v>
      </c>
      <c r="E132" s="82" t="s">
        <v>877</v>
      </c>
      <c r="F132" s="85" t="s">
        <v>907</v>
      </c>
      <c r="G132" s="86">
        <v>15</v>
      </c>
    </row>
    <row r="133" ht="16.5" spans="1:7">
      <c r="A133" s="81">
        <v>46177</v>
      </c>
      <c r="B133" s="82" t="s">
        <v>35</v>
      </c>
      <c r="C133" s="10" t="s">
        <v>97</v>
      </c>
      <c r="D133" s="83" t="s">
        <v>96</v>
      </c>
      <c r="E133" s="82" t="s">
        <v>877</v>
      </c>
      <c r="F133" s="85" t="s">
        <v>938</v>
      </c>
      <c r="G133" s="86">
        <v>10</v>
      </c>
    </row>
    <row r="134" ht="16.5" spans="1:7">
      <c r="A134" s="81">
        <v>46177</v>
      </c>
      <c r="B134" s="82" t="s">
        <v>35</v>
      </c>
      <c r="C134" s="10" t="s">
        <v>97</v>
      </c>
      <c r="D134" s="83" t="s">
        <v>96</v>
      </c>
      <c r="E134" s="82" t="s">
        <v>877</v>
      </c>
      <c r="F134" s="85" t="s">
        <v>977</v>
      </c>
      <c r="G134" s="86">
        <v>12</v>
      </c>
    </row>
    <row r="135" ht="16.5" spans="1:7">
      <c r="A135" s="81">
        <v>46177</v>
      </c>
      <c r="B135" s="82" t="s">
        <v>35</v>
      </c>
      <c r="C135" s="10" t="s">
        <v>136</v>
      </c>
      <c r="D135" s="83" t="s">
        <v>135</v>
      </c>
      <c r="E135" s="82" t="s">
        <v>877</v>
      </c>
      <c r="F135" s="85" t="s">
        <v>978</v>
      </c>
      <c r="G135" s="86">
        <v>20</v>
      </c>
    </row>
    <row r="136" ht="16.5" spans="1:7">
      <c r="A136" s="81">
        <v>46174</v>
      </c>
      <c r="B136" s="82" t="s">
        <v>35</v>
      </c>
      <c r="C136" s="10" t="s">
        <v>136</v>
      </c>
      <c r="D136" s="83" t="s">
        <v>135</v>
      </c>
      <c r="E136" s="82" t="s">
        <v>877</v>
      </c>
      <c r="F136" s="104" t="s">
        <v>979</v>
      </c>
      <c r="G136" s="86">
        <v>25</v>
      </c>
    </row>
    <row r="137" ht="16.5" spans="1:7">
      <c r="A137" s="81">
        <v>46178</v>
      </c>
      <c r="B137" s="82" t="s">
        <v>35</v>
      </c>
      <c r="C137" s="10" t="s">
        <v>136</v>
      </c>
      <c r="D137" s="83" t="s">
        <v>135</v>
      </c>
      <c r="E137" s="82" t="s">
        <v>877</v>
      </c>
      <c r="F137" s="399" t="s">
        <v>889</v>
      </c>
      <c r="G137" s="86">
        <v>20</v>
      </c>
    </row>
    <row r="138" ht="16.5" spans="1:7">
      <c r="A138" s="81">
        <v>46177</v>
      </c>
      <c r="B138" s="82" t="s">
        <v>35</v>
      </c>
      <c r="C138" s="10" t="s">
        <v>88</v>
      </c>
      <c r="D138" s="83" t="s">
        <v>87</v>
      </c>
      <c r="E138" s="82" t="s">
        <v>877</v>
      </c>
      <c r="F138" s="106" t="s">
        <v>882</v>
      </c>
      <c r="G138" s="86">
        <v>5</v>
      </c>
    </row>
    <row r="139" ht="16.5" spans="1:7">
      <c r="A139" s="81">
        <v>46178</v>
      </c>
      <c r="B139" s="82" t="s">
        <v>35</v>
      </c>
      <c r="C139" s="10" t="s">
        <v>88</v>
      </c>
      <c r="D139" s="83" t="s">
        <v>87</v>
      </c>
      <c r="E139" s="82" t="s">
        <v>877</v>
      </c>
      <c r="F139" s="105" t="s">
        <v>973</v>
      </c>
      <c r="G139" s="86">
        <v>10</v>
      </c>
    </row>
    <row r="140" ht="16.5" spans="1:7">
      <c r="A140" s="81">
        <v>46176</v>
      </c>
      <c r="B140" s="82" t="s">
        <v>35</v>
      </c>
      <c r="C140" s="10" t="s">
        <v>79</v>
      </c>
      <c r="D140" s="83" t="s">
        <v>78</v>
      </c>
      <c r="E140" s="82" t="s">
        <v>877</v>
      </c>
      <c r="F140" s="105" t="s">
        <v>980</v>
      </c>
      <c r="G140" s="86">
        <v>20</v>
      </c>
    </row>
    <row r="141" ht="16.5" spans="1:7">
      <c r="A141" s="81">
        <v>46177</v>
      </c>
      <c r="B141" s="82" t="s">
        <v>35</v>
      </c>
      <c r="C141" s="10" t="s">
        <v>79</v>
      </c>
      <c r="D141" s="83" t="s">
        <v>78</v>
      </c>
      <c r="E141" s="82" t="s">
        <v>877</v>
      </c>
      <c r="F141" s="10" t="s">
        <v>882</v>
      </c>
      <c r="G141" s="86">
        <v>5</v>
      </c>
    </row>
    <row r="142" ht="16.5" spans="1:7">
      <c r="A142" s="81">
        <v>46178</v>
      </c>
      <c r="B142" s="82" t="s">
        <v>35</v>
      </c>
      <c r="C142" s="10" t="s">
        <v>79</v>
      </c>
      <c r="D142" s="83" t="s">
        <v>78</v>
      </c>
      <c r="E142" s="82" t="s">
        <v>877</v>
      </c>
      <c r="F142" s="85" t="s">
        <v>881</v>
      </c>
      <c r="G142" s="86">
        <v>10</v>
      </c>
    </row>
    <row r="143" ht="16.5" spans="1:7">
      <c r="A143" s="81">
        <v>46178</v>
      </c>
      <c r="B143" s="82" t="s">
        <v>35</v>
      </c>
      <c r="C143" s="10" t="s">
        <v>125</v>
      </c>
      <c r="D143" s="83" t="s">
        <v>124</v>
      </c>
      <c r="E143" s="82" t="s">
        <v>877</v>
      </c>
      <c r="F143" s="85" t="s">
        <v>911</v>
      </c>
      <c r="G143" s="86">
        <v>10</v>
      </c>
    </row>
    <row r="144" ht="16.5" spans="1:7">
      <c r="A144" s="81">
        <v>46177</v>
      </c>
      <c r="B144" s="82" t="s">
        <v>35</v>
      </c>
      <c r="C144" s="10" t="s">
        <v>122</v>
      </c>
      <c r="D144" s="83" t="s">
        <v>121</v>
      </c>
      <c r="E144" s="82" t="s">
        <v>877</v>
      </c>
      <c r="F144" s="85" t="s">
        <v>981</v>
      </c>
      <c r="G144" s="86">
        <v>30</v>
      </c>
    </row>
    <row r="145" ht="16.5" spans="1:7">
      <c r="A145" s="81">
        <v>46178</v>
      </c>
      <c r="B145" s="82" t="s">
        <v>35</v>
      </c>
      <c r="C145" s="10" t="s">
        <v>122</v>
      </c>
      <c r="D145" s="83" t="s">
        <v>121</v>
      </c>
      <c r="E145" s="82" t="s">
        <v>877</v>
      </c>
      <c r="F145" s="85" t="s">
        <v>982</v>
      </c>
      <c r="G145" s="86">
        <v>312</v>
      </c>
    </row>
    <row r="146" ht="16.5" spans="1:7">
      <c r="A146" s="81">
        <v>46177</v>
      </c>
      <c r="B146" s="82" t="s">
        <v>35</v>
      </c>
      <c r="C146" s="10" t="s">
        <v>122</v>
      </c>
      <c r="D146" s="83" t="s">
        <v>121</v>
      </c>
      <c r="E146" s="82" t="s">
        <v>877</v>
      </c>
      <c r="F146" s="85" t="s">
        <v>983</v>
      </c>
      <c r="G146" s="86">
        <v>30</v>
      </c>
    </row>
    <row r="147" ht="16.5" spans="1:7">
      <c r="A147" s="81">
        <v>46175</v>
      </c>
      <c r="B147" s="82" t="s">
        <v>35</v>
      </c>
      <c r="C147" s="10" t="s">
        <v>133</v>
      </c>
      <c r="D147" s="83" t="s">
        <v>132</v>
      </c>
      <c r="E147" s="82" t="s">
        <v>877</v>
      </c>
      <c r="F147" s="85" t="s">
        <v>893</v>
      </c>
      <c r="G147" s="86">
        <v>15</v>
      </c>
    </row>
    <row r="148" ht="16.5" spans="1:7">
      <c r="A148" s="81">
        <v>46177</v>
      </c>
      <c r="B148" s="82" t="s">
        <v>35</v>
      </c>
      <c r="C148" s="10" t="s">
        <v>133</v>
      </c>
      <c r="D148" s="83" t="s">
        <v>132</v>
      </c>
      <c r="E148" s="82" t="s">
        <v>877</v>
      </c>
      <c r="F148" s="85" t="s">
        <v>973</v>
      </c>
      <c r="G148" s="86">
        <v>10</v>
      </c>
    </row>
    <row r="149" ht="16.5" spans="1:7">
      <c r="A149" s="81">
        <v>46178</v>
      </c>
      <c r="B149" s="82" t="s">
        <v>35</v>
      </c>
      <c r="C149" s="10" t="s">
        <v>133</v>
      </c>
      <c r="D149" s="83" t="s">
        <v>132</v>
      </c>
      <c r="E149" s="82" t="s">
        <v>877</v>
      </c>
      <c r="F149" s="85" t="s">
        <v>889</v>
      </c>
      <c r="G149" s="86">
        <v>20</v>
      </c>
    </row>
    <row r="150" ht="16.5" spans="1:7">
      <c r="A150" s="81">
        <v>46178</v>
      </c>
      <c r="B150" s="82" t="s">
        <v>35</v>
      </c>
      <c r="C150" s="10" t="s">
        <v>142</v>
      </c>
      <c r="D150" s="83" t="s">
        <v>141</v>
      </c>
      <c r="E150" s="82" t="s">
        <v>877</v>
      </c>
      <c r="F150" s="85" t="s">
        <v>984</v>
      </c>
      <c r="G150" s="86">
        <v>10</v>
      </c>
    </row>
    <row r="151" ht="16.5" spans="1:7">
      <c r="A151" s="81">
        <v>46177</v>
      </c>
      <c r="B151" s="82" t="s">
        <v>35</v>
      </c>
      <c r="C151" s="10" t="s">
        <v>142</v>
      </c>
      <c r="D151" s="83" t="s">
        <v>141</v>
      </c>
      <c r="E151" s="82" t="s">
        <v>877</v>
      </c>
      <c r="F151" s="85" t="s">
        <v>985</v>
      </c>
      <c r="G151" s="86">
        <v>5</v>
      </c>
    </row>
    <row r="152" ht="16.5" spans="1:7">
      <c r="A152" s="81">
        <v>46178</v>
      </c>
      <c r="B152" s="82" t="s">
        <v>35</v>
      </c>
      <c r="C152" s="10" t="s">
        <v>109</v>
      </c>
      <c r="D152" s="83" t="s">
        <v>108</v>
      </c>
      <c r="E152" s="82" t="s">
        <v>877</v>
      </c>
      <c r="F152" s="85" t="s">
        <v>986</v>
      </c>
      <c r="G152" s="86">
        <v>30</v>
      </c>
    </row>
    <row r="153" ht="16.5" spans="1:7">
      <c r="A153" s="81">
        <v>46178</v>
      </c>
      <c r="B153" s="82" t="s">
        <v>35</v>
      </c>
      <c r="C153" s="10" t="s">
        <v>109</v>
      </c>
      <c r="D153" s="83" t="s">
        <v>108</v>
      </c>
      <c r="E153" s="82" t="s">
        <v>877</v>
      </c>
      <c r="F153" s="85" t="s">
        <v>889</v>
      </c>
      <c r="G153" s="86">
        <v>20</v>
      </c>
    </row>
    <row r="154" ht="16.5" spans="1:7">
      <c r="A154" s="81">
        <v>46177</v>
      </c>
      <c r="B154" s="82" t="s">
        <v>35</v>
      </c>
      <c r="C154" s="10" t="s">
        <v>91</v>
      </c>
      <c r="D154" s="83" t="s">
        <v>90</v>
      </c>
      <c r="E154" s="82" t="s">
        <v>877</v>
      </c>
      <c r="F154" s="85" t="s">
        <v>940</v>
      </c>
      <c r="G154" s="86">
        <v>15</v>
      </c>
    </row>
    <row r="155" ht="16.5" spans="1:7">
      <c r="A155" s="81">
        <v>46178</v>
      </c>
      <c r="B155" s="82" t="s">
        <v>35</v>
      </c>
      <c r="C155" s="10" t="s">
        <v>91</v>
      </c>
      <c r="D155" s="83" t="s">
        <v>90</v>
      </c>
      <c r="E155" s="82" t="s">
        <v>877</v>
      </c>
      <c r="F155" s="85" t="s">
        <v>987</v>
      </c>
      <c r="G155" s="86">
        <v>10</v>
      </c>
    </row>
    <row r="156" ht="16.5" spans="1:7">
      <c r="A156" s="81">
        <v>46178</v>
      </c>
      <c r="B156" s="82" t="s">
        <v>35</v>
      </c>
      <c r="C156" s="10" t="s">
        <v>91</v>
      </c>
      <c r="D156" s="83" t="s">
        <v>90</v>
      </c>
      <c r="E156" s="82" t="s">
        <v>877</v>
      </c>
      <c r="F156" s="85" t="s">
        <v>930</v>
      </c>
      <c r="G156" s="86">
        <v>15</v>
      </c>
    </row>
    <row r="157" ht="16.5" spans="1:7">
      <c r="A157" s="81">
        <v>46178</v>
      </c>
      <c r="B157" s="82" t="s">
        <v>253</v>
      </c>
      <c r="C157" s="10" t="s">
        <v>122</v>
      </c>
      <c r="D157" s="83" t="s">
        <v>66</v>
      </c>
      <c r="E157" s="82" t="s">
        <v>877</v>
      </c>
      <c r="F157" s="85" t="s">
        <v>988</v>
      </c>
      <c r="G157" s="86">
        <v>150</v>
      </c>
    </row>
    <row r="158" ht="16.5" spans="1:7">
      <c r="A158" s="81">
        <v>46178</v>
      </c>
      <c r="B158" s="82" t="s">
        <v>35</v>
      </c>
      <c r="C158" s="85" t="s">
        <v>106</v>
      </c>
      <c r="D158" s="83" t="s">
        <v>105</v>
      </c>
      <c r="E158" s="82" t="s">
        <v>877</v>
      </c>
      <c r="F158" s="105" t="s">
        <v>970</v>
      </c>
      <c r="G158" s="86">
        <v>15</v>
      </c>
    </row>
    <row r="159" ht="16.5" spans="1:7">
      <c r="A159" s="87">
        <v>46178</v>
      </c>
      <c r="B159" s="82" t="s">
        <v>35</v>
      </c>
      <c r="C159" s="85" t="s">
        <v>106</v>
      </c>
      <c r="D159" s="83" t="s">
        <v>105</v>
      </c>
      <c r="E159" s="82" t="s">
        <v>877</v>
      </c>
      <c r="F159" s="10" t="s">
        <v>926</v>
      </c>
      <c r="G159" s="86">
        <v>5</v>
      </c>
    </row>
    <row r="160" ht="16.5" spans="1:7">
      <c r="A160" s="87">
        <v>46178</v>
      </c>
      <c r="B160" s="82" t="s">
        <v>35</v>
      </c>
      <c r="C160" s="85" t="s">
        <v>82</v>
      </c>
      <c r="D160" s="83" t="s">
        <v>81</v>
      </c>
      <c r="E160" s="82" t="s">
        <v>877</v>
      </c>
      <c r="F160" s="10" t="s">
        <v>989</v>
      </c>
      <c r="G160" s="86">
        <v>15</v>
      </c>
    </row>
    <row r="161" ht="16.5" spans="1:7">
      <c r="A161" s="87">
        <v>46178</v>
      </c>
      <c r="B161" s="82" t="s">
        <v>35</v>
      </c>
      <c r="C161" s="85" t="s">
        <v>82</v>
      </c>
      <c r="D161" s="83" t="s">
        <v>81</v>
      </c>
      <c r="E161" s="82" t="s">
        <v>877</v>
      </c>
      <c r="F161" s="10" t="s">
        <v>990</v>
      </c>
      <c r="G161" s="86">
        <v>12</v>
      </c>
    </row>
    <row r="162" ht="16.5" spans="1:7">
      <c r="A162" s="81">
        <v>46180</v>
      </c>
      <c r="B162" s="82" t="s">
        <v>250</v>
      </c>
      <c r="C162" s="82" t="s">
        <v>943</v>
      </c>
      <c r="D162" s="83" t="s">
        <v>93</v>
      </c>
      <c r="E162" s="82" t="s">
        <v>877</v>
      </c>
      <c r="F162" s="83" t="s">
        <v>991</v>
      </c>
      <c r="G162" s="84">
        <v>309.31</v>
      </c>
    </row>
    <row r="163" ht="33" spans="1:7">
      <c r="A163" s="81">
        <v>46176</v>
      </c>
      <c r="B163" s="82" t="s">
        <v>250</v>
      </c>
      <c r="C163" s="82" t="s">
        <v>992</v>
      </c>
      <c r="D163" s="83" t="s">
        <v>93</v>
      </c>
      <c r="E163" s="82" t="s">
        <v>877</v>
      </c>
      <c r="F163" s="83" t="s">
        <v>993</v>
      </c>
      <c r="G163" s="84">
        <v>343</v>
      </c>
    </row>
    <row r="164" ht="66" spans="1:7">
      <c r="A164" s="81">
        <v>46176</v>
      </c>
      <c r="B164" s="82" t="s">
        <v>250</v>
      </c>
      <c r="C164" s="82" t="s">
        <v>992</v>
      </c>
      <c r="D164" s="83" t="s">
        <v>108</v>
      </c>
      <c r="E164" s="82"/>
      <c r="F164" s="83" t="s">
        <v>994</v>
      </c>
      <c r="G164" s="84">
        <v>335.5</v>
      </c>
    </row>
    <row r="165" ht="16.5" spans="1:7">
      <c r="A165" s="81">
        <v>46176</v>
      </c>
      <c r="B165" s="82" t="s">
        <v>250</v>
      </c>
      <c r="C165" s="82" t="s">
        <v>992</v>
      </c>
      <c r="D165" s="83" t="s">
        <v>108</v>
      </c>
      <c r="E165" s="82"/>
      <c r="F165" s="83" t="s">
        <v>995</v>
      </c>
      <c r="G165" s="84">
        <v>376</v>
      </c>
    </row>
    <row r="166" ht="16.5" spans="1:7">
      <c r="A166" s="81">
        <v>46176</v>
      </c>
      <c r="B166" s="82" t="s">
        <v>250</v>
      </c>
      <c r="C166" s="82" t="s">
        <v>992</v>
      </c>
      <c r="D166" s="83" t="s">
        <v>339</v>
      </c>
      <c r="E166" s="82"/>
      <c r="F166" s="83" t="s">
        <v>996</v>
      </c>
      <c r="G166" s="84">
        <v>75</v>
      </c>
    </row>
    <row r="167" ht="16.5" spans="1:7">
      <c r="A167" s="81">
        <v>46176</v>
      </c>
      <c r="B167" s="82" t="s">
        <v>250</v>
      </c>
      <c r="C167" s="82" t="s">
        <v>992</v>
      </c>
      <c r="D167" s="83" t="s">
        <v>166</v>
      </c>
      <c r="E167" s="82"/>
      <c r="F167" s="83" t="s">
        <v>997</v>
      </c>
      <c r="G167" s="84">
        <v>515</v>
      </c>
    </row>
    <row r="168" ht="16.5" spans="1:7">
      <c r="A168" s="81">
        <v>46178</v>
      </c>
      <c r="B168" s="82" t="s">
        <v>35</v>
      </c>
      <c r="C168" s="10" t="s">
        <v>73</v>
      </c>
      <c r="D168" s="83" t="s">
        <v>72</v>
      </c>
      <c r="E168" s="82" t="s">
        <v>877</v>
      </c>
      <c r="F168" s="85" t="s">
        <v>933</v>
      </c>
      <c r="G168" s="86">
        <v>30</v>
      </c>
    </row>
    <row r="169" ht="16.5" spans="1:7">
      <c r="A169" s="81">
        <v>46178</v>
      </c>
      <c r="B169" s="82" t="s">
        <v>35</v>
      </c>
      <c r="C169" s="10" t="s">
        <v>73</v>
      </c>
      <c r="D169" s="83" t="s">
        <v>72</v>
      </c>
      <c r="E169" s="82" t="s">
        <v>877</v>
      </c>
      <c r="F169" s="85" t="s">
        <v>998</v>
      </c>
      <c r="G169" s="86">
        <v>10</v>
      </c>
    </row>
    <row r="170" ht="16.5" spans="1:7">
      <c r="A170" s="81">
        <v>46178</v>
      </c>
      <c r="B170" s="82" t="s">
        <v>35</v>
      </c>
      <c r="C170" s="10" t="s">
        <v>73</v>
      </c>
      <c r="D170" s="83" t="s">
        <v>72</v>
      </c>
      <c r="E170" s="82" t="s">
        <v>877</v>
      </c>
      <c r="F170" s="85" t="s">
        <v>999</v>
      </c>
      <c r="G170" s="86">
        <v>10</v>
      </c>
    </row>
    <row r="171" ht="16.5" spans="1:7">
      <c r="A171" s="81">
        <v>46178</v>
      </c>
      <c r="B171" s="82" t="s">
        <v>253</v>
      </c>
      <c r="C171" s="10" t="s">
        <v>55</v>
      </c>
      <c r="D171" s="83" t="s">
        <v>127</v>
      </c>
      <c r="E171" s="82" t="s">
        <v>877</v>
      </c>
      <c r="F171" s="85" t="s">
        <v>1000</v>
      </c>
      <c r="G171" s="86">
        <v>200</v>
      </c>
    </row>
    <row r="172" ht="16.5" spans="1:7">
      <c r="A172" s="81">
        <v>46178</v>
      </c>
      <c r="B172" s="82" t="s">
        <v>249</v>
      </c>
      <c r="C172" s="10" t="s">
        <v>55</v>
      </c>
      <c r="D172" s="83" t="s">
        <v>127</v>
      </c>
      <c r="E172" s="82" t="s">
        <v>877</v>
      </c>
      <c r="F172" s="85" t="s">
        <v>1001</v>
      </c>
      <c r="G172" s="86">
        <v>200</v>
      </c>
    </row>
    <row r="173" ht="16.5" spans="1:7">
      <c r="A173" s="81">
        <v>46178</v>
      </c>
      <c r="B173" s="82" t="s">
        <v>35</v>
      </c>
      <c r="C173" s="10" t="s">
        <v>55</v>
      </c>
      <c r="D173" s="83" t="s">
        <v>54</v>
      </c>
      <c r="E173" s="82" t="s">
        <v>877</v>
      </c>
      <c r="F173" s="106" t="s">
        <v>949</v>
      </c>
      <c r="G173" s="86">
        <v>15</v>
      </c>
    </row>
    <row r="174" ht="16.5" spans="1:7">
      <c r="A174" s="81">
        <v>46177</v>
      </c>
      <c r="B174" s="82" t="s">
        <v>35</v>
      </c>
      <c r="C174" s="10" t="s">
        <v>70</v>
      </c>
      <c r="D174" s="83" t="s">
        <v>69</v>
      </c>
      <c r="E174" s="82" t="s">
        <v>877</v>
      </c>
      <c r="F174" s="85" t="s">
        <v>922</v>
      </c>
      <c r="G174" s="86">
        <v>10</v>
      </c>
    </row>
    <row r="175" ht="16.5" spans="1:7">
      <c r="A175" s="81">
        <v>46179</v>
      </c>
      <c r="B175" s="82" t="s">
        <v>35</v>
      </c>
      <c r="C175" s="10" t="s">
        <v>58</v>
      </c>
      <c r="D175" s="83" t="s">
        <v>57</v>
      </c>
      <c r="E175" s="82" t="s">
        <v>877</v>
      </c>
      <c r="F175" s="85" t="s">
        <v>1002</v>
      </c>
      <c r="G175" s="86">
        <v>45</v>
      </c>
    </row>
    <row r="176" ht="16.5" spans="1:7">
      <c r="A176" s="81">
        <v>46179</v>
      </c>
      <c r="B176" s="82" t="s">
        <v>35</v>
      </c>
      <c r="C176" s="10" t="s">
        <v>58</v>
      </c>
      <c r="D176" s="83" t="s">
        <v>57</v>
      </c>
      <c r="E176" s="82" t="s">
        <v>877</v>
      </c>
      <c r="F176" s="85" t="s">
        <v>1003</v>
      </c>
      <c r="G176" s="86">
        <v>15</v>
      </c>
    </row>
    <row r="177" ht="16.5" spans="1:7">
      <c r="A177" s="81">
        <v>46178</v>
      </c>
      <c r="B177" s="82" t="s">
        <v>35</v>
      </c>
      <c r="C177" s="10" t="s">
        <v>58</v>
      </c>
      <c r="D177" s="83" t="s">
        <v>57</v>
      </c>
      <c r="E177" s="82" t="s">
        <v>877</v>
      </c>
      <c r="F177" s="85" t="s">
        <v>911</v>
      </c>
      <c r="G177" s="86">
        <v>10</v>
      </c>
    </row>
    <row r="178" ht="16.5" spans="1:7">
      <c r="A178" s="81">
        <v>46178</v>
      </c>
      <c r="B178" s="82" t="s">
        <v>35</v>
      </c>
      <c r="C178" s="10" t="s">
        <v>52</v>
      </c>
      <c r="D178" s="83" t="s">
        <v>51</v>
      </c>
      <c r="E178" s="82" t="s">
        <v>877</v>
      </c>
      <c r="F178" s="104" t="s">
        <v>1004</v>
      </c>
      <c r="G178" s="86">
        <v>10</v>
      </c>
    </row>
    <row r="179" ht="16.5" spans="1:7">
      <c r="A179" s="81">
        <v>46178</v>
      </c>
      <c r="B179" s="82" t="s">
        <v>35</v>
      </c>
      <c r="C179" s="10" t="s">
        <v>52</v>
      </c>
      <c r="D179" s="83" t="s">
        <v>51</v>
      </c>
      <c r="E179" s="82" t="s">
        <v>877</v>
      </c>
      <c r="F179" s="399" t="s">
        <v>1005</v>
      </c>
      <c r="G179" s="86">
        <v>20</v>
      </c>
    </row>
    <row r="180" ht="16.5" spans="1:7">
      <c r="A180" s="81">
        <v>46178</v>
      </c>
      <c r="B180" s="82" t="s">
        <v>35</v>
      </c>
      <c r="C180" s="10" t="s">
        <v>152</v>
      </c>
      <c r="D180" s="83" t="s">
        <v>151</v>
      </c>
      <c r="E180" s="82" t="s">
        <v>877</v>
      </c>
      <c r="F180" s="104" t="s">
        <v>1006</v>
      </c>
      <c r="G180" s="86">
        <v>8</v>
      </c>
    </row>
    <row r="181" ht="16.5" spans="1:7">
      <c r="A181" s="81">
        <v>46179</v>
      </c>
      <c r="B181" s="82" t="s">
        <v>35</v>
      </c>
      <c r="C181" s="10" t="s">
        <v>112</v>
      </c>
      <c r="D181" s="83" t="s">
        <v>111</v>
      </c>
      <c r="E181" s="82" t="s">
        <v>877</v>
      </c>
      <c r="F181" s="105" t="s">
        <v>1007</v>
      </c>
      <c r="G181" s="86">
        <v>45</v>
      </c>
    </row>
    <row r="182" ht="16.5" spans="1:7">
      <c r="A182" s="81">
        <v>46179</v>
      </c>
      <c r="B182" s="82" t="s">
        <v>35</v>
      </c>
      <c r="C182" s="10" t="s">
        <v>112</v>
      </c>
      <c r="D182" s="83" t="s">
        <v>111</v>
      </c>
      <c r="E182" s="82" t="s">
        <v>877</v>
      </c>
      <c r="F182" s="105" t="s">
        <v>888</v>
      </c>
      <c r="G182" s="86">
        <v>25</v>
      </c>
    </row>
    <row r="183" ht="16.5" spans="1:7">
      <c r="A183" s="81">
        <v>46179</v>
      </c>
      <c r="B183" s="82" t="s">
        <v>35</v>
      </c>
      <c r="C183" s="10" t="s">
        <v>112</v>
      </c>
      <c r="D183" s="83" t="s">
        <v>111</v>
      </c>
      <c r="E183" s="82" t="s">
        <v>877</v>
      </c>
      <c r="F183" s="10" t="s">
        <v>1008</v>
      </c>
      <c r="G183" s="86">
        <v>25</v>
      </c>
    </row>
    <row r="184" ht="16.5" spans="1:7">
      <c r="A184" s="81">
        <v>46178</v>
      </c>
      <c r="B184" s="82" t="s">
        <v>253</v>
      </c>
      <c r="C184" s="10" t="s">
        <v>115</v>
      </c>
      <c r="D184" s="83" t="s">
        <v>66</v>
      </c>
      <c r="E184" s="82" t="s">
        <v>877</v>
      </c>
      <c r="F184" s="85" t="s">
        <v>1009</v>
      </c>
      <c r="G184" s="86">
        <v>20</v>
      </c>
    </row>
    <row r="185" ht="16.5" spans="1:7">
      <c r="A185" s="81">
        <v>46177</v>
      </c>
      <c r="B185" s="82" t="s">
        <v>35</v>
      </c>
      <c r="C185" s="10" t="s">
        <v>115</v>
      </c>
      <c r="D185" s="83" t="s">
        <v>114</v>
      </c>
      <c r="E185" s="82" t="s">
        <v>877</v>
      </c>
      <c r="F185" s="85" t="s">
        <v>1010</v>
      </c>
      <c r="G185" s="86">
        <v>15</v>
      </c>
    </row>
    <row r="186" ht="16.5" spans="1:7">
      <c r="A186" s="81">
        <v>46178</v>
      </c>
      <c r="B186" s="82" t="s">
        <v>35</v>
      </c>
      <c r="C186" s="10" t="s">
        <v>115</v>
      </c>
      <c r="D186" s="83" t="s">
        <v>114</v>
      </c>
      <c r="E186" s="82" t="s">
        <v>877</v>
      </c>
      <c r="F186" s="85" t="s">
        <v>1011</v>
      </c>
      <c r="G186" s="86">
        <v>10</v>
      </c>
    </row>
    <row r="187" ht="16.5" spans="1:7">
      <c r="A187" s="81">
        <v>46178</v>
      </c>
      <c r="B187" s="82" t="s">
        <v>253</v>
      </c>
      <c r="C187" s="10" t="s">
        <v>158</v>
      </c>
      <c r="D187" s="83" t="s">
        <v>54</v>
      </c>
      <c r="E187" s="82" t="s">
        <v>877</v>
      </c>
      <c r="F187" s="85" t="s">
        <v>1012</v>
      </c>
      <c r="G187" s="86">
        <v>200</v>
      </c>
    </row>
    <row r="188" ht="16.5" spans="1:7">
      <c r="A188" s="81">
        <v>46178</v>
      </c>
      <c r="B188" s="82" t="s">
        <v>249</v>
      </c>
      <c r="C188" s="10" t="s">
        <v>158</v>
      </c>
      <c r="D188" s="83" t="s">
        <v>54</v>
      </c>
      <c r="E188" s="82" t="s">
        <v>877</v>
      </c>
      <c r="F188" s="85" t="s">
        <v>1001</v>
      </c>
      <c r="G188" s="86">
        <v>200</v>
      </c>
    </row>
    <row r="189" ht="16.5" spans="1:7">
      <c r="A189" s="81">
        <v>46179</v>
      </c>
      <c r="B189" s="82" t="s">
        <v>35</v>
      </c>
      <c r="C189" s="10" t="s">
        <v>158</v>
      </c>
      <c r="D189" s="83" t="s">
        <v>338</v>
      </c>
      <c r="E189" s="82" t="s">
        <v>877</v>
      </c>
      <c r="F189" s="85" t="s">
        <v>1013</v>
      </c>
      <c r="G189" s="86">
        <v>10</v>
      </c>
    </row>
    <row r="190" ht="16.5" spans="1:7">
      <c r="A190" s="81">
        <v>46178</v>
      </c>
      <c r="B190" s="82" t="s">
        <v>35</v>
      </c>
      <c r="C190" s="10" t="s">
        <v>158</v>
      </c>
      <c r="D190" s="83" t="s">
        <v>338</v>
      </c>
      <c r="E190" s="82" t="s">
        <v>877</v>
      </c>
      <c r="F190" s="105" t="s">
        <v>902</v>
      </c>
      <c r="G190" s="86">
        <v>10</v>
      </c>
    </row>
    <row r="191" ht="16.5" spans="1:7">
      <c r="A191" s="81">
        <v>46179</v>
      </c>
      <c r="B191" s="82" t="s">
        <v>253</v>
      </c>
      <c r="C191" s="10" t="s">
        <v>155</v>
      </c>
      <c r="D191" s="83" t="s">
        <v>154</v>
      </c>
      <c r="E191" s="82" t="s">
        <v>877</v>
      </c>
      <c r="F191" s="85" t="s">
        <v>1012</v>
      </c>
      <c r="G191" s="86">
        <v>200</v>
      </c>
    </row>
    <row r="192" ht="16.5" spans="1:7">
      <c r="A192" s="81">
        <v>46179</v>
      </c>
      <c r="B192" s="82" t="s">
        <v>249</v>
      </c>
      <c r="C192" s="10" t="s">
        <v>155</v>
      </c>
      <c r="D192" s="83" t="s">
        <v>154</v>
      </c>
      <c r="E192" s="82" t="s">
        <v>877</v>
      </c>
      <c r="F192" s="85" t="s">
        <v>1001</v>
      </c>
      <c r="G192" s="86">
        <v>200</v>
      </c>
    </row>
    <row r="193" ht="16.5" spans="1:7">
      <c r="A193" s="81">
        <v>46179</v>
      </c>
      <c r="B193" s="82" t="s">
        <v>35</v>
      </c>
      <c r="C193" s="10" t="s">
        <v>155</v>
      </c>
      <c r="D193" s="83" t="s">
        <v>154</v>
      </c>
      <c r="E193" s="82" t="s">
        <v>877</v>
      </c>
      <c r="F193" s="85" t="s">
        <v>1014</v>
      </c>
      <c r="G193" s="86">
        <v>10</v>
      </c>
    </row>
    <row r="194" ht="16.5" spans="1:7">
      <c r="A194" s="81">
        <v>46178</v>
      </c>
      <c r="B194" s="82" t="s">
        <v>35</v>
      </c>
      <c r="C194" s="10" t="s">
        <v>155</v>
      </c>
      <c r="D194" s="83" t="s">
        <v>154</v>
      </c>
      <c r="E194" s="82" t="s">
        <v>877</v>
      </c>
      <c r="F194" s="85" t="s">
        <v>902</v>
      </c>
      <c r="G194" s="86">
        <v>10</v>
      </c>
    </row>
    <row r="195" ht="16.5" spans="1:7">
      <c r="A195" s="81">
        <v>46179</v>
      </c>
      <c r="B195" s="82" t="s">
        <v>253</v>
      </c>
      <c r="C195" s="10" t="s">
        <v>164</v>
      </c>
      <c r="D195" s="83" t="s">
        <v>57</v>
      </c>
      <c r="E195" s="82" t="s">
        <v>877</v>
      </c>
      <c r="F195" s="85" t="s">
        <v>1015</v>
      </c>
      <c r="G195" s="86">
        <v>200</v>
      </c>
    </row>
    <row r="196" ht="16.5" spans="1:7">
      <c r="A196" s="81">
        <v>46179</v>
      </c>
      <c r="B196" s="82" t="s">
        <v>249</v>
      </c>
      <c r="C196" s="10" t="s">
        <v>164</v>
      </c>
      <c r="D196" s="83" t="s">
        <v>57</v>
      </c>
      <c r="E196" s="82" t="s">
        <v>877</v>
      </c>
      <c r="F196" s="85" t="s">
        <v>1001</v>
      </c>
      <c r="G196" s="86">
        <v>200</v>
      </c>
    </row>
    <row r="197" ht="16.5" spans="1:7">
      <c r="A197" s="81">
        <v>46179</v>
      </c>
      <c r="B197" s="82" t="s">
        <v>35</v>
      </c>
      <c r="C197" s="10" t="s">
        <v>164</v>
      </c>
      <c r="D197" s="83" t="s">
        <v>163</v>
      </c>
      <c r="E197" s="82" t="s">
        <v>877</v>
      </c>
      <c r="F197" s="85" t="s">
        <v>1014</v>
      </c>
      <c r="G197" s="86">
        <v>10</v>
      </c>
    </row>
    <row r="198" ht="16.5" spans="1:7">
      <c r="A198" s="87">
        <v>46178</v>
      </c>
      <c r="B198" s="82" t="s">
        <v>35</v>
      </c>
      <c r="C198" s="10" t="s">
        <v>164</v>
      </c>
      <c r="D198" s="83" t="s">
        <v>163</v>
      </c>
      <c r="E198" s="82" t="s">
        <v>877</v>
      </c>
      <c r="F198" s="85" t="s">
        <v>911</v>
      </c>
      <c r="G198" s="86">
        <v>10</v>
      </c>
    </row>
    <row r="199" ht="16.5" spans="1:7">
      <c r="A199" s="81">
        <v>46179</v>
      </c>
      <c r="B199" s="82" t="s">
        <v>35</v>
      </c>
      <c r="C199" s="10" t="s">
        <v>61</v>
      </c>
      <c r="D199" s="83" t="s">
        <v>60</v>
      </c>
      <c r="E199" s="82" t="s">
        <v>877</v>
      </c>
      <c r="F199" s="85" t="s">
        <v>1016</v>
      </c>
      <c r="G199" s="86">
        <v>30</v>
      </c>
    </row>
    <row r="200" ht="16.5" spans="1:7">
      <c r="A200" s="81">
        <v>46179</v>
      </c>
      <c r="B200" s="82" t="s">
        <v>35</v>
      </c>
      <c r="C200" s="10" t="s">
        <v>61</v>
      </c>
      <c r="D200" s="83" t="s">
        <v>60</v>
      </c>
      <c r="E200" s="82" t="s">
        <v>877</v>
      </c>
      <c r="F200" s="85" t="s">
        <v>1017</v>
      </c>
      <c r="G200" s="86">
        <v>20</v>
      </c>
    </row>
    <row r="201" ht="16.5" spans="1:7">
      <c r="A201" s="81">
        <v>46178</v>
      </c>
      <c r="B201" s="82" t="s">
        <v>35</v>
      </c>
      <c r="C201" s="10" t="s">
        <v>70</v>
      </c>
      <c r="D201" s="83" t="s">
        <v>69</v>
      </c>
      <c r="E201" s="82" t="s">
        <v>877</v>
      </c>
      <c r="F201" s="85" t="s">
        <v>1018</v>
      </c>
      <c r="G201" s="86">
        <v>15</v>
      </c>
    </row>
    <row r="202" ht="16.5" spans="1:7">
      <c r="A202" s="81">
        <v>46179</v>
      </c>
      <c r="B202" s="82" t="s">
        <v>35</v>
      </c>
      <c r="C202" s="10" t="s">
        <v>70</v>
      </c>
      <c r="D202" s="83" t="s">
        <v>69</v>
      </c>
      <c r="E202" s="82" t="s">
        <v>877</v>
      </c>
      <c r="F202" s="85" t="s">
        <v>1019</v>
      </c>
      <c r="G202" s="86">
        <v>15</v>
      </c>
    </row>
    <row r="203" ht="16.5" spans="1:7">
      <c r="A203" s="81">
        <v>46178</v>
      </c>
      <c r="B203" s="82" t="s">
        <v>35</v>
      </c>
      <c r="C203" s="10" t="s">
        <v>70</v>
      </c>
      <c r="D203" s="83" t="s">
        <v>69</v>
      </c>
      <c r="E203" s="82" t="s">
        <v>877</v>
      </c>
      <c r="F203" s="85" t="s">
        <v>922</v>
      </c>
      <c r="G203" s="86">
        <v>10</v>
      </c>
    </row>
    <row r="204" ht="16.5" spans="1:7">
      <c r="A204" s="81">
        <v>46178</v>
      </c>
      <c r="B204" s="82" t="s">
        <v>35</v>
      </c>
      <c r="C204" s="10" t="s">
        <v>125</v>
      </c>
      <c r="D204" s="83" t="s">
        <v>124</v>
      </c>
      <c r="E204" s="82" t="s">
        <v>877</v>
      </c>
      <c r="F204" s="105" t="s">
        <v>907</v>
      </c>
      <c r="G204" s="86">
        <v>15</v>
      </c>
    </row>
    <row r="205" ht="16.5" spans="1:7">
      <c r="A205" s="87">
        <v>46179</v>
      </c>
      <c r="B205" s="82" t="s">
        <v>35</v>
      </c>
      <c r="C205" s="10" t="s">
        <v>125</v>
      </c>
      <c r="D205" s="83" t="s">
        <v>124</v>
      </c>
      <c r="E205" s="82" t="s">
        <v>877</v>
      </c>
      <c r="F205" s="10" t="s">
        <v>904</v>
      </c>
      <c r="G205" s="86">
        <v>10</v>
      </c>
    </row>
    <row r="206" ht="16.5" spans="1:7">
      <c r="A206" s="87">
        <v>46178</v>
      </c>
      <c r="B206" s="82" t="s">
        <v>253</v>
      </c>
      <c r="C206" s="85" t="s">
        <v>67</v>
      </c>
      <c r="D206" s="83" t="s">
        <v>69</v>
      </c>
      <c r="E206" s="82" t="s">
        <v>877</v>
      </c>
      <c r="F206" s="10" t="s">
        <v>1020</v>
      </c>
      <c r="G206" s="86">
        <v>200</v>
      </c>
    </row>
    <row r="207" ht="16.5" spans="1:7">
      <c r="A207" s="87">
        <v>46178</v>
      </c>
      <c r="B207" s="82" t="s">
        <v>249</v>
      </c>
      <c r="C207" s="85" t="s">
        <v>67</v>
      </c>
      <c r="D207" s="83" t="s">
        <v>114</v>
      </c>
      <c r="E207" s="82" t="s">
        <v>877</v>
      </c>
      <c r="F207" s="10" t="s">
        <v>1021</v>
      </c>
      <c r="G207" s="86">
        <v>200</v>
      </c>
    </row>
    <row r="208" ht="16.5" spans="1:7">
      <c r="A208" s="87">
        <v>46179</v>
      </c>
      <c r="B208" s="82" t="s">
        <v>35</v>
      </c>
      <c r="C208" s="85" t="s">
        <v>67</v>
      </c>
      <c r="D208" s="83" t="s">
        <v>66</v>
      </c>
      <c r="E208" s="82" t="s">
        <v>877</v>
      </c>
      <c r="F208" s="10" t="s">
        <v>907</v>
      </c>
      <c r="G208" s="86">
        <v>15</v>
      </c>
    </row>
    <row r="209" ht="16.5" spans="1:7">
      <c r="A209" s="87">
        <v>46178</v>
      </c>
      <c r="B209" s="82" t="s">
        <v>35</v>
      </c>
      <c r="C209" s="85" t="s">
        <v>67</v>
      </c>
      <c r="D209" s="83" t="s">
        <v>66</v>
      </c>
      <c r="E209" s="82" t="s">
        <v>877</v>
      </c>
      <c r="F209" s="10" t="s">
        <v>900</v>
      </c>
      <c r="G209" s="86">
        <v>10</v>
      </c>
    </row>
    <row r="210" ht="16.5" spans="1:7">
      <c r="A210" s="87">
        <v>46178</v>
      </c>
      <c r="B210" s="82" t="s">
        <v>35</v>
      </c>
      <c r="C210" s="85" t="s">
        <v>145</v>
      </c>
      <c r="D210" s="83" t="s">
        <v>144</v>
      </c>
      <c r="E210" s="82" t="s">
        <v>877</v>
      </c>
      <c r="F210" s="105" t="s">
        <v>907</v>
      </c>
      <c r="G210" s="86">
        <v>15</v>
      </c>
    </row>
    <row r="211" ht="16.5" spans="1:7">
      <c r="A211" s="87">
        <v>46178</v>
      </c>
      <c r="B211" s="82" t="s">
        <v>35</v>
      </c>
      <c r="C211" s="85" t="s">
        <v>145</v>
      </c>
      <c r="D211" s="83" t="s">
        <v>144</v>
      </c>
      <c r="E211" s="82" t="s">
        <v>877</v>
      </c>
      <c r="F211" s="10" t="s">
        <v>902</v>
      </c>
      <c r="G211" s="86">
        <v>10</v>
      </c>
    </row>
    <row r="212" ht="16.5" spans="1:7">
      <c r="A212" s="87">
        <v>46179</v>
      </c>
      <c r="B212" s="82" t="s">
        <v>250</v>
      </c>
      <c r="C212" s="85" t="s">
        <v>894</v>
      </c>
      <c r="D212" s="83" t="s">
        <v>111</v>
      </c>
      <c r="E212" s="82" t="s">
        <v>877</v>
      </c>
      <c r="F212" s="10" t="s">
        <v>1022</v>
      </c>
      <c r="G212" s="86">
        <v>63</v>
      </c>
    </row>
    <row r="213" ht="16.5" spans="1:7">
      <c r="A213" s="87">
        <v>46179</v>
      </c>
      <c r="B213" s="82" t="s">
        <v>250</v>
      </c>
      <c r="C213" s="85" t="s">
        <v>894</v>
      </c>
      <c r="D213" s="83" t="s">
        <v>111</v>
      </c>
      <c r="E213" s="82" t="s">
        <v>877</v>
      </c>
      <c r="F213" s="10" t="s">
        <v>1023</v>
      </c>
      <c r="G213" s="86">
        <v>42.03</v>
      </c>
    </row>
    <row r="214" ht="16.5" spans="1:7">
      <c r="A214" s="87">
        <v>46179</v>
      </c>
      <c r="B214" s="82" t="s">
        <v>250</v>
      </c>
      <c r="C214" s="10" t="s">
        <v>47</v>
      </c>
      <c r="D214" s="83" t="s">
        <v>96</v>
      </c>
      <c r="E214" s="82" t="s">
        <v>877</v>
      </c>
      <c r="F214" s="10" t="s">
        <v>1024</v>
      </c>
      <c r="G214" s="86">
        <v>380</v>
      </c>
    </row>
    <row r="215" ht="27" spans="1:7">
      <c r="A215" s="87">
        <v>46179</v>
      </c>
      <c r="B215" s="82" t="s">
        <v>249</v>
      </c>
      <c r="C215" s="10" t="s">
        <v>139</v>
      </c>
      <c r="D215" s="83" t="s">
        <v>96</v>
      </c>
      <c r="E215" s="82" t="s">
        <v>877</v>
      </c>
      <c r="F215" s="85" t="s">
        <v>1025</v>
      </c>
      <c r="G215" s="86">
        <v>200</v>
      </c>
    </row>
    <row r="216" ht="16.5" spans="1:7">
      <c r="A216" s="87">
        <v>46179</v>
      </c>
      <c r="B216" s="82" t="s">
        <v>35</v>
      </c>
      <c r="C216" s="10" t="s">
        <v>106</v>
      </c>
      <c r="D216" s="83" t="s">
        <v>105</v>
      </c>
      <c r="E216" s="82" t="s">
        <v>877</v>
      </c>
      <c r="F216" s="10" t="s">
        <v>970</v>
      </c>
      <c r="G216" s="86">
        <v>15</v>
      </c>
    </row>
    <row r="217" ht="16.5" spans="1:7">
      <c r="A217" s="87">
        <v>46179</v>
      </c>
      <c r="B217" s="82" t="s">
        <v>35</v>
      </c>
      <c r="C217" s="10" t="s">
        <v>94</v>
      </c>
      <c r="D217" s="83" t="s">
        <v>93</v>
      </c>
      <c r="E217" s="82" t="s">
        <v>877</v>
      </c>
      <c r="F217" s="10" t="s">
        <v>1026</v>
      </c>
      <c r="G217" s="86">
        <v>60</v>
      </c>
    </row>
    <row r="218" ht="16.5" spans="1:7">
      <c r="A218" s="87">
        <v>46179</v>
      </c>
      <c r="B218" s="82" t="s">
        <v>35</v>
      </c>
      <c r="C218" s="10" t="s">
        <v>94</v>
      </c>
      <c r="D218" s="83" t="s">
        <v>93</v>
      </c>
      <c r="E218" s="82" t="s">
        <v>877</v>
      </c>
      <c r="F218" s="10" t="s">
        <v>957</v>
      </c>
      <c r="G218" s="86">
        <v>30</v>
      </c>
    </row>
    <row r="219" ht="16.5" spans="1:7">
      <c r="A219" s="87">
        <v>46179</v>
      </c>
      <c r="B219" s="82" t="s">
        <v>35</v>
      </c>
      <c r="C219" s="10" t="s">
        <v>94</v>
      </c>
      <c r="D219" s="83" t="s">
        <v>93</v>
      </c>
      <c r="E219" s="82" t="s">
        <v>877</v>
      </c>
      <c r="F219" s="10" t="s">
        <v>930</v>
      </c>
      <c r="G219" s="86">
        <v>15</v>
      </c>
    </row>
    <row r="220" ht="16.5" spans="1:7">
      <c r="A220" s="81">
        <v>46179</v>
      </c>
      <c r="B220" s="82" t="s">
        <v>35</v>
      </c>
      <c r="C220" s="10" t="s">
        <v>109</v>
      </c>
      <c r="D220" s="83" t="s">
        <v>108</v>
      </c>
      <c r="E220" s="82" t="s">
        <v>877</v>
      </c>
      <c r="F220" s="85" t="s">
        <v>1027</v>
      </c>
      <c r="G220" s="86">
        <v>45</v>
      </c>
    </row>
    <row r="221" ht="16.5" spans="1:7">
      <c r="A221" s="81">
        <v>46179</v>
      </c>
      <c r="B221" s="82" t="s">
        <v>35</v>
      </c>
      <c r="C221" s="10" t="s">
        <v>109</v>
      </c>
      <c r="D221" s="83" t="s">
        <v>108</v>
      </c>
      <c r="E221" s="82" t="s">
        <v>877</v>
      </c>
      <c r="F221" s="85" t="s">
        <v>882</v>
      </c>
      <c r="G221" s="86">
        <v>5</v>
      </c>
    </row>
    <row r="222" ht="16.5" spans="1:7">
      <c r="A222" s="81">
        <v>46179</v>
      </c>
      <c r="B222" s="82" t="s">
        <v>35</v>
      </c>
      <c r="C222" s="10" t="s">
        <v>170</v>
      </c>
      <c r="D222" s="83" t="s">
        <v>339</v>
      </c>
      <c r="E222" s="82" t="s">
        <v>877</v>
      </c>
      <c r="F222" s="85" t="s">
        <v>882</v>
      </c>
      <c r="G222" s="86">
        <v>5</v>
      </c>
    </row>
    <row r="223" ht="16.5" spans="1:7">
      <c r="A223" s="81">
        <v>46180</v>
      </c>
      <c r="B223" s="82" t="s">
        <v>35</v>
      </c>
      <c r="C223" s="10" t="s">
        <v>167</v>
      </c>
      <c r="D223" s="83" t="s">
        <v>166</v>
      </c>
      <c r="E223" s="82" t="s">
        <v>877</v>
      </c>
      <c r="F223" s="85" t="s">
        <v>970</v>
      </c>
      <c r="G223" s="86">
        <v>15</v>
      </c>
    </row>
    <row r="224" ht="16.5" spans="1:7">
      <c r="A224" s="81">
        <v>46179</v>
      </c>
      <c r="B224" s="82" t="s">
        <v>35</v>
      </c>
      <c r="C224" s="10" t="s">
        <v>167</v>
      </c>
      <c r="D224" s="83" t="s">
        <v>166</v>
      </c>
      <c r="E224" s="82" t="s">
        <v>877</v>
      </c>
      <c r="F224" s="85" t="s">
        <v>1028</v>
      </c>
      <c r="G224" s="86">
        <v>20</v>
      </c>
    </row>
    <row r="225" ht="16.5" spans="1:7">
      <c r="A225" s="81">
        <v>46180</v>
      </c>
      <c r="B225" s="82" t="s">
        <v>35</v>
      </c>
      <c r="C225" s="10" t="s">
        <v>128</v>
      </c>
      <c r="D225" s="83" t="s">
        <v>127</v>
      </c>
      <c r="E225" s="82" t="s">
        <v>877</v>
      </c>
      <c r="F225" s="85" t="s">
        <v>1029</v>
      </c>
      <c r="G225" s="86">
        <v>30</v>
      </c>
    </row>
    <row r="226" ht="16.5" spans="1:7">
      <c r="A226" s="81">
        <v>46179</v>
      </c>
      <c r="B226" s="82" t="s">
        <v>35</v>
      </c>
      <c r="C226" s="10" t="s">
        <v>128</v>
      </c>
      <c r="D226" s="83" t="s">
        <v>127</v>
      </c>
      <c r="E226" s="82" t="s">
        <v>877</v>
      </c>
      <c r="F226" s="85" t="s">
        <v>1030</v>
      </c>
      <c r="G226" s="86">
        <v>15</v>
      </c>
    </row>
    <row r="227" ht="16.5" spans="1:7">
      <c r="A227" s="81">
        <v>46178</v>
      </c>
      <c r="B227" s="82" t="s">
        <v>35</v>
      </c>
      <c r="C227" s="10" t="s">
        <v>128</v>
      </c>
      <c r="D227" s="83" t="s">
        <v>127</v>
      </c>
      <c r="E227" s="82" t="s">
        <v>877</v>
      </c>
      <c r="F227" s="399" t="s">
        <v>1031</v>
      </c>
      <c r="G227" s="86">
        <v>10</v>
      </c>
    </row>
    <row r="228" ht="16.5" spans="1:7">
      <c r="A228" s="81">
        <v>46180</v>
      </c>
      <c r="B228" s="82" t="s">
        <v>35</v>
      </c>
      <c r="C228" s="10" t="s">
        <v>128</v>
      </c>
      <c r="D228" s="83" t="s">
        <v>127</v>
      </c>
      <c r="E228" s="82" t="s">
        <v>877</v>
      </c>
      <c r="F228" s="104" t="s">
        <v>889</v>
      </c>
      <c r="G228" s="86">
        <v>20</v>
      </c>
    </row>
    <row r="229" ht="16.5" spans="1:7">
      <c r="A229" s="81">
        <v>46179</v>
      </c>
      <c r="B229" s="82" t="s">
        <v>35</v>
      </c>
      <c r="C229" s="10" t="s">
        <v>175</v>
      </c>
      <c r="D229" s="83" t="s">
        <v>174</v>
      </c>
      <c r="E229" s="82" t="s">
        <v>877</v>
      </c>
      <c r="F229" s="105" t="s">
        <v>915</v>
      </c>
      <c r="G229" s="86">
        <v>10</v>
      </c>
    </row>
    <row r="230" ht="16.5" spans="1:7">
      <c r="A230" s="81">
        <v>46179</v>
      </c>
      <c r="B230" s="82" t="s">
        <v>35</v>
      </c>
      <c r="C230" s="10" t="s">
        <v>152</v>
      </c>
      <c r="D230" s="83" t="s">
        <v>151</v>
      </c>
      <c r="E230" s="82" t="s">
        <v>877</v>
      </c>
      <c r="F230" s="105" t="s">
        <v>1032</v>
      </c>
      <c r="G230" s="86">
        <v>10</v>
      </c>
    </row>
    <row r="231" ht="16.5" spans="1:7">
      <c r="A231" s="81">
        <v>46179</v>
      </c>
      <c r="B231" s="82" t="s">
        <v>35</v>
      </c>
      <c r="C231" s="10" t="s">
        <v>152</v>
      </c>
      <c r="D231" s="83" t="s">
        <v>151</v>
      </c>
      <c r="E231" s="82" t="s">
        <v>877</v>
      </c>
      <c r="F231" s="10" t="s">
        <v>1030</v>
      </c>
      <c r="G231" s="86">
        <v>15</v>
      </c>
    </row>
    <row r="232" ht="16.5" spans="1:7">
      <c r="A232" s="81">
        <v>46180</v>
      </c>
      <c r="B232" s="82" t="s">
        <v>35</v>
      </c>
      <c r="C232" s="10" t="s">
        <v>73</v>
      </c>
      <c r="D232" s="83" t="s">
        <v>72</v>
      </c>
      <c r="E232" s="82" t="s">
        <v>877</v>
      </c>
      <c r="F232" s="85" t="s">
        <v>1033</v>
      </c>
      <c r="G232" s="86">
        <v>63</v>
      </c>
    </row>
    <row r="233" ht="16.5" spans="1:7">
      <c r="A233" s="81">
        <v>46180</v>
      </c>
      <c r="B233" s="82" t="s">
        <v>35</v>
      </c>
      <c r="C233" s="10" t="s">
        <v>88</v>
      </c>
      <c r="D233" s="83" t="s">
        <v>87</v>
      </c>
      <c r="E233" s="82" t="s">
        <v>877</v>
      </c>
      <c r="F233" s="85" t="s">
        <v>893</v>
      </c>
      <c r="G233" s="86">
        <v>15</v>
      </c>
    </row>
    <row r="234" ht="16.5" spans="1:7">
      <c r="A234" s="81">
        <v>46179</v>
      </c>
      <c r="B234" s="82" t="s">
        <v>35</v>
      </c>
      <c r="C234" s="10" t="s">
        <v>88</v>
      </c>
      <c r="D234" s="83" t="s">
        <v>87</v>
      </c>
      <c r="E234" s="82" t="s">
        <v>877</v>
      </c>
      <c r="F234" s="85" t="s">
        <v>902</v>
      </c>
      <c r="G234" s="86">
        <v>10</v>
      </c>
    </row>
    <row r="235" ht="16.5" spans="1:7">
      <c r="A235" s="81">
        <v>46180</v>
      </c>
      <c r="B235" s="82" t="s">
        <v>35</v>
      </c>
      <c r="C235" s="10" t="s">
        <v>100</v>
      </c>
      <c r="D235" s="83" t="s">
        <v>99</v>
      </c>
      <c r="E235" s="82" t="s">
        <v>877</v>
      </c>
      <c r="F235" s="85" t="s">
        <v>1034</v>
      </c>
      <c r="G235" s="86">
        <v>20</v>
      </c>
    </row>
    <row r="236" ht="16.5" spans="1:7">
      <c r="A236" s="81">
        <v>46180</v>
      </c>
      <c r="B236" s="82" t="s">
        <v>35</v>
      </c>
      <c r="C236" s="10" t="s">
        <v>100</v>
      </c>
      <c r="D236" s="83" t="s">
        <v>99</v>
      </c>
      <c r="E236" s="82" t="s">
        <v>877</v>
      </c>
      <c r="F236" s="85" t="s">
        <v>918</v>
      </c>
      <c r="G236" s="86">
        <v>15</v>
      </c>
    </row>
    <row r="237" ht="16.5" spans="1:7">
      <c r="A237" s="81">
        <v>46179</v>
      </c>
      <c r="B237" s="82" t="s">
        <v>35</v>
      </c>
      <c r="C237" s="10" t="s">
        <v>100</v>
      </c>
      <c r="D237" s="83" t="s">
        <v>99</v>
      </c>
      <c r="E237" s="82" t="s">
        <v>877</v>
      </c>
      <c r="F237" s="105" t="s">
        <v>1035</v>
      </c>
      <c r="G237" s="86">
        <v>15</v>
      </c>
    </row>
    <row r="238" ht="16.5" spans="1:7">
      <c r="A238" s="81">
        <v>46178</v>
      </c>
      <c r="B238" s="82" t="s">
        <v>35</v>
      </c>
      <c r="C238" s="10" t="s">
        <v>100</v>
      </c>
      <c r="D238" s="83" t="s">
        <v>99</v>
      </c>
      <c r="E238" s="82" t="s">
        <v>877</v>
      </c>
      <c r="F238" s="85" t="s">
        <v>919</v>
      </c>
      <c r="G238" s="86">
        <v>10</v>
      </c>
    </row>
    <row r="239" ht="16.5" spans="1:7">
      <c r="A239" s="81">
        <v>46180</v>
      </c>
      <c r="B239" s="82" t="s">
        <v>35</v>
      </c>
      <c r="C239" s="10" t="s">
        <v>100</v>
      </c>
      <c r="D239" s="83" t="s">
        <v>99</v>
      </c>
      <c r="E239" s="82" t="s">
        <v>877</v>
      </c>
      <c r="F239" s="85" t="s">
        <v>1036</v>
      </c>
      <c r="G239" s="86">
        <v>15</v>
      </c>
    </row>
    <row r="240" ht="16.5" spans="1:7">
      <c r="A240" s="81">
        <v>46180</v>
      </c>
      <c r="B240" s="82" t="s">
        <v>35</v>
      </c>
      <c r="C240" s="10" t="s">
        <v>67</v>
      </c>
      <c r="D240" s="83" t="s">
        <v>66</v>
      </c>
      <c r="E240" s="82" t="s">
        <v>877</v>
      </c>
      <c r="F240" s="85" t="s">
        <v>903</v>
      </c>
      <c r="G240" s="86">
        <v>20</v>
      </c>
    </row>
    <row r="241" ht="16.5" spans="1:7">
      <c r="A241" s="81">
        <v>46180</v>
      </c>
      <c r="B241" s="82" t="s">
        <v>35</v>
      </c>
      <c r="C241" s="10" t="s">
        <v>67</v>
      </c>
      <c r="D241" s="83" t="s">
        <v>66</v>
      </c>
      <c r="E241" s="82" t="s">
        <v>877</v>
      </c>
      <c r="F241" s="85" t="s">
        <v>880</v>
      </c>
      <c r="G241" s="86">
        <v>15</v>
      </c>
    </row>
    <row r="242" ht="16.5" spans="1:7">
      <c r="A242" s="81">
        <v>46180</v>
      </c>
      <c r="B242" s="82" t="s">
        <v>35</v>
      </c>
      <c r="C242" s="10" t="s">
        <v>67</v>
      </c>
      <c r="D242" s="83" t="s">
        <v>66</v>
      </c>
      <c r="E242" s="82" t="s">
        <v>877</v>
      </c>
      <c r="F242" s="85" t="s">
        <v>904</v>
      </c>
      <c r="G242" s="86">
        <v>10</v>
      </c>
    </row>
    <row r="243" ht="16.5" spans="1:7">
      <c r="A243" s="81">
        <v>46180</v>
      </c>
      <c r="B243" s="82" t="s">
        <v>35</v>
      </c>
      <c r="C243" s="10" t="s">
        <v>55</v>
      </c>
      <c r="D243" s="83" t="s">
        <v>54</v>
      </c>
      <c r="E243" s="82" t="s">
        <v>877</v>
      </c>
      <c r="F243" s="85" t="s">
        <v>893</v>
      </c>
      <c r="G243" s="86">
        <v>15</v>
      </c>
    </row>
    <row r="244" ht="16.5" spans="1:7">
      <c r="A244" s="81">
        <v>46180</v>
      </c>
      <c r="B244" s="82" t="s">
        <v>35</v>
      </c>
      <c r="C244" s="10" t="s">
        <v>55</v>
      </c>
      <c r="D244" s="83" t="s">
        <v>54</v>
      </c>
      <c r="E244" s="82" t="s">
        <v>877</v>
      </c>
      <c r="F244" s="85" t="s">
        <v>1037</v>
      </c>
      <c r="G244" s="86">
        <v>15</v>
      </c>
    </row>
    <row r="245" ht="16.5" spans="1:7">
      <c r="A245" s="87">
        <v>46180</v>
      </c>
      <c r="B245" s="82" t="s">
        <v>35</v>
      </c>
      <c r="C245" s="10" t="s">
        <v>55</v>
      </c>
      <c r="D245" s="83" t="s">
        <v>54</v>
      </c>
      <c r="E245" s="82" t="s">
        <v>877</v>
      </c>
      <c r="F245" s="85" t="s">
        <v>902</v>
      </c>
      <c r="G245" s="86">
        <v>10</v>
      </c>
    </row>
    <row r="246" ht="16.5" spans="1:7">
      <c r="A246" s="81">
        <v>46180</v>
      </c>
      <c r="B246" s="82" t="s">
        <v>35</v>
      </c>
      <c r="C246" s="10" t="s">
        <v>155</v>
      </c>
      <c r="D246" s="83" t="s">
        <v>154</v>
      </c>
      <c r="E246" s="82" t="s">
        <v>877</v>
      </c>
      <c r="F246" s="85" t="s">
        <v>1038</v>
      </c>
      <c r="G246" s="86">
        <v>24</v>
      </c>
    </row>
    <row r="247" ht="16.5" spans="1:7">
      <c r="A247" s="81">
        <v>46180</v>
      </c>
      <c r="B247" s="82" t="s">
        <v>35</v>
      </c>
      <c r="C247" s="10" t="s">
        <v>155</v>
      </c>
      <c r="D247" s="83" t="s">
        <v>154</v>
      </c>
      <c r="E247" s="82" t="s">
        <v>877</v>
      </c>
      <c r="F247" s="85" t="s">
        <v>973</v>
      </c>
      <c r="G247" s="86">
        <v>10</v>
      </c>
    </row>
    <row r="248" ht="16.5" spans="1:7">
      <c r="A248" s="81">
        <v>46179</v>
      </c>
      <c r="B248" s="82" t="s">
        <v>35</v>
      </c>
      <c r="C248" s="10" t="s">
        <v>155</v>
      </c>
      <c r="D248" s="83" t="s">
        <v>154</v>
      </c>
      <c r="E248" s="82" t="s">
        <v>877</v>
      </c>
      <c r="F248" s="85" t="s">
        <v>882</v>
      </c>
      <c r="G248" s="86">
        <v>5</v>
      </c>
    </row>
    <row r="249" ht="16.5" spans="1:7">
      <c r="A249" s="81">
        <v>46180</v>
      </c>
      <c r="B249" s="82" t="s">
        <v>35</v>
      </c>
      <c r="C249" s="10" t="s">
        <v>164</v>
      </c>
      <c r="D249" s="83" t="s">
        <v>163</v>
      </c>
      <c r="E249" s="82" t="s">
        <v>877</v>
      </c>
      <c r="F249" s="105" t="s">
        <v>973</v>
      </c>
      <c r="G249" s="86">
        <v>10</v>
      </c>
    </row>
    <row r="250" ht="16.5" spans="1:7">
      <c r="A250" s="81">
        <v>46179</v>
      </c>
      <c r="B250" s="82" t="s">
        <v>35</v>
      </c>
      <c r="C250" s="85" t="s">
        <v>164</v>
      </c>
      <c r="D250" s="83" t="s">
        <v>163</v>
      </c>
      <c r="E250" s="82" t="s">
        <v>877</v>
      </c>
      <c r="F250" s="105" t="s">
        <v>882</v>
      </c>
      <c r="G250" s="86">
        <v>5</v>
      </c>
    </row>
    <row r="251" ht="16.5" spans="1:7">
      <c r="A251" s="87">
        <v>46179</v>
      </c>
      <c r="B251" s="82" t="s">
        <v>35</v>
      </c>
      <c r="C251" s="85" t="s">
        <v>58</v>
      </c>
      <c r="D251" s="83" t="s">
        <v>57</v>
      </c>
      <c r="E251" s="82" t="s">
        <v>877</v>
      </c>
      <c r="F251" s="10" t="s">
        <v>1003</v>
      </c>
      <c r="G251" s="86">
        <v>15</v>
      </c>
    </row>
    <row r="252" ht="16.5" spans="1:7">
      <c r="A252" s="87">
        <v>46180</v>
      </c>
      <c r="B252" s="82" t="s">
        <v>35</v>
      </c>
      <c r="C252" s="85" t="s">
        <v>58</v>
      </c>
      <c r="D252" s="83" t="s">
        <v>57</v>
      </c>
      <c r="E252" s="82" t="s">
        <v>877</v>
      </c>
      <c r="F252" s="10" t="s">
        <v>911</v>
      </c>
      <c r="G252" s="86">
        <v>10</v>
      </c>
    </row>
    <row r="253" ht="16.5" spans="1:7">
      <c r="A253" s="87">
        <v>46178</v>
      </c>
      <c r="B253" s="82" t="s">
        <v>253</v>
      </c>
      <c r="C253" s="85" t="s">
        <v>85</v>
      </c>
      <c r="D253" s="83" t="s">
        <v>54</v>
      </c>
      <c r="E253" s="82" t="s">
        <v>877</v>
      </c>
      <c r="F253" s="10" t="s">
        <v>1039</v>
      </c>
      <c r="G253" s="86">
        <v>200</v>
      </c>
    </row>
    <row r="254" ht="16.5" spans="1:7">
      <c r="A254" s="87">
        <v>46178</v>
      </c>
      <c r="B254" s="82" t="s">
        <v>249</v>
      </c>
      <c r="C254" s="85" t="s">
        <v>85</v>
      </c>
      <c r="D254" s="83" t="s">
        <v>93</v>
      </c>
      <c r="E254" s="82" t="s">
        <v>877</v>
      </c>
      <c r="F254" s="10" t="s">
        <v>1001</v>
      </c>
      <c r="G254" s="86">
        <v>200</v>
      </c>
    </row>
    <row r="255" ht="16.5" spans="1:7">
      <c r="A255" s="87">
        <v>46177</v>
      </c>
      <c r="B255" s="82" t="s">
        <v>35</v>
      </c>
      <c r="C255" s="85" t="s">
        <v>85</v>
      </c>
      <c r="D255" s="83" t="s">
        <v>84</v>
      </c>
      <c r="E255" s="82" t="s">
        <v>877</v>
      </c>
      <c r="F255" s="10" t="s">
        <v>930</v>
      </c>
      <c r="G255" s="86">
        <v>15</v>
      </c>
    </row>
    <row r="256" ht="16.5" spans="1:7">
      <c r="A256" s="87">
        <v>46179</v>
      </c>
      <c r="B256" s="82" t="s">
        <v>35</v>
      </c>
      <c r="C256" s="85" t="s">
        <v>85</v>
      </c>
      <c r="D256" s="83" t="s">
        <v>84</v>
      </c>
      <c r="E256" s="82" t="s">
        <v>877</v>
      </c>
      <c r="F256" s="10" t="s">
        <v>1040</v>
      </c>
      <c r="G256" s="86">
        <v>55</v>
      </c>
    </row>
    <row r="257" ht="16.5" spans="1:7">
      <c r="A257" s="87">
        <v>46178</v>
      </c>
      <c r="B257" s="82" t="s">
        <v>35</v>
      </c>
      <c r="C257" s="85" t="s">
        <v>79</v>
      </c>
      <c r="D257" s="83" t="s">
        <v>78</v>
      </c>
      <c r="E257" s="82" t="s">
        <v>877</v>
      </c>
      <c r="F257" s="10" t="s">
        <v>1041</v>
      </c>
      <c r="G257" s="86">
        <v>30</v>
      </c>
    </row>
    <row r="258" ht="16.5" spans="1:7">
      <c r="A258" s="87">
        <v>46178</v>
      </c>
      <c r="B258" s="82" t="s">
        <v>35</v>
      </c>
      <c r="C258" s="85" t="s">
        <v>79</v>
      </c>
      <c r="D258" s="83" t="s">
        <v>78</v>
      </c>
      <c r="E258" s="82" t="s">
        <v>877</v>
      </c>
      <c r="F258" s="10" t="s">
        <v>902</v>
      </c>
      <c r="G258" s="86">
        <v>10</v>
      </c>
    </row>
    <row r="259" ht="16.5" spans="1:7">
      <c r="A259" s="87">
        <v>46180</v>
      </c>
      <c r="B259" s="82" t="s">
        <v>35</v>
      </c>
      <c r="C259" s="85" t="s">
        <v>79</v>
      </c>
      <c r="D259" s="83" t="s">
        <v>78</v>
      </c>
      <c r="E259" s="82" t="s">
        <v>877</v>
      </c>
      <c r="F259" s="10" t="s">
        <v>902</v>
      </c>
      <c r="G259" s="86">
        <v>10</v>
      </c>
    </row>
    <row r="260" ht="16.5" spans="1:7">
      <c r="A260" s="87">
        <v>46180</v>
      </c>
      <c r="B260" s="82" t="s">
        <v>35</v>
      </c>
      <c r="C260" s="10" t="s">
        <v>52</v>
      </c>
      <c r="D260" s="83" t="s">
        <v>51</v>
      </c>
      <c r="E260" s="82" t="s">
        <v>877</v>
      </c>
      <c r="F260" s="10" t="s">
        <v>1042</v>
      </c>
      <c r="G260" s="86">
        <v>30</v>
      </c>
    </row>
    <row r="261" ht="16.5" spans="1:7">
      <c r="A261" s="87">
        <v>46179</v>
      </c>
      <c r="B261" s="82" t="s">
        <v>35</v>
      </c>
      <c r="C261" s="10" t="s">
        <v>52</v>
      </c>
      <c r="D261" s="83" t="s">
        <v>51</v>
      </c>
      <c r="E261" s="82" t="s">
        <v>877</v>
      </c>
      <c r="F261" s="10" t="s">
        <v>1043</v>
      </c>
      <c r="G261" s="86">
        <v>12</v>
      </c>
    </row>
    <row r="262" ht="16.5" spans="1:7">
      <c r="A262" s="87">
        <v>46180</v>
      </c>
      <c r="B262" s="82" t="s">
        <v>35</v>
      </c>
      <c r="C262" s="10" t="s">
        <v>52</v>
      </c>
      <c r="D262" s="83" t="s">
        <v>51</v>
      </c>
      <c r="E262" s="82" t="s">
        <v>877</v>
      </c>
      <c r="F262" s="10" t="s">
        <v>904</v>
      </c>
      <c r="G262" s="86">
        <v>10</v>
      </c>
    </row>
    <row r="263" ht="16.5" spans="1:7">
      <c r="A263" s="81">
        <v>46180</v>
      </c>
      <c r="B263" s="82" t="s">
        <v>35</v>
      </c>
      <c r="C263" s="10" t="s">
        <v>70</v>
      </c>
      <c r="D263" s="83" t="s">
        <v>69</v>
      </c>
      <c r="E263" s="82" t="s">
        <v>877</v>
      </c>
      <c r="F263" s="85" t="s">
        <v>922</v>
      </c>
      <c r="G263" s="86">
        <v>10</v>
      </c>
    </row>
    <row r="264" ht="16.5" spans="1:7">
      <c r="A264" s="81">
        <v>46180</v>
      </c>
      <c r="B264" s="82" t="s">
        <v>35</v>
      </c>
      <c r="C264" s="10" t="s">
        <v>70</v>
      </c>
      <c r="D264" s="83" t="s">
        <v>69</v>
      </c>
      <c r="E264" s="82" t="s">
        <v>877</v>
      </c>
      <c r="F264" s="85" t="s">
        <v>1044</v>
      </c>
      <c r="G264" s="86">
        <v>15</v>
      </c>
    </row>
    <row r="265" ht="16.5" spans="1:7">
      <c r="A265" s="81">
        <v>46180</v>
      </c>
      <c r="B265" s="82" t="s">
        <v>35</v>
      </c>
      <c r="C265" s="10" t="s">
        <v>115</v>
      </c>
      <c r="D265" s="83" t="s">
        <v>114</v>
      </c>
      <c r="E265" s="82" t="s">
        <v>877</v>
      </c>
      <c r="F265" s="85" t="s">
        <v>902</v>
      </c>
      <c r="G265" s="86">
        <v>10</v>
      </c>
    </row>
    <row r="266" ht="16.5" spans="1:7">
      <c r="A266" s="81">
        <v>46181</v>
      </c>
      <c r="B266" s="82" t="s">
        <v>35</v>
      </c>
      <c r="C266" s="10" t="s">
        <v>115</v>
      </c>
      <c r="D266" s="83" t="s">
        <v>114</v>
      </c>
      <c r="E266" s="82" t="s">
        <v>877</v>
      </c>
      <c r="F266" s="85" t="s">
        <v>1045</v>
      </c>
      <c r="G266" s="86">
        <v>25</v>
      </c>
    </row>
    <row r="267" ht="16.5" spans="1:7">
      <c r="A267" s="81">
        <v>46179</v>
      </c>
      <c r="B267" s="82" t="s">
        <v>35</v>
      </c>
      <c r="C267" s="10" t="s">
        <v>136</v>
      </c>
      <c r="D267" s="83" t="s">
        <v>135</v>
      </c>
      <c r="E267" s="82" t="s">
        <v>877</v>
      </c>
      <c r="F267" s="85" t="s">
        <v>1031</v>
      </c>
      <c r="G267" s="86">
        <v>10</v>
      </c>
    </row>
    <row r="268" ht="16.5" spans="1:7">
      <c r="A268" s="81">
        <v>46180</v>
      </c>
      <c r="B268" s="82" t="s">
        <v>35</v>
      </c>
      <c r="C268" s="10" t="s">
        <v>136</v>
      </c>
      <c r="D268" s="83" t="s">
        <v>135</v>
      </c>
      <c r="E268" s="82" t="s">
        <v>877</v>
      </c>
      <c r="F268" s="106" t="s">
        <v>889</v>
      </c>
      <c r="G268" s="86">
        <v>20</v>
      </c>
    </row>
    <row r="269" ht="16.5" spans="1:7">
      <c r="A269" s="81">
        <v>46179</v>
      </c>
      <c r="B269" s="82" t="s">
        <v>35</v>
      </c>
      <c r="C269" s="10" t="s">
        <v>112</v>
      </c>
      <c r="D269" s="83" t="s">
        <v>111</v>
      </c>
      <c r="E269" s="82" t="s">
        <v>877</v>
      </c>
      <c r="F269" s="85" t="s">
        <v>1046</v>
      </c>
      <c r="G269" s="86">
        <v>25</v>
      </c>
    </row>
    <row r="270" ht="16.5" spans="1:7">
      <c r="A270" s="81">
        <v>46180</v>
      </c>
      <c r="B270" s="82" t="s">
        <v>35</v>
      </c>
      <c r="C270" s="10" t="s">
        <v>112</v>
      </c>
      <c r="D270" s="83" t="s">
        <v>111</v>
      </c>
      <c r="E270" s="82" t="s">
        <v>877</v>
      </c>
      <c r="F270" s="85" t="s">
        <v>930</v>
      </c>
      <c r="G270" s="86">
        <v>15</v>
      </c>
    </row>
    <row r="271" ht="16.5" spans="1:7">
      <c r="A271" s="81">
        <v>46181</v>
      </c>
      <c r="B271" s="82" t="s">
        <v>35</v>
      </c>
      <c r="C271" s="10" t="s">
        <v>112</v>
      </c>
      <c r="D271" s="83" t="s">
        <v>111</v>
      </c>
      <c r="E271" s="82" t="s">
        <v>877</v>
      </c>
      <c r="F271" s="85" t="s">
        <v>1047</v>
      </c>
      <c r="G271" s="86">
        <v>15</v>
      </c>
    </row>
    <row r="272" ht="16.5" spans="1:7">
      <c r="A272" s="81">
        <v>46178</v>
      </c>
      <c r="B272" s="82" t="s">
        <v>35</v>
      </c>
      <c r="C272" s="10" t="s">
        <v>97</v>
      </c>
      <c r="D272" s="83" t="s">
        <v>96</v>
      </c>
      <c r="E272" s="82" t="s">
        <v>877</v>
      </c>
      <c r="F272" s="85" t="s">
        <v>1048</v>
      </c>
      <c r="G272" s="86">
        <v>66</v>
      </c>
    </row>
    <row r="273" ht="16.5" spans="1:7">
      <c r="A273" s="81">
        <v>46179</v>
      </c>
      <c r="B273" s="82" t="s">
        <v>35</v>
      </c>
      <c r="C273" s="10" t="s">
        <v>97</v>
      </c>
      <c r="D273" s="83" t="s">
        <v>96</v>
      </c>
      <c r="E273" s="82" t="s">
        <v>877</v>
      </c>
      <c r="F273" s="85" t="s">
        <v>1049</v>
      </c>
      <c r="G273" s="86">
        <v>25</v>
      </c>
    </row>
    <row r="274" ht="16.5" spans="1:7">
      <c r="A274" s="81">
        <v>46181</v>
      </c>
      <c r="B274" s="82" t="s">
        <v>35</v>
      </c>
      <c r="C274" s="10" t="s">
        <v>97</v>
      </c>
      <c r="D274" s="83" t="s">
        <v>96</v>
      </c>
      <c r="E274" s="82" t="s">
        <v>877</v>
      </c>
      <c r="F274" s="104" t="s">
        <v>1050</v>
      </c>
      <c r="G274" s="86">
        <v>15</v>
      </c>
    </row>
    <row r="275" ht="16.5" spans="1:7">
      <c r="A275" s="81">
        <v>46179</v>
      </c>
      <c r="B275" s="82" t="s">
        <v>35</v>
      </c>
      <c r="C275" s="10" t="s">
        <v>97</v>
      </c>
      <c r="D275" s="83" t="s">
        <v>96</v>
      </c>
      <c r="E275" s="82" t="s">
        <v>877</v>
      </c>
      <c r="F275" s="399" t="s">
        <v>1051</v>
      </c>
      <c r="G275" s="86">
        <v>20</v>
      </c>
    </row>
    <row r="276" ht="16.5" spans="1:7">
      <c r="A276" s="81">
        <v>46181</v>
      </c>
      <c r="B276" s="82" t="s">
        <v>35</v>
      </c>
      <c r="C276" s="10" t="s">
        <v>152</v>
      </c>
      <c r="D276" s="83" t="s">
        <v>151</v>
      </c>
      <c r="E276" s="82" t="s">
        <v>877</v>
      </c>
      <c r="F276" s="104" t="s">
        <v>1052</v>
      </c>
      <c r="G276" s="86">
        <v>20</v>
      </c>
    </row>
    <row r="277" ht="16.5" spans="1:7">
      <c r="A277" s="81">
        <v>46180</v>
      </c>
      <c r="B277" s="82" t="s">
        <v>35</v>
      </c>
      <c r="C277" s="10" t="s">
        <v>88</v>
      </c>
      <c r="D277" s="83" t="s">
        <v>87</v>
      </c>
      <c r="E277" s="82" t="s">
        <v>877</v>
      </c>
      <c r="F277" s="106" t="s">
        <v>882</v>
      </c>
      <c r="G277" s="86">
        <v>5</v>
      </c>
    </row>
    <row r="278" ht="16.5" spans="1:7">
      <c r="A278" s="81">
        <v>46181</v>
      </c>
      <c r="B278" s="82" t="s">
        <v>35</v>
      </c>
      <c r="C278" s="10" t="s">
        <v>88</v>
      </c>
      <c r="D278" s="83" t="s">
        <v>87</v>
      </c>
      <c r="E278" s="82" t="s">
        <v>877</v>
      </c>
      <c r="F278" s="105" t="s">
        <v>973</v>
      </c>
      <c r="G278" s="86">
        <v>10</v>
      </c>
    </row>
    <row r="279" ht="16.5" spans="1:7">
      <c r="A279" s="81">
        <v>46181</v>
      </c>
      <c r="B279" s="82" t="s">
        <v>35</v>
      </c>
      <c r="C279" s="10" t="s">
        <v>139</v>
      </c>
      <c r="D279" s="83" t="s">
        <v>130</v>
      </c>
      <c r="E279" s="82" t="s">
        <v>877</v>
      </c>
      <c r="F279" s="105" t="s">
        <v>1053</v>
      </c>
      <c r="G279" s="86">
        <v>30</v>
      </c>
    </row>
    <row r="280" ht="16.5" spans="1:7">
      <c r="A280" s="81">
        <v>46179</v>
      </c>
      <c r="B280" s="82" t="s">
        <v>35</v>
      </c>
      <c r="C280" s="10" t="s">
        <v>139</v>
      </c>
      <c r="D280" s="83" t="s">
        <v>130</v>
      </c>
      <c r="E280" s="82" t="s">
        <v>877</v>
      </c>
      <c r="F280" s="10" t="s">
        <v>1054</v>
      </c>
      <c r="G280" s="86">
        <v>15</v>
      </c>
    </row>
    <row r="281" ht="16.5" spans="1:7">
      <c r="A281" s="81">
        <v>46180</v>
      </c>
      <c r="B281" s="82" t="s">
        <v>35</v>
      </c>
      <c r="C281" s="10" t="s">
        <v>139</v>
      </c>
      <c r="D281" s="83" t="s">
        <v>130</v>
      </c>
      <c r="E281" s="82" t="s">
        <v>877</v>
      </c>
      <c r="F281" s="85" t="s">
        <v>961</v>
      </c>
      <c r="G281" s="86">
        <v>10</v>
      </c>
    </row>
    <row r="282" ht="16.5" spans="1:7">
      <c r="A282" s="81">
        <v>46181</v>
      </c>
      <c r="B282" s="82" t="s">
        <v>35</v>
      </c>
      <c r="C282" s="10" t="s">
        <v>454</v>
      </c>
      <c r="D282" s="83" t="s">
        <v>138</v>
      </c>
      <c r="E282" s="82" t="s">
        <v>877</v>
      </c>
      <c r="F282" s="85" t="s">
        <v>1053</v>
      </c>
      <c r="G282" s="86">
        <v>30</v>
      </c>
    </row>
    <row r="283" ht="16.5" spans="1:7">
      <c r="A283" s="81">
        <v>46179</v>
      </c>
      <c r="B283" s="82" t="s">
        <v>35</v>
      </c>
      <c r="C283" s="10" t="s">
        <v>454</v>
      </c>
      <c r="D283" s="83" t="s">
        <v>138</v>
      </c>
      <c r="E283" s="82" t="s">
        <v>877</v>
      </c>
      <c r="F283" s="85" t="s">
        <v>1054</v>
      </c>
      <c r="G283" s="86">
        <v>15</v>
      </c>
    </row>
    <row r="284" ht="16.5" spans="1:7">
      <c r="A284" s="81">
        <v>46180</v>
      </c>
      <c r="B284" s="82" t="s">
        <v>35</v>
      </c>
      <c r="C284" s="10" t="s">
        <v>454</v>
      </c>
      <c r="D284" s="83" t="s">
        <v>138</v>
      </c>
      <c r="E284" s="82" t="s">
        <v>877</v>
      </c>
      <c r="F284" s="85" t="s">
        <v>911</v>
      </c>
      <c r="G284" s="86">
        <v>10</v>
      </c>
    </row>
    <row r="285" ht="16.5" spans="1:7">
      <c r="A285" s="81">
        <v>46181</v>
      </c>
      <c r="B285" s="82" t="s">
        <v>35</v>
      </c>
      <c r="C285" s="10" t="s">
        <v>70</v>
      </c>
      <c r="D285" s="83" t="s">
        <v>69</v>
      </c>
      <c r="E285" s="82" t="s">
        <v>877</v>
      </c>
      <c r="F285" s="85" t="s">
        <v>1055</v>
      </c>
      <c r="G285" s="86">
        <v>15</v>
      </c>
    </row>
    <row r="286" ht="16.5" spans="1:7">
      <c r="A286" s="81">
        <v>46181</v>
      </c>
      <c r="B286" s="82" t="s">
        <v>35</v>
      </c>
      <c r="C286" s="10" t="s">
        <v>70</v>
      </c>
      <c r="D286" s="83" t="s">
        <v>69</v>
      </c>
      <c r="E286" s="82" t="s">
        <v>877</v>
      </c>
      <c r="F286" s="85" t="s">
        <v>922</v>
      </c>
      <c r="G286" s="86">
        <v>10</v>
      </c>
    </row>
    <row r="287" ht="16.5" spans="1:7">
      <c r="A287" s="81">
        <v>46180</v>
      </c>
      <c r="B287" s="82" t="s">
        <v>35</v>
      </c>
      <c r="C287" s="10" t="s">
        <v>91</v>
      </c>
      <c r="D287" s="83" t="s">
        <v>90</v>
      </c>
      <c r="E287" s="82" t="s">
        <v>877</v>
      </c>
      <c r="F287" s="85" t="s">
        <v>1056</v>
      </c>
      <c r="G287" s="86">
        <v>63</v>
      </c>
    </row>
    <row r="288" ht="16.5" spans="1:7">
      <c r="A288" s="81">
        <v>46180</v>
      </c>
      <c r="B288" s="82" t="s">
        <v>35</v>
      </c>
      <c r="C288" s="10" t="s">
        <v>91</v>
      </c>
      <c r="D288" s="83" t="s">
        <v>90</v>
      </c>
      <c r="E288" s="82" t="s">
        <v>877</v>
      </c>
      <c r="F288" s="105" t="s">
        <v>1057</v>
      </c>
      <c r="G288" s="86">
        <v>20</v>
      </c>
    </row>
    <row r="289" ht="16.5" spans="1:7">
      <c r="A289" s="81">
        <v>46179</v>
      </c>
      <c r="B289" s="82" t="s">
        <v>35</v>
      </c>
      <c r="C289" s="10" t="s">
        <v>91</v>
      </c>
      <c r="D289" s="83" t="s">
        <v>90</v>
      </c>
      <c r="E289" s="82" t="s">
        <v>877</v>
      </c>
      <c r="F289" s="85" t="s">
        <v>940</v>
      </c>
      <c r="G289" s="86">
        <v>15</v>
      </c>
    </row>
    <row r="290" ht="16.5" spans="1:7">
      <c r="A290" s="81">
        <v>46180</v>
      </c>
      <c r="B290" s="82" t="s">
        <v>35</v>
      </c>
      <c r="C290" s="10" t="s">
        <v>91</v>
      </c>
      <c r="D290" s="83" t="s">
        <v>90</v>
      </c>
      <c r="E290" s="82" t="s">
        <v>877</v>
      </c>
      <c r="F290" s="85" t="s">
        <v>880</v>
      </c>
      <c r="G290" s="86">
        <v>15</v>
      </c>
    </row>
    <row r="291" ht="16.5" spans="1:7">
      <c r="A291" s="81">
        <v>46180</v>
      </c>
      <c r="B291" s="82" t="s">
        <v>35</v>
      </c>
      <c r="C291" s="10" t="s">
        <v>91</v>
      </c>
      <c r="D291" s="83" t="s">
        <v>90</v>
      </c>
      <c r="E291" s="82" t="s">
        <v>877</v>
      </c>
      <c r="F291" s="85" t="s">
        <v>911</v>
      </c>
      <c r="G291" s="86">
        <v>10</v>
      </c>
    </row>
    <row r="292" ht="16.5" spans="1:7">
      <c r="A292" s="81">
        <v>46180</v>
      </c>
      <c r="B292" s="82" t="s">
        <v>35</v>
      </c>
      <c r="C292" s="10" t="s">
        <v>73</v>
      </c>
      <c r="D292" s="83" t="s">
        <v>72</v>
      </c>
      <c r="E292" s="82" t="s">
        <v>877</v>
      </c>
      <c r="F292" s="85" t="s">
        <v>1058</v>
      </c>
      <c r="G292" s="86">
        <v>35</v>
      </c>
    </row>
    <row r="293" ht="16.5" spans="1:7">
      <c r="A293" s="81">
        <v>46179</v>
      </c>
      <c r="B293" s="82" t="s">
        <v>35</v>
      </c>
      <c r="C293" s="10" t="s">
        <v>73</v>
      </c>
      <c r="D293" s="83" t="s">
        <v>72</v>
      </c>
      <c r="E293" s="82" t="s">
        <v>877</v>
      </c>
      <c r="F293" s="85" t="s">
        <v>1059</v>
      </c>
      <c r="G293" s="86">
        <v>15</v>
      </c>
    </row>
    <row r="294" ht="16.5" spans="1:7">
      <c r="A294" s="81">
        <v>46181</v>
      </c>
      <c r="B294" s="82" t="s">
        <v>35</v>
      </c>
      <c r="C294" s="10" t="s">
        <v>73</v>
      </c>
      <c r="D294" s="83" t="s">
        <v>72</v>
      </c>
      <c r="E294" s="82" t="s">
        <v>877</v>
      </c>
      <c r="F294" s="85" t="s">
        <v>1060</v>
      </c>
      <c r="G294" s="86">
        <v>20</v>
      </c>
    </row>
    <row r="295" ht="16.5" spans="1:7">
      <c r="A295" s="87">
        <v>46181</v>
      </c>
      <c r="B295" s="82" t="s">
        <v>35</v>
      </c>
      <c r="C295" s="10" t="s">
        <v>109</v>
      </c>
      <c r="D295" s="83" t="s">
        <v>108</v>
      </c>
      <c r="E295" s="82" t="s">
        <v>877</v>
      </c>
      <c r="F295" s="85" t="s">
        <v>1061</v>
      </c>
      <c r="G295" s="86">
        <v>15</v>
      </c>
    </row>
    <row r="296" ht="16.5" spans="1:7">
      <c r="A296" s="81">
        <v>46181</v>
      </c>
      <c r="B296" s="82" t="s">
        <v>35</v>
      </c>
      <c r="C296" s="10" t="s">
        <v>109</v>
      </c>
      <c r="D296" s="83" t="s">
        <v>108</v>
      </c>
      <c r="E296" s="82" t="s">
        <v>877</v>
      </c>
      <c r="F296" s="85" t="s">
        <v>930</v>
      </c>
      <c r="G296" s="86">
        <v>15</v>
      </c>
    </row>
    <row r="297" ht="16.5" spans="1:7">
      <c r="A297" s="81">
        <v>46179</v>
      </c>
      <c r="B297" s="82" t="s">
        <v>35</v>
      </c>
      <c r="C297" s="10" t="s">
        <v>82</v>
      </c>
      <c r="D297" s="83" t="s">
        <v>81</v>
      </c>
      <c r="E297" s="82" t="s">
        <v>877</v>
      </c>
      <c r="F297" s="85" t="s">
        <v>1062</v>
      </c>
      <c r="G297" s="86">
        <v>30</v>
      </c>
    </row>
    <row r="298" ht="16.5" spans="1:7">
      <c r="A298" s="81">
        <v>46180</v>
      </c>
      <c r="B298" s="82" t="s">
        <v>35</v>
      </c>
      <c r="C298" s="10" t="s">
        <v>82</v>
      </c>
      <c r="D298" s="83" t="s">
        <v>81</v>
      </c>
      <c r="E298" s="82" t="s">
        <v>877</v>
      </c>
      <c r="F298" s="85" t="s">
        <v>1063</v>
      </c>
      <c r="G298" s="86">
        <v>20</v>
      </c>
    </row>
    <row r="299" ht="16.5" spans="1:7">
      <c r="A299" s="81">
        <v>46181</v>
      </c>
      <c r="B299" s="82" t="s">
        <v>35</v>
      </c>
      <c r="C299" s="10" t="s">
        <v>82</v>
      </c>
      <c r="D299" s="83" t="s">
        <v>81</v>
      </c>
      <c r="E299" s="82" t="s">
        <v>877</v>
      </c>
      <c r="F299" s="85" t="s">
        <v>1064</v>
      </c>
      <c r="G299" s="86">
        <v>17</v>
      </c>
    </row>
    <row r="300" ht="16.5" spans="1:7">
      <c r="A300" s="81">
        <v>46181</v>
      </c>
      <c r="B300" s="82" t="s">
        <v>35</v>
      </c>
      <c r="C300" s="10" t="s">
        <v>142</v>
      </c>
      <c r="D300" s="83" t="s">
        <v>141</v>
      </c>
      <c r="E300" s="82" t="s">
        <v>877</v>
      </c>
      <c r="F300" s="105" t="s">
        <v>1065</v>
      </c>
      <c r="G300" s="86">
        <v>30</v>
      </c>
    </row>
    <row r="301" ht="16.5" spans="1:7">
      <c r="A301" s="81">
        <v>46181</v>
      </c>
      <c r="B301" s="82" t="s">
        <v>35</v>
      </c>
      <c r="C301" s="10" t="s">
        <v>142</v>
      </c>
      <c r="D301" s="83" t="s">
        <v>141</v>
      </c>
      <c r="E301" s="82" t="s">
        <v>877</v>
      </c>
      <c r="F301" s="105" t="s">
        <v>930</v>
      </c>
      <c r="G301" s="86">
        <v>15</v>
      </c>
    </row>
    <row r="302" ht="16.5" spans="1:7">
      <c r="A302" s="87">
        <v>46181</v>
      </c>
      <c r="B302" s="82" t="s">
        <v>35</v>
      </c>
      <c r="C302" s="10" t="s">
        <v>61</v>
      </c>
      <c r="D302" s="83" t="s">
        <v>60</v>
      </c>
      <c r="E302" s="82" t="s">
        <v>877</v>
      </c>
      <c r="F302" s="10" t="s">
        <v>1066</v>
      </c>
      <c r="G302" s="86">
        <v>15</v>
      </c>
    </row>
    <row r="303" ht="16.5" spans="1:7">
      <c r="A303" s="87">
        <v>46180</v>
      </c>
      <c r="B303" s="82" t="s">
        <v>35</v>
      </c>
      <c r="C303" s="10" t="s">
        <v>61</v>
      </c>
      <c r="D303" s="83" t="s">
        <v>60</v>
      </c>
      <c r="E303" s="82" t="s">
        <v>877</v>
      </c>
      <c r="F303" s="10" t="s">
        <v>1066</v>
      </c>
      <c r="G303" s="86">
        <v>15</v>
      </c>
    </row>
    <row r="304" ht="16.5" spans="1:7">
      <c r="A304" s="87">
        <v>46181</v>
      </c>
      <c r="B304" s="82" t="s">
        <v>35</v>
      </c>
      <c r="C304" s="10" t="s">
        <v>61</v>
      </c>
      <c r="D304" s="83" t="s">
        <v>60</v>
      </c>
      <c r="E304" s="82" t="s">
        <v>877</v>
      </c>
      <c r="F304" s="10" t="s">
        <v>926</v>
      </c>
      <c r="G304" s="86">
        <v>5</v>
      </c>
    </row>
    <row r="305" ht="16.5" spans="1:7">
      <c r="A305" s="87">
        <v>46181</v>
      </c>
      <c r="B305" s="82" t="s">
        <v>35</v>
      </c>
      <c r="C305" s="85" t="s">
        <v>106</v>
      </c>
      <c r="D305" s="83" t="s">
        <v>105</v>
      </c>
      <c r="E305" s="82" t="s">
        <v>877</v>
      </c>
      <c r="F305" s="10" t="s">
        <v>1067</v>
      </c>
      <c r="G305" s="86">
        <v>30</v>
      </c>
    </row>
    <row r="306" ht="16.5" spans="1:7">
      <c r="A306" s="87">
        <v>46181</v>
      </c>
      <c r="B306" s="82" t="s">
        <v>35</v>
      </c>
      <c r="C306" s="85" t="s">
        <v>106</v>
      </c>
      <c r="D306" s="83" t="s">
        <v>105</v>
      </c>
      <c r="E306" s="82" t="s">
        <v>877</v>
      </c>
      <c r="F306" s="10" t="s">
        <v>904</v>
      </c>
      <c r="G306" s="86">
        <v>10</v>
      </c>
    </row>
    <row r="307" ht="33" spans="1:7">
      <c r="A307" s="81">
        <v>46181</v>
      </c>
      <c r="B307" s="82" t="s">
        <v>35</v>
      </c>
      <c r="C307" s="82" t="s">
        <v>76</v>
      </c>
      <c r="D307" s="83" t="s">
        <v>75</v>
      </c>
      <c r="E307" s="82" t="s">
        <v>877</v>
      </c>
      <c r="F307" s="83" t="s">
        <v>1068</v>
      </c>
      <c r="G307" s="84">
        <v>2800</v>
      </c>
    </row>
    <row r="308" ht="16.5" spans="1:7">
      <c r="A308" s="81">
        <v>46182</v>
      </c>
      <c r="B308" s="82" t="s">
        <v>250</v>
      </c>
      <c r="C308" s="82" t="s">
        <v>943</v>
      </c>
      <c r="D308" s="83" t="s">
        <v>160</v>
      </c>
      <c r="E308" s="82" t="s">
        <v>877</v>
      </c>
      <c r="F308" s="83" t="s">
        <v>1069</v>
      </c>
      <c r="G308" s="84">
        <v>445</v>
      </c>
    </row>
    <row r="309" ht="17.25" spans="1:7">
      <c r="A309" s="81">
        <v>46180</v>
      </c>
      <c r="B309" s="82" t="s">
        <v>250</v>
      </c>
      <c r="C309" s="82" t="s">
        <v>1070</v>
      </c>
      <c r="D309" s="83" t="s">
        <v>160</v>
      </c>
      <c r="E309" s="82" t="s">
        <v>877</v>
      </c>
      <c r="F309" s="400" t="s">
        <v>1071</v>
      </c>
      <c r="G309" s="84">
        <v>434</v>
      </c>
    </row>
    <row r="310" ht="34.5" spans="1:7">
      <c r="A310" s="81">
        <v>46182</v>
      </c>
      <c r="B310" s="82" t="s">
        <v>250</v>
      </c>
      <c r="C310" s="82" t="s">
        <v>943</v>
      </c>
      <c r="D310" s="83" t="s">
        <v>160</v>
      </c>
      <c r="E310" s="82" t="s">
        <v>877</v>
      </c>
      <c r="F310" s="112" t="s">
        <v>1072</v>
      </c>
      <c r="G310" s="84">
        <f>43+86+69+170</f>
        <v>368</v>
      </c>
    </row>
    <row r="311" ht="16.5" spans="1:7">
      <c r="A311" s="81">
        <v>46181</v>
      </c>
      <c r="B311" s="82" t="s">
        <v>35</v>
      </c>
      <c r="C311" s="10" t="s">
        <v>67</v>
      </c>
      <c r="D311" s="83" t="s">
        <v>66</v>
      </c>
      <c r="E311" s="82" t="s">
        <v>877</v>
      </c>
      <c r="F311" s="85" t="s">
        <v>972</v>
      </c>
      <c r="G311" s="86">
        <v>10</v>
      </c>
    </row>
    <row r="312" ht="16.5" spans="1:7">
      <c r="A312" s="81">
        <v>46182</v>
      </c>
      <c r="B312" s="82" t="s">
        <v>35</v>
      </c>
      <c r="C312" s="10" t="s">
        <v>67</v>
      </c>
      <c r="D312" s="83" t="s">
        <v>66</v>
      </c>
      <c r="E312" s="82" t="s">
        <v>877</v>
      </c>
      <c r="F312" s="85" t="s">
        <v>907</v>
      </c>
      <c r="G312" s="86">
        <v>15</v>
      </c>
    </row>
    <row r="313" ht="16.5" spans="1:7">
      <c r="A313" s="81">
        <v>46182</v>
      </c>
      <c r="B313" s="82" t="s">
        <v>35</v>
      </c>
      <c r="C313" s="10" t="s">
        <v>55</v>
      </c>
      <c r="D313" s="83" t="s">
        <v>54</v>
      </c>
      <c r="E313" s="82" t="s">
        <v>877</v>
      </c>
      <c r="F313" s="85" t="s">
        <v>893</v>
      </c>
      <c r="G313" s="86">
        <v>15</v>
      </c>
    </row>
    <row r="314" ht="16.5" spans="1:7">
      <c r="A314" s="81">
        <v>46181</v>
      </c>
      <c r="B314" s="82" t="s">
        <v>35</v>
      </c>
      <c r="C314" s="10" t="s">
        <v>55</v>
      </c>
      <c r="D314" s="83" t="s">
        <v>54</v>
      </c>
      <c r="E314" s="82" t="s">
        <v>877</v>
      </c>
      <c r="F314" s="85" t="s">
        <v>902</v>
      </c>
      <c r="G314" s="86">
        <v>10</v>
      </c>
    </row>
    <row r="315" ht="16.5" spans="1:7">
      <c r="A315" s="81">
        <v>46180</v>
      </c>
      <c r="B315" s="82" t="s">
        <v>35</v>
      </c>
      <c r="C315" s="10" t="s">
        <v>94</v>
      </c>
      <c r="D315" s="83" t="s">
        <v>93</v>
      </c>
      <c r="E315" s="82" t="s">
        <v>877</v>
      </c>
      <c r="F315" s="85" t="s">
        <v>1073</v>
      </c>
      <c r="G315" s="86">
        <v>35</v>
      </c>
    </row>
    <row r="316" ht="16.5" spans="1:7">
      <c r="A316" s="81">
        <v>46181</v>
      </c>
      <c r="B316" s="82" t="s">
        <v>35</v>
      </c>
      <c r="C316" s="10" t="s">
        <v>94</v>
      </c>
      <c r="D316" s="83" t="s">
        <v>93</v>
      </c>
      <c r="E316" s="82" t="s">
        <v>877</v>
      </c>
      <c r="F316" s="85" t="s">
        <v>880</v>
      </c>
      <c r="G316" s="86">
        <v>15</v>
      </c>
    </row>
    <row r="317" ht="16.5" spans="1:7">
      <c r="A317" s="81">
        <v>46181</v>
      </c>
      <c r="B317" s="82" t="s">
        <v>35</v>
      </c>
      <c r="C317" s="10" t="s">
        <v>94</v>
      </c>
      <c r="D317" s="83" t="s">
        <v>93</v>
      </c>
      <c r="E317" s="82" t="s">
        <v>877</v>
      </c>
      <c r="F317" s="106" t="s">
        <v>889</v>
      </c>
      <c r="G317" s="86">
        <v>20</v>
      </c>
    </row>
    <row r="318" ht="16.5" spans="1:7">
      <c r="A318" s="81">
        <v>46182</v>
      </c>
      <c r="B318" s="82" t="s">
        <v>35</v>
      </c>
      <c r="C318" s="10" t="s">
        <v>103</v>
      </c>
      <c r="D318" s="83" t="s">
        <v>102</v>
      </c>
      <c r="E318" s="82" t="s">
        <v>877</v>
      </c>
      <c r="F318" s="85" t="s">
        <v>1074</v>
      </c>
      <c r="G318" s="86">
        <v>25</v>
      </c>
    </row>
    <row r="319" ht="16.5" spans="1:7">
      <c r="A319" s="81">
        <v>46181</v>
      </c>
      <c r="B319" s="82" t="s">
        <v>35</v>
      </c>
      <c r="C319" s="10" t="s">
        <v>103</v>
      </c>
      <c r="D319" s="83" t="s">
        <v>102</v>
      </c>
      <c r="E319" s="82" t="s">
        <v>877</v>
      </c>
      <c r="F319" s="85" t="s">
        <v>1059</v>
      </c>
      <c r="G319" s="86">
        <v>15</v>
      </c>
    </row>
    <row r="320" ht="16.5" spans="1:7">
      <c r="A320" s="81">
        <v>46182</v>
      </c>
      <c r="B320" s="82" t="s">
        <v>35</v>
      </c>
      <c r="C320" s="10" t="s">
        <v>103</v>
      </c>
      <c r="D320" s="83" t="s">
        <v>102</v>
      </c>
      <c r="E320" s="82" t="s">
        <v>877</v>
      </c>
      <c r="F320" s="85" t="s">
        <v>939</v>
      </c>
      <c r="G320" s="86">
        <v>20</v>
      </c>
    </row>
    <row r="321" ht="16.5" spans="1:7">
      <c r="A321" s="81">
        <v>46181</v>
      </c>
      <c r="B321" s="82" t="s">
        <v>35</v>
      </c>
      <c r="C321" s="10" t="s">
        <v>85</v>
      </c>
      <c r="D321" s="83" t="s">
        <v>84</v>
      </c>
      <c r="E321" s="82" t="s">
        <v>877</v>
      </c>
      <c r="F321" s="85" t="s">
        <v>1075</v>
      </c>
      <c r="G321" s="86">
        <v>30</v>
      </c>
    </row>
    <row r="322" ht="16.5" spans="1:7">
      <c r="A322" s="81">
        <v>46182</v>
      </c>
      <c r="B322" s="82" t="s">
        <v>35</v>
      </c>
      <c r="C322" s="10" t="s">
        <v>85</v>
      </c>
      <c r="D322" s="83" t="s">
        <v>84</v>
      </c>
      <c r="E322" s="82" t="s">
        <v>877</v>
      </c>
      <c r="F322" s="104" t="s">
        <v>880</v>
      </c>
      <c r="G322" s="86">
        <v>15</v>
      </c>
    </row>
    <row r="323" ht="16.5" spans="1:7">
      <c r="A323" s="81">
        <v>46182</v>
      </c>
      <c r="B323" s="82" t="s">
        <v>35</v>
      </c>
      <c r="C323" s="10" t="s">
        <v>85</v>
      </c>
      <c r="D323" s="83" t="s">
        <v>84</v>
      </c>
      <c r="E323" s="82" t="s">
        <v>877</v>
      </c>
      <c r="F323" s="399" t="s">
        <v>1076</v>
      </c>
      <c r="G323" s="86">
        <v>12.5</v>
      </c>
    </row>
    <row r="324" ht="16.5" spans="1:7">
      <c r="A324" s="81">
        <v>46182</v>
      </c>
      <c r="B324" s="82" t="s">
        <v>35</v>
      </c>
      <c r="C324" s="10" t="s">
        <v>122</v>
      </c>
      <c r="D324" s="83" t="s">
        <v>172</v>
      </c>
      <c r="E324" s="82" t="s">
        <v>877</v>
      </c>
      <c r="F324" s="106" t="s">
        <v>907</v>
      </c>
      <c r="G324" s="86">
        <v>15</v>
      </c>
    </row>
    <row r="325" ht="16.5" spans="1:7">
      <c r="A325" s="81">
        <v>46181</v>
      </c>
      <c r="B325" s="82" t="s">
        <v>35</v>
      </c>
      <c r="C325" s="10" t="s">
        <v>122</v>
      </c>
      <c r="D325" s="83" t="s">
        <v>172</v>
      </c>
      <c r="E325" s="82" t="s">
        <v>877</v>
      </c>
      <c r="F325" s="105" t="s">
        <v>1077</v>
      </c>
      <c r="G325" s="86">
        <v>10</v>
      </c>
    </row>
    <row r="326" ht="16.5" spans="1:7">
      <c r="A326" s="81">
        <v>46181</v>
      </c>
      <c r="B326" s="82" t="s">
        <v>35</v>
      </c>
      <c r="C326" s="10" t="s">
        <v>122</v>
      </c>
      <c r="D326" s="83" t="s">
        <v>172</v>
      </c>
      <c r="E326" s="82" t="s">
        <v>877</v>
      </c>
      <c r="F326" s="105" t="s">
        <v>926</v>
      </c>
      <c r="G326" s="86">
        <v>5</v>
      </c>
    </row>
    <row r="327" ht="16.5" spans="1:7">
      <c r="A327" s="81">
        <v>46180</v>
      </c>
      <c r="B327" s="82" t="s">
        <v>35</v>
      </c>
      <c r="C327" s="10" t="s">
        <v>100</v>
      </c>
      <c r="D327" s="83" t="s">
        <v>99</v>
      </c>
      <c r="E327" s="82" t="s">
        <v>877</v>
      </c>
      <c r="F327" s="10" t="s">
        <v>1078</v>
      </c>
      <c r="G327" s="86">
        <v>60</v>
      </c>
    </row>
    <row r="328" ht="16.5" spans="1:7">
      <c r="A328" s="81">
        <v>46182</v>
      </c>
      <c r="B328" s="82" t="s">
        <v>35</v>
      </c>
      <c r="C328" s="10" t="s">
        <v>100</v>
      </c>
      <c r="D328" s="83" t="s">
        <v>99</v>
      </c>
      <c r="E328" s="82" t="s">
        <v>877</v>
      </c>
      <c r="F328" s="85" t="s">
        <v>918</v>
      </c>
      <c r="G328" s="86">
        <v>15</v>
      </c>
    </row>
    <row r="329" ht="16.5" spans="1:7">
      <c r="A329" s="81">
        <v>46181</v>
      </c>
      <c r="B329" s="82" t="s">
        <v>35</v>
      </c>
      <c r="C329" s="10" t="s">
        <v>100</v>
      </c>
      <c r="D329" s="83" t="s">
        <v>99</v>
      </c>
      <c r="E329" s="82" t="s">
        <v>877</v>
      </c>
      <c r="F329" s="85" t="s">
        <v>920</v>
      </c>
      <c r="G329" s="86">
        <v>10</v>
      </c>
    </row>
    <row r="330" ht="16.5" spans="1:7">
      <c r="A330" s="81">
        <v>46182</v>
      </c>
      <c r="B330" s="82" t="s">
        <v>35</v>
      </c>
      <c r="C330" s="10" t="s">
        <v>115</v>
      </c>
      <c r="D330" s="83" t="s">
        <v>114</v>
      </c>
      <c r="E330" s="82" t="s">
        <v>877</v>
      </c>
      <c r="F330" s="85" t="s">
        <v>908</v>
      </c>
      <c r="G330" s="86">
        <v>15</v>
      </c>
    </row>
    <row r="331" ht="16.5" spans="1:7">
      <c r="A331" s="81">
        <v>46182</v>
      </c>
      <c r="B331" s="82" t="s">
        <v>35</v>
      </c>
      <c r="C331" s="10" t="s">
        <v>115</v>
      </c>
      <c r="D331" s="83" t="s">
        <v>114</v>
      </c>
      <c r="E331" s="82" t="s">
        <v>877</v>
      </c>
      <c r="F331" s="85" t="s">
        <v>902</v>
      </c>
      <c r="G331" s="86">
        <v>10</v>
      </c>
    </row>
    <row r="332" ht="16.5" spans="1:7">
      <c r="A332" s="81">
        <v>46182</v>
      </c>
      <c r="B332" s="82" t="s">
        <v>35</v>
      </c>
      <c r="C332" s="10" t="s">
        <v>88</v>
      </c>
      <c r="D332" s="83" t="s">
        <v>87</v>
      </c>
      <c r="E332" s="82" t="s">
        <v>877</v>
      </c>
      <c r="F332" s="85" t="s">
        <v>893</v>
      </c>
      <c r="G332" s="86">
        <v>15</v>
      </c>
    </row>
    <row r="333" ht="16.5" spans="1:7">
      <c r="A333" s="81">
        <v>46181</v>
      </c>
      <c r="B333" s="82" t="s">
        <v>35</v>
      </c>
      <c r="C333" s="10" t="s">
        <v>88</v>
      </c>
      <c r="D333" s="83" t="s">
        <v>87</v>
      </c>
      <c r="E333" s="82" t="s">
        <v>877</v>
      </c>
      <c r="F333" s="85" t="s">
        <v>882</v>
      </c>
      <c r="G333" s="86">
        <v>5</v>
      </c>
    </row>
    <row r="334" ht="16.5" spans="1:7">
      <c r="A334" s="81">
        <v>46180</v>
      </c>
      <c r="B334" s="82" t="s">
        <v>35</v>
      </c>
      <c r="C334" s="10" t="s">
        <v>145</v>
      </c>
      <c r="D334" s="83" t="s">
        <v>144</v>
      </c>
      <c r="E334" s="82" t="s">
        <v>877</v>
      </c>
      <c r="F334" s="85" t="s">
        <v>893</v>
      </c>
      <c r="G334" s="86">
        <v>15</v>
      </c>
    </row>
    <row r="335" ht="16.5" spans="1:7">
      <c r="A335" s="81">
        <v>46181</v>
      </c>
      <c r="B335" s="82" t="s">
        <v>35</v>
      </c>
      <c r="C335" s="10" t="s">
        <v>145</v>
      </c>
      <c r="D335" s="83" t="s">
        <v>144</v>
      </c>
      <c r="E335" s="82" t="s">
        <v>877</v>
      </c>
      <c r="F335" s="85" t="s">
        <v>893</v>
      </c>
      <c r="G335" s="86">
        <v>15</v>
      </c>
    </row>
    <row r="336" ht="16.5" spans="1:7">
      <c r="A336" s="81">
        <v>46181</v>
      </c>
      <c r="B336" s="82" t="s">
        <v>35</v>
      </c>
      <c r="C336" s="10" t="s">
        <v>145</v>
      </c>
      <c r="D336" s="83" t="s">
        <v>144</v>
      </c>
      <c r="E336" s="82" t="s">
        <v>877</v>
      </c>
      <c r="F336" s="85" t="s">
        <v>915</v>
      </c>
      <c r="G336" s="86">
        <v>10</v>
      </c>
    </row>
    <row r="337" ht="16.5" spans="1:7">
      <c r="A337" s="81">
        <v>46181</v>
      </c>
      <c r="B337" s="82" t="s">
        <v>35</v>
      </c>
      <c r="C337" s="10" t="s">
        <v>58</v>
      </c>
      <c r="D337" s="83" t="s">
        <v>57</v>
      </c>
      <c r="E337" s="82" t="s">
        <v>877</v>
      </c>
      <c r="F337" s="85" t="s">
        <v>957</v>
      </c>
      <c r="G337" s="86">
        <v>30</v>
      </c>
    </row>
    <row r="338" ht="16.5" spans="1:7">
      <c r="A338" s="81">
        <v>46182</v>
      </c>
      <c r="B338" s="82" t="s">
        <v>35</v>
      </c>
      <c r="C338" s="10" t="s">
        <v>58</v>
      </c>
      <c r="D338" s="83" t="s">
        <v>57</v>
      </c>
      <c r="E338" s="82" t="s">
        <v>877</v>
      </c>
      <c r="F338" s="85" t="s">
        <v>889</v>
      </c>
      <c r="G338" s="86">
        <v>20</v>
      </c>
    </row>
    <row r="339" ht="16.5" spans="1:7">
      <c r="A339" s="81">
        <v>46181</v>
      </c>
      <c r="B339" s="82" t="s">
        <v>35</v>
      </c>
      <c r="C339" s="10" t="s">
        <v>152</v>
      </c>
      <c r="D339" s="83" t="s">
        <v>151</v>
      </c>
      <c r="E339" s="82" t="s">
        <v>877</v>
      </c>
      <c r="F339" s="85" t="s">
        <v>1079</v>
      </c>
      <c r="G339" s="86">
        <v>15</v>
      </c>
    </row>
    <row r="340" ht="16.5" spans="1:7">
      <c r="A340" s="81">
        <v>46181</v>
      </c>
      <c r="B340" s="82" t="s">
        <v>35</v>
      </c>
      <c r="C340" s="10" t="s">
        <v>152</v>
      </c>
      <c r="D340" s="83" t="s">
        <v>151</v>
      </c>
      <c r="E340" s="82" t="s">
        <v>877</v>
      </c>
      <c r="F340" s="85" t="s">
        <v>882</v>
      </c>
      <c r="G340" s="86">
        <v>5</v>
      </c>
    </row>
    <row r="341" ht="16.5" spans="1:7">
      <c r="A341" s="81">
        <v>46181</v>
      </c>
      <c r="B341" s="82" t="s">
        <v>35</v>
      </c>
      <c r="C341" s="10" t="s">
        <v>128</v>
      </c>
      <c r="D341" s="83" t="s">
        <v>127</v>
      </c>
      <c r="E341" s="82" t="s">
        <v>877</v>
      </c>
      <c r="F341" s="85" t="s">
        <v>1030</v>
      </c>
      <c r="G341" s="86">
        <v>15</v>
      </c>
    </row>
    <row r="342" ht="16.5" spans="1:7">
      <c r="A342" s="81">
        <v>46182</v>
      </c>
      <c r="B342" s="82" t="s">
        <v>35</v>
      </c>
      <c r="C342" s="10" t="s">
        <v>128</v>
      </c>
      <c r="D342" s="83" t="s">
        <v>127</v>
      </c>
      <c r="E342" s="82" t="s">
        <v>877</v>
      </c>
      <c r="F342" s="85" t="s">
        <v>889</v>
      </c>
      <c r="G342" s="86">
        <v>20</v>
      </c>
    </row>
    <row r="343" ht="16.5" spans="1:7">
      <c r="A343" s="87">
        <v>46181</v>
      </c>
      <c r="B343" s="82" t="s">
        <v>35</v>
      </c>
      <c r="C343" s="10" t="s">
        <v>112</v>
      </c>
      <c r="D343" s="83" t="s">
        <v>111</v>
      </c>
      <c r="E343" s="82" t="s">
        <v>877</v>
      </c>
      <c r="F343" s="85" t="s">
        <v>1080</v>
      </c>
      <c r="G343" s="86">
        <v>10</v>
      </c>
    </row>
    <row r="344" ht="16.5" spans="1:7">
      <c r="A344" s="81">
        <v>46182</v>
      </c>
      <c r="B344" s="82" t="s">
        <v>35</v>
      </c>
      <c r="C344" s="10" t="s">
        <v>112</v>
      </c>
      <c r="D344" s="83" t="s">
        <v>111</v>
      </c>
      <c r="E344" s="82" t="s">
        <v>877</v>
      </c>
      <c r="F344" s="85" t="s">
        <v>889</v>
      </c>
      <c r="G344" s="86">
        <v>20</v>
      </c>
    </row>
    <row r="345" ht="16.5" spans="1:7">
      <c r="A345" s="81">
        <v>46182</v>
      </c>
      <c r="B345" s="82" t="s">
        <v>35</v>
      </c>
      <c r="C345" s="10" t="s">
        <v>76</v>
      </c>
      <c r="D345" s="83" t="s">
        <v>75</v>
      </c>
      <c r="E345" s="82" t="s">
        <v>877</v>
      </c>
      <c r="F345" s="85" t="s">
        <v>1081</v>
      </c>
      <c r="G345" s="86">
        <v>50</v>
      </c>
    </row>
    <row r="346" ht="16.5" spans="1:7">
      <c r="A346" s="81">
        <v>46181</v>
      </c>
      <c r="B346" s="82" t="s">
        <v>35</v>
      </c>
      <c r="C346" s="10" t="s">
        <v>76</v>
      </c>
      <c r="D346" s="83" t="s">
        <v>75</v>
      </c>
      <c r="E346" s="82" t="s">
        <v>877</v>
      </c>
      <c r="F346" s="85" t="s">
        <v>1082</v>
      </c>
      <c r="G346" s="86">
        <v>50</v>
      </c>
    </row>
    <row r="347" ht="16.5" spans="1:7">
      <c r="A347" s="81">
        <v>46181</v>
      </c>
      <c r="B347" s="82" t="s">
        <v>35</v>
      </c>
      <c r="C347" s="10" t="s">
        <v>76</v>
      </c>
      <c r="D347" s="83" t="s">
        <v>75</v>
      </c>
      <c r="E347" s="82" t="s">
        <v>877</v>
      </c>
      <c r="F347" s="85" t="s">
        <v>957</v>
      </c>
      <c r="G347" s="86">
        <v>30</v>
      </c>
    </row>
    <row r="348" ht="16.5" spans="1:7">
      <c r="A348" s="81">
        <v>46181</v>
      </c>
      <c r="B348" s="82" t="s">
        <v>35</v>
      </c>
      <c r="C348" s="10" t="s">
        <v>76</v>
      </c>
      <c r="D348" s="83" t="s">
        <v>75</v>
      </c>
      <c r="E348" s="82" t="s">
        <v>877</v>
      </c>
      <c r="F348" s="85" t="s">
        <v>926</v>
      </c>
      <c r="G348" s="86">
        <v>5</v>
      </c>
    </row>
    <row r="349" ht="16.5" spans="1:7">
      <c r="A349" s="81">
        <v>46182</v>
      </c>
      <c r="B349" s="82" t="s">
        <v>35</v>
      </c>
      <c r="C349" s="10" t="s">
        <v>178</v>
      </c>
      <c r="D349" s="83" t="s">
        <v>177</v>
      </c>
      <c r="E349" s="82" t="s">
        <v>877</v>
      </c>
      <c r="F349" s="105" t="s">
        <v>1083</v>
      </c>
      <c r="G349" s="86">
        <v>10</v>
      </c>
    </row>
    <row r="350" ht="16.5" spans="1:7">
      <c r="A350" s="87">
        <v>46180</v>
      </c>
      <c r="B350" s="82" t="s">
        <v>35</v>
      </c>
      <c r="C350" s="10" t="s">
        <v>178</v>
      </c>
      <c r="D350" s="83" t="s">
        <v>177</v>
      </c>
      <c r="E350" s="82" t="s">
        <v>877</v>
      </c>
      <c r="F350" s="10" t="s">
        <v>1084</v>
      </c>
      <c r="G350" s="86">
        <v>10</v>
      </c>
    </row>
    <row r="351" ht="16.5" spans="1:7">
      <c r="A351" s="87">
        <v>46181</v>
      </c>
      <c r="B351" s="82" t="s">
        <v>35</v>
      </c>
      <c r="C351" s="10" t="s">
        <v>178</v>
      </c>
      <c r="D351" s="83" t="s">
        <v>177</v>
      </c>
      <c r="E351" s="82" t="s">
        <v>877</v>
      </c>
      <c r="F351" s="10" t="s">
        <v>1008</v>
      </c>
      <c r="G351" s="86">
        <v>25</v>
      </c>
    </row>
    <row r="352" ht="16.5" spans="1:7">
      <c r="A352" s="87">
        <v>46182</v>
      </c>
      <c r="B352" s="82" t="s">
        <v>35</v>
      </c>
      <c r="C352" s="10" t="s">
        <v>55</v>
      </c>
      <c r="D352" s="83" t="s">
        <v>54</v>
      </c>
      <c r="E352" s="82" t="s">
        <v>877</v>
      </c>
      <c r="F352" s="10" t="s">
        <v>902</v>
      </c>
      <c r="G352" s="86">
        <v>10</v>
      </c>
    </row>
    <row r="353" ht="17.25" spans="1:7">
      <c r="A353" s="81">
        <v>46183</v>
      </c>
      <c r="B353" s="82" t="s">
        <v>250</v>
      </c>
      <c r="C353" s="82" t="s">
        <v>894</v>
      </c>
      <c r="D353" s="83" t="s">
        <v>180</v>
      </c>
      <c r="E353" s="82" t="s">
        <v>877</v>
      </c>
      <c r="F353" s="111" t="s">
        <v>1085</v>
      </c>
      <c r="G353" s="84">
        <v>60</v>
      </c>
    </row>
    <row r="354" ht="16.5" spans="1:7">
      <c r="A354" s="81">
        <v>46182</v>
      </c>
      <c r="B354" s="82" t="s">
        <v>35</v>
      </c>
      <c r="C354" s="10" t="s">
        <v>100</v>
      </c>
      <c r="D354" s="83" t="s">
        <v>99</v>
      </c>
      <c r="E354" s="82" t="s">
        <v>877</v>
      </c>
      <c r="F354" s="85" t="s">
        <v>920</v>
      </c>
      <c r="G354" s="86">
        <v>10</v>
      </c>
    </row>
    <row r="355" ht="16.5" spans="1:7">
      <c r="A355" s="81">
        <v>46183</v>
      </c>
      <c r="B355" s="82" t="s">
        <v>35</v>
      </c>
      <c r="C355" s="10" t="s">
        <v>100</v>
      </c>
      <c r="D355" s="83" t="s">
        <v>99</v>
      </c>
      <c r="E355" s="82" t="s">
        <v>877</v>
      </c>
      <c r="F355" s="85" t="s">
        <v>1086</v>
      </c>
      <c r="G355" s="86">
        <v>10</v>
      </c>
    </row>
    <row r="356" ht="16.5" spans="1:7">
      <c r="A356" s="81">
        <v>46183</v>
      </c>
      <c r="B356" s="82" t="s">
        <v>35</v>
      </c>
      <c r="C356" s="10" t="s">
        <v>100</v>
      </c>
      <c r="D356" s="83" t="s">
        <v>99</v>
      </c>
      <c r="E356" s="82" t="s">
        <v>877</v>
      </c>
      <c r="F356" s="85" t="s">
        <v>1035</v>
      </c>
      <c r="G356" s="86">
        <v>15</v>
      </c>
    </row>
    <row r="357" ht="16.5" spans="1:7">
      <c r="A357" s="81">
        <v>46181</v>
      </c>
      <c r="B357" s="82" t="s">
        <v>35</v>
      </c>
      <c r="C357" s="10" t="s">
        <v>327</v>
      </c>
      <c r="D357" s="83" t="s">
        <v>63</v>
      </c>
      <c r="E357" s="82" t="s">
        <v>877</v>
      </c>
      <c r="F357" s="85" t="s">
        <v>1087</v>
      </c>
      <c r="G357" s="86">
        <v>30</v>
      </c>
    </row>
    <row r="358" ht="16.5" spans="1:7">
      <c r="A358" s="81">
        <v>46182</v>
      </c>
      <c r="B358" s="82" t="s">
        <v>35</v>
      </c>
      <c r="C358" s="10" t="s">
        <v>327</v>
      </c>
      <c r="D358" s="83" t="s">
        <v>63</v>
      </c>
      <c r="E358" s="82" t="s">
        <v>877</v>
      </c>
      <c r="F358" s="106" t="s">
        <v>933</v>
      </c>
      <c r="G358" s="86">
        <v>30</v>
      </c>
    </row>
    <row r="359" ht="16.5" spans="1:7">
      <c r="A359" s="81">
        <v>46182</v>
      </c>
      <c r="B359" s="82" t="s">
        <v>35</v>
      </c>
      <c r="C359" s="10" t="s">
        <v>327</v>
      </c>
      <c r="D359" s="83" t="s">
        <v>63</v>
      </c>
      <c r="E359" s="82" t="s">
        <v>877</v>
      </c>
      <c r="F359" s="85" t="s">
        <v>1088</v>
      </c>
      <c r="G359" s="86">
        <v>20</v>
      </c>
    </row>
    <row r="360" ht="16.5" spans="1:7">
      <c r="A360" s="81">
        <v>46181</v>
      </c>
      <c r="B360" s="82" t="s">
        <v>35</v>
      </c>
      <c r="C360" s="10" t="s">
        <v>327</v>
      </c>
      <c r="D360" s="83" t="s">
        <v>63</v>
      </c>
      <c r="E360" s="82" t="s">
        <v>877</v>
      </c>
      <c r="F360" s="85" t="s">
        <v>1089</v>
      </c>
      <c r="G360" s="86">
        <v>3</v>
      </c>
    </row>
    <row r="361" ht="16.5" spans="1:7">
      <c r="A361" s="81">
        <v>46182</v>
      </c>
      <c r="B361" s="82" t="s">
        <v>35</v>
      </c>
      <c r="C361" s="10" t="s">
        <v>181</v>
      </c>
      <c r="D361" s="83" t="s">
        <v>180</v>
      </c>
      <c r="E361" s="82" t="s">
        <v>877</v>
      </c>
      <c r="F361" s="85" t="s">
        <v>907</v>
      </c>
      <c r="G361" s="86">
        <v>15</v>
      </c>
    </row>
    <row r="362" ht="16.5" spans="1:7">
      <c r="A362" s="81">
        <v>46182</v>
      </c>
      <c r="B362" s="82" t="s">
        <v>35</v>
      </c>
      <c r="C362" s="10" t="s">
        <v>181</v>
      </c>
      <c r="D362" s="83" t="s">
        <v>180</v>
      </c>
      <c r="E362" s="82" t="s">
        <v>877</v>
      </c>
      <c r="F362" s="85" t="s">
        <v>1090</v>
      </c>
      <c r="G362" s="86">
        <v>10</v>
      </c>
    </row>
    <row r="363" ht="16.5" spans="1:7">
      <c r="A363" s="81">
        <v>46183</v>
      </c>
      <c r="B363" s="82" t="s">
        <v>35</v>
      </c>
      <c r="C363" s="10" t="s">
        <v>181</v>
      </c>
      <c r="D363" s="83" t="s">
        <v>180</v>
      </c>
      <c r="E363" s="82" t="s">
        <v>877</v>
      </c>
      <c r="F363" s="104" t="s">
        <v>1091</v>
      </c>
      <c r="G363" s="86">
        <v>30</v>
      </c>
    </row>
    <row r="364" ht="16.5" spans="1:7">
      <c r="A364" s="81">
        <v>46181</v>
      </c>
      <c r="B364" s="82" t="s">
        <v>35</v>
      </c>
      <c r="C364" s="10" t="s">
        <v>136</v>
      </c>
      <c r="D364" s="83" t="s">
        <v>135</v>
      </c>
      <c r="E364" s="82" t="s">
        <v>877</v>
      </c>
      <c r="F364" s="399" t="s">
        <v>1092</v>
      </c>
      <c r="G364" s="86">
        <v>15</v>
      </c>
    </row>
    <row r="365" ht="16.5" spans="1:7">
      <c r="A365" s="81">
        <v>46182</v>
      </c>
      <c r="B365" s="82" t="s">
        <v>35</v>
      </c>
      <c r="C365" s="10" t="s">
        <v>136</v>
      </c>
      <c r="D365" s="83" t="s">
        <v>135</v>
      </c>
      <c r="E365" s="82" t="s">
        <v>877</v>
      </c>
      <c r="F365" s="104" t="s">
        <v>1031</v>
      </c>
      <c r="G365" s="86">
        <v>10</v>
      </c>
    </row>
    <row r="366" ht="16.5" spans="1:7">
      <c r="A366" s="81">
        <v>46182</v>
      </c>
      <c r="B366" s="82" t="s">
        <v>35</v>
      </c>
      <c r="C366" s="10" t="s">
        <v>136</v>
      </c>
      <c r="D366" s="83" t="s">
        <v>135</v>
      </c>
      <c r="E366" s="82" t="s">
        <v>877</v>
      </c>
      <c r="F366" s="106" t="s">
        <v>889</v>
      </c>
      <c r="G366" s="86">
        <v>20</v>
      </c>
    </row>
    <row r="367" ht="16.5" spans="1:7">
      <c r="A367" s="81">
        <v>46183</v>
      </c>
      <c r="B367" s="82" t="s">
        <v>35</v>
      </c>
      <c r="C367" s="10" t="s">
        <v>97</v>
      </c>
      <c r="D367" s="83" t="s">
        <v>96</v>
      </c>
      <c r="E367" s="82" t="s">
        <v>877</v>
      </c>
      <c r="F367" s="105" t="s">
        <v>1093</v>
      </c>
      <c r="G367" s="86">
        <v>25</v>
      </c>
    </row>
    <row r="368" ht="16.5" spans="1:7">
      <c r="A368" s="81">
        <v>46181</v>
      </c>
      <c r="B368" s="82" t="s">
        <v>35</v>
      </c>
      <c r="C368" s="10" t="s">
        <v>97</v>
      </c>
      <c r="D368" s="83" t="s">
        <v>96</v>
      </c>
      <c r="E368" s="82" t="s">
        <v>877</v>
      </c>
      <c r="F368" s="10" t="s">
        <v>1059</v>
      </c>
      <c r="G368" s="86">
        <v>15</v>
      </c>
    </row>
    <row r="369" ht="16.5" spans="1:7">
      <c r="A369" s="81">
        <v>46182</v>
      </c>
      <c r="B369" s="82" t="s">
        <v>35</v>
      </c>
      <c r="C369" s="10" t="s">
        <v>97</v>
      </c>
      <c r="D369" s="83" t="s">
        <v>96</v>
      </c>
      <c r="E369" s="82" t="s">
        <v>877</v>
      </c>
      <c r="F369" s="85" t="s">
        <v>935</v>
      </c>
      <c r="G369" s="86">
        <v>15</v>
      </c>
    </row>
    <row r="370" ht="16.5" spans="1:7">
      <c r="A370" s="81">
        <v>46179</v>
      </c>
      <c r="B370" s="82" t="s">
        <v>35</v>
      </c>
      <c r="C370" s="10" t="s">
        <v>161</v>
      </c>
      <c r="D370" s="83" t="s">
        <v>160</v>
      </c>
      <c r="E370" s="82" t="s">
        <v>877</v>
      </c>
      <c r="F370" s="85" t="s">
        <v>1094</v>
      </c>
      <c r="G370" s="86">
        <v>10</v>
      </c>
    </row>
    <row r="371" ht="16.5" spans="1:7">
      <c r="A371" s="81">
        <v>46180</v>
      </c>
      <c r="B371" s="82" t="s">
        <v>35</v>
      </c>
      <c r="C371" s="10" t="s">
        <v>161</v>
      </c>
      <c r="D371" s="83" t="s">
        <v>160</v>
      </c>
      <c r="E371" s="82" t="s">
        <v>877</v>
      </c>
      <c r="F371" s="85" t="s">
        <v>903</v>
      </c>
      <c r="G371" s="86">
        <v>20</v>
      </c>
    </row>
    <row r="372" ht="16.5" spans="1:7">
      <c r="A372" s="81">
        <v>46179</v>
      </c>
      <c r="B372" s="82" t="s">
        <v>35</v>
      </c>
      <c r="C372" s="10" t="s">
        <v>161</v>
      </c>
      <c r="D372" s="83" t="s">
        <v>160</v>
      </c>
      <c r="E372" s="82" t="s">
        <v>877</v>
      </c>
      <c r="F372" s="85" t="s">
        <v>1095</v>
      </c>
      <c r="G372" s="86">
        <v>15</v>
      </c>
    </row>
    <row r="373" ht="16.5" spans="1:7">
      <c r="A373" s="81">
        <v>46183</v>
      </c>
      <c r="B373" s="82" t="s">
        <v>35</v>
      </c>
      <c r="C373" s="10" t="s">
        <v>139</v>
      </c>
      <c r="D373" s="83" t="s">
        <v>130</v>
      </c>
      <c r="E373" s="82" t="s">
        <v>877</v>
      </c>
      <c r="F373" s="85" t="s">
        <v>1096</v>
      </c>
      <c r="G373" s="86">
        <v>15</v>
      </c>
    </row>
    <row r="374" ht="16.5" spans="1:7">
      <c r="A374" s="81">
        <v>46182</v>
      </c>
      <c r="B374" s="82" t="s">
        <v>35</v>
      </c>
      <c r="C374" s="10" t="s">
        <v>139</v>
      </c>
      <c r="D374" s="83" t="s">
        <v>130</v>
      </c>
      <c r="E374" s="82" t="s">
        <v>877</v>
      </c>
      <c r="F374" s="85" t="s">
        <v>961</v>
      </c>
      <c r="G374" s="86">
        <v>10</v>
      </c>
    </row>
    <row r="375" ht="16.5" spans="1:7">
      <c r="A375" s="81">
        <v>46182</v>
      </c>
      <c r="B375" s="82" t="s">
        <v>35</v>
      </c>
      <c r="C375" s="10" t="s">
        <v>67</v>
      </c>
      <c r="D375" s="83" t="s">
        <v>66</v>
      </c>
      <c r="E375" s="82" t="s">
        <v>877</v>
      </c>
      <c r="F375" s="85" t="s">
        <v>972</v>
      </c>
      <c r="G375" s="86">
        <v>10</v>
      </c>
    </row>
    <row r="376" ht="16.5" spans="1:7">
      <c r="A376" s="81">
        <v>46183</v>
      </c>
      <c r="B376" s="82" t="s">
        <v>35</v>
      </c>
      <c r="C376" s="10" t="s">
        <v>67</v>
      </c>
      <c r="D376" s="83" t="s">
        <v>66</v>
      </c>
      <c r="E376" s="82" t="s">
        <v>877</v>
      </c>
      <c r="F376" s="85" t="s">
        <v>938</v>
      </c>
      <c r="G376" s="86">
        <v>10</v>
      </c>
    </row>
    <row r="377" ht="16.5" spans="1:7">
      <c r="A377" s="81">
        <v>46181</v>
      </c>
      <c r="B377" s="82" t="s">
        <v>35</v>
      </c>
      <c r="C377" s="10" t="s">
        <v>70</v>
      </c>
      <c r="D377" s="83" t="s">
        <v>69</v>
      </c>
      <c r="E377" s="82" t="s">
        <v>877</v>
      </c>
      <c r="F377" s="85" t="s">
        <v>1097</v>
      </c>
      <c r="G377" s="86">
        <v>95</v>
      </c>
    </row>
    <row r="378" ht="16.5" spans="1:7">
      <c r="A378" s="81">
        <v>46182</v>
      </c>
      <c r="B378" s="82" t="s">
        <v>35</v>
      </c>
      <c r="C378" s="10" t="s">
        <v>70</v>
      </c>
      <c r="D378" s="83" t="s">
        <v>69</v>
      </c>
      <c r="E378" s="82" t="s">
        <v>877</v>
      </c>
      <c r="F378" s="85" t="s">
        <v>922</v>
      </c>
      <c r="G378" s="86">
        <v>10</v>
      </c>
    </row>
    <row r="379" ht="16.5" spans="1:7">
      <c r="A379" s="81">
        <v>46183</v>
      </c>
      <c r="B379" s="82" t="s">
        <v>35</v>
      </c>
      <c r="C379" s="10" t="s">
        <v>70</v>
      </c>
      <c r="D379" s="83" t="s">
        <v>69</v>
      </c>
      <c r="E379" s="82" t="s">
        <v>877</v>
      </c>
      <c r="F379" s="85" t="s">
        <v>1098</v>
      </c>
      <c r="G379" s="86">
        <v>15</v>
      </c>
    </row>
    <row r="380" ht="16.5" spans="1:7">
      <c r="A380" s="81">
        <v>46183</v>
      </c>
      <c r="B380" s="82" t="s">
        <v>253</v>
      </c>
      <c r="C380" s="10" t="s">
        <v>175</v>
      </c>
      <c r="D380" s="83" t="s">
        <v>144</v>
      </c>
      <c r="E380" s="82" t="s">
        <v>877</v>
      </c>
      <c r="F380" s="85" t="s">
        <v>1099</v>
      </c>
      <c r="G380" s="86">
        <v>200</v>
      </c>
    </row>
    <row r="381" ht="16.5" spans="1:7">
      <c r="A381" s="81">
        <v>46183</v>
      </c>
      <c r="B381" s="82" t="s">
        <v>249</v>
      </c>
      <c r="C381" s="10" t="s">
        <v>175</v>
      </c>
      <c r="D381" s="83" t="s">
        <v>144</v>
      </c>
      <c r="E381" s="82" t="s">
        <v>877</v>
      </c>
      <c r="F381" s="85" t="s">
        <v>1100</v>
      </c>
      <c r="G381" s="86">
        <v>200</v>
      </c>
    </row>
    <row r="382" ht="16.5" spans="1:7">
      <c r="A382" s="81">
        <v>46180</v>
      </c>
      <c r="B382" s="82" t="s">
        <v>35</v>
      </c>
      <c r="C382" s="10" t="s">
        <v>175</v>
      </c>
      <c r="D382" s="83" t="s">
        <v>174</v>
      </c>
      <c r="E382" s="82" t="s">
        <v>877</v>
      </c>
      <c r="F382" s="85" t="s">
        <v>1101</v>
      </c>
      <c r="G382" s="86">
        <v>10</v>
      </c>
    </row>
    <row r="383" ht="16.5" spans="1:7">
      <c r="A383" s="87">
        <v>46182</v>
      </c>
      <c r="B383" s="82" t="s">
        <v>35</v>
      </c>
      <c r="C383" s="10" t="s">
        <v>175</v>
      </c>
      <c r="D383" s="83" t="s">
        <v>174</v>
      </c>
      <c r="E383" s="82" t="s">
        <v>877</v>
      </c>
      <c r="F383" s="85" t="s">
        <v>1102</v>
      </c>
      <c r="G383" s="86">
        <v>25</v>
      </c>
    </row>
    <row r="384" ht="16.5" spans="1:7">
      <c r="A384" s="81">
        <v>46183</v>
      </c>
      <c r="B384" s="82" t="s">
        <v>35</v>
      </c>
      <c r="C384" s="10" t="s">
        <v>175</v>
      </c>
      <c r="D384" s="83" t="s">
        <v>174</v>
      </c>
      <c r="E384" s="82" t="s">
        <v>877</v>
      </c>
      <c r="F384" s="85" t="s">
        <v>930</v>
      </c>
      <c r="G384" s="86">
        <v>15</v>
      </c>
    </row>
    <row r="385" ht="16.5" spans="1:7">
      <c r="A385" s="81">
        <v>46182</v>
      </c>
      <c r="B385" s="82" t="s">
        <v>253</v>
      </c>
      <c r="C385" s="10" t="s">
        <v>82</v>
      </c>
      <c r="D385" s="83" t="s">
        <v>114</v>
      </c>
      <c r="E385" s="82" t="s">
        <v>877</v>
      </c>
      <c r="F385" s="85" t="s">
        <v>1103</v>
      </c>
      <c r="G385" s="86">
        <v>200</v>
      </c>
    </row>
    <row r="386" ht="16.5" spans="1:7">
      <c r="A386" s="81">
        <v>46182</v>
      </c>
      <c r="B386" s="82" t="s">
        <v>249</v>
      </c>
      <c r="C386" s="10" t="s">
        <v>82</v>
      </c>
      <c r="D386" s="83" t="s">
        <v>117</v>
      </c>
      <c r="E386" s="82" t="s">
        <v>877</v>
      </c>
      <c r="F386" s="85" t="s">
        <v>1104</v>
      </c>
      <c r="G386" s="86">
        <v>200</v>
      </c>
    </row>
    <row r="387" ht="16.5" spans="1:7">
      <c r="A387" s="81">
        <v>46182</v>
      </c>
      <c r="B387" s="82" t="s">
        <v>35</v>
      </c>
      <c r="C387" s="10" t="s">
        <v>82</v>
      </c>
      <c r="D387" s="83" t="s">
        <v>81</v>
      </c>
      <c r="E387" s="82" t="s">
        <v>877</v>
      </c>
      <c r="F387" s="85" t="s">
        <v>888</v>
      </c>
      <c r="G387" s="86">
        <v>25</v>
      </c>
    </row>
    <row r="388" ht="16.5" spans="1:7">
      <c r="A388" s="81">
        <v>46183</v>
      </c>
      <c r="B388" s="82" t="s">
        <v>35</v>
      </c>
      <c r="C388" s="10" t="s">
        <v>82</v>
      </c>
      <c r="D388" s="83" t="s">
        <v>81</v>
      </c>
      <c r="E388" s="82" t="s">
        <v>877</v>
      </c>
      <c r="F388" s="85" t="s">
        <v>1105</v>
      </c>
      <c r="G388" s="86">
        <v>21</v>
      </c>
    </row>
    <row r="389" ht="16.5" spans="1:7">
      <c r="A389" s="81">
        <v>46182</v>
      </c>
      <c r="B389" s="82" t="s">
        <v>35</v>
      </c>
      <c r="C389" s="10" t="s">
        <v>133</v>
      </c>
      <c r="D389" s="83" t="s">
        <v>132</v>
      </c>
      <c r="E389" s="82" t="s">
        <v>877</v>
      </c>
      <c r="F389" s="85" t="s">
        <v>1106</v>
      </c>
      <c r="G389" s="86">
        <v>15</v>
      </c>
    </row>
    <row r="390" ht="16.5" spans="1:7">
      <c r="A390" s="81">
        <v>46182</v>
      </c>
      <c r="B390" s="82" t="s">
        <v>35</v>
      </c>
      <c r="C390" s="10" t="s">
        <v>133</v>
      </c>
      <c r="D390" s="83" t="s">
        <v>132</v>
      </c>
      <c r="E390" s="82" t="s">
        <v>877</v>
      </c>
      <c r="F390" s="85" t="s">
        <v>1107</v>
      </c>
      <c r="G390" s="86">
        <v>45</v>
      </c>
    </row>
    <row r="391" ht="16.5" spans="1:7">
      <c r="A391" s="81">
        <v>46183</v>
      </c>
      <c r="B391" s="82" t="s">
        <v>35</v>
      </c>
      <c r="C391" s="10" t="s">
        <v>133</v>
      </c>
      <c r="D391" s="83" t="s">
        <v>132</v>
      </c>
      <c r="E391" s="82" t="s">
        <v>877</v>
      </c>
      <c r="F391" s="85" t="s">
        <v>889</v>
      </c>
      <c r="G391" s="86">
        <v>20</v>
      </c>
    </row>
    <row r="392" ht="16.5" spans="1:7">
      <c r="A392" s="81">
        <v>46182</v>
      </c>
      <c r="B392" s="82" t="s">
        <v>35</v>
      </c>
      <c r="C392" s="10" t="s">
        <v>115</v>
      </c>
      <c r="D392" s="83" t="s">
        <v>114</v>
      </c>
      <c r="E392" s="82" t="s">
        <v>877</v>
      </c>
      <c r="F392" s="105" t="s">
        <v>882</v>
      </c>
      <c r="G392" s="86">
        <v>5</v>
      </c>
    </row>
    <row r="393" ht="16.5" spans="1:7">
      <c r="A393" s="87">
        <v>46183</v>
      </c>
      <c r="B393" s="82" t="s">
        <v>35</v>
      </c>
      <c r="C393" s="10" t="s">
        <v>115</v>
      </c>
      <c r="D393" s="83" t="s">
        <v>114</v>
      </c>
      <c r="E393" s="82" t="s">
        <v>877</v>
      </c>
      <c r="F393" s="10" t="s">
        <v>908</v>
      </c>
      <c r="G393" s="86">
        <v>15</v>
      </c>
    </row>
    <row r="394" ht="16.5" spans="1:7">
      <c r="A394" s="87">
        <v>46183</v>
      </c>
      <c r="B394" s="82" t="s">
        <v>253</v>
      </c>
      <c r="C394" s="10" t="s">
        <v>79</v>
      </c>
      <c r="D394" s="83" t="s">
        <v>160</v>
      </c>
      <c r="E394" s="82" t="s">
        <v>877</v>
      </c>
      <c r="F394" s="10" t="s">
        <v>1108</v>
      </c>
      <c r="G394" s="86">
        <v>20</v>
      </c>
    </row>
    <row r="395" ht="16.5" spans="1:7">
      <c r="A395" s="87">
        <v>46183</v>
      </c>
      <c r="B395" s="82" t="s">
        <v>35</v>
      </c>
      <c r="C395" s="10" t="s">
        <v>79</v>
      </c>
      <c r="D395" s="83" t="s">
        <v>78</v>
      </c>
      <c r="E395" s="82" t="s">
        <v>877</v>
      </c>
      <c r="F395" s="10" t="s">
        <v>1109</v>
      </c>
      <c r="G395" s="86">
        <v>15</v>
      </c>
    </row>
    <row r="396" ht="16.5" spans="1:7">
      <c r="A396" s="87">
        <v>46182</v>
      </c>
      <c r="B396" s="82" t="s">
        <v>35</v>
      </c>
      <c r="C396" s="10" t="s">
        <v>79</v>
      </c>
      <c r="D396" s="83" t="s">
        <v>78</v>
      </c>
      <c r="E396" s="82" t="s">
        <v>877</v>
      </c>
      <c r="F396" s="10" t="s">
        <v>1110</v>
      </c>
      <c r="G396" s="86">
        <v>20</v>
      </c>
    </row>
    <row r="397" ht="16.5" spans="1:7">
      <c r="A397" s="87">
        <v>46181</v>
      </c>
      <c r="B397" s="82" t="s">
        <v>35</v>
      </c>
      <c r="C397" s="10" t="s">
        <v>79</v>
      </c>
      <c r="D397" s="83" t="s">
        <v>78</v>
      </c>
      <c r="E397" s="82" t="s">
        <v>877</v>
      </c>
      <c r="F397" s="10" t="s">
        <v>882</v>
      </c>
      <c r="G397" s="86">
        <v>5</v>
      </c>
    </row>
    <row r="398" ht="16.5" spans="1:7">
      <c r="A398" s="87">
        <v>46182</v>
      </c>
      <c r="B398" s="82" t="s">
        <v>35</v>
      </c>
      <c r="C398" s="85" t="s">
        <v>167</v>
      </c>
      <c r="D398" s="83" t="s">
        <v>166</v>
      </c>
      <c r="E398" s="82" t="s">
        <v>877</v>
      </c>
      <c r="F398" s="10" t="s">
        <v>1111</v>
      </c>
      <c r="G398" s="86">
        <v>20</v>
      </c>
    </row>
    <row r="399" ht="16.5" spans="1:7">
      <c r="A399" s="87">
        <v>46179</v>
      </c>
      <c r="B399" s="82" t="s">
        <v>35</v>
      </c>
      <c r="C399" s="85" t="s">
        <v>167</v>
      </c>
      <c r="D399" s="83" t="s">
        <v>166</v>
      </c>
      <c r="E399" s="82" t="s">
        <v>877</v>
      </c>
      <c r="F399" s="10" t="s">
        <v>1112</v>
      </c>
      <c r="G399" s="86">
        <v>10</v>
      </c>
    </row>
    <row r="400" ht="16.5" spans="1:7">
      <c r="A400" s="87">
        <v>46183</v>
      </c>
      <c r="B400" s="82" t="s">
        <v>35</v>
      </c>
      <c r="C400" s="85" t="s">
        <v>167</v>
      </c>
      <c r="D400" s="83" t="s">
        <v>166</v>
      </c>
      <c r="E400" s="82" t="s">
        <v>877</v>
      </c>
      <c r="F400" s="10" t="s">
        <v>1113</v>
      </c>
      <c r="G400" s="86">
        <v>10</v>
      </c>
    </row>
    <row r="401" ht="16.5" spans="1:8">
      <c r="A401" s="87">
        <v>46183</v>
      </c>
      <c r="B401" s="82" t="s">
        <v>250</v>
      </c>
      <c r="C401" s="10" t="s">
        <v>47</v>
      </c>
      <c r="D401" s="83" t="s">
        <v>111</v>
      </c>
      <c r="E401" s="82" t="s">
        <v>877</v>
      </c>
      <c r="F401" s="10" t="s">
        <v>1114</v>
      </c>
      <c r="G401" s="86">
        <v>340</v>
      </c>
    </row>
    <row r="402" ht="16.5" spans="1:8">
      <c r="A402" s="87">
        <v>46183</v>
      </c>
      <c r="B402" s="82" t="s">
        <v>250</v>
      </c>
      <c r="C402" s="10" t="s">
        <v>47</v>
      </c>
      <c r="D402" s="83" t="s">
        <v>69</v>
      </c>
      <c r="E402" s="82" t="s">
        <v>877</v>
      </c>
      <c r="F402" s="10" t="s">
        <v>1115</v>
      </c>
      <c r="G402" s="86">
        <v>336</v>
      </c>
    </row>
    <row r="403" ht="16.5" spans="1:8">
      <c r="A403" s="87">
        <v>46182</v>
      </c>
      <c r="B403" s="82" t="s">
        <v>253</v>
      </c>
      <c r="C403" s="10" t="s">
        <v>52</v>
      </c>
      <c r="D403" s="83" t="s">
        <v>69</v>
      </c>
      <c r="E403" s="82" t="s">
        <v>877</v>
      </c>
      <c r="F403" s="10" t="s">
        <v>1116</v>
      </c>
      <c r="G403" s="86">
        <v>20</v>
      </c>
    </row>
    <row r="404" ht="16.5" spans="1:8">
      <c r="A404" s="87">
        <v>46183</v>
      </c>
      <c r="B404" s="82" t="s">
        <v>35</v>
      </c>
      <c r="C404" s="10" t="s">
        <v>52</v>
      </c>
      <c r="D404" s="83" t="s">
        <v>51</v>
      </c>
      <c r="E404" s="82" t="s">
        <v>877</v>
      </c>
      <c r="F404" s="10" t="s">
        <v>1042</v>
      </c>
      <c r="G404" s="86">
        <v>30</v>
      </c>
    </row>
    <row r="405" ht="16.5" spans="1:8">
      <c r="A405" s="87">
        <v>46182</v>
      </c>
      <c r="B405" s="82" t="s">
        <v>35</v>
      </c>
      <c r="C405" s="10" t="s">
        <v>52</v>
      </c>
      <c r="D405" s="83" t="s">
        <v>51</v>
      </c>
      <c r="E405" s="82" t="s">
        <v>877</v>
      </c>
      <c r="F405" s="10" t="s">
        <v>939</v>
      </c>
      <c r="G405" s="86">
        <v>20</v>
      </c>
    </row>
    <row r="406" ht="16.5" spans="1:8">
      <c r="A406" s="87">
        <v>46183</v>
      </c>
      <c r="B406" s="82" t="s">
        <v>35</v>
      </c>
      <c r="C406" s="10" t="s">
        <v>55</v>
      </c>
      <c r="D406" s="83" t="s">
        <v>54</v>
      </c>
      <c r="E406" s="82" t="s">
        <v>877</v>
      </c>
      <c r="F406" s="10" t="s">
        <v>949</v>
      </c>
      <c r="G406" s="86">
        <v>15</v>
      </c>
    </row>
    <row r="407" ht="16.5" spans="1:8">
      <c r="A407" s="87">
        <v>46183</v>
      </c>
      <c r="B407" s="82" t="s">
        <v>35</v>
      </c>
      <c r="C407" s="10" t="s">
        <v>55</v>
      </c>
      <c r="D407" s="83" t="s">
        <v>54</v>
      </c>
      <c r="E407" s="82" t="s">
        <v>877</v>
      </c>
      <c r="F407" s="10" t="s">
        <v>973</v>
      </c>
      <c r="G407" s="86">
        <v>10</v>
      </c>
    </row>
    <row r="408" ht="16.5" spans="1:8">
      <c r="A408" s="87">
        <v>46182</v>
      </c>
      <c r="B408" s="82" t="s">
        <v>35</v>
      </c>
      <c r="C408" s="10" t="s">
        <v>61</v>
      </c>
      <c r="D408" s="83" t="s">
        <v>60</v>
      </c>
      <c r="E408" s="82" t="s">
        <v>877</v>
      </c>
      <c r="F408" s="10" t="s">
        <v>1117</v>
      </c>
      <c r="G408" s="86">
        <v>20</v>
      </c>
    </row>
    <row r="409" ht="16.5" spans="1:8">
      <c r="A409" s="87">
        <v>46183</v>
      </c>
      <c r="B409" s="82" t="s">
        <v>35</v>
      </c>
      <c r="C409" s="10" t="s">
        <v>61</v>
      </c>
      <c r="D409" s="83" t="s">
        <v>60</v>
      </c>
      <c r="E409" s="82" t="s">
        <v>877</v>
      </c>
      <c r="F409" s="10" t="s">
        <v>1117</v>
      </c>
      <c r="G409" s="86">
        <v>20</v>
      </c>
    </row>
    <row r="410" ht="16.5" spans="1:8">
      <c r="A410" s="87">
        <v>46182</v>
      </c>
      <c r="B410" s="82" t="s">
        <v>35</v>
      </c>
      <c r="C410" s="10" t="s">
        <v>109</v>
      </c>
      <c r="D410" s="83" t="s">
        <v>108</v>
      </c>
      <c r="E410" s="82" t="s">
        <v>877</v>
      </c>
      <c r="F410" s="10" t="s">
        <v>1061</v>
      </c>
      <c r="G410" s="86">
        <v>15</v>
      </c>
    </row>
    <row r="411" ht="16.5" spans="1:8">
      <c r="A411" s="87">
        <v>46183</v>
      </c>
      <c r="B411" s="82" t="s">
        <v>35</v>
      </c>
      <c r="C411" s="10" t="s">
        <v>109</v>
      </c>
      <c r="D411" s="83" t="s">
        <v>108</v>
      </c>
      <c r="E411" s="82" t="s">
        <v>877</v>
      </c>
      <c r="F411" s="10" t="s">
        <v>930</v>
      </c>
      <c r="G411" s="86">
        <v>15</v>
      </c>
    </row>
    <row r="412" ht="16.5" spans="1:8">
      <c r="A412" s="87">
        <v>46183</v>
      </c>
      <c r="B412" s="82" t="s">
        <v>35</v>
      </c>
      <c r="C412" s="10" t="s">
        <v>109</v>
      </c>
      <c r="D412" s="83" t="s">
        <v>108</v>
      </c>
      <c r="E412" s="82" t="s">
        <v>877</v>
      </c>
      <c r="F412" s="10" t="s">
        <v>1061</v>
      </c>
      <c r="G412" s="86">
        <v>15</v>
      </c>
    </row>
    <row r="413" ht="16.5" spans="1:8">
      <c r="A413" s="87">
        <v>46182</v>
      </c>
      <c r="B413" s="82" t="s">
        <v>35</v>
      </c>
      <c r="C413" s="10" t="s">
        <v>88</v>
      </c>
      <c r="D413" s="83" t="s">
        <v>87</v>
      </c>
      <c r="E413" s="82" t="s">
        <v>877</v>
      </c>
      <c r="F413" s="10" t="s">
        <v>882</v>
      </c>
      <c r="G413" s="86">
        <v>5</v>
      </c>
    </row>
    <row r="414" ht="16.5" spans="1:8">
      <c r="A414" s="87">
        <v>46183</v>
      </c>
      <c r="B414" s="82" t="s">
        <v>35</v>
      </c>
      <c r="C414" s="10" t="s">
        <v>88</v>
      </c>
      <c r="D414" s="83" t="s">
        <v>87</v>
      </c>
      <c r="E414" s="82" t="s">
        <v>877</v>
      </c>
      <c r="F414" s="10" t="s">
        <v>973</v>
      </c>
      <c r="G414" s="86">
        <v>10</v>
      </c>
    </row>
    <row r="415" ht="16.5" spans="1:8">
      <c r="A415" s="81">
        <v>46182</v>
      </c>
      <c r="B415" s="82" t="s">
        <v>35</v>
      </c>
      <c r="C415" s="10" t="s">
        <v>73</v>
      </c>
      <c r="D415" s="83" t="s">
        <v>72</v>
      </c>
      <c r="E415" s="82" t="s">
        <v>877</v>
      </c>
      <c r="F415" s="85" t="s">
        <v>907</v>
      </c>
      <c r="G415" s="86">
        <v>15</v>
      </c>
      <c r="H415" s="395" t="s">
        <v>1118</v>
      </c>
    </row>
    <row r="416" ht="16.5" spans="1:8">
      <c r="A416" s="81">
        <v>46183</v>
      </c>
      <c r="B416" s="82" t="s">
        <v>35</v>
      </c>
      <c r="C416" s="10" t="s">
        <v>73</v>
      </c>
      <c r="D416" s="83" t="s">
        <v>72</v>
      </c>
      <c r="E416" s="82" t="s">
        <v>877</v>
      </c>
      <c r="F416" s="85" t="s">
        <v>903</v>
      </c>
      <c r="G416" s="86">
        <v>20</v>
      </c>
    </row>
    <row r="417" ht="16.5" spans="1:7">
      <c r="A417" s="81">
        <v>46183</v>
      </c>
      <c r="B417" s="82" t="s">
        <v>35</v>
      </c>
      <c r="C417" s="10" t="s">
        <v>73</v>
      </c>
      <c r="D417" s="83" t="s">
        <v>72</v>
      </c>
      <c r="E417" s="82" t="s">
        <v>877</v>
      </c>
      <c r="F417" s="85" t="s">
        <v>1119</v>
      </c>
      <c r="G417" s="86">
        <v>15</v>
      </c>
    </row>
    <row r="418" ht="16.5" spans="1:7">
      <c r="A418" s="81">
        <v>46182</v>
      </c>
      <c r="B418" s="82" t="s">
        <v>253</v>
      </c>
      <c r="C418" s="10" t="s">
        <v>73</v>
      </c>
      <c r="D418" s="83" t="s">
        <v>66</v>
      </c>
      <c r="E418" s="82" t="s">
        <v>877</v>
      </c>
      <c r="F418" s="85" t="s">
        <v>1120</v>
      </c>
      <c r="G418" s="86">
        <v>20</v>
      </c>
    </row>
    <row r="419" ht="16.5" spans="1:7">
      <c r="A419" s="81">
        <v>46183</v>
      </c>
      <c r="B419" s="82" t="s">
        <v>35</v>
      </c>
      <c r="C419" s="10" t="s">
        <v>142</v>
      </c>
      <c r="D419" s="83" t="s">
        <v>141</v>
      </c>
      <c r="E419" s="82" t="s">
        <v>877</v>
      </c>
      <c r="F419" s="85" t="s">
        <v>957</v>
      </c>
      <c r="G419" s="86">
        <v>30</v>
      </c>
    </row>
    <row r="420" ht="16.5" spans="1:7">
      <c r="A420" s="81">
        <v>46183</v>
      </c>
      <c r="B420" s="82" t="s">
        <v>35</v>
      </c>
      <c r="C420" s="10" t="s">
        <v>142</v>
      </c>
      <c r="D420" s="83" t="s">
        <v>141</v>
      </c>
      <c r="E420" s="82" t="s">
        <v>877</v>
      </c>
      <c r="F420" s="85" t="s">
        <v>1008</v>
      </c>
      <c r="G420" s="86">
        <v>25</v>
      </c>
    </row>
    <row r="421" ht="16.5" spans="1:7">
      <c r="A421" s="81">
        <v>46183</v>
      </c>
      <c r="B421" s="82" t="s">
        <v>35</v>
      </c>
      <c r="C421" s="10" t="s">
        <v>103</v>
      </c>
      <c r="D421" s="83" t="s">
        <v>102</v>
      </c>
      <c r="E421" s="82" t="s">
        <v>877</v>
      </c>
      <c r="F421" s="106" t="s">
        <v>1121</v>
      </c>
      <c r="G421" s="86">
        <v>35</v>
      </c>
    </row>
    <row r="422" ht="16.5" spans="1:7">
      <c r="A422" s="81">
        <v>46183</v>
      </c>
      <c r="B422" s="82" t="s">
        <v>35</v>
      </c>
      <c r="C422" s="10" t="s">
        <v>103</v>
      </c>
      <c r="D422" s="83" t="s">
        <v>102</v>
      </c>
      <c r="E422" s="82" t="s">
        <v>877</v>
      </c>
      <c r="F422" s="85" t="s">
        <v>1059</v>
      </c>
      <c r="G422" s="86">
        <v>15</v>
      </c>
    </row>
    <row r="423" ht="16.5" spans="1:7">
      <c r="A423" s="81">
        <v>46183</v>
      </c>
      <c r="B423" s="82" t="s">
        <v>35</v>
      </c>
      <c r="C423" s="10" t="s">
        <v>103</v>
      </c>
      <c r="D423" s="83" t="s">
        <v>102</v>
      </c>
      <c r="E423" s="82" t="s">
        <v>877</v>
      </c>
      <c r="F423" s="85" t="s">
        <v>1122</v>
      </c>
      <c r="G423" s="86">
        <v>5</v>
      </c>
    </row>
    <row r="424" ht="16.5" spans="1:7">
      <c r="A424" s="81">
        <v>46183</v>
      </c>
      <c r="B424" s="82" t="s">
        <v>35</v>
      </c>
      <c r="C424" s="10" t="s">
        <v>181</v>
      </c>
      <c r="D424" s="83" t="s">
        <v>180</v>
      </c>
      <c r="E424" s="82" t="s">
        <v>877</v>
      </c>
      <c r="F424" s="85" t="s">
        <v>1123</v>
      </c>
      <c r="G424" s="86">
        <v>19</v>
      </c>
    </row>
    <row r="425" ht="16.5" spans="1:7">
      <c r="A425" s="81">
        <v>46182</v>
      </c>
      <c r="B425" s="82" t="s">
        <v>35</v>
      </c>
      <c r="C425" s="10" t="s">
        <v>122</v>
      </c>
      <c r="D425" s="83" t="s">
        <v>172</v>
      </c>
      <c r="E425" s="82" t="s">
        <v>877</v>
      </c>
      <c r="F425" s="85" t="s">
        <v>1124</v>
      </c>
      <c r="G425" s="86">
        <v>35</v>
      </c>
    </row>
    <row r="426" ht="16.5" spans="1:7">
      <c r="A426" s="81">
        <v>46184</v>
      </c>
      <c r="B426" s="82" t="s">
        <v>35</v>
      </c>
      <c r="C426" s="10" t="s">
        <v>122</v>
      </c>
      <c r="D426" s="83" t="s">
        <v>172</v>
      </c>
      <c r="E426" s="82" t="s">
        <v>877</v>
      </c>
      <c r="F426" s="104" t="s">
        <v>1059</v>
      </c>
      <c r="G426" s="86">
        <v>15</v>
      </c>
    </row>
    <row r="427" ht="16.5" spans="1:7">
      <c r="A427" s="81">
        <v>46182</v>
      </c>
      <c r="B427" s="82" t="s">
        <v>35</v>
      </c>
      <c r="C427" s="10" t="s">
        <v>122</v>
      </c>
      <c r="D427" s="83" t="s">
        <v>172</v>
      </c>
      <c r="E427" s="82" t="s">
        <v>877</v>
      </c>
      <c r="F427" s="399" t="s">
        <v>1125</v>
      </c>
      <c r="G427" s="86">
        <v>10</v>
      </c>
    </row>
    <row r="428" ht="16.5" spans="1:7">
      <c r="A428" s="81">
        <v>46184</v>
      </c>
      <c r="B428" s="82" t="s">
        <v>35</v>
      </c>
      <c r="C428" s="10" t="s">
        <v>155</v>
      </c>
      <c r="D428" s="83" t="s">
        <v>154</v>
      </c>
      <c r="E428" s="82" t="s">
        <v>877</v>
      </c>
      <c r="F428" s="106" t="s">
        <v>893</v>
      </c>
      <c r="G428" s="86">
        <v>15</v>
      </c>
    </row>
    <row r="429" ht="16.5" spans="1:7">
      <c r="A429" s="81">
        <v>46182</v>
      </c>
      <c r="B429" s="82" t="s">
        <v>35</v>
      </c>
      <c r="C429" s="10" t="s">
        <v>155</v>
      </c>
      <c r="D429" s="83" t="s">
        <v>154</v>
      </c>
      <c r="E429" s="82" t="s">
        <v>877</v>
      </c>
      <c r="F429" s="105" t="s">
        <v>911</v>
      </c>
      <c r="G429" s="86">
        <v>10</v>
      </c>
    </row>
    <row r="430" ht="16.5" spans="1:7">
      <c r="A430" s="81">
        <v>46184</v>
      </c>
      <c r="B430" s="82" t="s">
        <v>35</v>
      </c>
      <c r="C430" s="10" t="s">
        <v>100</v>
      </c>
      <c r="D430" s="83" t="s">
        <v>99</v>
      </c>
      <c r="E430" s="82" t="s">
        <v>877</v>
      </c>
      <c r="F430" s="105" t="s">
        <v>920</v>
      </c>
      <c r="G430" s="86">
        <v>10</v>
      </c>
    </row>
    <row r="431" ht="16.5" spans="1:7">
      <c r="A431" s="81">
        <v>46184</v>
      </c>
      <c r="B431" s="82" t="s">
        <v>253</v>
      </c>
      <c r="C431" s="10" t="s">
        <v>454</v>
      </c>
      <c r="D431" s="83" t="s">
        <v>96</v>
      </c>
      <c r="E431" s="82" t="s">
        <v>877</v>
      </c>
      <c r="F431" s="10" t="s">
        <v>1126</v>
      </c>
      <c r="G431" s="86">
        <v>200</v>
      </c>
    </row>
    <row r="432" ht="16.5" spans="1:7">
      <c r="A432" s="81">
        <v>46184</v>
      </c>
      <c r="B432" s="82" t="s">
        <v>249</v>
      </c>
      <c r="C432" s="10" t="s">
        <v>454</v>
      </c>
      <c r="D432" s="83" t="s">
        <v>130</v>
      </c>
      <c r="E432" s="82" t="s">
        <v>877</v>
      </c>
      <c r="F432" s="85" t="s">
        <v>1127</v>
      </c>
      <c r="G432" s="86">
        <v>200</v>
      </c>
    </row>
    <row r="433" ht="16.5" spans="1:7">
      <c r="A433" s="81">
        <v>46183</v>
      </c>
      <c r="B433" s="82" t="s">
        <v>35</v>
      </c>
      <c r="C433" s="10" t="s">
        <v>454</v>
      </c>
      <c r="D433" s="83" t="s">
        <v>138</v>
      </c>
      <c r="E433" s="82" t="s">
        <v>877</v>
      </c>
      <c r="F433" s="85" t="s">
        <v>1096</v>
      </c>
      <c r="G433" s="86">
        <v>15</v>
      </c>
    </row>
    <row r="434" ht="16.5" spans="1:7">
      <c r="A434" s="81">
        <v>46183</v>
      </c>
      <c r="B434" s="82" t="s">
        <v>35</v>
      </c>
      <c r="C434" s="10" t="s">
        <v>454</v>
      </c>
      <c r="D434" s="83" t="s">
        <v>138</v>
      </c>
      <c r="E434" s="82" t="s">
        <v>877</v>
      </c>
      <c r="F434" s="85" t="s">
        <v>961</v>
      </c>
      <c r="G434" s="86">
        <v>10</v>
      </c>
    </row>
    <row r="435" ht="16.5" spans="1:7">
      <c r="A435" s="81">
        <v>46183</v>
      </c>
      <c r="B435" s="82" t="s">
        <v>35</v>
      </c>
      <c r="C435" s="10" t="s">
        <v>106</v>
      </c>
      <c r="D435" s="83" t="s">
        <v>105</v>
      </c>
      <c r="E435" s="82" t="s">
        <v>877</v>
      </c>
      <c r="F435" s="85" t="s">
        <v>970</v>
      </c>
      <c r="G435" s="86">
        <v>15</v>
      </c>
    </row>
    <row r="436" ht="16.5" spans="1:7">
      <c r="A436" s="81">
        <v>46183</v>
      </c>
      <c r="B436" s="82" t="s">
        <v>35</v>
      </c>
      <c r="C436" s="10" t="s">
        <v>106</v>
      </c>
      <c r="D436" s="83" t="s">
        <v>105</v>
      </c>
      <c r="E436" s="82" t="s">
        <v>877</v>
      </c>
      <c r="F436" s="85" t="s">
        <v>904</v>
      </c>
      <c r="G436" s="86">
        <v>10</v>
      </c>
    </row>
    <row r="437" ht="16.5" spans="1:7">
      <c r="A437" s="81">
        <v>46183</v>
      </c>
      <c r="B437" s="82" t="s">
        <v>35</v>
      </c>
      <c r="C437" s="10" t="s">
        <v>70</v>
      </c>
      <c r="D437" s="83" t="s">
        <v>69</v>
      </c>
      <c r="E437" s="82" t="s">
        <v>877</v>
      </c>
      <c r="F437" s="85" t="s">
        <v>1128</v>
      </c>
      <c r="G437" s="86">
        <v>20</v>
      </c>
    </row>
    <row r="438" ht="16.5" spans="1:7">
      <c r="A438" s="81">
        <v>46183</v>
      </c>
      <c r="B438" s="82" t="s">
        <v>35</v>
      </c>
      <c r="C438" s="10" t="s">
        <v>70</v>
      </c>
      <c r="D438" s="83" t="s">
        <v>69</v>
      </c>
      <c r="E438" s="82" t="s">
        <v>877</v>
      </c>
      <c r="F438" s="85" t="s">
        <v>1059</v>
      </c>
      <c r="G438" s="86">
        <v>15</v>
      </c>
    </row>
    <row r="439" ht="16.5" spans="1:7">
      <c r="A439" s="81">
        <v>46183</v>
      </c>
      <c r="B439" s="82" t="s">
        <v>35</v>
      </c>
      <c r="C439" s="10" t="s">
        <v>70</v>
      </c>
      <c r="D439" s="83" t="s">
        <v>69</v>
      </c>
      <c r="E439" s="82" t="s">
        <v>877</v>
      </c>
      <c r="F439" s="85" t="s">
        <v>1129</v>
      </c>
      <c r="G439" s="86">
        <v>10</v>
      </c>
    </row>
    <row r="440" ht="16.5" spans="1:7">
      <c r="A440" s="81">
        <v>46184</v>
      </c>
      <c r="B440" s="82" t="s">
        <v>253</v>
      </c>
      <c r="C440" s="10" t="s">
        <v>125</v>
      </c>
      <c r="D440" s="83" t="s">
        <v>132</v>
      </c>
      <c r="E440" s="82" t="s">
        <v>877</v>
      </c>
      <c r="F440" s="85" t="s">
        <v>1126</v>
      </c>
      <c r="G440" s="86">
        <v>200</v>
      </c>
    </row>
    <row r="441" ht="16.5" spans="1:7">
      <c r="A441" s="81">
        <v>46184</v>
      </c>
      <c r="B441" s="82" t="s">
        <v>249</v>
      </c>
      <c r="C441" s="10" t="s">
        <v>125</v>
      </c>
      <c r="D441" s="83" t="s">
        <v>132</v>
      </c>
      <c r="E441" s="82" t="s">
        <v>877</v>
      </c>
      <c r="F441" s="85" t="s">
        <v>1130</v>
      </c>
      <c r="G441" s="86">
        <v>200</v>
      </c>
    </row>
    <row r="442" ht="16.5" spans="1:7">
      <c r="A442" s="81">
        <v>46184</v>
      </c>
      <c r="B442" s="82" t="s">
        <v>35</v>
      </c>
      <c r="C442" s="10" t="s">
        <v>125</v>
      </c>
      <c r="D442" s="83" t="s">
        <v>124</v>
      </c>
      <c r="E442" s="82" t="s">
        <v>877</v>
      </c>
      <c r="F442" s="85" t="s">
        <v>1131</v>
      </c>
      <c r="G442" s="86">
        <v>35</v>
      </c>
    </row>
    <row r="443" ht="16.5" spans="1:7">
      <c r="A443" s="81">
        <v>46183</v>
      </c>
      <c r="B443" s="82" t="s">
        <v>35</v>
      </c>
      <c r="C443" s="10" t="s">
        <v>125</v>
      </c>
      <c r="D443" s="83" t="s">
        <v>124</v>
      </c>
      <c r="E443" s="82" t="s">
        <v>877</v>
      </c>
      <c r="F443" s="85" t="s">
        <v>1132</v>
      </c>
      <c r="G443" s="86">
        <v>20</v>
      </c>
    </row>
    <row r="444" ht="16.5" spans="1:7">
      <c r="A444" s="81">
        <v>46184</v>
      </c>
      <c r="B444" s="82" t="s">
        <v>35</v>
      </c>
      <c r="C444" s="10" t="s">
        <v>94</v>
      </c>
      <c r="D444" s="83" t="s">
        <v>93</v>
      </c>
      <c r="E444" s="82" t="s">
        <v>877</v>
      </c>
      <c r="F444" s="85" t="s">
        <v>1133</v>
      </c>
      <c r="G444" s="86">
        <v>35</v>
      </c>
    </row>
    <row r="445" ht="16.5" spans="1:7">
      <c r="A445" s="81">
        <v>46182</v>
      </c>
      <c r="B445" s="82" t="s">
        <v>35</v>
      </c>
      <c r="C445" s="10" t="s">
        <v>94</v>
      </c>
      <c r="D445" s="83" t="s">
        <v>93</v>
      </c>
      <c r="E445" s="82" t="s">
        <v>877</v>
      </c>
      <c r="F445" s="85" t="s">
        <v>889</v>
      </c>
      <c r="G445" s="86">
        <v>20</v>
      </c>
    </row>
    <row r="446" ht="16.5" spans="1:7">
      <c r="A446" s="81">
        <v>46184</v>
      </c>
      <c r="B446" s="82" t="s">
        <v>35</v>
      </c>
      <c r="C446" s="10" t="s">
        <v>164</v>
      </c>
      <c r="D446" s="83" t="s">
        <v>163</v>
      </c>
      <c r="E446" s="82" t="s">
        <v>877</v>
      </c>
      <c r="F446" s="85" t="s">
        <v>1134</v>
      </c>
      <c r="G446" s="86">
        <v>15</v>
      </c>
    </row>
    <row r="447" ht="16.5" spans="1:7">
      <c r="A447" s="81">
        <v>46183</v>
      </c>
      <c r="B447" s="82" t="s">
        <v>35</v>
      </c>
      <c r="C447" s="10" t="s">
        <v>164</v>
      </c>
      <c r="D447" s="83" t="s">
        <v>163</v>
      </c>
      <c r="E447" s="82" t="s">
        <v>877</v>
      </c>
      <c r="F447" s="106" t="s">
        <v>999</v>
      </c>
      <c r="G447" s="86">
        <v>10</v>
      </c>
    </row>
    <row r="448" ht="16.5" spans="1:7">
      <c r="A448" s="87">
        <v>46182</v>
      </c>
      <c r="B448" s="82" t="s">
        <v>35</v>
      </c>
      <c r="C448" s="10" t="s">
        <v>164</v>
      </c>
      <c r="D448" s="83" t="s">
        <v>163</v>
      </c>
      <c r="E448" s="82" t="s">
        <v>877</v>
      </c>
      <c r="F448" s="85" t="s">
        <v>1129</v>
      </c>
      <c r="G448" s="86">
        <v>10</v>
      </c>
    </row>
    <row r="449" ht="16.5" spans="1:7">
      <c r="A449" s="81">
        <v>46184</v>
      </c>
      <c r="B449" s="82" t="s">
        <v>35</v>
      </c>
      <c r="C449" s="10" t="s">
        <v>67</v>
      </c>
      <c r="D449" s="83" t="s">
        <v>66</v>
      </c>
      <c r="E449" s="82" t="s">
        <v>877</v>
      </c>
      <c r="F449" s="85" t="s">
        <v>907</v>
      </c>
      <c r="G449" s="86">
        <v>15</v>
      </c>
    </row>
    <row r="450" ht="16.5" spans="1:7">
      <c r="A450" s="81">
        <v>46183</v>
      </c>
      <c r="B450" s="82" t="s">
        <v>35</v>
      </c>
      <c r="C450" s="10" t="s">
        <v>67</v>
      </c>
      <c r="D450" s="83" t="s">
        <v>66</v>
      </c>
      <c r="E450" s="82" t="s">
        <v>877</v>
      </c>
      <c r="F450" s="85" t="s">
        <v>972</v>
      </c>
      <c r="G450" s="86">
        <v>10</v>
      </c>
    </row>
    <row r="451" ht="16.5" spans="1:7">
      <c r="A451" s="81">
        <v>46184</v>
      </c>
      <c r="B451" s="82" t="s">
        <v>35</v>
      </c>
      <c r="C451" s="10" t="s">
        <v>109</v>
      </c>
      <c r="D451" s="83" t="s">
        <v>108</v>
      </c>
      <c r="E451" s="82" t="s">
        <v>877</v>
      </c>
      <c r="F451" s="85" t="s">
        <v>1135</v>
      </c>
      <c r="G451" s="86">
        <v>20</v>
      </c>
    </row>
    <row r="452" ht="16.5" spans="1:7">
      <c r="A452" s="81">
        <v>46184</v>
      </c>
      <c r="B452" s="82" t="s">
        <v>35</v>
      </c>
      <c r="C452" s="10" t="s">
        <v>109</v>
      </c>
      <c r="D452" s="83" t="s">
        <v>108</v>
      </c>
      <c r="E452" s="82" t="s">
        <v>877</v>
      </c>
      <c r="F452" s="85" t="s">
        <v>880</v>
      </c>
      <c r="G452" s="86">
        <v>15</v>
      </c>
    </row>
    <row r="453" ht="16.5" spans="1:7">
      <c r="A453" s="81">
        <v>46184</v>
      </c>
      <c r="B453" s="82" t="s">
        <v>35</v>
      </c>
      <c r="C453" s="10" t="s">
        <v>109</v>
      </c>
      <c r="D453" s="83" t="s">
        <v>108</v>
      </c>
      <c r="E453" s="82" t="s">
        <v>877</v>
      </c>
      <c r="F453" s="85" t="s">
        <v>1136</v>
      </c>
      <c r="G453" s="86">
        <v>5</v>
      </c>
    </row>
    <row r="454" ht="16.5" spans="1:7">
      <c r="A454" s="81">
        <v>46182</v>
      </c>
      <c r="B454" s="82" t="s">
        <v>35</v>
      </c>
      <c r="C454" s="10" t="s">
        <v>145</v>
      </c>
      <c r="D454" s="83" t="s">
        <v>144</v>
      </c>
      <c r="E454" s="82" t="s">
        <v>877</v>
      </c>
      <c r="F454" s="105" t="s">
        <v>1137</v>
      </c>
      <c r="G454" s="86">
        <v>15</v>
      </c>
    </row>
    <row r="455" ht="16.5" spans="1:7">
      <c r="A455" s="87">
        <v>46184</v>
      </c>
      <c r="B455" s="82" t="s">
        <v>35</v>
      </c>
      <c r="C455" s="10" t="s">
        <v>145</v>
      </c>
      <c r="D455" s="83" t="s">
        <v>144</v>
      </c>
      <c r="E455" s="82" t="s">
        <v>877</v>
      </c>
      <c r="F455" s="10" t="s">
        <v>1138</v>
      </c>
      <c r="G455" s="86">
        <v>15</v>
      </c>
    </row>
    <row r="456" ht="16.5" spans="1:7">
      <c r="A456" s="87">
        <v>46184</v>
      </c>
      <c r="B456" s="82" t="s">
        <v>35</v>
      </c>
      <c r="C456" s="10" t="s">
        <v>145</v>
      </c>
      <c r="D456" s="83" t="s">
        <v>144</v>
      </c>
      <c r="E456" s="82" t="s">
        <v>877</v>
      </c>
      <c r="F456" s="10" t="s">
        <v>911</v>
      </c>
      <c r="G456" s="86">
        <v>10</v>
      </c>
    </row>
    <row r="457" ht="16.5" spans="1:7">
      <c r="A457" s="87">
        <v>46184</v>
      </c>
      <c r="B457" s="82" t="s">
        <v>35</v>
      </c>
      <c r="C457" s="10" t="s">
        <v>145</v>
      </c>
      <c r="D457" s="83" t="s">
        <v>144</v>
      </c>
      <c r="E457" s="82" t="s">
        <v>877</v>
      </c>
      <c r="F457" s="10" t="s">
        <v>1137</v>
      </c>
      <c r="G457" s="86">
        <v>15</v>
      </c>
    </row>
    <row r="458" ht="16.5" spans="1:7">
      <c r="A458" s="87">
        <v>46183</v>
      </c>
      <c r="B458" s="82" t="s">
        <v>35</v>
      </c>
      <c r="C458" s="10" t="s">
        <v>145</v>
      </c>
      <c r="D458" s="83" t="s">
        <v>144</v>
      </c>
      <c r="E458" s="82" t="s">
        <v>877</v>
      </c>
      <c r="F458" s="10" t="s">
        <v>911</v>
      </c>
      <c r="G458" s="86">
        <v>10</v>
      </c>
    </row>
    <row r="459" ht="16.5" spans="1:7">
      <c r="A459" s="87">
        <v>46184</v>
      </c>
      <c r="B459" s="82" t="s">
        <v>35</v>
      </c>
      <c r="C459" s="10" t="s">
        <v>115</v>
      </c>
      <c r="D459" s="83" t="s">
        <v>114</v>
      </c>
      <c r="E459" s="82" t="s">
        <v>877</v>
      </c>
      <c r="F459" s="105" t="s">
        <v>908</v>
      </c>
      <c r="G459" s="86">
        <v>15</v>
      </c>
    </row>
    <row r="460" ht="16.5" spans="1:7">
      <c r="A460" s="87">
        <v>46184</v>
      </c>
      <c r="B460" s="82" t="s">
        <v>35</v>
      </c>
      <c r="C460" s="10" t="s">
        <v>115</v>
      </c>
      <c r="D460" s="83" t="s">
        <v>114</v>
      </c>
      <c r="E460" s="82" t="s">
        <v>877</v>
      </c>
      <c r="F460" s="10" t="s">
        <v>902</v>
      </c>
      <c r="G460" s="86">
        <v>10</v>
      </c>
    </row>
    <row r="461" ht="16.5" spans="1:7">
      <c r="A461" s="87">
        <v>46184</v>
      </c>
      <c r="B461" s="82" t="s">
        <v>35</v>
      </c>
      <c r="C461" s="85" t="s">
        <v>118</v>
      </c>
      <c r="D461" s="83" t="s">
        <v>117</v>
      </c>
      <c r="E461" s="82" t="s">
        <v>877</v>
      </c>
      <c r="F461" s="10" t="s">
        <v>986</v>
      </c>
      <c r="G461" s="86">
        <v>30</v>
      </c>
    </row>
    <row r="462" ht="16.5" spans="1:7">
      <c r="A462" s="87">
        <v>46184</v>
      </c>
      <c r="B462" s="82" t="s">
        <v>35</v>
      </c>
      <c r="C462" s="85" t="s">
        <v>118</v>
      </c>
      <c r="D462" s="83" t="s">
        <v>117</v>
      </c>
      <c r="E462" s="82" t="s">
        <v>877</v>
      </c>
      <c r="F462" s="10" t="s">
        <v>889</v>
      </c>
      <c r="G462" s="86">
        <v>20</v>
      </c>
    </row>
    <row r="463" ht="16.5" spans="1:7">
      <c r="A463" s="87">
        <v>46183</v>
      </c>
      <c r="B463" s="82" t="s">
        <v>35</v>
      </c>
      <c r="C463" s="10" t="s">
        <v>58</v>
      </c>
      <c r="D463" s="83" t="s">
        <v>57</v>
      </c>
      <c r="E463" s="82" t="s">
        <v>877</v>
      </c>
      <c r="F463" s="10" t="s">
        <v>1139</v>
      </c>
      <c r="G463" s="86">
        <v>35</v>
      </c>
    </row>
    <row r="464" ht="16.5" spans="1:7">
      <c r="A464" s="87">
        <v>46183</v>
      </c>
      <c r="B464" s="82" t="s">
        <v>35</v>
      </c>
      <c r="C464" s="10" t="s">
        <v>58</v>
      </c>
      <c r="D464" s="83" t="s">
        <v>57</v>
      </c>
      <c r="E464" s="82" t="s">
        <v>877</v>
      </c>
      <c r="F464" s="10" t="s">
        <v>1140</v>
      </c>
      <c r="G464" s="86">
        <v>15</v>
      </c>
    </row>
    <row r="465" ht="16.5" spans="1:7">
      <c r="A465" s="87">
        <v>46184</v>
      </c>
      <c r="B465" s="82" t="s">
        <v>35</v>
      </c>
      <c r="C465" s="10" t="s">
        <v>58</v>
      </c>
      <c r="D465" s="83" t="s">
        <v>57</v>
      </c>
      <c r="E465" s="82" t="s">
        <v>877</v>
      </c>
      <c r="F465" s="10" t="s">
        <v>889</v>
      </c>
      <c r="G465" s="86">
        <v>20</v>
      </c>
    </row>
    <row r="466" ht="16.5" spans="1:7">
      <c r="A466" s="87">
        <v>46184</v>
      </c>
      <c r="B466" s="82" t="s">
        <v>35</v>
      </c>
      <c r="C466" s="10" t="s">
        <v>158</v>
      </c>
      <c r="D466" s="83" t="s">
        <v>338</v>
      </c>
      <c r="E466" s="82" t="s">
        <v>877</v>
      </c>
      <c r="F466" s="10" t="s">
        <v>957</v>
      </c>
      <c r="G466" s="86">
        <v>30</v>
      </c>
    </row>
    <row r="467" ht="16.5" spans="1:7">
      <c r="A467" s="87">
        <v>46183</v>
      </c>
      <c r="B467" s="82" t="s">
        <v>35</v>
      </c>
      <c r="C467" s="10" t="s">
        <v>158</v>
      </c>
      <c r="D467" s="83" t="s">
        <v>338</v>
      </c>
      <c r="E467" s="82" t="s">
        <v>877</v>
      </c>
      <c r="F467" s="10" t="s">
        <v>1141</v>
      </c>
      <c r="G467" s="86">
        <v>10</v>
      </c>
    </row>
    <row r="468" ht="16.5" spans="1:7">
      <c r="A468" s="87">
        <v>46184</v>
      </c>
      <c r="B468" s="82" t="s">
        <v>35</v>
      </c>
      <c r="C468" s="10" t="s">
        <v>158</v>
      </c>
      <c r="D468" s="83" t="s">
        <v>338</v>
      </c>
      <c r="E468" s="82" t="s">
        <v>877</v>
      </c>
      <c r="F468" s="10" t="s">
        <v>930</v>
      </c>
      <c r="G468" s="86">
        <v>15</v>
      </c>
    </row>
    <row r="469" ht="16.5" spans="1:7">
      <c r="A469" s="87">
        <v>46184</v>
      </c>
      <c r="B469" s="82" t="s">
        <v>35</v>
      </c>
      <c r="C469" s="10" t="s">
        <v>161</v>
      </c>
      <c r="D469" s="83" t="s">
        <v>160</v>
      </c>
      <c r="E469" s="82" t="s">
        <v>877</v>
      </c>
      <c r="F469" s="10" t="s">
        <v>907</v>
      </c>
      <c r="G469" s="86">
        <v>15</v>
      </c>
    </row>
    <row r="470" ht="16.5" spans="1:7">
      <c r="A470" s="87">
        <v>46184</v>
      </c>
      <c r="B470" s="82" t="s">
        <v>35</v>
      </c>
      <c r="C470" s="10" t="s">
        <v>161</v>
      </c>
      <c r="D470" s="83" t="s">
        <v>160</v>
      </c>
      <c r="E470" s="82" t="s">
        <v>877</v>
      </c>
      <c r="F470" s="10" t="s">
        <v>1095</v>
      </c>
      <c r="G470" s="86">
        <v>15</v>
      </c>
    </row>
    <row r="471" ht="16.5" spans="1:7">
      <c r="A471" s="87">
        <v>46184</v>
      </c>
      <c r="B471" s="82" t="s">
        <v>35</v>
      </c>
      <c r="C471" s="10" t="s">
        <v>128</v>
      </c>
      <c r="D471" s="83" t="s">
        <v>127</v>
      </c>
      <c r="E471" s="82" t="s">
        <v>877</v>
      </c>
      <c r="F471" s="10" t="s">
        <v>1142</v>
      </c>
      <c r="G471" s="86">
        <v>15</v>
      </c>
    </row>
    <row r="472" ht="16.5" spans="1:7">
      <c r="A472" s="87">
        <v>46183</v>
      </c>
      <c r="B472" s="82" t="s">
        <v>35</v>
      </c>
      <c r="C472" s="10" t="s">
        <v>128</v>
      </c>
      <c r="D472" s="83" t="s">
        <v>127</v>
      </c>
      <c r="E472" s="82" t="s">
        <v>877</v>
      </c>
      <c r="F472" s="10" t="s">
        <v>1031</v>
      </c>
      <c r="G472" s="86">
        <v>10</v>
      </c>
    </row>
    <row r="473" ht="16.5" spans="1:7">
      <c r="A473" s="87">
        <v>46183</v>
      </c>
      <c r="B473" s="82" t="s">
        <v>35</v>
      </c>
      <c r="C473" s="10" t="s">
        <v>128</v>
      </c>
      <c r="D473" s="83" t="s">
        <v>127</v>
      </c>
      <c r="E473" s="82" t="s">
        <v>877</v>
      </c>
      <c r="F473" s="10" t="s">
        <v>902</v>
      </c>
      <c r="G473" s="86">
        <v>10</v>
      </c>
    </row>
    <row r="474" ht="16.5" spans="1:7">
      <c r="A474" s="87">
        <v>46184</v>
      </c>
      <c r="B474" s="82" t="s">
        <v>35</v>
      </c>
      <c r="C474" s="10" t="s">
        <v>128</v>
      </c>
      <c r="D474" s="83" t="s">
        <v>127</v>
      </c>
      <c r="E474" s="82" t="s">
        <v>877</v>
      </c>
      <c r="F474" s="10" t="s">
        <v>902</v>
      </c>
      <c r="G474" s="86">
        <v>10</v>
      </c>
    </row>
    <row r="475" ht="17.25" spans="1:7">
      <c r="A475" s="81">
        <v>46185</v>
      </c>
      <c r="B475" s="82" t="s">
        <v>250</v>
      </c>
      <c r="C475" s="82" t="s">
        <v>946</v>
      </c>
      <c r="D475" s="83" t="s">
        <v>1143</v>
      </c>
      <c r="E475" s="82" t="s">
        <v>877</v>
      </c>
      <c r="F475" s="112" t="s">
        <v>945</v>
      </c>
      <c r="G475" s="84">
        <v>485</v>
      </c>
    </row>
    <row r="476" ht="17.25" spans="1:7">
      <c r="A476" s="81">
        <v>46185</v>
      </c>
      <c r="B476" s="82" t="s">
        <v>250</v>
      </c>
      <c r="C476" s="82" t="s">
        <v>894</v>
      </c>
      <c r="D476" s="83"/>
      <c r="E476" s="82" t="s">
        <v>877</v>
      </c>
      <c r="F476" s="112" t="s">
        <v>1144</v>
      </c>
      <c r="G476" s="84">
        <v>35</v>
      </c>
    </row>
    <row r="477" ht="34.5" spans="1:7">
      <c r="A477" s="81">
        <v>46185</v>
      </c>
      <c r="B477" s="82" t="s">
        <v>33</v>
      </c>
      <c r="C477" s="82" t="s">
        <v>1145</v>
      </c>
      <c r="D477" s="83"/>
      <c r="E477" s="82" t="s">
        <v>877</v>
      </c>
      <c r="F477" s="112" t="s">
        <v>1146</v>
      </c>
      <c r="G477" s="84">
        <v>65800</v>
      </c>
    </row>
    <row r="478" ht="17.25" spans="1:7">
      <c r="A478" s="81">
        <v>46184</v>
      </c>
      <c r="B478" s="82" t="s">
        <v>250</v>
      </c>
      <c r="C478" s="82" t="s">
        <v>992</v>
      </c>
      <c r="D478" s="83"/>
      <c r="E478" s="82" t="s">
        <v>877</v>
      </c>
      <c r="F478" s="111" t="s">
        <v>1147</v>
      </c>
      <c r="G478" s="84">
        <v>351</v>
      </c>
    </row>
    <row r="479" ht="17.25" spans="1:7">
      <c r="A479" s="81">
        <v>46185</v>
      </c>
      <c r="B479" s="82" t="s">
        <v>250</v>
      </c>
      <c r="C479" s="82" t="s">
        <v>946</v>
      </c>
      <c r="D479" s="83"/>
      <c r="E479" s="82" t="s">
        <v>877</v>
      </c>
      <c r="F479" s="112" t="s">
        <v>1148</v>
      </c>
      <c r="G479" s="84">
        <v>130.5</v>
      </c>
    </row>
    <row r="480" ht="17.25" spans="1:7">
      <c r="A480" s="81">
        <v>46186</v>
      </c>
      <c r="B480" s="82" t="s">
        <v>250</v>
      </c>
      <c r="C480" s="82" t="s">
        <v>946</v>
      </c>
      <c r="D480" s="83"/>
      <c r="E480" s="82" t="s">
        <v>877</v>
      </c>
      <c r="F480" s="112" t="s">
        <v>1149</v>
      </c>
      <c r="G480" s="84">
        <v>56</v>
      </c>
    </row>
    <row r="481" ht="27" spans="1:7">
      <c r="A481" s="81">
        <v>46170</v>
      </c>
      <c r="B481" s="82" t="s">
        <v>250</v>
      </c>
      <c r="C481" s="10" t="s">
        <v>1150</v>
      </c>
      <c r="D481" s="83"/>
      <c r="E481" s="82" t="s">
        <v>877</v>
      </c>
      <c r="F481" s="85" t="s">
        <v>1151</v>
      </c>
      <c r="G481" s="86">
        <v>1309</v>
      </c>
    </row>
    <row r="482" ht="16.5" spans="1:7">
      <c r="A482" s="81">
        <v>46178</v>
      </c>
      <c r="B482" s="82" t="s">
        <v>250</v>
      </c>
      <c r="C482" s="10" t="s">
        <v>1150</v>
      </c>
      <c r="D482" s="83" t="s">
        <v>1152</v>
      </c>
      <c r="E482" s="82" t="s">
        <v>877</v>
      </c>
      <c r="F482" s="85" t="s">
        <v>1153</v>
      </c>
      <c r="G482" s="86">
        <v>575.32</v>
      </c>
    </row>
    <row r="483" ht="27" spans="1:7">
      <c r="A483" s="81">
        <v>46168</v>
      </c>
      <c r="B483" s="82" t="s">
        <v>250</v>
      </c>
      <c r="C483" s="10" t="s">
        <v>1150</v>
      </c>
      <c r="D483" s="83"/>
      <c r="E483" s="82" t="s">
        <v>877</v>
      </c>
      <c r="F483" s="85" t="s">
        <v>1154</v>
      </c>
      <c r="G483" s="86">
        <v>1358.88</v>
      </c>
    </row>
    <row r="484" ht="16.5" spans="1:7">
      <c r="A484" s="81">
        <v>46180</v>
      </c>
      <c r="B484" s="82" t="s">
        <v>250</v>
      </c>
      <c r="C484" s="10" t="s">
        <v>1150</v>
      </c>
      <c r="D484" s="83" t="s">
        <v>1152</v>
      </c>
      <c r="E484" s="82" t="s">
        <v>877</v>
      </c>
      <c r="F484" s="104" t="s">
        <v>1155</v>
      </c>
      <c r="G484" s="86">
        <v>46</v>
      </c>
    </row>
    <row r="485" ht="16.5" spans="1:7">
      <c r="A485" s="81">
        <v>46170</v>
      </c>
      <c r="B485" s="82" t="s">
        <v>250</v>
      </c>
      <c r="C485" s="10" t="s">
        <v>1150</v>
      </c>
      <c r="D485" s="83" t="s">
        <v>1152</v>
      </c>
      <c r="E485" s="82" t="s">
        <v>877</v>
      </c>
      <c r="F485" s="399" t="s">
        <v>1156</v>
      </c>
      <c r="G485" s="86">
        <v>669.5</v>
      </c>
    </row>
    <row r="486" ht="16.5" spans="1:7">
      <c r="A486" s="81">
        <v>46182</v>
      </c>
      <c r="B486" s="82" t="s">
        <v>250</v>
      </c>
      <c r="C486" s="10" t="s">
        <v>1150</v>
      </c>
      <c r="D486" s="83" t="s">
        <v>1152</v>
      </c>
      <c r="E486" s="82" t="s">
        <v>877</v>
      </c>
      <c r="F486" s="105" t="s">
        <v>1157</v>
      </c>
      <c r="G486" s="86">
        <v>43.69</v>
      </c>
    </row>
    <row r="487" ht="16.5" spans="1:7">
      <c r="A487" s="81">
        <v>46180</v>
      </c>
      <c r="B487" s="82" t="s">
        <v>250</v>
      </c>
      <c r="C487" s="10" t="s">
        <v>1150</v>
      </c>
      <c r="D487" s="83" t="s">
        <v>1152</v>
      </c>
      <c r="E487" s="82" t="s">
        <v>877</v>
      </c>
      <c r="F487" s="10" t="s">
        <v>1158</v>
      </c>
      <c r="G487" s="86">
        <v>57</v>
      </c>
    </row>
    <row r="488" ht="16.5" spans="1:7">
      <c r="A488" s="81">
        <v>46179</v>
      </c>
      <c r="B488" s="82" t="s">
        <v>250</v>
      </c>
      <c r="C488" s="10" t="s">
        <v>1150</v>
      </c>
      <c r="D488" s="83" t="s">
        <v>1152</v>
      </c>
      <c r="E488" s="82" t="s">
        <v>877</v>
      </c>
      <c r="F488" s="10" t="s">
        <v>1159</v>
      </c>
      <c r="G488" s="86">
        <v>4.78</v>
      </c>
    </row>
    <row r="489" ht="16.5" spans="1:7">
      <c r="A489" s="81">
        <v>46175</v>
      </c>
      <c r="B489" s="82" t="s">
        <v>250</v>
      </c>
      <c r="C489" s="10" t="s">
        <v>1150</v>
      </c>
      <c r="D489" s="83" t="s">
        <v>1152</v>
      </c>
      <c r="E489" s="82" t="s">
        <v>877</v>
      </c>
      <c r="F489" s="85" t="s">
        <v>1160</v>
      </c>
      <c r="G489" s="86">
        <v>65.2</v>
      </c>
    </row>
    <row r="490" ht="16.5" spans="1:7">
      <c r="A490" s="81">
        <v>46173</v>
      </c>
      <c r="B490" s="82" t="s">
        <v>250</v>
      </c>
      <c r="C490" s="10" t="s">
        <v>1150</v>
      </c>
      <c r="D490" s="83" t="s">
        <v>1152</v>
      </c>
      <c r="E490" s="82" t="s">
        <v>877</v>
      </c>
      <c r="F490" s="85" t="s">
        <v>1161</v>
      </c>
      <c r="G490" s="86">
        <v>330.17</v>
      </c>
    </row>
    <row r="491" ht="16.5" spans="1:7">
      <c r="A491" s="81">
        <v>46170</v>
      </c>
      <c r="B491" s="82" t="s">
        <v>250</v>
      </c>
      <c r="C491" s="10" t="s">
        <v>1150</v>
      </c>
      <c r="D491" s="83" t="s">
        <v>1152</v>
      </c>
      <c r="E491" s="82" t="s">
        <v>877</v>
      </c>
      <c r="F491" s="85" t="s">
        <v>1162</v>
      </c>
      <c r="G491" s="86">
        <v>329.55</v>
      </c>
    </row>
    <row r="492" ht="16.5" spans="1:7">
      <c r="A492" s="81">
        <v>46169</v>
      </c>
      <c r="B492" s="82" t="s">
        <v>250</v>
      </c>
      <c r="C492" s="10" t="s">
        <v>1150</v>
      </c>
      <c r="D492" s="83" t="s">
        <v>1152</v>
      </c>
      <c r="E492" s="82" t="s">
        <v>877</v>
      </c>
      <c r="F492" s="85" t="s">
        <v>1163</v>
      </c>
      <c r="G492" s="86">
        <v>43.69</v>
      </c>
    </row>
    <row r="493" ht="16.5" spans="1:7">
      <c r="A493" s="81">
        <v>46168</v>
      </c>
      <c r="B493" s="82" t="s">
        <v>250</v>
      </c>
      <c r="C493" s="10" t="s">
        <v>1150</v>
      </c>
      <c r="D493" s="83" t="s">
        <v>1152</v>
      </c>
      <c r="E493" s="82" t="s">
        <v>877</v>
      </c>
      <c r="F493" s="85" t="s">
        <v>1164</v>
      </c>
      <c r="G493" s="86">
        <v>79.33</v>
      </c>
    </row>
    <row r="494" ht="16.5" spans="1:7">
      <c r="A494" s="81">
        <v>46167</v>
      </c>
      <c r="B494" s="82" t="s">
        <v>250</v>
      </c>
      <c r="C494" s="10" t="s">
        <v>1150</v>
      </c>
      <c r="D494" s="83" t="s">
        <v>1152</v>
      </c>
      <c r="E494" s="82" t="s">
        <v>877</v>
      </c>
      <c r="F494" s="85" t="s">
        <v>1165</v>
      </c>
      <c r="G494" s="86">
        <v>14.13</v>
      </c>
    </row>
    <row r="495" ht="16.5" spans="1:7">
      <c r="A495" s="81">
        <v>46166</v>
      </c>
      <c r="B495" s="82" t="s">
        <v>250</v>
      </c>
      <c r="C495" s="10" t="s">
        <v>1150</v>
      </c>
      <c r="D495" s="83" t="s">
        <v>1152</v>
      </c>
      <c r="E495" s="82" t="s">
        <v>877</v>
      </c>
      <c r="F495" s="85" t="s">
        <v>1166</v>
      </c>
      <c r="G495" s="86">
        <v>312.6</v>
      </c>
    </row>
    <row r="496" ht="16.5" spans="1:7">
      <c r="A496" s="81">
        <v>46161</v>
      </c>
      <c r="B496" s="82" t="s">
        <v>250</v>
      </c>
      <c r="C496" s="10" t="s">
        <v>1150</v>
      </c>
      <c r="D496" s="83" t="s">
        <v>1152</v>
      </c>
      <c r="E496" s="82" t="s">
        <v>877</v>
      </c>
      <c r="F496" s="85" t="s">
        <v>1167</v>
      </c>
      <c r="G496" s="86">
        <v>21.46</v>
      </c>
    </row>
    <row r="497" ht="16.5" spans="1:7">
      <c r="A497" s="81">
        <v>46160</v>
      </c>
      <c r="B497" s="82" t="s">
        <v>250</v>
      </c>
      <c r="C497" s="10" t="s">
        <v>1150</v>
      </c>
      <c r="D497" s="83" t="s">
        <v>1152</v>
      </c>
      <c r="E497" s="82" t="s">
        <v>877</v>
      </c>
      <c r="F497" s="85" t="s">
        <v>1168</v>
      </c>
      <c r="G497" s="86">
        <v>36.5</v>
      </c>
    </row>
    <row r="498" ht="16.5" spans="1:7">
      <c r="A498" s="81">
        <v>46156</v>
      </c>
      <c r="B498" s="82" t="s">
        <v>250</v>
      </c>
      <c r="C498" s="10" t="s">
        <v>1150</v>
      </c>
      <c r="D498" s="83" t="s">
        <v>1152</v>
      </c>
      <c r="E498" s="82" t="s">
        <v>877</v>
      </c>
      <c r="F498" s="85" t="s">
        <v>1169</v>
      </c>
      <c r="G498" s="86">
        <v>99.42</v>
      </c>
    </row>
    <row r="499" ht="16.5" spans="1:7">
      <c r="A499" s="81">
        <v>46155</v>
      </c>
      <c r="B499" s="82" t="s">
        <v>250</v>
      </c>
      <c r="C499" s="10" t="s">
        <v>1150</v>
      </c>
      <c r="D499" s="83" t="s">
        <v>1152</v>
      </c>
      <c r="E499" s="82" t="s">
        <v>877</v>
      </c>
      <c r="F499" s="85" t="s">
        <v>1170</v>
      </c>
      <c r="G499" s="86">
        <v>99.42</v>
      </c>
    </row>
    <row r="500" ht="16.5" spans="1:7">
      <c r="A500" s="81">
        <v>46154</v>
      </c>
      <c r="B500" s="82" t="s">
        <v>250</v>
      </c>
      <c r="C500" s="10" t="s">
        <v>1150</v>
      </c>
      <c r="D500" s="83" t="s">
        <v>1152</v>
      </c>
      <c r="E500" s="82" t="s">
        <v>877</v>
      </c>
      <c r="F500" s="85" t="s">
        <v>1171</v>
      </c>
      <c r="G500" s="86">
        <v>163.26</v>
      </c>
    </row>
    <row r="501" ht="16.5" spans="1:7">
      <c r="A501" s="81">
        <v>46186</v>
      </c>
      <c r="B501" s="82" t="s">
        <v>250</v>
      </c>
      <c r="C501" s="10" t="s">
        <v>1150</v>
      </c>
      <c r="D501" s="83"/>
      <c r="E501" s="82" t="s">
        <v>877</v>
      </c>
      <c r="F501" s="85" t="s">
        <v>1172</v>
      </c>
      <c r="G501" s="86">
        <v>500</v>
      </c>
    </row>
    <row r="502" ht="16.5" spans="1:7">
      <c r="A502" s="81">
        <v>46183</v>
      </c>
      <c r="B502" s="82" t="s">
        <v>35</v>
      </c>
      <c r="C502" s="10" t="s">
        <v>112</v>
      </c>
      <c r="D502" s="83" t="s">
        <v>111</v>
      </c>
      <c r="E502" s="82" t="s">
        <v>877</v>
      </c>
      <c r="F502" s="85" t="s">
        <v>1173</v>
      </c>
      <c r="G502" s="86">
        <v>25</v>
      </c>
    </row>
    <row r="503" ht="16.5" spans="1:7">
      <c r="A503" s="81">
        <v>46184</v>
      </c>
      <c r="B503" s="82" t="s">
        <v>35</v>
      </c>
      <c r="C503" s="10" t="s">
        <v>112</v>
      </c>
      <c r="D503" s="83" t="s">
        <v>111</v>
      </c>
      <c r="E503" s="82" t="s">
        <v>877</v>
      </c>
      <c r="F503" s="85" t="s">
        <v>1174</v>
      </c>
      <c r="G503" s="86">
        <v>20</v>
      </c>
    </row>
    <row r="504" ht="16.5" spans="1:7">
      <c r="A504" s="81">
        <v>46184</v>
      </c>
      <c r="B504" s="82" t="s">
        <v>35</v>
      </c>
      <c r="C504" s="10" t="s">
        <v>70</v>
      </c>
      <c r="D504" s="83" t="s">
        <v>69</v>
      </c>
      <c r="E504" s="82" t="s">
        <v>877</v>
      </c>
      <c r="F504" s="85" t="s">
        <v>1175</v>
      </c>
      <c r="G504" s="86">
        <v>20</v>
      </c>
    </row>
    <row r="505" ht="16.5" spans="1:7">
      <c r="A505" s="81">
        <v>46185</v>
      </c>
      <c r="B505" s="82" t="s">
        <v>35</v>
      </c>
      <c r="C505" s="10" t="s">
        <v>70</v>
      </c>
      <c r="D505" s="83" t="s">
        <v>69</v>
      </c>
      <c r="E505" s="82" t="s">
        <v>877</v>
      </c>
      <c r="F505" s="85" t="s">
        <v>1176</v>
      </c>
      <c r="G505" s="86">
        <v>15</v>
      </c>
    </row>
    <row r="506" ht="16.5" spans="1:7">
      <c r="A506" s="81">
        <v>46184</v>
      </c>
      <c r="B506" s="82" t="s">
        <v>35</v>
      </c>
      <c r="C506" s="10" t="s">
        <v>70</v>
      </c>
      <c r="D506" s="83" t="s">
        <v>69</v>
      </c>
      <c r="E506" s="82" t="s">
        <v>877</v>
      </c>
      <c r="F506" s="85" t="s">
        <v>922</v>
      </c>
      <c r="G506" s="86">
        <v>10</v>
      </c>
    </row>
    <row r="507" ht="16.5" spans="1:7">
      <c r="A507" s="81">
        <v>46184</v>
      </c>
      <c r="B507" s="82" t="s">
        <v>35</v>
      </c>
      <c r="C507" s="10" t="s">
        <v>88</v>
      </c>
      <c r="D507" s="83" t="s">
        <v>87</v>
      </c>
      <c r="E507" s="82" t="s">
        <v>877</v>
      </c>
      <c r="F507" s="85" t="s">
        <v>1177</v>
      </c>
      <c r="G507" s="86">
        <v>35</v>
      </c>
    </row>
    <row r="508" ht="16.5" spans="1:7">
      <c r="A508" s="81">
        <v>46185</v>
      </c>
      <c r="B508" s="82" t="s">
        <v>35</v>
      </c>
      <c r="C508" s="10" t="s">
        <v>88</v>
      </c>
      <c r="D508" s="83" t="s">
        <v>87</v>
      </c>
      <c r="E508" s="82" t="s">
        <v>877</v>
      </c>
      <c r="F508" s="105" t="s">
        <v>893</v>
      </c>
      <c r="G508" s="86">
        <v>15</v>
      </c>
    </row>
    <row r="509" ht="16.5" spans="1:7">
      <c r="A509" s="81">
        <v>46184</v>
      </c>
      <c r="B509" s="82" t="s">
        <v>35</v>
      </c>
      <c r="C509" s="10" t="s">
        <v>88</v>
      </c>
      <c r="D509" s="83" t="s">
        <v>87</v>
      </c>
      <c r="E509" s="82" t="s">
        <v>877</v>
      </c>
      <c r="F509" s="85" t="s">
        <v>902</v>
      </c>
      <c r="G509" s="86">
        <v>10</v>
      </c>
    </row>
    <row r="510" ht="16.5" spans="1:7">
      <c r="A510" s="81">
        <v>46185</v>
      </c>
      <c r="B510" s="82" t="s">
        <v>35</v>
      </c>
      <c r="C510" s="10" t="s">
        <v>55</v>
      </c>
      <c r="D510" s="83" t="s">
        <v>54</v>
      </c>
      <c r="E510" s="82" t="s">
        <v>877</v>
      </c>
      <c r="F510" s="85" t="s">
        <v>880</v>
      </c>
      <c r="G510" s="86">
        <v>15</v>
      </c>
    </row>
    <row r="511" ht="16.5" spans="1:7">
      <c r="A511" s="81">
        <v>46184</v>
      </c>
      <c r="B511" s="82" t="s">
        <v>35</v>
      </c>
      <c r="C511" s="10" t="s">
        <v>55</v>
      </c>
      <c r="D511" s="83" t="s">
        <v>54</v>
      </c>
      <c r="E511" s="82" t="s">
        <v>877</v>
      </c>
      <c r="F511" s="85" t="s">
        <v>893</v>
      </c>
      <c r="G511" s="86">
        <v>15</v>
      </c>
    </row>
    <row r="512" ht="16.5" spans="1:7">
      <c r="A512" s="81">
        <v>46184</v>
      </c>
      <c r="B512" s="82" t="s">
        <v>35</v>
      </c>
      <c r="C512" s="10" t="s">
        <v>55</v>
      </c>
      <c r="D512" s="83" t="s">
        <v>54</v>
      </c>
      <c r="E512" s="82" t="s">
        <v>877</v>
      </c>
      <c r="F512" s="105" t="s">
        <v>902</v>
      </c>
      <c r="G512" s="86">
        <v>10</v>
      </c>
    </row>
    <row r="513" ht="16.5" spans="1:7">
      <c r="A513" s="81">
        <v>46185</v>
      </c>
      <c r="B513" s="82" t="s">
        <v>253</v>
      </c>
      <c r="C513" s="10" t="s">
        <v>152</v>
      </c>
      <c r="D513" s="83" t="s">
        <v>151</v>
      </c>
      <c r="E513" s="82" t="s">
        <v>877</v>
      </c>
      <c r="F513" s="105" t="s">
        <v>1178</v>
      </c>
      <c r="G513" s="86">
        <v>200</v>
      </c>
    </row>
    <row r="514" ht="16.5" spans="1:7">
      <c r="A514" s="113">
        <v>46185</v>
      </c>
      <c r="B514" s="401" t="s">
        <v>249</v>
      </c>
      <c r="C514" s="10" t="s">
        <v>152</v>
      </c>
      <c r="D514" s="83" t="s">
        <v>151</v>
      </c>
      <c r="E514" s="82" t="s">
        <v>877</v>
      </c>
      <c r="F514" s="105" t="s">
        <v>1179</v>
      </c>
      <c r="G514" s="114">
        <v>200</v>
      </c>
    </row>
    <row r="515" ht="16.5" spans="1:7">
      <c r="A515" s="81">
        <v>46184</v>
      </c>
      <c r="B515" s="82" t="s">
        <v>35</v>
      </c>
      <c r="C515" s="10" t="s">
        <v>152</v>
      </c>
      <c r="D515" s="83" t="s">
        <v>151</v>
      </c>
      <c r="E515" s="82" t="s">
        <v>877</v>
      </c>
      <c r="F515" s="399" t="s">
        <v>1180</v>
      </c>
      <c r="G515" s="86">
        <v>15</v>
      </c>
    </row>
    <row r="516" ht="16.5" spans="1:7">
      <c r="A516" s="81">
        <v>46185</v>
      </c>
      <c r="B516" s="82" t="s">
        <v>35</v>
      </c>
      <c r="C516" s="10" t="s">
        <v>152</v>
      </c>
      <c r="D516" s="83" t="s">
        <v>151</v>
      </c>
      <c r="E516" s="82" t="s">
        <v>877</v>
      </c>
      <c r="F516" s="104" t="s">
        <v>1181</v>
      </c>
      <c r="G516" s="86">
        <v>15</v>
      </c>
    </row>
    <row r="517" ht="16.5" spans="1:7">
      <c r="A517" s="81">
        <v>46185</v>
      </c>
      <c r="B517" s="82" t="s">
        <v>35</v>
      </c>
      <c r="C517" s="10" t="s">
        <v>152</v>
      </c>
      <c r="D517" s="83" t="s">
        <v>151</v>
      </c>
      <c r="E517" s="82" t="s">
        <v>877</v>
      </c>
      <c r="F517" s="105" t="s">
        <v>902</v>
      </c>
      <c r="G517" s="86">
        <v>10</v>
      </c>
    </row>
    <row r="518" ht="16.5" spans="1:7">
      <c r="A518" s="81">
        <v>46185</v>
      </c>
      <c r="B518" s="82" t="s">
        <v>253</v>
      </c>
      <c r="C518" s="10" t="s">
        <v>118</v>
      </c>
      <c r="D518" s="83" t="s">
        <v>117</v>
      </c>
      <c r="E518" s="82" t="s">
        <v>877</v>
      </c>
      <c r="F518" s="105" t="s">
        <v>1178</v>
      </c>
      <c r="G518" s="86">
        <v>200</v>
      </c>
    </row>
    <row r="519" ht="16.5" spans="1:7">
      <c r="A519" s="81">
        <v>46185</v>
      </c>
      <c r="B519" s="82" t="s">
        <v>249</v>
      </c>
      <c r="C519" s="10" t="s">
        <v>118</v>
      </c>
      <c r="D519" s="83" t="s">
        <v>117</v>
      </c>
      <c r="E519" s="82" t="s">
        <v>877</v>
      </c>
      <c r="F519" s="105" t="s">
        <v>1179</v>
      </c>
      <c r="G519" s="86">
        <v>200</v>
      </c>
    </row>
    <row r="520" ht="16.5" spans="1:7">
      <c r="A520" s="81">
        <v>46185</v>
      </c>
      <c r="B520" s="82" t="s">
        <v>35</v>
      </c>
      <c r="C520" s="10" t="s">
        <v>118</v>
      </c>
      <c r="D520" s="83" t="s">
        <v>117</v>
      </c>
      <c r="E520" s="82" t="s">
        <v>877</v>
      </c>
      <c r="F520" s="10" t="s">
        <v>1135</v>
      </c>
      <c r="G520" s="86">
        <v>20</v>
      </c>
    </row>
    <row r="521" ht="16.5" spans="1:7">
      <c r="A521" s="81">
        <v>46185</v>
      </c>
      <c r="B521" s="82" t="s">
        <v>35</v>
      </c>
      <c r="C521" s="10" t="s">
        <v>118</v>
      </c>
      <c r="D521" s="83" t="s">
        <v>117</v>
      </c>
      <c r="E521" s="82" t="s">
        <v>877</v>
      </c>
      <c r="F521" s="85" t="s">
        <v>880</v>
      </c>
      <c r="G521" s="86">
        <v>15</v>
      </c>
    </row>
    <row r="522" ht="16.5" spans="1:7">
      <c r="A522" s="81">
        <v>46185</v>
      </c>
      <c r="B522" s="82" t="s">
        <v>35</v>
      </c>
      <c r="C522" s="10" t="s">
        <v>67</v>
      </c>
      <c r="D522" s="83" t="s">
        <v>66</v>
      </c>
      <c r="E522" s="82" t="s">
        <v>877</v>
      </c>
      <c r="F522" s="85" t="s">
        <v>903</v>
      </c>
      <c r="G522" s="86">
        <v>20</v>
      </c>
    </row>
    <row r="523" ht="16.5" spans="1:7">
      <c r="A523" s="81">
        <v>46185</v>
      </c>
      <c r="B523" s="82" t="s">
        <v>35</v>
      </c>
      <c r="C523" s="10" t="s">
        <v>67</v>
      </c>
      <c r="D523" s="83" t="s">
        <v>66</v>
      </c>
      <c r="E523" s="82" t="s">
        <v>877</v>
      </c>
      <c r="F523" s="85" t="s">
        <v>880</v>
      </c>
      <c r="G523" s="86">
        <v>15</v>
      </c>
    </row>
    <row r="524" ht="16.5" spans="1:7">
      <c r="A524" s="81">
        <v>46185</v>
      </c>
      <c r="B524" s="82" t="s">
        <v>35</v>
      </c>
      <c r="C524" s="10" t="s">
        <v>67</v>
      </c>
      <c r="D524" s="83" t="s">
        <v>66</v>
      </c>
      <c r="E524" s="82" t="s">
        <v>877</v>
      </c>
      <c r="F524" s="85" t="s">
        <v>902</v>
      </c>
      <c r="G524" s="86">
        <v>10</v>
      </c>
    </row>
    <row r="525" ht="16.5" spans="1:7">
      <c r="A525" s="81">
        <v>46185</v>
      </c>
      <c r="B525" s="82" t="s">
        <v>253</v>
      </c>
      <c r="C525" s="10" t="s">
        <v>100</v>
      </c>
      <c r="D525" s="83" t="s">
        <v>99</v>
      </c>
      <c r="E525" s="82" t="s">
        <v>877</v>
      </c>
      <c r="F525" s="85" t="s">
        <v>1182</v>
      </c>
      <c r="G525" s="86">
        <v>200</v>
      </c>
    </row>
    <row r="526" ht="16.5" spans="1:7">
      <c r="A526" s="81">
        <v>46185</v>
      </c>
      <c r="B526" s="82" t="s">
        <v>249</v>
      </c>
      <c r="C526" s="10" t="s">
        <v>100</v>
      </c>
      <c r="D526" s="83" t="s">
        <v>99</v>
      </c>
      <c r="E526" s="82" t="s">
        <v>877</v>
      </c>
      <c r="F526" s="85" t="s">
        <v>1183</v>
      </c>
      <c r="G526" s="86">
        <v>200</v>
      </c>
    </row>
    <row r="527" ht="16.5" spans="1:7">
      <c r="A527" s="81">
        <v>46185</v>
      </c>
      <c r="B527" s="82" t="s">
        <v>35</v>
      </c>
      <c r="C527" s="10" t="s">
        <v>100</v>
      </c>
      <c r="D527" s="83" t="s">
        <v>99</v>
      </c>
      <c r="E527" s="82" t="s">
        <v>877</v>
      </c>
      <c r="F527" s="85" t="s">
        <v>1034</v>
      </c>
      <c r="G527" s="86">
        <v>20</v>
      </c>
    </row>
    <row r="528" ht="16.5" spans="1:7">
      <c r="A528" s="81">
        <v>46185</v>
      </c>
      <c r="B528" s="82" t="s">
        <v>35</v>
      </c>
      <c r="C528" s="10" t="s">
        <v>100</v>
      </c>
      <c r="D528" s="83" t="s">
        <v>99</v>
      </c>
      <c r="E528" s="82" t="s">
        <v>877</v>
      </c>
      <c r="F528" s="85" t="s">
        <v>1035</v>
      </c>
      <c r="G528" s="86">
        <v>15</v>
      </c>
    </row>
    <row r="529" ht="16.5" spans="1:7">
      <c r="A529" s="81">
        <v>46184</v>
      </c>
      <c r="B529" s="82" t="s">
        <v>35</v>
      </c>
      <c r="C529" s="10" t="s">
        <v>100</v>
      </c>
      <c r="D529" s="83" t="s">
        <v>99</v>
      </c>
      <c r="E529" s="82" t="s">
        <v>877</v>
      </c>
      <c r="F529" s="85" t="s">
        <v>1018</v>
      </c>
      <c r="G529" s="86">
        <v>15</v>
      </c>
    </row>
    <row r="530" ht="16.5" spans="1:7">
      <c r="A530" s="81">
        <v>46185</v>
      </c>
      <c r="B530" s="82" t="s">
        <v>35</v>
      </c>
      <c r="C530" s="10" t="s">
        <v>100</v>
      </c>
      <c r="D530" s="83" t="s">
        <v>99</v>
      </c>
      <c r="E530" s="82" t="s">
        <v>877</v>
      </c>
      <c r="F530" s="85" t="s">
        <v>920</v>
      </c>
      <c r="G530" s="86">
        <v>10</v>
      </c>
    </row>
    <row r="531" ht="16.5" spans="1:7">
      <c r="A531" s="81">
        <v>46184</v>
      </c>
      <c r="B531" s="82" t="s">
        <v>35</v>
      </c>
      <c r="C531" s="10" t="s">
        <v>115</v>
      </c>
      <c r="D531" s="83" t="s">
        <v>114</v>
      </c>
      <c r="E531" s="82" t="s">
        <v>877</v>
      </c>
      <c r="F531" s="85" t="s">
        <v>882</v>
      </c>
      <c r="G531" s="86">
        <v>5</v>
      </c>
    </row>
    <row r="532" ht="16.5" spans="1:7">
      <c r="A532" s="81">
        <v>46185</v>
      </c>
      <c r="B532" s="82" t="s">
        <v>35</v>
      </c>
      <c r="C532" s="10" t="s">
        <v>115</v>
      </c>
      <c r="D532" s="83" t="s">
        <v>114</v>
      </c>
      <c r="E532" s="82" t="s">
        <v>877</v>
      </c>
      <c r="F532" s="85" t="s">
        <v>909</v>
      </c>
      <c r="G532" s="86">
        <v>10</v>
      </c>
    </row>
    <row r="533" ht="16.5" spans="1:7">
      <c r="A533" s="87">
        <v>46184</v>
      </c>
      <c r="B533" s="82" t="s">
        <v>35</v>
      </c>
      <c r="C533" s="10" t="s">
        <v>178</v>
      </c>
      <c r="D533" s="83" t="s">
        <v>177</v>
      </c>
      <c r="E533" s="82" t="s">
        <v>877</v>
      </c>
      <c r="F533" s="85" t="s">
        <v>1184</v>
      </c>
      <c r="G533" s="86">
        <v>13</v>
      </c>
    </row>
    <row r="534" ht="16.5" spans="1:7">
      <c r="A534" s="81">
        <v>46184</v>
      </c>
      <c r="B534" s="82" t="s">
        <v>35</v>
      </c>
      <c r="C534" s="10" t="s">
        <v>178</v>
      </c>
      <c r="D534" s="83" t="s">
        <v>177</v>
      </c>
      <c r="E534" s="82" t="s">
        <v>877</v>
      </c>
      <c r="F534" s="85" t="s">
        <v>904</v>
      </c>
      <c r="G534" s="86">
        <v>10</v>
      </c>
    </row>
    <row r="535" ht="16.5" spans="1:7">
      <c r="A535" s="81">
        <v>46184</v>
      </c>
      <c r="B535" s="82" t="s">
        <v>35</v>
      </c>
      <c r="C535" s="10" t="s">
        <v>149</v>
      </c>
      <c r="D535" s="83" t="s">
        <v>148</v>
      </c>
      <c r="E535" s="82" t="s">
        <v>877</v>
      </c>
      <c r="F535" s="85" t="s">
        <v>998</v>
      </c>
      <c r="G535" s="86">
        <v>10</v>
      </c>
    </row>
    <row r="536" ht="16.5" spans="1:7">
      <c r="A536" s="81">
        <v>46185</v>
      </c>
      <c r="B536" s="82" t="s">
        <v>35</v>
      </c>
      <c r="C536" s="10" t="s">
        <v>149</v>
      </c>
      <c r="D536" s="83" t="s">
        <v>148</v>
      </c>
      <c r="E536" s="82" t="s">
        <v>877</v>
      </c>
      <c r="F536" s="85" t="s">
        <v>1185</v>
      </c>
      <c r="G536" s="86">
        <v>15</v>
      </c>
    </row>
    <row r="537" ht="16.5" spans="1:7">
      <c r="A537" s="81">
        <v>46185</v>
      </c>
      <c r="B537" s="82" t="s">
        <v>35</v>
      </c>
      <c r="C537" s="10" t="s">
        <v>149</v>
      </c>
      <c r="D537" s="83" t="s">
        <v>148</v>
      </c>
      <c r="E537" s="82" t="s">
        <v>877</v>
      </c>
      <c r="F537" s="85" t="s">
        <v>880</v>
      </c>
      <c r="G537" s="86">
        <v>15</v>
      </c>
    </row>
    <row r="538" ht="16.5" spans="1:7">
      <c r="A538" s="81">
        <v>46185</v>
      </c>
      <c r="B538" s="82" t="s">
        <v>35</v>
      </c>
      <c r="C538" s="10" t="s">
        <v>97</v>
      </c>
      <c r="D538" s="83" t="s">
        <v>96</v>
      </c>
      <c r="E538" s="82" t="s">
        <v>877</v>
      </c>
      <c r="F538" s="85" t="s">
        <v>1186</v>
      </c>
      <c r="G538" s="86">
        <v>35</v>
      </c>
    </row>
    <row r="539" ht="16.5" spans="1:7">
      <c r="A539" s="81">
        <v>46184</v>
      </c>
      <c r="B539" s="82" t="s">
        <v>35</v>
      </c>
      <c r="C539" s="10" t="s">
        <v>97</v>
      </c>
      <c r="D539" s="83" t="s">
        <v>96</v>
      </c>
      <c r="E539" s="82" t="s">
        <v>877</v>
      </c>
      <c r="F539" s="85" t="s">
        <v>1187</v>
      </c>
      <c r="G539" s="86">
        <v>10</v>
      </c>
    </row>
    <row r="540" ht="16.5" spans="1:7">
      <c r="A540" s="81">
        <v>46184</v>
      </c>
      <c r="B540" s="82" t="s">
        <v>253</v>
      </c>
      <c r="C540" s="10" t="s">
        <v>139</v>
      </c>
      <c r="D540" s="83" t="s">
        <v>130</v>
      </c>
      <c r="E540" s="82" t="s">
        <v>877</v>
      </c>
      <c r="F540" s="85" t="s">
        <v>1126</v>
      </c>
      <c r="G540" s="86">
        <v>200</v>
      </c>
    </row>
    <row r="541" ht="16.5" spans="1:7">
      <c r="A541" s="81">
        <v>46184</v>
      </c>
      <c r="B541" s="82" t="s">
        <v>249</v>
      </c>
      <c r="C541" s="10" t="s">
        <v>139</v>
      </c>
      <c r="D541" s="83" t="s">
        <v>130</v>
      </c>
      <c r="E541" s="82" t="s">
        <v>877</v>
      </c>
      <c r="F541" s="85" t="s">
        <v>1188</v>
      </c>
      <c r="G541" s="86">
        <v>200</v>
      </c>
    </row>
    <row r="542" ht="16.5" spans="1:7">
      <c r="A542" s="81">
        <v>46184</v>
      </c>
      <c r="B542" s="82" t="s">
        <v>35</v>
      </c>
      <c r="C542" s="10" t="s">
        <v>139</v>
      </c>
      <c r="D542" s="83" t="s">
        <v>130</v>
      </c>
      <c r="E542" s="82" t="s">
        <v>877</v>
      </c>
      <c r="F542" s="105" t="s">
        <v>1189</v>
      </c>
      <c r="G542" s="86">
        <v>15</v>
      </c>
    </row>
    <row r="543" ht="16.5" spans="1:7">
      <c r="A543" s="87">
        <v>46183</v>
      </c>
      <c r="B543" s="82" t="s">
        <v>35</v>
      </c>
      <c r="C543" s="10" t="s">
        <v>139</v>
      </c>
      <c r="D543" s="83" t="s">
        <v>130</v>
      </c>
      <c r="E543" s="82" t="s">
        <v>877</v>
      </c>
      <c r="F543" s="10" t="s">
        <v>1190</v>
      </c>
      <c r="G543" s="86">
        <v>10</v>
      </c>
    </row>
    <row r="544" ht="16.5" spans="1:7">
      <c r="A544" s="87">
        <v>46184</v>
      </c>
      <c r="B544" s="82" t="s">
        <v>35</v>
      </c>
      <c r="C544" s="10" t="s">
        <v>82</v>
      </c>
      <c r="D544" s="83" t="s">
        <v>81</v>
      </c>
      <c r="E544" s="82" t="s">
        <v>877</v>
      </c>
      <c r="F544" s="10" t="s">
        <v>1191</v>
      </c>
      <c r="G544" s="86">
        <v>35</v>
      </c>
    </row>
    <row r="545" ht="16.5" spans="1:7">
      <c r="A545" s="87">
        <v>46185</v>
      </c>
      <c r="B545" s="82" t="s">
        <v>35</v>
      </c>
      <c r="C545" s="10" t="s">
        <v>82</v>
      </c>
      <c r="D545" s="83" t="s">
        <v>81</v>
      </c>
      <c r="E545" s="82" t="s">
        <v>877</v>
      </c>
      <c r="F545" s="10" t="s">
        <v>930</v>
      </c>
      <c r="G545" s="86">
        <v>15</v>
      </c>
    </row>
    <row r="546" ht="16.5" spans="1:7">
      <c r="A546" s="87">
        <v>46183</v>
      </c>
      <c r="B546" s="82" t="s">
        <v>35</v>
      </c>
      <c r="C546" s="10" t="s">
        <v>82</v>
      </c>
      <c r="D546" s="83" t="s">
        <v>81</v>
      </c>
      <c r="E546" s="82" t="s">
        <v>877</v>
      </c>
      <c r="F546" s="105" t="s">
        <v>880</v>
      </c>
      <c r="G546" s="86">
        <v>15</v>
      </c>
    </row>
    <row r="547" ht="16.5" spans="1:7">
      <c r="A547" s="87">
        <v>46184</v>
      </c>
      <c r="B547" s="82" t="s">
        <v>35</v>
      </c>
      <c r="C547" s="10" t="s">
        <v>133</v>
      </c>
      <c r="D547" s="83" t="s">
        <v>132</v>
      </c>
      <c r="E547" s="82" t="s">
        <v>877</v>
      </c>
      <c r="F547" s="10" t="s">
        <v>1192</v>
      </c>
      <c r="G547" s="86">
        <v>23</v>
      </c>
    </row>
    <row r="548" ht="16.5" spans="1:7">
      <c r="A548" s="87">
        <v>46183</v>
      </c>
      <c r="B548" s="82" t="s">
        <v>35</v>
      </c>
      <c r="C548" s="10" t="s">
        <v>133</v>
      </c>
      <c r="D548" s="83" t="s">
        <v>132</v>
      </c>
      <c r="E548" s="82" t="s">
        <v>877</v>
      </c>
      <c r="F548" s="10" t="s">
        <v>880</v>
      </c>
      <c r="G548" s="86">
        <v>15</v>
      </c>
    </row>
    <row r="549" ht="16.5" spans="1:7">
      <c r="A549" s="87">
        <v>46184</v>
      </c>
      <c r="B549" s="82" t="s">
        <v>35</v>
      </c>
      <c r="C549" s="10" t="s">
        <v>133</v>
      </c>
      <c r="D549" s="83" t="s">
        <v>132</v>
      </c>
      <c r="E549" s="82" t="s">
        <v>877</v>
      </c>
      <c r="F549" s="10" t="s">
        <v>1193</v>
      </c>
      <c r="G549" s="86">
        <v>10</v>
      </c>
    </row>
    <row r="550" ht="16.5" spans="1:7">
      <c r="A550" s="87">
        <v>46185</v>
      </c>
      <c r="B550" s="82" t="s">
        <v>35</v>
      </c>
      <c r="C550" s="10" t="s">
        <v>133</v>
      </c>
      <c r="D550" s="83" t="s">
        <v>132</v>
      </c>
      <c r="E550" s="82" t="s">
        <v>877</v>
      </c>
      <c r="F550" s="10" t="s">
        <v>889</v>
      </c>
      <c r="G550" s="86">
        <v>20</v>
      </c>
    </row>
    <row r="551" ht="16.5" spans="1:7">
      <c r="A551" s="87">
        <v>46184</v>
      </c>
      <c r="B551" s="82" t="s">
        <v>35</v>
      </c>
      <c r="C551" s="10" t="s">
        <v>133</v>
      </c>
      <c r="D551" s="83" t="s">
        <v>132</v>
      </c>
      <c r="E551" s="82" t="s">
        <v>877</v>
      </c>
      <c r="F551" s="10" t="s">
        <v>957</v>
      </c>
      <c r="G551" s="86">
        <v>30</v>
      </c>
    </row>
    <row r="552" ht="16.5" spans="1:7">
      <c r="A552" s="87">
        <v>46184</v>
      </c>
      <c r="B552" s="82" t="s">
        <v>35</v>
      </c>
      <c r="C552" s="10" t="s">
        <v>327</v>
      </c>
      <c r="D552" s="83" t="s">
        <v>63</v>
      </c>
      <c r="E552" s="82" t="s">
        <v>877</v>
      </c>
      <c r="F552" s="10" t="s">
        <v>907</v>
      </c>
      <c r="G552" s="86">
        <v>15</v>
      </c>
    </row>
    <row r="553" ht="16.5" spans="1:7">
      <c r="A553" s="87">
        <v>46184</v>
      </c>
      <c r="B553" s="82" t="s">
        <v>35</v>
      </c>
      <c r="C553" s="10" t="s">
        <v>327</v>
      </c>
      <c r="D553" s="83" t="s">
        <v>63</v>
      </c>
      <c r="E553" s="82" t="s">
        <v>877</v>
      </c>
      <c r="F553" s="10" t="s">
        <v>1194</v>
      </c>
      <c r="G553" s="86">
        <v>15</v>
      </c>
    </row>
    <row r="554" ht="16.5" spans="1:7">
      <c r="A554" s="87">
        <v>46185</v>
      </c>
      <c r="B554" s="82" t="s">
        <v>35</v>
      </c>
      <c r="C554" s="10" t="s">
        <v>327</v>
      </c>
      <c r="D554" s="83" t="s">
        <v>63</v>
      </c>
      <c r="E554" s="82" t="s">
        <v>877</v>
      </c>
      <c r="F554" s="10" t="s">
        <v>1017</v>
      </c>
      <c r="G554" s="86">
        <v>20</v>
      </c>
    </row>
    <row r="555" ht="16.5" spans="1:7">
      <c r="A555" s="87">
        <v>46183</v>
      </c>
      <c r="B555" s="82" t="s">
        <v>35</v>
      </c>
      <c r="C555" s="10" t="s">
        <v>327</v>
      </c>
      <c r="D555" s="83" t="s">
        <v>63</v>
      </c>
      <c r="E555" s="82" t="s">
        <v>877</v>
      </c>
      <c r="F555" s="10" t="s">
        <v>1195</v>
      </c>
      <c r="G555" s="86">
        <v>5</v>
      </c>
    </row>
    <row r="556" ht="16.5" spans="1:7">
      <c r="A556" s="87">
        <v>46184</v>
      </c>
      <c r="B556" s="82" t="s">
        <v>35</v>
      </c>
      <c r="C556" s="10" t="s">
        <v>327</v>
      </c>
      <c r="D556" s="83" t="s">
        <v>63</v>
      </c>
      <c r="E556" s="82" t="s">
        <v>877</v>
      </c>
      <c r="F556" s="10" t="s">
        <v>1196</v>
      </c>
      <c r="G556" s="86">
        <v>3</v>
      </c>
    </row>
    <row r="557" ht="16.5" spans="1:7">
      <c r="A557" s="87">
        <v>46185</v>
      </c>
      <c r="B557" s="82" t="s">
        <v>253</v>
      </c>
      <c r="C557" s="10" t="s">
        <v>103</v>
      </c>
      <c r="D557" s="83" t="s">
        <v>102</v>
      </c>
      <c r="E557" s="82" t="s">
        <v>877</v>
      </c>
      <c r="F557" s="10" t="s">
        <v>1197</v>
      </c>
      <c r="G557" s="86">
        <v>100</v>
      </c>
    </row>
    <row r="558" ht="16.5" spans="1:7">
      <c r="A558" s="87">
        <v>46185</v>
      </c>
      <c r="B558" s="82" t="s">
        <v>35</v>
      </c>
      <c r="C558" s="10" t="s">
        <v>103</v>
      </c>
      <c r="D558" s="83" t="s">
        <v>102</v>
      </c>
      <c r="E558" s="82" t="s">
        <v>877</v>
      </c>
      <c r="F558" s="10" t="s">
        <v>1198</v>
      </c>
      <c r="G558" s="86">
        <v>30</v>
      </c>
    </row>
    <row r="559" ht="16.5" spans="1:7">
      <c r="A559" s="87">
        <v>46185</v>
      </c>
      <c r="B559" s="82" t="s">
        <v>35</v>
      </c>
      <c r="C559" s="10" t="s">
        <v>103</v>
      </c>
      <c r="D559" s="83" t="s">
        <v>102</v>
      </c>
      <c r="E559" s="82" t="s">
        <v>877</v>
      </c>
      <c r="F559" s="10" t="s">
        <v>1199</v>
      </c>
      <c r="G559" s="86">
        <v>20</v>
      </c>
    </row>
    <row r="560" ht="16.5" spans="1:7">
      <c r="A560" s="87">
        <v>46184</v>
      </c>
      <c r="B560" s="82" t="s">
        <v>35</v>
      </c>
      <c r="C560" s="10" t="s">
        <v>103</v>
      </c>
      <c r="D560" s="83" t="s">
        <v>102</v>
      </c>
      <c r="E560" s="82" t="s">
        <v>877</v>
      </c>
      <c r="F560" s="10" t="s">
        <v>1059</v>
      </c>
      <c r="G560" s="86">
        <v>15</v>
      </c>
    </row>
    <row r="561" ht="16.5" spans="1:7">
      <c r="A561" s="87">
        <v>46185</v>
      </c>
      <c r="B561" s="82" t="s">
        <v>253</v>
      </c>
      <c r="C561" s="10" t="s">
        <v>139</v>
      </c>
      <c r="D561" s="83" t="s">
        <v>130</v>
      </c>
      <c r="E561" s="82" t="s">
        <v>877</v>
      </c>
      <c r="F561" s="10" t="s">
        <v>1200</v>
      </c>
      <c r="G561" s="86">
        <v>200</v>
      </c>
    </row>
    <row r="562" ht="16.5" spans="1:7">
      <c r="A562" s="87">
        <v>46185</v>
      </c>
      <c r="B562" s="82" t="s">
        <v>249</v>
      </c>
      <c r="C562" s="10" t="s">
        <v>139</v>
      </c>
      <c r="D562" s="83" t="s">
        <v>1201</v>
      </c>
      <c r="E562" s="82" t="s">
        <v>877</v>
      </c>
      <c r="F562" s="10" t="s">
        <v>1202</v>
      </c>
      <c r="G562" s="86">
        <v>200</v>
      </c>
    </row>
    <row r="563" ht="16.5" spans="1:7">
      <c r="A563" s="87">
        <v>46185</v>
      </c>
      <c r="B563" s="82" t="s">
        <v>35</v>
      </c>
      <c r="C563" s="10" t="s">
        <v>139</v>
      </c>
      <c r="D563" s="83" t="s">
        <v>130</v>
      </c>
      <c r="E563" s="82" t="s">
        <v>877</v>
      </c>
      <c r="F563" s="10" t="s">
        <v>961</v>
      </c>
      <c r="G563" s="86">
        <v>10</v>
      </c>
    </row>
    <row r="564" ht="16.5" spans="1:7">
      <c r="A564" s="87">
        <v>46185</v>
      </c>
      <c r="B564" s="82" t="s">
        <v>253</v>
      </c>
      <c r="C564" s="10" t="s">
        <v>454</v>
      </c>
      <c r="D564" s="83" t="s">
        <v>138</v>
      </c>
      <c r="E564" s="82" t="s">
        <v>877</v>
      </c>
      <c r="F564" s="10" t="s">
        <v>1200</v>
      </c>
      <c r="G564" s="86">
        <v>200</v>
      </c>
    </row>
    <row r="565" ht="16.5" spans="1:7">
      <c r="A565" s="87">
        <v>46185</v>
      </c>
      <c r="B565" s="82" t="s">
        <v>249</v>
      </c>
      <c r="C565" s="10" t="s">
        <v>454</v>
      </c>
      <c r="D565" s="83" t="s">
        <v>138</v>
      </c>
      <c r="E565" s="82" t="s">
        <v>877</v>
      </c>
      <c r="F565" s="10" t="s">
        <v>1202</v>
      </c>
      <c r="G565" s="86">
        <v>200</v>
      </c>
    </row>
    <row r="566" ht="16.5" spans="1:7">
      <c r="A566" s="87">
        <v>46184</v>
      </c>
      <c r="B566" s="82" t="s">
        <v>35</v>
      </c>
      <c r="C566" s="10" t="s">
        <v>454</v>
      </c>
      <c r="D566" s="83" t="s">
        <v>138</v>
      </c>
      <c r="E566" s="82" t="s">
        <v>877</v>
      </c>
      <c r="F566" s="10" t="s">
        <v>927</v>
      </c>
      <c r="G566" s="86">
        <v>15</v>
      </c>
    </row>
    <row r="567" ht="16.5" spans="1:7">
      <c r="A567" s="87">
        <v>46185</v>
      </c>
      <c r="B567" s="82" t="s">
        <v>35</v>
      </c>
      <c r="C567" s="10" t="s">
        <v>454</v>
      </c>
      <c r="D567" s="83" t="s">
        <v>138</v>
      </c>
      <c r="E567" s="82" t="s">
        <v>877</v>
      </c>
      <c r="F567" s="10" t="s">
        <v>961</v>
      </c>
      <c r="G567" s="86">
        <v>10</v>
      </c>
    </row>
    <row r="568" ht="16.5" spans="1:7">
      <c r="A568" s="87">
        <v>46185</v>
      </c>
      <c r="B568" s="82" t="s">
        <v>35</v>
      </c>
      <c r="C568" s="10" t="s">
        <v>61</v>
      </c>
      <c r="D568" s="83" t="s">
        <v>60</v>
      </c>
      <c r="E568" s="82" t="s">
        <v>877</v>
      </c>
      <c r="F568" s="10" t="s">
        <v>1016</v>
      </c>
      <c r="G568" s="86">
        <v>30</v>
      </c>
    </row>
    <row r="569" ht="16.5" spans="1:7">
      <c r="A569" s="87">
        <v>46185</v>
      </c>
      <c r="B569" s="82" t="s">
        <v>35</v>
      </c>
      <c r="C569" s="10" t="s">
        <v>61</v>
      </c>
      <c r="D569" s="83" t="s">
        <v>60</v>
      </c>
      <c r="E569" s="82" t="s">
        <v>877</v>
      </c>
      <c r="F569" s="10" t="s">
        <v>904</v>
      </c>
      <c r="G569" s="86">
        <v>10</v>
      </c>
    </row>
    <row r="570" ht="16.5" spans="1:7">
      <c r="A570" s="87">
        <v>46185</v>
      </c>
      <c r="B570" s="82" t="s">
        <v>35</v>
      </c>
      <c r="C570" s="10" t="s">
        <v>61</v>
      </c>
      <c r="D570" s="83" t="s">
        <v>60</v>
      </c>
      <c r="E570" s="82" t="s">
        <v>877</v>
      </c>
      <c r="F570" s="10" t="s">
        <v>1203</v>
      </c>
      <c r="G570" s="86">
        <v>7</v>
      </c>
    </row>
    <row r="571" ht="16.5" spans="1:7">
      <c r="A571" s="87">
        <v>46185</v>
      </c>
      <c r="B571" s="82" t="s">
        <v>35</v>
      </c>
      <c r="C571" s="10" t="s">
        <v>61</v>
      </c>
      <c r="D571" s="83" t="s">
        <v>60</v>
      </c>
      <c r="E571" s="82" t="s">
        <v>877</v>
      </c>
      <c r="F571" s="10" t="s">
        <v>1204</v>
      </c>
      <c r="G571" s="86">
        <v>6</v>
      </c>
    </row>
    <row r="572" ht="16.5" spans="1:7">
      <c r="A572" s="87">
        <v>46185</v>
      </c>
      <c r="B572" s="82" t="s">
        <v>35</v>
      </c>
      <c r="C572" s="10" t="s">
        <v>70</v>
      </c>
      <c r="D572" s="83" t="s">
        <v>69</v>
      </c>
      <c r="E572" s="82" t="s">
        <v>877</v>
      </c>
      <c r="F572" s="10" t="s">
        <v>1205</v>
      </c>
      <c r="G572" s="86">
        <v>20</v>
      </c>
    </row>
    <row r="573" ht="16.5" spans="1:7">
      <c r="A573" s="87">
        <v>46185</v>
      </c>
      <c r="B573" s="82" t="s">
        <v>35</v>
      </c>
      <c r="C573" s="10" t="s">
        <v>70</v>
      </c>
      <c r="D573" s="83" t="s">
        <v>69</v>
      </c>
      <c r="E573" s="82" t="s">
        <v>877</v>
      </c>
      <c r="F573" s="10" t="s">
        <v>1035</v>
      </c>
      <c r="G573" s="86">
        <v>15</v>
      </c>
    </row>
    <row r="574" ht="16.5" spans="1:7">
      <c r="A574" s="87">
        <v>46185</v>
      </c>
      <c r="B574" s="82" t="s">
        <v>35</v>
      </c>
      <c r="C574" s="10" t="s">
        <v>70</v>
      </c>
      <c r="D574" s="83" t="s">
        <v>69</v>
      </c>
      <c r="E574" s="82" t="s">
        <v>877</v>
      </c>
      <c r="F574" s="10" t="s">
        <v>922</v>
      </c>
      <c r="G574" s="86">
        <v>10</v>
      </c>
    </row>
    <row r="575" ht="16.5" spans="1:7">
      <c r="A575" s="87">
        <v>46185</v>
      </c>
      <c r="B575" s="82" t="s">
        <v>253</v>
      </c>
      <c r="C575" s="10" t="s">
        <v>52</v>
      </c>
      <c r="D575" s="83" t="s">
        <v>51</v>
      </c>
      <c r="E575" s="82" t="s">
        <v>877</v>
      </c>
      <c r="F575" s="10" t="s">
        <v>1206</v>
      </c>
      <c r="G575" s="86">
        <v>100</v>
      </c>
    </row>
    <row r="576" ht="16.5" spans="1:7">
      <c r="A576" s="87">
        <v>46185</v>
      </c>
      <c r="B576" s="82" t="s">
        <v>35</v>
      </c>
      <c r="C576" s="10" t="s">
        <v>52</v>
      </c>
      <c r="D576" s="83" t="s">
        <v>51</v>
      </c>
      <c r="E576" s="82" t="s">
        <v>877</v>
      </c>
      <c r="F576" s="10" t="s">
        <v>1042</v>
      </c>
      <c r="G576" s="86">
        <v>30</v>
      </c>
    </row>
    <row r="577" ht="16.5" spans="1:7">
      <c r="A577" s="87">
        <v>46184</v>
      </c>
      <c r="B577" s="82" t="s">
        <v>35</v>
      </c>
      <c r="C577" s="10" t="s">
        <v>52</v>
      </c>
      <c r="D577" s="83" t="s">
        <v>51</v>
      </c>
      <c r="E577" s="82" t="s">
        <v>877</v>
      </c>
      <c r="F577" s="10" t="s">
        <v>1207</v>
      </c>
      <c r="G577" s="86">
        <v>15</v>
      </c>
    </row>
    <row r="578" ht="16.5" spans="1:7">
      <c r="A578" s="87">
        <v>46184</v>
      </c>
      <c r="B578" s="82" t="s">
        <v>35</v>
      </c>
      <c r="C578" s="10" t="s">
        <v>52</v>
      </c>
      <c r="D578" s="83" t="s">
        <v>51</v>
      </c>
      <c r="E578" s="82" t="s">
        <v>877</v>
      </c>
      <c r="F578" s="10" t="s">
        <v>880</v>
      </c>
      <c r="G578" s="86">
        <v>15</v>
      </c>
    </row>
    <row r="579" ht="16.5" spans="1:7">
      <c r="A579" s="87">
        <v>46185</v>
      </c>
      <c r="B579" s="82" t="s">
        <v>35</v>
      </c>
      <c r="C579" s="10" t="s">
        <v>88</v>
      </c>
      <c r="D579" s="83" t="s">
        <v>87</v>
      </c>
      <c r="E579" s="82" t="s">
        <v>877</v>
      </c>
      <c r="F579" s="10" t="s">
        <v>902</v>
      </c>
      <c r="G579" s="86">
        <v>10</v>
      </c>
    </row>
    <row r="580" ht="16.5" spans="1:7">
      <c r="A580" s="87">
        <v>46185</v>
      </c>
      <c r="B580" s="82" t="s">
        <v>35</v>
      </c>
      <c r="C580" s="10" t="s">
        <v>88</v>
      </c>
      <c r="D580" s="83" t="s">
        <v>87</v>
      </c>
      <c r="E580" s="82" t="s">
        <v>877</v>
      </c>
      <c r="F580" s="10" t="s">
        <v>1208</v>
      </c>
      <c r="G580" s="86">
        <v>20</v>
      </c>
    </row>
    <row r="581" ht="16.5" spans="1:7">
      <c r="A581" s="87">
        <v>46185</v>
      </c>
      <c r="B581" s="82" t="s">
        <v>35</v>
      </c>
      <c r="C581" s="10" t="s">
        <v>88</v>
      </c>
      <c r="D581" s="83" t="s">
        <v>87</v>
      </c>
      <c r="E581" s="82" t="s">
        <v>877</v>
      </c>
      <c r="F581" s="10" t="s">
        <v>880</v>
      </c>
      <c r="G581" s="86">
        <v>15</v>
      </c>
    </row>
    <row r="582" ht="16.5" spans="1:7">
      <c r="A582" s="394">
        <v>46187</v>
      </c>
      <c r="B582" s="82" t="s">
        <v>35</v>
      </c>
      <c r="C582" s="95" t="s">
        <v>136</v>
      </c>
      <c r="D582" s="83" t="s">
        <v>135</v>
      </c>
      <c r="E582" s="82" t="s">
        <v>877</v>
      </c>
      <c r="F582" s="108" t="s">
        <v>1209</v>
      </c>
      <c r="G582" s="96">
        <f>1900+650</f>
        <v>2550</v>
      </c>
    </row>
    <row r="583" ht="16.5" spans="1:7">
      <c r="A583" s="81">
        <v>46184</v>
      </c>
      <c r="B583" s="82" t="s">
        <v>35</v>
      </c>
      <c r="C583" s="10" t="s">
        <v>122</v>
      </c>
      <c r="D583" s="83" t="s">
        <v>172</v>
      </c>
      <c r="E583" s="82" t="s">
        <v>877</v>
      </c>
      <c r="F583" s="85" t="s">
        <v>1210</v>
      </c>
      <c r="G583" s="86">
        <v>93</v>
      </c>
    </row>
    <row r="584" ht="16.5" spans="1:7">
      <c r="A584" s="81">
        <v>46184</v>
      </c>
      <c r="B584" s="82" t="s">
        <v>35</v>
      </c>
      <c r="C584" s="10" t="s">
        <v>122</v>
      </c>
      <c r="D584" s="83" t="s">
        <v>172</v>
      </c>
      <c r="E584" s="82" t="s">
        <v>877</v>
      </c>
      <c r="F584" s="85" t="s">
        <v>1124</v>
      </c>
      <c r="G584" s="86">
        <v>35</v>
      </c>
    </row>
    <row r="585" ht="16.5" spans="1:7">
      <c r="A585" s="81">
        <v>46186</v>
      </c>
      <c r="B585" s="82" t="s">
        <v>35</v>
      </c>
      <c r="C585" s="10" t="s">
        <v>122</v>
      </c>
      <c r="D585" s="83" t="s">
        <v>172</v>
      </c>
      <c r="E585" s="82" t="s">
        <v>877</v>
      </c>
      <c r="F585" s="85" t="s">
        <v>1059</v>
      </c>
      <c r="G585" s="86">
        <v>15</v>
      </c>
    </row>
    <row r="586" ht="16.5" spans="1:7">
      <c r="A586" s="81">
        <v>46185</v>
      </c>
      <c r="B586" s="82" t="s">
        <v>35</v>
      </c>
      <c r="C586" s="10" t="s">
        <v>122</v>
      </c>
      <c r="D586" s="83" t="s">
        <v>172</v>
      </c>
      <c r="E586" s="82" t="s">
        <v>877</v>
      </c>
      <c r="F586" s="85" t="s">
        <v>1125</v>
      </c>
      <c r="G586" s="86">
        <v>10</v>
      </c>
    </row>
    <row r="587" ht="16.5" spans="1:7">
      <c r="A587" s="81">
        <v>46186</v>
      </c>
      <c r="B587" s="82" t="s">
        <v>35</v>
      </c>
      <c r="C587" s="10" t="s">
        <v>79</v>
      </c>
      <c r="D587" s="83" t="s">
        <v>78</v>
      </c>
      <c r="E587" s="82" t="s">
        <v>877</v>
      </c>
      <c r="F587" s="85" t="s">
        <v>881</v>
      </c>
      <c r="G587" s="86">
        <v>10</v>
      </c>
    </row>
    <row r="588" ht="16.5" spans="1:7">
      <c r="A588" s="81">
        <v>46184</v>
      </c>
      <c r="B588" s="82" t="s">
        <v>35</v>
      </c>
      <c r="C588" s="10" t="s">
        <v>79</v>
      </c>
      <c r="D588" s="83" t="s">
        <v>78</v>
      </c>
      <c r="E588" s="82" t="s">
        <v>877</v>
      </c>
      <c r="F588" s="85" t="s">
        <v>1109</v>
      </c>
      <c r="G588" s="86">
        <v>15</v>
      </c>
    </row>
    <row r="589" ht="16.5" spans="1:7">
      <c r="A589" s="81">
        <v>46185</v>
      </c>
      <c r="B589" s="82" t="s">
        <v>35</v>
      </c>
      <c r="C589" s="10" t="s">
        <v>79</v>
      </c>
      <c r="D589" s="83" t="s">
        <v>78</v>
      </c>
      <c r="E589" s="82" t="s">
        <v>877</v>
      </c>
      <c r="F589" s="105" t="s">
        <v>902</v>
      </c>
      <c r="G589" s="86">
        <v>10</v>
      </c>
    </row>
    <row r="590" ht="16.5" spans="1:7">
      <c r="A590" s="81">
        <v>46183</v>
      </c>
      <c r="B590" s="82" t="s">
        <v>35</v>
      </c>
      <c r="C590" s="10" t="s">
        <v>79</v>
      </c>
      <c r="D590" s="83" t="s">
        <v>78</v>
      </c>
      <c r="E590" s="82" t="s">
        <v>877</v>
      </c>
      <c r="F590" s="85" t="s">
        <v>882</v>
      </c>
      <c r="G590" s="86">
        <v>5</v>
      </c>
    </row>
    <row r="591" ht="16.5" spans="1:7">
      <c r="A591" s="81">
        <v>46184</v>
      </c>
      <c r="B591" s="82" t="s">
        <v>35</v>
      </c>
      <c r="C591" s="10" t="s">
        <v>73</v>
      </c>
      <c r="D591" s="83" t="s">
        <v>72</v>
      </c>
      <c r="E591" s="82" t="s">
        <v>877</v>
      </c>
      <c r="F591" s="85" t="s">
        <v>1058</v>
      </c>
      <c r="G591" s="86">
        <v>35</v>
      </c>
    </row>
    <row r="592" ht="16.5" spans="1:7">
      <c r="A592" s="81">
        <v>46184</v>
      </c>
      <c r="B592" s="82" t="s">
        <v>35</v>
      </c>
      <c r="C592" s="10" t="s">
        <v>73</v>
      </c>
      <c r="D592" s="83" t="s">
        <v>72</v>
      </c>
      <c r="E592" s="82" t="s">
        <v>877</v>
      </c>
      <c r="F592" s="85" t="s">
        <v>1059</v>
      </c>
      <c r="G592" s="86">
        <v>15</v>
      </c>
    </row>
    <row r="593" ht="16.5" spans="1:7">
      <c r="A593" s="81">
        <v>46185</v>
      </c>
      <c r="B593" s="82" t="s">
        <v>35</v>
      </c>
      <c r="C593" s="10" t="s">
        <v>73</v>
      </c>
      <c r="D593" s="83" t="s">
        <v>72</v>
      </c>
      <c r="E593" s="82" t="s">
        <v>877</v>
      </c>
      <c r="F593" s="105" t="s">
        <v>1088</v>
      </c>
      <c r="G593" s="86">
        <v>20</v>
      </c>
    </row>
    <row r="594" ht="16.5" spans="1:7">
      <c r="A594" s="81">
        <v>46185</v>
      </c>
      <c r="B594" s="82" t="s">
        <v>253</v>
      </c>
      <c r="C594" s="10" t="s">
        <v>109</v>
      </c>
      <c r="D594" s="83" t="s">
        <v>108</v>
      </c>
      <c r="E594" s="82" t="s">
        <v>877</v>
      </c>
      <c r="F594" s="105" t="s">
        <v>1211</v>
      </c>
      <c r="G594" s="86">
        <v>20</v>
      </c>
    </row>
    <row r="595" ht="16.5" spans="1:7">
      <c r="A595" s="113">
        <v>46186</v>
      </c>
      <c r="B595" s="401" t="s">
        <v>35</v>
      </c>
      <c r="C595" s="10" t="s">
        <v>109</v>
      </c>
      <c r="D595" s="83" t="s">
        <v>108</v>
      </c>
      <c r="E595" s="82" t="s">
        <v>877</v>
      </c>
      <c r="F595" s="105" t="s">
        <v>1061</v>
      </c>
      <c r="G595" s="114">
        <v>15</v>
      </c>
    </row>
    <row r="596" ht="16.5" spans="1:7">
      <c r="A596" s="81">
        <v>46185</v>
      </c>
      <c r="B596" s="401" t="s">
        <v>35</v>
      </c>
      <c r="C596" s="10" t="s">
        <v>109</v>
      </c>
      <c r="D596" s="83" t="s">
        <v>108</v>
      </c>
      <c r="E596" s="82" t="s">
        <v>877</v>
      </c>
      <c r="F596" s="399" t="s">
        <v>915</v>
      </c>
      <c r="G596" s="86">
        <v>10</v>
      </c>
    </row>
    <row r="597" ht="16.5" spans="1:7">
      <c r="A597" s="81">
        <v>46184</v>
      </c>
      <c r="B597" s="82" t="s">
        <v>253</v>
      </c>
      <c r="C597" s="10" t="s">
        <v>142</v>
      </c>
      <c r="D597" s="83" t="s">
        <v>141</v>
      </c>
      <c r="E597" s="82" t="s">
        <v>877</v>
      </c>
      <c r="F597" s="104" t="s">
        <v>1212</v>
      </c>
      <c r="G597" s="86">
        <v>20</v>
      </c>
    </row>
    <row r="598" ht="16.5" spans="1:7">
      <c r="A598" s="81">
        <v>46186</v>
      </c>
      <c r="B598" s="82" t="s">
        <v>35</v>
      </c>
      <c r="C598" s="10" t="s">
        <v>142</v>
      </c>
      <c r="D598" s="83" t="s">
        <v>141</v>
      </c>
      <c r="E598" s="82" t="s">
        <v>877</v>
      </c>
      <c r="F598" s="105" t="s">
        <v>1213</v>
      </c>
      <c r="G598" s="86">
        <v>30</v>
      </c>
    </row>
    <row r="599" ht="16.5" spans="1:7">
      <c r="A599" s="81">
        <v>46185</v>
      </c>
      <c r="B599" s="82" t="s">
        <v>35</v>
      </c>
      <c r="C599" s="10" t="s">
        <v>142</v>
      </c>
      <c r="D599" s="83" t="s">
        <v>141</v>
      </c>
      <c r="E599" s="82" t="s">
        <v>877</v>
      </c>
      <c r="F599" s="105" t="s">
        <v>930</v>
      </c>
      <c r="G599" s="86">
        <v>15</v>
      </c>
    </row>
    <row r="600" ht="16.5" spans="1:7">
      <c r="A600" s="81">
        <v>46183</v>
      </c>
      <c r="B600" s="82" t="s">
        <v>35</v>
      </c>
      <c r="C600" s="10" t="s">
        <v>136</v>
      </c>
      <c r="D600" s="83" t="s">
        <v>135</v>
      </c>
      <c r="E600" s="82" t="s">
        <v>877</v>
      </c>
      <c r="F600" s="105" t="s">
        <v>1214</v>
      </c>
      <c r="G600" s="86">
        <v>15</v>
      </c>
    </row>
    <row r="601" ht="16.5" spans="1:7">
      <c r="A601" s="81">
        <v>46186</v>
      </c>
      <c r="B601" s="82" t="s">
        <v>35</v>
      </c>
      <c r="C601" s="10" t="s">
        <v>136</v>
      </c>
      <c r="D601" s="83" t="s">
        <v>135</v>
      </c>
      <c r="E601" s="82" t="s">
        <v>877</v>
      </c>
      <c r="F601" s="10" t="s">
        <v>1215</v>
      </c>
      <c r="G601" s="86">
        <v>15</v>
      </c>
    </row>
    <row r="602" ht="16.5" spans="1:7">
      <c r="A602" s="81">
        <v>46185</v>
      </c>
      <c r="B602" s="82" t="s">
        <v>35</v>
      </c>
      <c r="C602" s="10" t="s">
        <v>136</v>
      </c>
      <c r="D602" s="83" t="s">
        <v>135</v>
      </c>
      <c r="E602" s="82" t="s">
        <v>877</v>
      </c>
      <c r="F602" s="85" t="s">
        <v>889</v>
      </c>
      <c r="G602" s="86">
        <v>20</v>
      </c>
    </row>
    <row r="603" ht="16.5" spans="1:7">
      <c r="A603" s="81">
        <v>46183</v>
      </c>
      <c r="B603" s="82" t="s">
        <v>35</v>
      </c>
      <c r="C603" s="10" t="s">
        <v>76</v>
      </c>
      <c r="D603" s="83" t="s">
        <v>75</v>
      </c>
      <c r="E603" s="82" t="s">
        <v>877</v>
      </c>
      <c r="F603" s="85" t="s">
        <v>907</v>
      </c>
      <c r="G603" s="86">
        <v>15</v>
      </c>
    </row>
    <row r="604" ht="16.5" spans="1:7">
      <c r="A604" s="81">
        <v>46183</v>
      </c>
      <c r="B604" s="82" t="s">
        <v>35</v>
      </c>
      <c r="C604" s="10" t="s">
        <v>76</v>
      </c>
      <c r="D604" s="83" t="s">
        <v>75</v>
      </c>
      <c r="E604" s="82" t="s">
        <v>877</v>
      </c>
      <c r="F604" s="85" t="s">
        <v>904</v>
      </c>
      <c r="G604" s="86">
        <v>10</v>
      </c>
    </row>
    <row r="605" ht="16.5" spans="1:7">
      <c r="A605" s="81">
        <v>46185</v>
      </c>
      <c r="B605" s="82" t="s">
        <v>35</v>
      </c>
      <c r="C605" s="10" t="s">
        <v>76</v>
      </c>
      <c r="D605" s="83" t="s">
        <v>75</v>
      </c>
      <c r="E605" s="82" t="s">
        <v>877</v>
      </c>
      <c r="F605" s="85" t="s">
        <v>1216</v>
      </c>
      <c r="G605" s="86">
        <v>5</v>
      </c>
    </row>
    <row r="606" ht="16.5" spans="1:7">
      <c r="A606" s="81">
        <v>46186</v>
      </c>
      <c r="B606" s="82" t="s">
        <v>35</v>
      </c>
      <c r="C606" s="10" t="s">
        <v>181</v>
      </c>
      <c r="D606" s="83" t="s">
        <v>180</v>
      </c>
      <c r="E606" s="82" t="s">
        <v>877</v>
      </c>
      <c r="F606" s="85" t="s">
        <v>903</v>
      </c>
      <c r="G606" s="86">
        <v>20</v>
      </c>
    </row>
    <row r="607" ht="16.5" spans="1:7">
      <c r="A607" s="81">
        <v>46185</v>
      </c>
      <c r="B607" s="82" t="s">
        <v>35</v>
      </c>
      <c r="C607" s="10" t="s">
        <v>181</v>
      </c>
      <c r="D607" s="83" t="s">
        <v>180</v>
      </c>
      <c r="E607" s="82" t="s">
        <v>877</v>
      </c>
      <c r="F607" s="85" t="s">
        <v>1217</v>
      </c>
      <c r="G607" s="86">
        <v>30</v>
      </c>
    </row>
    <row r="608" ht="16.5" spans="1:7">
      <c r="A608" s="81">
        <v>46185</v>
      </c>
      <c r="B608" s="82" t="s">
        <v>35</v>
      </c>
      <c r="C608" s="10" t="s">
        <v>145</v>
      </c>
      <c r="D608" s="83" t="s">
        <v>144</v>
      </c>
      <c r="E608" s="82" t="s">
        <v>877</v>
      </c>
      <c r="F608" s="85" t="s">
        <v>930</v>
      </c>
      <c r="G608" s="86">
        <v>15</v>
      </c>
    </row>
    <row r="609" ht="16.5" spans="1:7">
      <c r="A609" s="81">
        <v>46186</v>
      </c>
      <c r="B609" s="82" t="s">
        <v>35</v>
      </c>
      <c r="C609" s="10" t="s">
        <v>145</v>
      </c>
      <c r="D609" s="83" t="s">
        <v>144</v>
      </c>
      <c r="E609" s="82" t="s">
        <v>877</v>
      </c>
      <c r="F609" s="85" t="s">
        <v>911</v>
      </c>
      <c r="G609" s="86">
        <v>10</v>
      </c>
    </row>
    <row r="610" ht="16.5" spans="1:7">
      <c r="A610" s="81">
        <v>46185</v>
      </c>
      <c r="B610" s="82" t="s">
        <v>35</v>
      </c>
      <c r="C610" s="10" t="s">
        <v>145</v>
      </c>
      <c r="D610" s="83" t="s">
        <v>144</v>
      </c>
      <c r="E610" s="82" t="s">
        <v>877</v>
      </c>
      <c r="F610" s="85" t="s">
        <v>1137</v>
      </c>
      <c r="G610" s="86">
        <v>15</v>
      </c>
    </row>
    <row r="611" ht="16.5" spans="1:7">
      <c r="A611" s="81">
        <v>46185</v>
      </c>
      <c r="B611" s="82" t="s">
        <v>253</v>
      </c>
      <c r="C611" s="10" t="s">
        <v>58</v>
      </c>
      <c r="D611" s="83" t="s">
        <v>57</v>
      </c>
      <c r="E611" s="82" t="s">
        <v>877</v>
      </c>
      <c r="F611" s="85" t="s">
        <v>1218</v>
      </c>
      <c r="G611" s="86">
        <v>200</v>
      </c>
    </row>
    <row r="612" ht="16.5" spans="1:7">
      <c r="A612" s="81">
        <v>46185</v>
      </c>
      <c r="B612" s="82" t="s">
        <v>249</v>
      </c>
      <c r="C612" s="10" t="s">
        <v>58</v>
      </c>
      <c r="D612" s="83" t="s">
        <v>57</v>
      </c>
      <c r="E612" s="82" t="s">
        <v>877</v>
      </c>
      <c r="F612" s="85" t="s">
        <v>1219</v>
      </c>
      <c r="G612" s="86">
        <v>200</v>
      </c>
    </row>
    <row r="613" ht="16.5" spans="1:7">
      <c r="A613" s="81">
        <v>46185</v>
      </c>
      <c r="B613" s="82" t="s">
        <v>35</v>
      </c>
      <c r="C613" s="10" t="s">
        <v>58</v>
      </c>
      <c r="D613" s="83" t="s">
        <v>57</v>
      </c>
      <c r="E613" s="82" t="s">
        <v>877</v>
      </c>
      <c r="F613" s="85" t="s">
        <v>957</v>
      </c>
      <c r="G613" s="86">
        <v>30</v>
      </c>
    </row>
    <row r="614" ht="16.5" spans="1:7">
      <c r="A614" s="81">
        <v>46185</v>
      </c>
      <c r="B614" s="82" t="s">
        <v>35</v>
      </c>
      <c r="C614" s="10" t="s">
        <v>58</v>
      </c>
      <c r="D614" s="83" t="s">
        <v>57</v>
      </c>
      <c r="E614" s="82" t="s">
        <v>877</v>
      </c>
      <c r="F614" s="85" t="s">
        <v>1140</v>
      </c>
      <c r="G614" s="86">
        <v>15</v>
      </c>
    </row>
    <row r="615" ht="16.5" spans="1:7">
      <c r="A615" s="81">
        <v>46186</v>
      </c>
      <c r="B615" s="82" t="s">
        <v>35</v>
      </c>
      <c r="C615" s="10" t="s">
        <v>58</v>
      </c>
      <c r="D615" s="83" t="s">
        <v>57</v>
      </c>
      <c r="E615" s="82" t="s">
        <v>877</v>
      </c>
      <c r="F615" s="106" t="s">
        <v>889</v>
      </c>
      <c r="G615" s="86">
        <v>20</v>
      </c>
    </row>
    <row r="616" ht="16.5" spans="1:7">
      <c r="A616" s="87">
        <v>46186</v>
      </c>
      <c r="B616" s="82" t="s">
        <v>35</v>
      </c>
      <c r="C616" s="10" t="s">
        <v>152</v>
      </c>
      <c r="D616" s="83" t="s">
        <v>151</v>
      </c>
      <c r="E616" s="82" t="s">
        <v>877</v>
      </c>
      <c r="F616" s="85" t="s">
        <v>1220</v>
      </c>
      <c r="G616" s="86">
        <v>67</v>
      </c>
    </row>
    <row r="617" ht="16.5" spans="1:7">
      <c r="A617" s="81">
        <v>46186</v>
      </c>
      <c r="B617" s="82" t="s">
        <v>35</v>
      </c>
      <c r="C617" s="10" t="s">
        <v>152</v>
      </c>
      <c r="D617" s="83" t="s">
        <v>151</v>
      </c>
      <c r="E617" s="82" t="s">
        <v>877</v>
      </c>
      <c r="F617" s="85" t="s">
        <v>1221</v>
      </c>
      <c r="G617" s="86">
        <v>13</v>
      </c>
    </row>
    <row r="618" ht="16.5" spans="1:7">
      <c r="A618" s="81">
        <v>46186</v>
      </c>
      <c r="B618" s="82" t="s">
        <v>253</v>
      </c>
      <c r="C618" s="10" t="s">
        <v>106</v>
      </c>
      <c r="D618" s="83" t="s">
        <v>105</v>
      </c>
      <c r="E618" s="82" t="s">
        <v>877</v>
      </c>
      <c r="F618" s="85" t="s">
        <v>1222</v>
      </c>
      <c r="G618" s="86">
        <v>100</v>
      </c>
    </row>
    <row r="619" ht="16.5" spans="1:7">
      <c r="A619" s="81">
        <v>46186</v>
      </c>
      <c r="B619" s="82" t="s">
        <v>35</v>
      </c>
      <c r="C619" s="10" t="s">
        <v>106</v>
      </c>
      <c r="D619" s="83" t="s">
        <v>105</v>
      </c>
      <c r="E619" s="82" t="s">
        <v>877</v>
      </c>
      <c r="F619" s="85" t="s">
        <v>970</v>
      </c>
      <c r="G619" s="86">
        <v>15</v>
      </c>
    </row>
    <row r="620" ht="16.5" spans="1:7">
      <c r="A620" s="81">
        <v>46186</v>
      </c>
      <c r="B620" s="82" t="s">
        <v>35</v>
      </c>
      <c r="C620" s="10" t="s">
        <v>106</v>
      </c>
      <c r="D620" s="83" t="s">
        <v>105</v>
      </c>
      <c r="E620" s="82" t="s">
        <v>877</v>
      </c>
      <c r="F620" s="85" t="s">
        <v>904</v>
      </c>
      <c r="G620" s="86">
        <v>10</v>
      </c>
    </row>
    <row r="621" ht="16.5" spans="1:7">
      <c r="A621" s="81">
        <v>46186</v>
      </c>
      <c r="B621" s="82" t="s">
        <v>35</v>
      </c>
      <c r="C621" s="10" t="s">
        <v>115</v>
      </c>
      <c r="D621" s="83" t="s">
        <v>114</v>
      </c>
      <c r="E621" s="82" t="s">
        <v>877</v>
      </c>
      <c r="F621" s="85" t="s">
        <v>908</v>
      </c>
      <c r="G621" s="86">
        <v>15</v>
      </c>
    </row>
    <row r="622" ht="16.5" spans="1:7">
      <c r="A622" s="81">
        <v>46186</v>
      </c>
      <c r="B622" s="82" t="s">
        <v>35</v>
      </c>
      <c r="C622" s="10" t="s">
        <v>115</v>
      </c>
      <c r="D622" s="83" t="s">
        <v>114</v>
      </c>
      <c r="E622" s="82" t="s">
        <v>877</v>
      </c>
      <c r="F622" s="105" t="s">
        <v>1223</v>
      </c>
      <c r="G622" s="86">
        <v>10</v>
      </c>
    </row>
    <row r="623" ht="16.5" spans="1:7">
      <c r="A623" s="87">
        <v>46185</v>
      </c>
      <c r="B623" s="82" t="s">
        <v>35</v>
      </c>
      <c r="C623" s="10" t="s">
        <v>55</v>
      </c>
      <c r="D623" s="83" t="s">
        <v>54</v>
      </c>
      <c r="E623" s="82" t="s">
        <v>877</v>
      </c>
      <c r="F623" s="10" t="s">
        <v>973</v>
      </c>
      <c r="G623" s="86">
        <v>10</v>
      </c>
    </row>
    <row r="624" ht="16.5" spans="1:7">
      <c r="A624" s="87">
        <v>46186</v>
      </c>
      <c r="B624" s="82" t="s">
        <v>35</v>
      </c>
      <c r="C624" s="10" t="s">
        <v>55</v>
      </c>
      <c r="D624" s="83" t="s">
        <v>54</v>
      </c>
      <c r="E624" s="82" t="s">
        <v>877</v>
      </c>
      <c r="F624" s="10" t="s">
        <v>1223</v>
      </c>
      <c r="G624" s="86">
        <v>10</v>
      </c>
    </row>
    <row r="625" ht="16.5" spans="1:7">
      <c r="A625" s="87">
        <v>46185</v>
      </c>
      <c r="B625" s="82" t="s">
        <v>35</v>
      </c>
      <c r="C625" s="10" t="s">
        <v>94</v>
      </c>
      <c r="D625" s="83" t="s">
        <v>93</v>
      </c>
      <c r="E625" s="82" t="s">
        <v>877</v>
      </c>
      <c r="F625" s="10" t="s">
        <v>1224</v>
      </c>
      <c r="G625" s="86">
        <v>35</v>
      </c>
    </row>
    <row r="626" ht="16.5" spans="1:7">
      <c r="A626" s="87">
        <v>46186</v>
      </c>
      <c r="B626" s="82" t="s">
        <v>35</v>
      </c>
      <c r="C626" s="10" t="s">
        <v>94</v>
      </c>
      <c r="D626" s="83" t="s">
        <v>93</v>
      </c>
      <c r="E626" s="82" t="s">
        <v>877</v>
      </c>
      <c r="F626" s="10" t="s">
        <v>880</v>
      </c>
      <c r="G626" s="86">
        <v>15</v>
      </c>
    </row>
    <row r="627" ht="16.5" spans="1:7">
      <c r="A627" s="87">
        <v>46186</v>
      </c>
      <c r="B627" s="82" t="s">
        <v>35</v>
      </c>
      <c r="C627" s="10" t="s">
        <v>94</v>
      </c>
      <c r="D627" s="83" t="s">
        <v>93</v>
      </c>
      <c r="E627" s="82" t="s">
        <v>877</v>
      </c>
      <c r="F627" s="10" t="s">
        <v>889</v>
      </c>
      <c r="G627" s="86">
        <v>20</v>
      </c>
    </row>
    <row r="628" ht="16.5" spans="1:7">
      <c r="A628" s="87">
        <v>46186</v>
      </c>
      <c r="B628" s="82" t="s">
        <v>35</v>
      </c>
      <c r="C628" s="10" t="s">
        <v>167</v>
      </c>
      <c r="D628" s="83" t="s">
        <v>166</v>
      </c>
      <c r="E628" s="82" t="s">
        <v>877</v>
      </c>
      <c r="F628" s="105" t="s">
        <v>1225</v>
      </c>
      <c r="G628" s="86">
        <v>20</v>
      </c>
    </row>
    <row r="629" ht="16.5" spans="1:7">
      <c r="A629" s="87">
        <v>46185</v>
      </c>
      <c r="B629" s="82" t="s">
        <v>35</v>
      </c>
      <c r="C629" s="10" t="s">
        <v>167</v>
      </c>
      <c r="D629" s="83" t="s">
        <v>166</v>
      </c>
      <c r="E629" s="82" t="s">
        <v>877</v>
      </c>
      <c r="F629" s="105" t="s">
        <v>1225</v>
      </c>
      <c r="G629" s="86">
        <v>20</v>
      </c>
    </row>
    <row r="630" ht="16.5" spans="1:7">
      <c r="A630" s="87">
        <v>46184</v>
      </c>
      <c r="B630" s="82" t="s">
        <v>35</v>
      </c>
      <c r="C630" s="10" t="s">
        <v>167</v>
      </c>
      <c r="D630" s="83" t="s">
        <v>166</v>
      </c>
      <c r="E630" s="82" t="s">
        <v>877</v>
      </c>
      <c r="F630" s="105" t="s">
        <v>909</v>
      </c>
      <c r="G630" s="86">
        <v>10</v>
      </c>
    </row>
    <row r="631" ht="16.5" spans="1:7">
      <c r="A631" s="87">
        <v>46186</v>
      </c>
      <c r="B631" s="82" t="s">
        <v>250</v>
      </c>
      <c r="C631" s="10" t="s">
        <v>146</v>
      </c>
      <c r="D631" s="83" t="s">
        <v>1226</v>
      </c>
      <c r="E631" s="82" t="s">
        <v>877</v>
      </c>
      <c r="F631" s="10" t="s">
        <v>1227</v>
      </c>
      <c r="G631" s="86">
        <v>400</v>
      </c>
    </row>
    <row r="632" ht="16.5" spans="1:7">
      <c r="A632" s="87">
        <v>46179</v>
      </c>
      <c r="B632" s="82" t="s">
        <v>250</v>
      </c>
      <c r="C632" s="10" t="s">
        <v>146</v>
      </c>
      <c r="D632" s="83"/>
      <c r="E632" s="82" t="s">
        <v>877</v>
      </c>
      <c r="F632" s="10" t="s">
        <v>1228</v>
      </c>
      <c r="G632" s="86">
        <v>70</v>
      </c>
    </row>
    <row r="633" ht="16.5" spans="1:7">
      <c r="A633" s="87">
        <v>46186</v>
      </c>
      <c r="B633" s="82" t="s">
        <v>250</v>
      </c>
      <c r="C633" s="10" t="s">
        <v>146</v>
      </c>
      <c r="D633" s="83" t="s">
        <v>1229</v>
      </c>
      <c r="E633" s="82" t="s">
        <v>877</v>
      </c>
      <c r="F633" s="10" t="s">
        <v>1230</v>
      </c>
      <c r="G633" s="86">
        <v>184</v>
      </c>
    </row>
    <row r="634" ht="16.5" spans="1:7">
      <c r="A634" s="87">
        <v>46182</v>
      </c>
      <c r="B634" s="82" t="s">
        <v>250</v>
      </c>
      <c r="C634" s="10" t="s">
        <v>146</v>
      </c>
      <c r="D634" s="83"/>
      <c r="E634" s="82" t="s">
        <v>877</v>
      </c>
      <c r="F634" s="10" t="s">
        <v>1231</v>
      </c>
      <c r="G634" s="86">
        <v>180</v>
      </c>
    </row>
    <row r="635" ht="16.5" spans="1:7">
      <c r="A635" s="87">
        <v>46185</v>
      </c>
      <c r="B635" s="82" t="s">
        <v>253</v>
      </c>
      <c r="C635" s="10" t="s">
        <v>112</v>
      </c>
      <c r="D635" s="83" t="s">
        <v>111</v>
      </c>
      <c r="E635" s="82" t="s">
        <v>877</v>
      </c>
      <c r="F635" s="10" t="s">
        <v>1218</v>
      </c>
      <c r="G635" s="86">
        <v>200</v>
      </c>
    </row>
    <row r="636" ht="16.5" spans="1:7">
      <c r="A636" s="87">
        <v>46185</v>
      </c>
      <c r="B636" s="82" t="s">
        <v>249</v>
      </c>
      <c r="C636" s="10" t="s">
        <v>112</v>
      </c>
      <c r="D636" s="83" t="s">
        <v>111</v>
      </c>
      <c r="E636" s="82" t="s">
        <v>877</v>
      </c>
      <c r="F636" s="10" t="s">
        <v>1219</v>
      </c>
      <c r="G636" s="86">
        <v>200</v>
      </c>
    </row>
    <row r="637" ht="16.5" spans="1:7">
      <c r="A637" s="87">
        <v>46186</v>
      </c>
      <c r="B637" s="82" t="s">
        <v>35</v>
      </c>
      <c r="C637" s="10" t="s">
        <v>112</v>
      </c>
      <c r="D637" s="83" t="s">
        <v>111</v>
      </c>
      <c r="E637" s="82" t="s">
        <v>877</v>
      </c>
      <c r="F637" s="10" t="s">
        <v>888</v>
      </c>
      <c r="G637" s="86">
        <v>25</v>
      </c>
    </row>
    <row r="638" ht="16.5" spans="1:7">
      <c r="A638" s="87">
        <v>46186</v>
      </c>
      <c r="B638" s="82" t="s">
        <v>35</v>
      </c>
      <c r="C638" s="10" t="s">
        <v>112</v>
      </c>
      <c r="D638" s="83" t="s">
        <v>111</v>
      </c>
      <c r="E638" s="82" t="s">
        <v>877</v>
      </c>
      <c r="F638" s="10" t="s">
        <v>1232</v>
      </c>
      <c r="G638" s="86">
        <v>13.6</v>
      </c>
    </row>
    <row r="639" ht="16.5" spans="1:7">
      <c r="A639" s="87">
        <v>46187</v>
      </c>
      <c r="B639" s="82" t="s">
        <v>35</v>
      </c>
      <c r="C639" s="10" t="s">
        <v>112</v>
      </c>
      <c r="D639" s="83" t="s">
        <v>111</v>
      </c>
      <c r="E639" s="82" t="s">
        <v>877</v>
      </c>
      <c r="F639" s="10" t="s">
        <v>889</v>
      </c>
      <c r="G639" s="86">
        <v>20</v>
      </c>
    </row>
    <row r="640" ht="27" spans="1:7">
      <c r="A640" s="87">
        <v>46187</v>
      </c>
      <c r="B640" s="82" t="s">
        <v>249</v>
      </c>
      <c r="C640" s="10" t="s">
        <v>91</v>
      </c>
      <c r="D640" s="83" t="s">
        <v>90</v>
      </c>
      <c r="E640" s="82" t="s">
        <v>877</v>
      </c>
      <c r="F640" s="85" t="s">
        <v>1233</v>
      </c>
      <c r="G640" s="86">
        <v>400</v>
      </c>
    </row>
    <row r="641" ht="16.5" spans="1:7">
      <c r="A641" s="87">
        <v>46186</v>
      </c>
      <c r="B641" s="82" t="s">
        <v>35</v>
      </c>
      <c r="C641" s="10" t="s">
        <v>149</v>
      </c>
      <c r="D641" s="83" t="s">
        <v>148</v>
      </c>
      <c r="E641" s="82" t="s">
        <v>877</v>
      </c>
      <c r="F641" s="10" t="s">
        <v>915</v>
      </c>
      <c r="G641" s="86">
        <v>10</v>
      </c>
    </row>
    <row r="642" ht="16.5" spans="1:7">
      <c r="A642" s="87">
        <v>46187</v>
      </c>
      <c r="B642" s="82" t="s">
        <v>35</v>
      </c>
      <c r="C642" s="10" t="s">
        <v>149</v>
      </c>
      <c r="D642" s="83" t="s">
        <v>148</v>
      </c>
      <c r="E642" s="82" t="s">
        <v>877</v>
      </c>
      <c r="F642" s="10" t="s">
        <v>893</v>
      </c>
      <c r="G642" s="86">
        <v>15</v>
      </c>
    </row>
    <row r="643" ht="16.5" spans="1:7">
      <c r="A643" s="87">
        <v>46187</v>
      </c>
      <c r="B643" s="82" t="s">
        <v>35</v>
      </c>
      <c r="C643" s="10" t="s">
        <v>155</v>
      </c>
      <c r="D643" s="83" t="s">
        <v>154</v>
      </c>
      <c r="E643" s="82" t="s">
        <v>877</v>
      </c>
      <c r="F643" s="10" t="s">
        <v>893</v>
      </c>
      <c r="G643" s="86">
        <v>15</v>
      </c>
    </row>
    <row r="644" ht="16.5" spans="1:7">
      <c r="A644" s="87">
        <v>46185</v>
      </c>
      <c r="B644" s="82" t="s">
        <v>35</v>
      </c>
      <c r="C644" s="10" t="s">
        <v>155</v>
      </c>
      <c r="D644" s="83" t="s">
        <v>154</v>
      </c>
      <c r="E644" s="82" t="s">
        <v>877</v>
      </c>
      <c r="F644" s="10" t="s">
        <v>911</v>
      </c>
      <c r="G644" s="86">
        <v>10</v>
      </c>
    </row>
    <row r="645" ht="16.5" spans="1:7">
      <c r="A645" s="87">
        <v>46184</v>
      </c>
      <c r="B645" s="82" t="s">
        <v>35</v>
      </c>
      <c r="C645" s="10" t="s">
        <v>149</v>
      </c>
      <c r="D645" s="83" t="s">
        <v>148</v>
      </c>
      <c r="E645" s="82" t="s">
        <v>877</v>
      </c>
      <c r="F645" s="10" t="s">
        <v>1234</v>
      </c>
      <c r="G645" s="86">
        <v>15</v>
      </c>
    </row>
    <row r="646" ht="16.5" spans="1:7">
      <c r="A646" s="87">
        <v>46186</v>
      </c>
      <c r="B646" s="82" t="s">
        <v>253</v>
      </c>
      <c r="C646" s="10" t="s">
        <v>82</v>
      </c>
      <c r="D646" s="83" t="s">
        <v>81</v>
      </c>
      <c r="E646" s="82" t="s">
        <v>877</v>
      </c>
      <c r="F646" s="10" t="s">
        <v>1235</v>
      </c>
      <c r="G646" s="86">
        <v>200</v>
      </c>
    </row>
    <row r="647" ht="16.5" spans="1:7">
      <c r="A647" s="87">
        <v>46185</v>
      </c>
      <c r="B647" s="82" t="s">
        <v>35</v>
      </c>
      <c r="C647" s="10" t="s">
        <v>82</v>
      </c>
      <c r="D647" s="83" t="s">
        <v>81</v>
      </c>
      <c r="E647" s="82" t="s">
        <v>877</v>
      </c>
      <c r="F647" s="10" t="s">
        <v>1003</v>
      </c>
      <c r="G647" s="86">
        <v>15</v>
      </c>
    </row>
    <row r="648" ht="16.5" spans="1:7">
      <c r="A648" s="87">
        <v>46186</v>
      </c>
      <c r="B648" s="82" t="s">
        <v>35</v>
      </c>
      <c r="C648" s="10" t="s">
        <v>82</v>
      </c>
      <c r="D648" s="83" t="s">
        <v>81</v>
      </c>
      <c r="E648" s="82" t="s">
        <v>877</v>
      </c>
      <c r="F648" s="10" t="s">
        <v>1236</v>
      </c>
      <c r="G648" s="86">
        <v>17</v>
      </c>
    </row>
    <row r="649" ht="16.5" spans="1:7">
      <c r="A649" s="87">
        <v>46187</v>
      </c>
      <c r="B649" s="82" t="s">
        <v>35</v>
      </c>
      <c r="C649" s="10" t="s">
        <v>164</v>
      </c>
      <c r="D649" s="83" t="s">
        <v>163</v>
      </c>
      <c r="E649" s="82" t="s">
        <v>877</v>
      </c>
      <c r="F649" s="10" t="s">
        <v>903</v>
      </c>
      <c r="G649" s="86">
        <v>20</v>
      </c>
    </row>
    <row r="650" ht="16.5" spans="1:7">
      <c r="A650" s="87">
        <v>46186</v>
      </c>
      <c r="B650" s="82" t="s">
        <v>35</v>
      </c>
      <c r="C650" s="10" t="s">
        <v>164</v>
      </c>
      <c r="D650" s="83" t="s">
        <v>163</v>
      </c>
      <c r="E650" s="82" t="s">
        <v>877</v>
      </c>
      <c r="F650" s="10" t="s">
        <v>961</v>
      </c>
      <c r="G650" s="86">
        <v>10</v>
      </c>
    </row>
    <row r="651" ht="16.5" spans="1:7">
      <c r="A651" s="87">
        <v>46187</v>
      </c>
      <c r="B651" s="82" t="s">
        <v>35</v>
      </c>
      <c r="C651" s="10" t="s">
        <v>115</v>
      </c>
      <c r="D651" s="83" t="s">
        <v>114</v>
      </c>
      <c r="E651" s="82" t="s">
        <v>877</v>
      </c>
      <c r="F651" s="10" t="s">
        <v>902</v>
      </c>
      <c r="G651" s="86">
        <v>10</v>
      </c>
    </row>
    <row r="652" ht="16.5" spans="1:7">
      <c r="A652" s="87">
        <v>46187</v>
      </c>
      <c r="B652" s="82" t="s">
        <v>35</v>
      </c>
      <c r="C652" s="10" t="s">
        <v>115</v>
      </c>
      <c r="D652" s="83" t="s">
        <v>114</v>
      </c>
      <c r="E652" s="82" t="s">
        <v>877</v>
      </c>
      <c r="F652" s="10" t="s">
        <v>908</v>
      </c>
      <c r="G652" s="86">
        <v>15</v>
      </c>
    </row>
    <row r="653" ht="16.5" spans="1:7">
      <c r="A653" s="87">
        <v>46187</v>
      </c>
      <c r="B653" s="82" t="s">
        <v>35</v>
      </c>
      <c r="C653" s="10" t="s">
        <v>115</v>
      </c>
      <c r="D653" s="83" t="s">
        <v>114</v>
      </c>
      <c r="E653" s="82" t="s">
        <v>877</v>
      </c>
      <c r="F653" s="10" t="s">
        <v>880</v>
      </c>
      <c r="G653" s="86">
        <v>15</v>
      </c>
    </row>
    <row r="654" ht="16.5" spans="1:7">
      <c r="A654" s="87">
        <v>46187</v>
      </c>
      <c r="B654" s="82" t="s">
        <v>35</v>
      </c>
      <c r="C654" s="10" t="s">
        <v>184</v>
      </c>
      <c r="D654" s="83" t="s">
        <v>183</v>
      </c>
      <c r="E654" s="82" t="s">
        <v>877</v>
      </c>
      <c r="F654" s="10" t="s">
        <v>907</v>
      </c>
      <c r="G654" s="86">
        <v>15</v>
      </c>
    </row>
    <row r="655" ht="16.5" spans="1:7">
      <c r="A655" s="87">
        <v>46186</v>
      </c>
      <c r="B655" s="82" t="s">
        <v>35</v>
      </c>
      <c r="C655" s="10" t="s">
        <v>184</v>
      </c>
      <c r="D655" s="83" t="s">
        <v>183</v>
      </c>
      <c r="E655" s="82" t="s">
        <v>877</v>
      </c>
      <c r="F655" s="10" t="s">
        <v>1237</v>
      </c>
      <c r="G655" s="86">
        <v>10</v>
      </c>
    </row>
    <row r="656" ht="16.5" spans="1:7">
      <c r="A656" s="87">
        <v>46186</v>
      </c>
      <c r="B656" s="82" t="s">
        <v>35</v>
      </c>
      <c r="C656" s="10" t="s">
        <v>184</v>
      </c>
      <c r="D656" s="83" t="s">
        <v>183</v>
      </c>
      <c r="E656" s="82" t="s">
        <v>877</v>
      </c>
      <c r="F656" s="10" t="s">
        <v>1238</v>
      </c>
      <c r="G656" s="86">
        <v>10</v>
      </c>
    </row>
    <row r="657" ht="16.5" spans="1:7">
      <c r="A657" s="87">
        <v>46187</v>
      </c>
      <c r="B657" s="82" t="s">
        <v>35</v>
      </c>
      <c r="C657" s="10" t="s">
        <v>109</v>
      </c>
      <c r="D657" s="83" t="s">
        <v>108</v>
      </c>
      <c r="E657" s="82" t="s">
        <v>877</v>
      </c>
      <c r="F657" s="10" t="s">
        <v>1239</v>
      </c>
      <c r="G657" s="86">
        <v>30</v>
      </c>
    </row>
    <row r="658" ht="16.5" spans="1:7">
      <c r="A658" s="87">
        <v>46186</v>
      </c>
      <c r="B658" s="82" t="s">
        <v>35</v>
      </c>
      <c r="C658" s="10" t="s">
        <v>109</v>
      </c>
      <c r="D658" s="83" t="s">
        <v>108</v>
      </c>
      <c r="E658" s="82" t="s">
        <v>877</v>
      </c>
      <c r="F658" s="10" t="s">
        <v>880</v>
      </c>
      <c r="G658" s="86">
        <v>15</v>
      </c>
    </row>
    <row r="659" ht="16.5" spans="1:7">
      <c r="A659" s="87">
        <v>46187</v>
      </c>
      <c r="B659" s="82" t="s">
        <v>35</v>
      </c>
      <c r="C659" s="10" t="s">
        <v>109</v>
      </c>
      <c r="D659" s="83" t="s">
        <v>108</v>
      </c>
      <c r="E659" s="82" t="s">
        <v>877</v>
      </c>
      <c r="F659" s="10" t="s">
        <v>915</v>
      </c>
      <c r="G659" s="86">
        <v>10</v>
      </c>
    </row>
    <row r="660" ht="16.5" spans="1:7">
      <c r="A660" s="87">
        <v>46185</v>
      </c>
      <c r="B660" s="82" t="s">
        <v>35</v>
      </c>
      <c r="C660" s="10" t="s">
        <v>175</v>
      </c>
      <c r="D660" s="83" t="s">
        <v>174</v>
      </c>
      <c r="E660" s="82" t="s">
        <v>877</v>
      </c>
      <c r="F660" s="10" t="s">
        <v>902</v>
      </c>
      <c r="G660" s="86">
        <v>10</v>
      </c>
    </row>
    <row r="661" ht="16.5" spans="1:7">
      <c r="A661" s="87">
        <v>46187</v>
      </c>
      <c r="B661" s="82" t="s">
        <v>35</v>
      </c>
      <c r="C661" s="10" t="s">
        <v>175</v>
      </c>
      <c r="D661" s="83" t="s">
        <v>174</v>
      </c>
      <c r="E661" s="82" t="s">
        <v>877</v>
      </c>
      <c r="F661" s="10" t="s">
        <v>902</v>
      </c>
      <c r="G661" s="86">
        <v>10</v>
      </c>
    </row>
    <row r="662" ht="16.5" spans="1:7">
      <c r="A662" s="87">
        <v>46184</v>
      </c>
      <c r="B662" s="82" t="s">
        <v>35</v>
      </c>
      <c r="C662" s="10" t="s">
        <v>175</v>
      </c>
      <c r="D662" s="83" t="s">
        <v>174</v>
      </c>
      <c r="E662" s="82" t="s">
        <v>877</v>
      </c>
      <c r="F662" s="10" t="s">
        <v>908</v>
      </c>
      <c r="G662" s="86">
        <v>15</v>
      </c>
    </row>
    <row r="663" ht="16.5" spans="1:7">
      <c r="A663" s="87">
        <v>46185</v>
      </c>
      <c r="B663" s="82" t="s">
        <v>35</v>
      </c>
      <c r="C663" s="10" t="s">
        <v>133</v>
      </c>
      <c r="D663" s="83" t="s">
        <v>132</v>
      </c>
      <c r="E663" s="82" t="s">
        <v>877</v>
      </c>
      <c r="F663" s="10" t="s">
        <v>957</v>
      </c>
      <c r="G663" s="86">
        <v>30</v>
      </c>
    </row>
    <row r="664" ht="16.5" spans="1:7">
      <c r="A664" s="87">
        <v>46187</v>
      </c>
      <c r="B664" s="82" t="s">
        <v>35</v>
      </c>
      <c r="C664" s="10" t="s">
        <v>133</v>
      </c>
      <c r="D664" s="83" t="s">
        <v>132</v>
      </c>
      <c r="E664" s="82" t="s">
        <v>877</v>
      </c>
      <c r="F664" s="10" t="s">
        <v>1240</v>
      </c>
      <c r="G664" s="86">
        <v>20</v>
      </c>
    </row>
    <row r="665" ht="16.5" spans="1:7">
      <c r="A665" s="87">
        <v>46186</v>
      </c>
      <c r="B665" s="82" t="s">
        <v>35</v>
      </c>
      <c r="C665" s="10" t="s">
        <v>70</v>
      </c>
      <c r="D665" s="83" t="s">
        <v>69</v>
      </c>
      <c r="E665" s="82" t="s">
        <v>877</v>
      </c>
      <c r="F665" s="10" t="s">
        <v>922</v>
      </c>
      <c r="G665" s="86">
        <v>10</v>
      </c>
    </row>
    <row r="666" ht="16.5" spans="1:7">
      <c r="A666" s="87">
        <v>46187</v>
      </c>
      <c r="B666" s="82" t="s">
        <v>35</v>
      </c>
      <c r="C666" s="10" t="s">
        <v>70</v>
      </c>
      <c r="D666" s="83" t="s">
        <v>69</v>
      </c>
      <c r="E666" s="82" t="s">
        <v>877</v>
      </c>
      <c r="F666" s="10" t="s">
        <v>1241</v>
      </c>
      <c r="G666" s="86">
        <v>15</v>
      </c>
    </row>
    <row r="667" ht="16.5" spans="1:7">
      <c r="A667" s="87">
        <v>46185</v>
      </c>
      <c r="B667" s="82" t="s">
        <v>253</v>
      </c>
      <c r="C667" s="10" t="s">
        <v>97</v>
      </c>
      <c r="D667" s="83" t="s">
        <v>96</v>
      </c>
      <c r="E667" s="82" t="s">
        <v>877</v>
      </c>
      <c r="F667" s="10" t="s">
        <v>1242</v>
      </c>
      <c r="G667" s="86">
        <v>20</v>
      </c>
    </row>
    <row r="668" ht="16.5" spans="1:7">
      <c r="A668" s="87">
        <v>46186</v>
      </c>
      <c r="B668" s="82" t="s">
        <v>35</v>
      </c>
      <c r="C668" s="10" t="s">
        <v>97</v>
      </c>
      <c r="D668" s="83" t="s">
        <v>96</v>
      </c>
      <c r="E668" s="82" t="s">
        <v>877</v>
      </c>
      <c r="F668" s="10" t="s">
        <v>1243</v>
      </c>
      <c r="G668" s="86">
        <v>35</v>
      </c>
    </row>
    <row r="669" ht="16.5" spans="1:7">
      <c r="A669" s="87">
        <v>46186</v>
      </c>
      <c r="B669" s="82" t="s">
        <v>35</v>
      </c>
      <c r="C669" s="10" t="s">
        <v>97</v>
      </c>
      <c r="D669" s="83" t="s">
        <v>96</v>
      </c>
      <c r="E669" s="82" t="s">
        <v>877</v>
      </c>
      <c r="F669" s="10" t="s">
        <v>1244</v>
      </c>
      <c r="G669" s="86">
        <v>12</v>
      </c>
    </row>
    <row r="670" ht="16.5" spans="1:7">
      <c r="A670" s="87">
        <v>46186</v>
      </c>
      <c r="B670" s="82" t="s">
        <v>35</v>
      </c>
      <c r="C670" s="10" t="s">
        <v>97</v>
      </c>
      <c r="D670" s="83" t="s">
        <v>96</v>
      </c>
      <c r="E670" s="82" t="s">
        <v>877</v>
      </c>
      <c r="F670" s="10" t="s">
        <v>1245</v>
      </c>
      <c r="G670" s="86">
        <v>14</v>
      </c>
    </row>
    <row r="671" ht="16.5" spans="1:7">
      <c r="A671" s="87">
        <v>46185</v>
      </c>
      <c r="B671" s="82" t="s">
        <v>35</v>
      </c>
      <c r="C671" s="10" t="s">
        <v>97</v>
      </c>
      <c r="D671" s="83" t="s">
        <v>96</v>
      </c>
      <c r="E671" s="82" t="s">
        <v>877</v>
      </c>
      <c r="F671" s="10" t="s">
        <v>1246</v>
      </c>
      <c r="G671" s="86">
        <v>15</v>
      </c>
    </row>
    <row r="672" ht="16.5" spans="1:7">
      <c r="A672" s="87">
        <v>46187</v>
      </c>
      <c r="B672" s="82" t="s">
        <v>35</v>
      </c>
      <c r="C672" s="10" t="s">
        <v>67</v>
      </c>
      <c r="D672" s="83" t="s">
        <v>66</v>
      </c>
      <c r="E672" s="82" t="s">
        <v>877</v>
      </c>
      <c r="F672" s="10" t="s">
        <v>907</v>
      </c>
      <c r="G672" s="86">
        <v>15</v>
      </c>
    </row>
    <row r="673" ht="16.5" spans="1:7">
      <c r="A673" s="87">
        <v>46186</v>
      </c>
      <c r="B673" s="82" t="s">
        <v>35</v>
      </c>
      <c r="C673" s="10" t="s">
        <v>67</v>
      </c>
      <c r="D673" s="83" t="s">
        <v>66</v>
      </c>
      <c r="E673" s="82" t="s">
        <v>877</v>
      </c>
      <c r="F673" s="10" t="s">
        <v>904</v>
      </c>
      <c r="G673" s="86">
        <v>10</v>
      </c>
    </row>
    <row r="674" ht="16.5" spans="1:7">
      <c r="A674" s="87">
        <v>46184</v>
      </c>
      <c r="B674" s="82" t="s">
        <v>35</v>
      </c>
      <c r="C674" s="10" t="s">
        <v>170</v>
      </c>
      <c r="D674" s="83" t="s">
        <v>339</v>
      </c>
      <c r="E674" s="82" t="s">
        <v>877</v>
      </c>
      <c r="F674" s="10" t="s">
        <v>1247</v>
      </c>
      <c r="G674" s="86">
        <v>25</v>
      </c>
    </row>
    <row r="675" ht="16.5" spans="1:7">
      <c r="A675" s="87">
        <v>46180</v>
      </c>
      <c r="B675" s="82" t="s">
        <v>35</v>
      </c>
      <c r="C675" s="10" t="s">
        <v>170</v>
      </c>
      <c r="D675" s="83" t="s">
        <v>339</v>
      </c>
      <c r="E675" s="82" t="s">
        <v>877</v>
      </c>
      <c r="F675" s="10" t="s">
        <v>1090</v>
      </c>
      <c r="G675" s="86">
        <v>10</v>
      </c>
    </row>
    <row r="676" ht="16.5" spans="1:7">
      <c r="A676" s="87">
        <v>46184</v>
      </c>
      <c r="B676" s="82" t="s">
        <v>35</v>
      </c>
      <c r="C676" s="10" t="s">
        <v>170</v>
      </c>
      <c r="D676" s="83" t="s">
        <v>339</v>
      </c>
      <c r="E676" s="82" t="s">
        <v>877</v>
      </c>
      <c r="F676" s="10" t="s">
        <v>998</v>
      </c>
      <c r="G676" s="86">
        <v>10</v>
      </c>
    </row>
    <row r="677" ht="16.5" spans="1:7">
      <c r="A677" s="87">
        <v>46187</v>
      </c>
      <c r="B677" s="82" t="s">
        <v>35</v>
      </c>
      <c r="C677" s="10" t="s">
        <v>55</v>
      </c>
      <c r="D677" s="83" t="s">
        <v>54</v>
      </c>
      <c r="E677" s="82" t="s">
        <v>877</v>
      </c>
      <c r="F677" s="10" t="s">
        <v>1248</v>
      </c>
      <c r="G677" s="86">
        <v>15</v>
      </c>
    </row>
    <row r="678" ht="16.5" spans="1:7">
      <c r="A678" s="87">
        <v>46187</v>
      </c>
      <c r="B678" s="82" t="s">
        <v>35</v>
      </c>
      <c r="C678" s="10" t="s">
        <v>55</v>
      </c>
      <c r="D678" s="83" t="s">
        <v>54</v>
      </c>
      <c r="E678" s="82" t="s">
        <v>877</v>
      </c>
      <c r="F678" s="10" t="s">
        <v>893</v>
      </c>
      <c r="G678" s="86">
        <v>15</v>
      </c>
    </row>
    <row r="679" ht="17.25" spans="1:7">
      <c r="A679" s="81">
        <v>46186</v>
      </c>
      <c r="B679" s="82" t="s">
        <v>250</v>
      </c>
      <c r="C679" s="82" t="s">
        <v>894</v>
      </c>
      <c r="D679" s="83"/>
      <c r="E679" s="82" t="s">
        <v>877</v>
      </c>
      <c r="F679" s="112" t="s">
        <v>1249</v>
      </c>
      <c r="G679" s="84">
        <v>158</v>
      </c>
    </row>
    <row r="680" ht="34.5" spans="1:7">
      <c r="A680" s="81">
        <v>46186</v>
      </c>
      <c r="B680" s="82" t="s">
        <v>250</v>
      </c>
      <c r="C680" s="82" t="s">
        <v>894</v>
      </c>
      <c r="D680" s="83"/>
      <c r="E680" s="82" t="s">
        <v>877</v>
      </c>
      <c r="F680" s="112" t="s">
        <v>1250</v>
      </c>
      <c r="G680" s="84">
        <f>14+35</f>
        <v>49</v>
      </c>
    </row>
    <row r="681" ht="17.25" spans="1:7">
      <c r="A681" s="81">
        <v>46186</v>
      </c>
      <c r="B681" s="82" t="s">
        <v>250</v>
      </c>
      <c r="C681" s="82" t="s">
        <v>894</v>
      </c>
      <c r="D681" s="83"/>
      <c r="E681" s="82" t="s">
        <v>877</v>
      </c>
      <c r="F681" s="112" t="s">
        <v>1251</v>
      </c>
      <c r="G681" s="84">
        <v>270.58</v>
      </c>
    </row>
    <row r="682" ht="17.25" spans="1:7">
      <c r="A682" s="81">
        <v>46186</v>
      </c>
      <c r="B682" s="82" t="s">
        <v>250</v>
      </c>
      <c r="C682" s="82" t="s">
        <v>894</v>
      </c>
      <c r="D682" s="83"/>
      <c r="E682" s="82" t="s">
        <v>877</v>
      </c>
      <c r="F682" s="112" t="s">
        <v>1252</v>
      </c>
      <c r="G682" s="84">
        <f>14+60</f>
        <v>74</v>
      </c>
    </row>
    <row r="683" ht="16.5" spans="1:7">
      <c r="A683" s="81">
        <v>46188</v>
      </c>
      <c r="B683" s="82" t="s">
        <v>253</v>
      </c>
      <c r="C683" s="10" t="s">
        <v>190</v>
      </c>
      <c r="D683" s="83" t="s">
        <v>189</v>
      </c>
      <c r="E683" s="82" t="s">
        <v>877</v>
      </c>
      <c r="F683" s="85" t="s">
        <v>1253</v>
      </c>
      <c r="G683" s="86">
        <v>20</v>
      </c>
    </row>
    <row r="684" ht="16.5" spans="1:7">
      <c r="A684" s="81">
        <v>46188</v>
      </c>
      <c r="B684" s="82" t="s">
        <v>35</v>
      </c>
      <c r="C684" s="10" t="s">
        <v>190</v>
      </c>
      <c r="D684" s="83" t="s">
        <v>189</v>
      </c>
      <c r="E684" s="82" t="s">
        <v>877</v>
      </c>
      <c r="F684" s="85" t="s">
        <v>1254</v>
      </c>
      <c r="G684" s="86">
        <v>10</v>
      </c>
    </row>
    <row r="685" ht="16.5" spans="1:7">
      <c r="A685" s="81">
        <v>46188</v>
      </c>
      <c r="B685" s="82" t="s">
        <v>35</v>
      </c>
      <c r="C685" s="10" t="s">
        <v>118</v>
      </c>
      <c r="D685" s="83" t="s">
        <v>117</v>
      </c>
      <c r="E685" s="82" t="s">
        <v>877</v>
      </c>
      <c r="F685" s="85" t="s">
        <v>880</v>
      </c>
      <c r="G685" s="86">
        <v>15</v>
      </c>
    </row>
    <row r="686" ht="16.5" spans="1:7">
      <c r="A686" s="81">
        <v>46188</v>
      </c>
      <c r="B686" s="82" t="s">
        <v>35</v>
      </c>
      <c r="C686" s="10" t="s">
        <v>118</v>
      </c>
      <c r="D686" s="83" t="s">
        <v>117</v>
      </c>
      <c r="E686" s="82" t="s">
        <v>877</v>
      </c>
      <c r="F686" s="85" t="s">
        <v>1061</v>
      </c>
      <c r="G686" s="86">
        <v>15</v>
      </c>
    </row>
    <row r="687" ht="16.5" spans="1:7">
      <c r="A687" s="81">
        <v>46188</v>
      </c>
      <c r="B687" s="82" t="s">
        <v>35</v>
      </c>
      <c r="C687" s="10" t="s">
        <v>118</v>
      </c>
      <c r="D687" s="83" t="s">
        <v>117</v>
      </c>
      <c r="E687" s="82" t="s">
        <v>877</v>
      </c>
      <c r="F687" s="105" t="s">
        <v>930</v>
      </c>
      <c r="G687" s="86">
        <v>15</v>
      </c>
    </row>
    <row r="688" ht="16.5" spans="1:7">
      <c r="A688" s="81">
        <v>46188</v>
      </c>
      <c r="B688" s="82" t="s">
        <v>35</v>
      </c>
      <c r="C688" s="10" t="s">
        <v>55</v>
      </c>
      <c r="D688" s="83" t="s">
        <v>54</v>
      </c>
      <c r="E688" s="82" t="s">
        <v>877</v>
      </c>
      <c r="F688" s="105" t="s">
        <v>880</v>
      </c>
      <c r="G688" s="86">
        <v>15</v>
      </c>
    </row>
    <row r="689" ht="16.5" spans="1:7">
      <c r="A689" s="113">
        <v>46186</v>
      </c>
      <c r="B689" s="401" t="s">
        <v>35</v>
      </c>
      <c r="C689" s="10" t="s">
        <v>88</v>
      </c>
      <c r="D689" s="83" t="s">
        <v>87</v>
      </c>
      <c r="E689" s="82" t="s">
        <v>877</v>
      </c>
      <c r="F689" s="105" t="s">
        <v>882</v>
      </c>
      <c r="G689" s="114">
        <v>5</v>
      </c>
    </row>
    <row r="690" ht="16.5" spans="1:7">
      <c r="A690" s="81">
        <v>46187</v>
      </c>
      <c r="B690" s="401" t="s">
        <v>250</v>
      </c>
      <c r="C690" s="10" t="s">
        <v>894</v>
      </c>
      <c r="D690" s="83" t="s">
        <v>1255</v>
      </c>
      <c r="E690" s="82" t="s">
        <v>877</v>
      </c>
      <c r="F690" s="399" t="s">
        <v>1256</v>
      </c>
      <c r="G690" s="86">
        <v>57</v>
      </c>
    </row>
    <row r="691" ht="16.5" spans="1:7">
      <c r="A691" s="81">
        <v>46187</v>
      </c>
      <c r="B691" s="401" t="s">
        <v>250</v>
      </c>
      <c r="C691" s="10" t="s">
        <v>894</v>
      </c>
      <c r="D691" s="83" t="s">
        <v>1255</v>
      </c>
      <c r="E691" s="82" t="s">
        <v>877</v>
      </c>
      <c r="F691" s="104" t="s">
        <v>1257</v>
      </c>
      <c r="G691" s="86">
        <v>205</v>
      </c>
    </row>
    <row r="692" ht="16.5" spans="1:7">
      <c r="A692" s="81">
        <v>46186</v>
      </c>
      <c r="B692" s="82" t="s">
        <v>35</v>
      </c>
      <c r="C692" s="10" t="s">
        <v>327</v>
      </c>
      <c r="D692" s="83" t="s">
        <v>63</v>
      </c>
      <c r="E692" s="82" t="s">
        <v>877</v>
      </c>
      <c r="F692" s="105" t="s">
        <v>1258</v>
      </c>
      <c r="G692" s="86">
        <v>30</v>
      </c>
    </row>
    <row r="693" ht="16.5" spans="1:7">
      <c r="A693" s="81">
        <v>46186</v>
      </c>
      <c r="B693" s="82" t="s">
        <v>35</v>
      </c>
      <c r="C693" s="10" t="s">
        <v>327</v>
      </c>
      <c r="D693" s="83" t="s">
        <v>63</v>
      </c>
      <c r="E693" s="82" t="s">
        <v>877</v>
      </c>
      <c r="F693" s="105" t="s">
        <v>1058</v>
      </c>
      <c r="G693" s="86">
        <v>35</v>
      </c>
    </row>
    <row r="694" ht="16.5" spans="1:7">
      <c r="A694" s="81">
        <v>46187</v>
      </c>
      <c r="B694" s="82" t="s">
        <v>35</v>
      </c>
      <c r="C694" s="10" t="s">
        <v>327</v>
      </c>
      <c r="D694" s="83" t="s">
        <v>63</v>
      </c>
      <c r="E694" s="82" t="s">
        <v>877</v>
      </c>
      <c r="F694" s="105" t="s">
        <v>1088</v>
      </c>
      <c r="G694" s="86">
        <v>20</v>
      </c>
    </row>
    <row r="695" ht="16.5" spans="1:7">
      <c r="A695" s="81">
        <v>46185</v>
      </c>
      <c r="B695" s="82" t="s">
        <v>35</v>
      </c>
      <c r="C695" s="10" t="s">
        <v>327</v>
      </c>
      <c r="D695" s="83" t="s">
        <v>63</v>
      </c>
      <c r="E695" s="82" t="s">
        <v>877</v>
      </c>
      <c r="F695" s="10" t="s">
        <v>1194</v>
      </c>
      <c r="G695" s="86">
        <v>15</v>
      </c>
    </row>
    <row r="696" ht="16.5" spans="1:7">
      <c r="A696" s="81">
        <v>46185</v>
      </c>
      <c r="B696" s="82" t="s">
        <v>35</v>
      </c>
      <c r="C696" s="10" t="s">
        <v>128</v>
      </c>
      <c r="D696" s="83" t="s">
        <v>127</v>
      </c>
      <c r="E696" s="82" t="s">
        <v>877</v>
      </c>
      <c r="F696" s="85" t="s">
        <v>1259</v>
      </c>
      <c r="G696" s="86">
        <v>30</v>
      </c>
    </row>
    <row r="697" ht="16.5" spans="1:7">
      <c r="A697" s="81">
        <v>46188</v>
      </c>
      <c r="B697" s="82" t="s">
        <v>35</v>
      </c>
      <c r="C697" s="10" t="s">
        <v>128</v>
      </c>
      <c r="D697" s="83" t="s">
        <v>127</v>
      </c>
      <c r="E697" s="82" t="s">
        <v>877</v>
      </c>
      <c r="F697" s="85" t="s">
        <v>1030</v>
      </c>
      <c r="G697" s="86">
        <v>15</v>
      </c>
    </row>
    <row r="698" ht="16.5" spans="1:7">
      <c r="A698" s="81">
        <v>46187</v>
      </c>
      <c r="B698" s="82" t="s">
        <v>35</v>
      </c>
      <c r="C698" s="10" t="s">
        <v>128</v>
      </c>
      <c r="D698" s="83" t="s">
        <v>127</v>
      </c>
      <c r="E698" s="82" t="s">
        <v>877</v>
      </c>
      <c r="F698" s="85" t="s">
        <v>1260</v>
      </c>
      <c r="G698" s="86">
        <v>10</v>
      </c>
    </row>
    <row r="699" ht="16.5" spans="1:7">
      <c r="A699" s="81">
        <v>46185</v>
      </c>
      <c r="B699" s="82" t="s">
        <v>35</v>
      </c>
      <c r="C699" s="10" t="s">
        <v>128</v>
      </c>
      <c r="D699" s="83" t="s">
        <v>127</v>
      </c>
      <c r="E699" s="82" t="s">
        <v>877</v>
      </c>
      <c r="F699" s="85" t="s">
        <v>1261</v>
      </c>
      <c r="G699" s="86">
        <v>6</v>
      </c>
    </row>
    <row r="700" ht="16.5" spans="1:7">
      <c r="A700" s="81">
        <v>46187</v>
      </c>
      <c r="B700" s="82" t="s">
        <v>35</v>
      </c>
      <c r="C700" s="10" t="s">
        <v>76</v>
      </c>
      <c r="D700" s="83" t="s">
        <v>75</v>
      </c>
      <c r="E700" s="82" t="s">
        <v>877</v>
      </c>
      <c r="F700" s="85" t="s">
        <v>1262</v>
      </c>
      <c r="G700" s="86">
        <v>35</v>
      </c>
    </row>
    <row r="701" ht="16.5" spans="1:7">
      <c r="A701" s="81">
        <v>46186</v>
      </c>
      <c r="B701" s="82" t="s">
        <v>35</v>
      </c>
      <c r="C701" s="10" t="s">
        <v>76</v>
      </c>
      <c r="D701" s="83" t="s">
        <v>75</v>
      </c>
      <c r="E701" s="82" t="s">
        <v>877</v>
      </c>
      <c r="F701" s="85" t="s">
        <v>1059</v>
      </c>
      <c r="G701" s="86">
        <v>15</v>
      </c>
    </row>
    <row r="702" ht="16.5" spans="1:7">
      <c r="A702" s="81">
        <v>46187</v>
      </c>
      <c r="B702" s="82" t="s">
        <v>35</v>
      </c>
      <c r="C702" s="10" t="s">
        <v>76</v>
      </c>
      <c r="D702" s="83" t="s">
        <v>75</v>
      </c>
      <c r="E702" s="82" t="s">
        <v>877</v>
      </c>
      <c r="F702" s="85" t="s">
        <v>926</v>
      </c>
      <c r="G702" s="86">
        <v>5</v>
      </c>
    </row>
    <row r="703" ht="16.5" spans="1:7">
      <c r="A703" s="81">
        <v>46185</v>
      </c>
      <c r="B703" s="82" t="s">
        <v>35</v>
      </c>
      <c r="C703" s="10" t="s">
        <v>85</v>
      </c>
      <c r="D703" s="83" t="s">
        <v>84</v>
      </c>
      <c r="E703" s="82" t="s">
        <v>877</v>
      </c>
      <c r="F703" s="85" t="s">
        <v>1263</v>
      </c>
      <c r="G703" s="86">
        <v>30</v>
      </c>
    </row>
    <row r="704" ht="16.5" spans="1:7">
      <c r="A704" s="81">
        <v>46187</v>
      </c>
      <c r="B704" s="82" t="s">
        <v>35</v>
      </c>
      <c r="C704" s="10" t="s">
        <v>85</v>
      </c>
      <c r="D704" s="83" t="s">
        <v>84</v>
      </c>
      <c r="E704" s="82" t="s">
        <v>877</v>
      </c>
      <c r="F704" s="85" t="s">
        <v>932</v>
      </c>
      <c r="G704" s="86">
        <v>20</v>
      </c>
    </row>
    <row r="705" ht="16.5" spans="1:7">
      <c r="A705" s="81">
        <v>46183</v>
      </c>
      <c r="B705" s="82" t="s">
        <v>35</v>
      </c>
      <c r="C705" s="10" t="s">
        <v>85</v>
      </c>
      <c r="D705" s="83" t="s">
        <v>84</v>
      </c>
      <c r="E705" s="82" t="s">
        <v>877</v>
      </c>
      <c r="F705" s="85" t="s">
        <v>893</v>
      </c>
      <c r="G705" s="86">
        <v>15</v>
      </c>
    </row>
    <row r="706" ht="16.5" spans="1:7">
      <c r="A706" s="81">
        <v>46187</v>
      </c>
      <c r="B706" s="82" t="s">
        <v>35</v>
      </c>
      <c r="C706" s="10" t="s">
        <v>85</v>
      </c>
      <c r="D706" s="83" t="s">
        <v>84</v>
      </c>
      <c r="E706" s="82" t="s">
        <v>877</v>
      </c>
      <c r="F706" s="85" t="s">
        <v>1264</v>
      </c>
      <c r="G706" s="86">
        <v>30</v>
      </c>
    </row>
    <row r="707" ht="16.5" spans="1:7">
      <c r="A707" s="81">
        <v>46188</v>
      </c>
      <c r="B707" s="82" t="s">
        <v>35</v>
      </c>
      <c r="C707" s="10" t="s">
        <v>85</v>
      </c>
      <c r="D707" s="83" t="s">
        <v>84</v>
      </c>
      <c r="E707" s="82" t="s">
        <v>877</v>
      </c>
      <c r="F707" s="85" t="s">
        <v>1063</v>
      </c>
      <c r="G707" s="86">
        <v>20</v>
      </c>
    </row>
    <row r="708" ht="16.5" spans="1:7">
      <c r="A708" s="81">
        <v>46187</v>
      </c>
      <c r="B708" s="82" t="s">
        <v>35</v>
      </c>
      <c r="C708" s="10" t="s">
        <v>454</v>
      </c>
      <c r="D708" s="83" t="s">
        <v>138</v>
      </c>
      <c r="E708" s="82" t="s">
        <v>877</v>
      </c>
      <c r="F708" s="85" t="s">
        <v>1053</v>
      </c>
      <c r="G708" s="86">
        <v>30</v>
      </c>
    </row>
    <row r="709" ht="16.5" spans="1:7">
      <c r="A709" s="81">
        <v>46186</v>
      </c>
      <c r="B709" s="82" t="s">
        <v>35</v>
      </c>
      <c r="C709" s="10" t="s">
        <v>454</v>
      </c>
      <c r="D709" s="83" t="s">
        <v>138</v>
      </c>
      <c r="E709" s="82" t="s">
        <v>877</v>
      </c>
      <c r="F709" s="106" t="s">
        <v>880</v>
      </c>
      <c r="G709" s="86">
        <v>15</v>
      </c>
    </row>
    <row r="710" ht="16.5" spans="1:7">
      <c r="A710" s="87">
        <v>46186</v>
      </c>
      <c r="B710" s="82" t="s">
        <v>35</v>
      </c>
      <c r="C710" s="10" t="s">
        <v>454</v>
      </c>
      <c r="D710" s="83" t="s">
        <v>138</v>
      </c>
      <c r="E710" s="82" t="s">
        <v>877</v>
      </c>
      <c r="F710" s="85" t="s">
        <v>985</v>
      </c>
      <c r="G710" s="86">
        <v>5</v>
      </c>
    </row>
    <row r="711" ht="16.5" spans="1:7">
      <c r="A711" s="81">
        <v>46187</v>
      </c>
      <c r="B711" s="82" t="s">
        <v>35</v>
      </c>
      <c r="C711" s="10" t="s">
        <v>161</v>
      </c>
      <c r="D711" s="83" t="s">
        <v>160</v>
      </c>
      <c r="E711" s="82" t="s">
        <v>877</v>
      </c>
      <c r="F711" s="85" t="s">
        <v>907</v>
      </c>
      <c r="G711" s="86">
        <v>15</v>
      </c>
    </row>
    <row r="712" ht="16.5" spans="1:7">
      <c r="A712" s="81">
        <v>46185</v>
      </c>
      <c r="B712" s="82" t="s">
        <v>35</v>
      </c>
      <c r="C712" s="10" t="s">
        <v>161</v>
      </c>
      <c r="D712" s="83" t="s">
        <v>160</v>
      </c>
      <c r="E712" s="82" t="s">
        <v>877</v>
      </c>
      <c r="F712" s="85" t="s">
        <v>1122</v>
      </c>
      <c r="G712" s="86">
        <v>5</v>
      </c>
    </row>
    <row r="713" ht="16.5" spans="1:7">
      <c r="A713" s="81">
        <v>46186</v>
      </c>
      <c r="B713" s="82" t="s">
        <v>35</v>
      </c>
      <c r="C713" s="10" t="s">
        <v>73</v>
      </c>
      <c r="D713" s="83" t="s">
        <v>72</v>
      </c>
      <c r="E713" s="82" t="s">
        <v>877</v>
      </c>
      <c r="F713" s="85" t="s">
        <v>1265</v>
      </c>
      <c r="G713" s="86">
        <v>35</v>
      </c>
    </row>
    <row r="714" ht="16.5" spans="1:7">
      <c r="A714" s="81">
        <v>46187</v>
      </c>
      <c r="B714" s="82" t="s">
        <v>35</v>
      </c>
      <c r="C714" s="10" t="s">
        <v>73</v>
      </c>
      <c r="D714" s="83" t="s">
        <v>72</v>
      </c>
      <c r="E714" s="82" t="s">
        <v>877</v>
      </c>
      <c r="F714" s="85" t="s">
        <v>907</v>
      </c>
      <c r="G714" s="86">
        <v>15</v>
      </c>
    </row>
    <row r="715" ht="16.5" spans="1:7">
      <c r="A715" s="81">
        <v>46187</v>
      </c>
      <c r="B715" s="82" t="s">
        <v>35</v>
      </c>
      <c r="C715" s="10" t="s">
        <v>73</v>
      </c>
      <c r="D715" s="83" t="s">
        <v>72</v>
      </c>
      <c r="E715" s="82" t="s">
        <v>877</v>
      </c>
      <c r="F715" s="85" t="s">
        <v>1266</v>
      </c>
      <c r="G715" s="86">
        <v>15</v>
      </c>
    </row>
    <row r="716" ht="16.5" spans="1:7">
      <c r="A716" s="81">
        <v>46186</v>
      </c>
      <c r="B716" s="82" t="s">
        <v>35</v>
      </c>
      <c r="C716" s="10" t="s">
        <v>73</v>
      </c>
      <c r="D716" s="83" t="s">
        <v>72</v>
      </c>
      <c r="E716" s="82" t="s">
        <v>877</v>
      </c>
      <c r="F716" s="85" t="s">
        <v>907</v>
      </c>
      <c r="G716" s="86">
        <v>15</v>
      </c>
    </row>
    <row r="717" ht="16.5" spans="1:7">
      <c r="A717" s="81">
        <v>46186</v>
      </c>
      <c r="B717" s="82" t="s">
        <v>35</v>
      </c>
      <c r="C717" s="10" t="s">
        <v>73</v>
      </c>
      <c r="D717" s="83" t="s">
        <v>72</v>
      </c>
      <c r="E717" s="82" t="s">
        <v>877</v>
      </c>
      <c r="F717" s="85" t="s">
        <v>1187</v>
      </c>
      <c r="G717" s="86">
        <v>10</v>
      </c>
    </row>
    <row r="718" ht="16.5" spans="1:7">
      <c r="A718" s="87">
        <v>46186</v>
      </c>
      <c r="B718" s="82" t="s">
        <v>35</v>
      </c>
      <c r="C718" s="10" t="s">
        <v>193</v>
      </c>
      <c r="D718" s="83" t="s">
        <v>192</v>
      </c>
      <c r="E718" s="82" t="s">
        <v>877</v>
      </c>
      <c r="F718" s="10" t="s">
        <v>927</v>
      </c>
      <c r="G718" s="86">
        <v>15</v>
      </c>
    </row>
    <row r="719" ht="16.5" spans="1:7">
      <c r="A719" s="87">
        <v>46188</v>
      </c>
      <c r="B719" s="82" t="s">
        <v>35</v>
      </c>
      <c r="C719" s="10" t="s">
        <v>142</v>
      </c>
      <c r="D719" s="83" t="s">
        <v>141</v>
      </c>
      <c r="E719" s="82" t="s">
        <v>877</v>
      </c>
      <c r="F719" s="10" t="s">
        <v>1003</v>
      </c>
      <c r="G719" s="86">
        <v>15</v>
      </c>
    </row>
    <row r="720" ht="16.5" spans="1:7">
      <c r="A720" s="87">
        <v>46187</v>
      </c>
      <c r="B720" s="82" t="s">
        <v>35</v>
      </c>
      <c r="C720" s="10" t="s">
        <v>142</v>
      </c>
      <c r="D720" s="83" t="s">
        <v>141</v>
      </c>
      <c r="E720" s="82" t="s">
        <v>877</v>
      </c>
      <c r="F720" s="10" t="s">
        <v>889</v>
      </c>
      <c r="G720" s="86">
        <v>20</v>
      </c>
    </row>
    <row r="721" ht="16.5" spans="1:7">
      <c r="A721" s="87">
        <v>46188</v>
      </c>
      <c r="B721" s="82" t="s">
        <v>35</v>
      </c>
      <c r="C721" s="10" t="s">
        <v>67</v>
      </c>
      <c r="D721" s="83" t="s">
        <v>66</v>
      </c>
      <c r="E721" s="82" t="s">
        <v>877</v>
      </c>
      <c r="F721" s="10" t="s">
        <v>880</v>
      </c>
      <c r="G721" s="86">
        <v>15</v>
      </c>
    </row>
    <row r="722" ht="16.5" spans="1:7">
      <c r="A722" s="87">
        <v>46188</v>
      </c>
      <c r="B722" s="82" t="s">
        <v>35</v>
      </c>
      <c r="C722" s="10" t="s">
        <v>67</v>
      </c>
      <c r="D722" s="83" t="s">
        <v>66</v>
      </c>
      <c r="E722" s="82" t="s">
        <v>877</v>
      </c>
      <c r="F722" s="10" t="s">
        <v>907</v>
      </c>
      <c r="G722" s="86">
        <v>15</v>
      </c>
    </row>
    <row r="723" ht="16.5" spans="1:7">
      <c r="A723" s="87">
        <v>46188</v>
      </c>
      <c r="B723" s="82" t="s">
        <v>35</v>
      </c>
      <c r="C723" s="10" t="s">
        <v>67</v>
      </c>
      <c r="D723" s="83" t="s">
        <v>66</v>
      </c>
      <c r="E723" s="82" t="s">
        <v>877</v>
      </c>
      <c r="F723" s="105" t="s">
        <v>904</v>
      </c>
      <c r="G723" s="86">
        <v>10</v>
      </c>
    </row>
    <row r="724" ht="16.5" spans="1:7">
      <c r="A724" s="87">
        <v>46188</v>
      </c>
      <c r="B724" s="82" t="s">
        <v>35</v>
      </c>
      <c r="C724" s="10" t="s">
        <v>152</v>
      </c>
      <c r="D724" s="83" t="s">
        <v>151</v>
      </c>
      <c r="E724" s="82" t="s">
        <v>877</v>
      </c>
      <c r="F724" s="105" t="s">
        <v>961</v>
      </c>
      <c r="G724" s="86">
        <v>10</v>
      </c>
    </row>
    <row r="725" ht="16.5" spans="1:7">
      <c r="A725" s="87">
        <v>46187</v>
      </c>
      <c r="B725" s="82" t="s">
        <v>35</v>
      </c>
      <c r="C725" s="10" t="s">
        <v>152</v>
      </c>
      <c r="D725" s="83" t="s">
        <v>151</v>
      </c>
      <c r="E725" s="82" t="s">
        <v>877</v>
      </c>
      <c r="F725" s="105" t="s">
        <v>1198</v>
      </c>
      <c r="G725" s="86">
        <v>30</v>
      </c>
    </row>
    <row r="726" ht="16.5" spans="1:7">
      <c r="A726" s="87">
        <v>46186</v>
      </c>
      <c r="B726" s="82" t="s">
        <v>35</v>
      </c>
      <c r="C726" s="10" t="s">
        <v>152</v>
      </c>
      <c r="D726" s="83" t="s">
        <v>151</v>
      </c>
      <c r="E726" s="82" t="s">
        <v>877</v>
      </c>
      <c r="F726" s="10" t="s">
        <v>1059</v>
      </c>
      <c r="G726" s="86">
        <v>15</v>
      </c>
    </row>
    <row r="727" ht="16.5" spans="1:7">
      <c r="A727" s="87">
        <v>46186</v>
      </c>
      <c r="B727" s="82" t="s">
        <v>35</v>
      </c>
      <c r="C727" s="10" t="s">
        <v>136</v>
      </c>
      <c r="D727" s="83" t="s">
        <v>135</v>
      </c>
      <c r="E727" s="82" t="s">
        <v>877</v>
      </c>
      <c r="F727" s="10" t="s">
        <v>1140</v>
      </c>
      <c r="G727" s="86">
        <v>15</v>
      </c>
    </row>
    <row r="728" ht="16.5" spans="1:7">
      <c r="A728" s="87">
        <v>46188</v>
      </c>
      <c r="B728" s="82" t="s">
        <v>35</v>
      </c>
      <c r="C728" s="10" t="s">
        <v>136</v>
      </c>
      <c r="D728" s="83" t="s">
        <v>135</v>
      </c>
      <c r="E728" s="82" t="s">
        <v>877</v>
      </c>
      <c r="F728" s="10" t="s">
        <v>1214</v>
      </c>
      <c r="G728" s="86">
        <v>15</v>
      </c>
    </row>
    <row r="729" ht="16.5" spans="1:7">
      <c r="A729" s="87">
        <v>46187</v>
      </c>
      <c r="B729" s="82" t="s">
        <v>35</v>
      </c>
      <c r="C729" s="10" t="s">
        <v>136</v>
      </c>
      <c r="D729" s="83" t="s">
        <v>135</v>
      </c>
      <c r="E729" s="82" t="s">
        <v>877</v>
      </c>
      <c r="F729" s="10" t="s">
        <v>911</v>
      </c>
      <c r="G729" s="86">
        <v>10</v>
      </c>
    </row>
    <row r="730" ht="16.5" spans="1:7">
      <c r="A730" s="87">
        <v>46187</v>
      </c>
      <c r="B730" s="82" t="s">
        <v>35</v>
      </c>
      <c r="C730" s="10" t="s">
        <v>145</v>
      </c>
      <c r="D730" s="83" t="s">
        <v>144</v>
      </c>
      <c r="E730" s="82" t="s">
        <v>877</v>
      </c>
      <c r="F730" s="10" t="s">
        <v>1137</v>
      </c>
      <c r="G730" s="86">
        <v>15</v>
      </c>
    </row>
    <row r="731" ht="16.5" spans="1:7">
      <c r="A731" s="87">
        <v>46187</v>
      </c>
      <c r="B731" s="82" t="s">
        <v>35</v>
      </c>
      <c r="C731" s="10" t="s">
        <v>145</v>
      </c>
      <c r="D731" s="83" t="s">
        <v>144</v>
      </c>
      <c r="E731" s="82" t="s">
        <v>877</v>
      </c>
      <c r="F731" s="10" t="s">
        <v>911</v>
      </c>
      <c r="G731" s="86">
        <v>10</v>
      </c>
    </row>
    <row r="732" ht="16.5" spans="1:7">
      <c r="A732" s="87">
        <v>46186</v>
      </c>
      <c r="B732" s="82" t="s">
        <v>35</v>
      </c>
      <c r="C732" s="10" t="s">
        <v>145</v>
      </c>
      <c r="D732" s="83" t="s">
        <v>144</v>
      </c>
      <c r="E732" s="82" t="s">
        <v>877</v>
      </c>
      <c r="F732" s="10" t="s">
        <v>1137</v>
      </c>
      <c r="G732" s="86">
        <v>15</v>
      </c>
    </row>
    <row r="733" ht="16.5" spans="1:7">
      <c r="A733" s="87">
        <v>46186</v>
      </c>
      <c r="B733" s="82" t="s">
        <v>35</v>
      </c>
      <c r="C733" s="10" t="s">
        <v>145</v>
      </c>
      <c r="D733" s="83" t="s">
        <v>144</v>
      </c>
      <c r="E733" s="82" t="s">
        <v>877</v>
      </c>
      <c r="F733" s="10" t="s">
        <v>911</v>
      </c>
      <c r="G733" s="86">
        <v>10</v>
      </c>
    </row>
    <row r="734" ht="16.5" spans="1:7">
      <c r="A734" s="87">
        <v>46188</v>
      </c>
      <c r="B734" s="82" t="s">
        <v>35</v>
      </c>
      <c r="C734" s="10" t="s">
        <v>103</v>
      </c>
      <c r="D734" s="83" t="s">
        <v>102</v>
      </c>
      <c r="E734" s="82" t="s">
        <v>877</v>
      </c>
      <c r="F734" s="10" t="s">
        <v>927</v>
      </c>
      <c r="G734" s="86">
        <v>15</v>
      </c>
    </row>
    <row r="735" ht="16.5" spans="1:7">
      <c r="A735" s="87">
        <v>46188</v>
      </c>
      <c r="B735" s="82" t="s">
        <v>35</v>
      </c>
      <c r="C735" s="10" t="s">
        <v>103</v>
      </c>
      <c r="D735" s="83" t="s">
        <v>102</v>
      </c>
      <c r="E735" s="82" t="s">
        <v>877</v>
      </c>
      <c r="F735" s="10" t="s">
        <v>935</v>
      </c>
      <c r="G735" s="86">
        <v>15</v>
      </c>
    </row>
    <row r="736" ht="16.5" spans="1:7">
      <c r="A736" s="87">
        <v>46187</v>
      </c>
      <c r="B736" s="82" t="s">
        <v>35</v>
      </c>
      <c r="C736" s="10" t="s">
        <v>139</v>
      </c>
      <c r="D736" s="83" t="s">
        <v>138</v>
      </c>
      <c r="E736" s="82" t="s">
        <v>877</v>
      </c>
      <c r="F736" s="10" t="s">
        <v>1267</v>
      </c>
      <c r="G736" s="86">
        <v>30</v>
      </c>
    </row>
    <row r="737" ht="16.5" spans="1:7">
      <c r="A737" s="87">
        <v>46188</v>
      </c>
      <c r="B737" s="82" t="s">
        <v>35</v>
      </c>
      <c r="C737" s="10" t="s">
        <v>139</v>
      </c>
      <c r="D737" s="83" t="s">
        <v>138</v>
      </c>
      <c r="E737" s="82" t="s">
        <v>877</v>
      </c>
      <c r="F737" s="85" t="s">
        <v>1059</v>
      </c>
      <c r="G737" s="86">
        <v>15</v>
      </c>
    </row>
    <row r="738" ht="16.5" spans="1:7">
      <c r="A738" s="87">
        <v>46188</v>
      </c>
      <c r="B738" s="82" t="s">
        <v>35</v>
      </c>
      <c r="C738" s="10" t="s">
        <v>139</v>
      </c>
      <c r="D738" s="83" t="s">
        <v>138</v>
      </c>
      <c r="E738" s="82" t="s">
        <v>877</v>
      </c>
      <c r="F738" s="10" t="s">
        <v>1268</v>
      </c>
      <c r="G738" s="86">
        <v>11</v>
      </c>
    </row>
    <row r="739" ht="16.5" spans="1:7">
      <c r="A739" s="87">
        <v>46188</v>
      </c>
      <c r="B739" s="82" t="s">
        <v>35</v>
      </c>
      <c r="C739" s="10" t="s">
        <v>139</v>
      </c>
      <c r="D739" s="83" t="s">
        <v>138</v>
      </c>
      <c r="E739" s="82" t="s">
        <v>877</v>
      </c>
      <c r="F739" s="10" t="s">
        <v>1132</v>
      </c>
      <c r="G739" s="86">
        <v>20</v>
      </c>
    </row>
    <row r="740" ht="16.5" spans="1:7">
      <c r="A740" s="87">
        <v>46188</v>
      </c>
      <c r="B740" s="82" t="s">
        <v>35</v>
      </c>
      <c r="C740" s="10" t="s">
        <v>61</v>
      </c>
      <c r="D740" s="83" t="s">
        <v>60</v>
      </c>
      <c r="E740" s="82" t="s">
        <v>877</v>
      </c>
      <c r="F740" s="10" t="s">
        <v>1269</v>
      </c>
      <c r="G740" s="86">
        <v>15</v>
      </c>
    </row>
    <row r="741" ht="16.5" spans="1:7">
      <c r="A741" s="87">
        <v>46187</v>
      </c>
      <c r="B741" s="82" t="s">
        <v>35</v>
      </c>
      <c r="C741" s="10" t="s">
        <v>61</v>
      </c>
      <c r="D741" s="83" t="s">
        <v>60</v>
      </c>
      <c r="E741" s="82" t="s">
        <v>877</v>
      </c>
      <c r="F741" s="10" t="s">
        <v>904</v>
      </c>
      <c r="G741" s="86">
        <v>10</v>
      </c>
    </row>
    <row r="742" ht="16.5" spans="1:7">
      <c r="A742" s="87">
        <v>46188</v>
      </c>
      <c r="B742" s="82" t="s">
        <v>253</v>
      </c>
      <c r="C742" s="10" t="s">
        <v>52</v>
      </c>
      <c r="D742" s="83" t="s">
        <v>51</v>
      </c>
      <c r="E742" s="82" t="s">
        <v>877</v>
      </c>
      <c r="F742" s="10" t="s">
        <v>1270</v>
      </c>
      <c r="G742" s="86">
        <v>20</v>
      </c>
    </row>
    <row r="743" ht="16.5" spans="1:7">
      <c r="A743" s="87">
        <v>46188</v>
      </c>
      <c r="B743" s="82" t="s">
        <v>35</v>
      </c>
      <c r="C743" s="10" t="s">
        <v>52</v>
      </c>
      <c r="D743" s="83" t="s">
        <v>51</v>
      </c>
      <c r="E743" s="82" t="s">
        <v>877</v>
      </c>
      <c r="F743" s="10" t="s">
        <v>1042</v>
      </c>
      <c r="G743" s="86">
        <v>30</v>
      </c>
    </row>
    <row r="744" ht="16.5" spans="1:7">
      <c r="A744" s="87">
        <v>46188</v>
      </c>
      <c r="B744" s="82" t="s">
        <v>35</v>
      </c>
      <c r="C744" s="10" t="s">
        <v>52</v>
      </c>
      <c r="D744" s="83" t="s">
        <v>51</v>
      </c>
      <c r="E744" s="82" t="s">
        <v>877</v>
      </c>
      <c r="F744" s="10" t="s">
        <v>1271</v>
      </c>
      <c r="G744" s="86">
        <v>20</v>
      </c>
    </row>
    <row r="745" ht="16.5" spans="1:7">
      <c r="A745" s="87">
        <v>46187</v>
      </c>
      <c r="B745" s="82" t="s">
        <v>35</v>
      </c>
      <c r="C745" s="10" t="s">
        <v>52</v>
      </c>
      <c r="D745" s="83" t="s">
        <v>51</v>
      </c>
      <c r="E745" s="82" t="s">
        <v>877</v>
      </c>
      <c r="F745" s="10" t="s">
        <v>880</v>
      </c>
      <c r="G745" s="86">
        <v>15</v>
      </c>
    </row>
    <row r="746" ht="16.5" spans="1:7">
      <c r="A746" s="87">
        <v>46187</v>
      </c>
      <c r="B746" s="82" t="s">
        <v>253</v>
      </c>
      <c r="C746" s="10" t="s">
        <v>79</v>
      </c>
      <c r="D746" s="83" t="s">
        <v>78</v>
      </c>
      <c r="E746" s="82" t="s">
        <v>877</v>
      </c>
      <c r="F746" s="10" t="s">
        <v>1272</v>
      </c>
      <c r="G746" s="86">
        <v>200</v>
      </c>
    </row>
    <row r="747" ht="16.5" spans="1:7">
      <c r="A747" s="87">
        <v>46187</v>
      </c>
      <c r="B747" s="82" t="s">
        <v>249</v>
      </c>
      <c r="C747" s="10" t="s">
        <v>79</v>
      </c>
      <c r="D747" s="83" t="s">
        <v>78</v>
      </c>
      <c r="E747" s="82" t="s">
        <v>877</v>
      </c>
      <c r="F747" s="10" t="s">
        <v>1179</v>
      </c>
      <c r="G747" s="86">
        <v>200</v>
      </c>
    </row>
    <row r="748" ht="16.5" spans="1:7">
      <c r="A748" s="87">
        <v>46187</v>
      </c>
      <c r="B748" s="82" t="s">
        <v>35</v>
      </c>
      <c r="C748" s="10" t="s">
        <v>79</v>
      </c>
      <c r="D748" s="83" t="s">
        <v>78</v>
      </c>
      <c r="E748" s="82" t="s">
        <v>877</v>
      </c>
      <c r="F748" s="10" t="s">
        <v>902</v>
      </c>
      <c r="G748" s="86">
        <v>10</v>
      </c>
    </row>
    <row r="749" ht="16.5" spans="1:7">
      <c r="A749" s="87">
        <v>46188</v>
      </c>
      <c r="B749" s="82" t="s">
        <v>35</v>
      </c>
      <c r="C749" s="10" t="s">
        <v>79</v>
      </c>
      <c r="D749" s="83" t="s">
        <v>78</v>
      </c>
      <c r="E749" s="82" t="s">
        <v>877</v>
      </c>
      <c r="F749" s="10" t="s">
        <v>1109</v>
      </c>
      <c r="G749" s="86">
        <v>15</v>
      </c>
    </row>
    <row r="750" ht="16.5" spans="1:7">
      <c r="A750" s="87">
        <v>46188</v>
      </c>
      <c r="B750" s="82" t="s">
        <v>35</v>
      </c>
      <c r="C750" s="10" t="s">
        <v>79</v>
      </c>
      <c r="D750" s="83" t="s">
        <v>78</v>
      </c>
      <c r="E750" s="82" t="s">
        <v>877</v>
      </c>
      <c r="F750" s="10" t="s">
        <v>880</v>
      </c>
      <c r="G750" s="86">
        <v>15</v>
      </c>
    </row>
    <row r="751" ht="16.5" spans="1:7">
      <c r="A751" s="87">
        <v>46188</v>
      </c>
      <c r="B751" s="82" t="s">
        <v>35</v>
      </c>
      <c r="C751" s="10" t="s">
        <v>79</v>
      </c>
      <c r="D751" s="83" t="s">
        <v>78</v>
      </c>
      <c r="E751" s="82" t="s">
        <v>877</v>
      </c>
      <c r="F751" s="10" t="s">
        <v>902</v>
      </c>
      <c r="G751" s="86">
        <v>10</v>
      </c>
    </row>
    <row r="752" ht="16.5" spans="1:7">
      <c r="A752" s="87">
        <v>46188</v>
      </c>
      <c r="B752" s="82" t="s">
        <v>35</v>
      </c>
      <c r="C752" s="10" t="s">
        <v>88</v>
      </c>
      <c r="D752" s="83" t="s">
        <v>87</v>
      </c>
      <c r="E752" s="82" t="s">
        <v>877</v>
      </c>
      <c r="F752" s="10" t="s">
        <v>902</v>
      </c>
      <c r="G752" s="86">
        <v>10</v>
      </c>
    </row>
    <row r="753" ht="16.5" spans="1:7">
      <c r="A753" s="87">
        <v>46187</v>
      </c>
      <c r="B753" s="82" t="s">
        <v>35</v>
      </c>
      <c r="C753" s="10" t="s">
        <v>70</v>
      </c>
      <c r="D753" s="83" t="s">
        <v>69</v>
      </c>
      <c r="E753" s="82" t="s">
        <v>877</v>
      </c>
      <c r="F753" s="10" t="s">
        <v>1059</v>
      </c>
      <c r="G753" s="86">
        <v>15</v>
      </c>
    </row>
    <row r="754" ht="16.5" spans="1:7">
      <c r="A754" s="87">
        <v>46188</v>
      </c>
      <c r="B754" s="82" t="s">
        <v>35</v>
      </c>
      <c r="C754" s="10" t="s">
        <v>70</v>
      </c>
      <c r="D754" s="83" t="s">
        <v>69</v>
      </c>
      <c r="E754" s="82" t="s">
        <v>877</v>
      </c>
      <c r="F754" s="10" t="s">
        <v>1241</v>
      </c>
      <c r="G754" s="86">
        <v>15</v>
      </c>
    </row>
    <row r="755" ht="16.5" spans="1:7">
      <c r="A755" s="87">
        <v>46187</v>
      </c>
      <c r="B755" s="82" t="s">
        <v>35</v>
      </c>
      <c r="C755" s="10" t="s">
        <v>70</v>
      </c>
      <c r="D755" s="83" t="s">
        <v>69</v>
      </c>
      <c r="E755" s="82" t="s">
        <v>877</v>
      </c>
      <c r="F755" s="10" t="s">
        <v>922</v>
      </c>
      <c r="G755" s="86">
        <v>10</v>
      </c>
    </row>
    <row r="756" ht="16.5" spans="1:7">
      <c r="A756" s="87">
        <v>46188</v>
      </c>
      <c r="B756" s="82" t="s">
        <v>35</v>
      </c>
      <c r="C756" s="10" t="s">
        <v>55</v>
      </c>
      <c r="D756" s="83" t="s">
        <v>54</v>
      </c>
      <c r="E756" s="82" t="s">
        <v>877</v>
      </c>
      <c r="F756" s="10" t="s">
        <v>893</v>
      </c>
      <c r="G756" s="86">
        <v>15</v>
      </c>
    </row>
    <row r="757" ht="16.5" spans="1:7">
      <c r="A757" s="87">
        <v>46188</v>
      </c>
      <c r="B757" s="82" t="s">
        <v>35</v>
      </c>
      <c r="C757" s="10" t="s">
        <v>55</v>
      </c>
      <c r="D757" s="83" t="s">
        <v>54</v>
      </c>
      <c r="E757" s="82" t="s">
        <v>877</v>
      </c>
      <c r="F757" s="10" t="s">
        <v>902</v>
      </c>
      <c r="G757" s="86">
        <v>10</v>
      </c>
    </row>
    <row r="758" ht="16.5" spans="1:7">
      <c r="A758" s="87">
        <v>46188</v>
      </c>
      <c r="B758" s="82" t="s">
        <v>250</v>
      </c>
      <c r="C758" s="10" t="s">
        <v>47</v>
      </c>
      <c r="D758" s="83" t="s">
        <v>1273</v>
      </c>
      <c r="E758" s="82" t="s">
        <v>877</v>
      </c>
      <c r="F758" s="10" t="s">
        <v>1274</v>
      </c>
      <c r="G758" s="86">
        <v>332</v>
      </c>
    </row>
    <row r="759" ht="16.5" spans="1:7">
      <c r="A759" s="87">
        <v>46188</v>
      </c>
      <c r="B759" s="82" t="s">
        <v>250</v>
      </c>
      <c r="C759" s="10" t="s">
        <v>47</v>
      </c>
      <c r="D759" s="83" t="s">
        <v>1273</v>
      </c>
      <c r="E759" s="82" t="s">
        <v>877</v>
      </c>
      <c r="F759" s="10" t="s">
        <v>1275</v>
      </c>
      <c r="G759" s="86">
        <v>320</v>
      </c>
    </row>
    <row r="760" ht="16.5" spans="1:7">
      <c r="A760" s="81">
        <v>46188</v>
      </c>
      <c r="B760" s="82" t="s">
        <v>35</v>
      </c>
      <c r="C760" s="10" t="s">
        <v>91</v>
      </c>
      <c r="D760" s="83" t="s">
        <v>90</v>
      </c>
      <c r="E760" s="82" t="s">
        <v>877</v>
      </c>
      <c r="F760" s="85" t="s">
        <v>1057</v>
      </c>
      <c r="G760" s="86">
        <v>20</v>
      </c>
    </row>
    <row r="761" ht="16.5" spans="1:7">
      <c r="A761" s="81">
        <v>46188</v>
      </c>
      <c r="B761" s="82" t="s">
        <v>35</v>
      </c>
      <c r="C761" s="10" t="s">
        <v>91</v>
      </c>
      <c r="D761" s="83" t="s">
        <v>90</v>
      </c>
      <c r="E761" s="82" t="s">
        <v>877</v>
      </c>
      <c r="F761" s="85" t="s">
        <v>940</v>
      </c>
      <c r="G761" s="86">
        <v>15</v>
      </c>
    </row>
    <row r="762" ht="16.5" spans="1:7">
      <c r="A762" s="81">
        <v>46184</v>
      </c>
      <c r="B762" s="82" t="s">
        <v>35</v>
      </c>
      <c r="C762" s="10" t="s">
        <v>91</v>
      </c>
      <c r="D762" s="83" t="s">
        <v>90</v>
      </c>
      <c r="E762" s="82" t="s">
        <v>877</v>
      </c>
      <c r="F762" s="85" t="s">
        <v>880</v>
      </c>
      <c r="G762" s="86">
        <v>15</v>
      </c>
    </row>
    <row r="763" ht="16.5" spans="1:7">
      <c r="A763" s="81">
        <v>46188</v>
      </c>
      <c r="B763" s="82" t="s">
        <v>35</v>
      </c>
      <c r="C763" s="10" t="s">
        <v>91</v>
      </c>
      <c r="D763" s="83" t="s">
        <v>90</v>
      </c>
      <c r="E763" s="82" t="s">
        <v>877</v>
      </c>
      <c r="F763" s="85" t="s">
        <v>930</v>
      </c>
      <c r="G763" s="86">
        <v>15</v>
      </c>
    </row>
    <row r="764" ht="16.5" spans="1:7">
      <c r="A764" s="81">
        <v>46188</v>
      </c>
      <c r="B764" s="82" t="s">
        <v>35</v>
      </c>
      <c r="C764" s="10" t="s">
        <v>106</v>
      </c>
      <c r="D764" s="83" t="s">
        <v>105</v>
      </c>
      <c r="E764" s="82" t="s">
        <v>877</v>
      </c>
      <c r="F764" s="85" t="s">
        <v>902</v>
      </c>
      <c r="G764" s="86">
        <v>10</v>
      </c>
    </row>
    <row r="765" ht="16.5" spans="1:7">
      <c r="A765" s="81">
        <v>46188</v>
      </c>
      <c r="B765" s="82" t="s">
        <v>35</v>
      </c>
      <c r="C765" s="10" t="s">
        <v>100</v>
      </c>
      <c r="D765" s="83" t="s">
        <v>99</v>
      </c>
      <c r="E765" s="82" t="s">
        <v>877</v>
      </c>
      <c r="F765" s="105" t="s">
        <v>940</v>
      </c>
      <c r="G765" s="86">
        <v>15</v>
      </c>
    </row>
    <row r="766" ht="16.5" spans="1:7">
      <c r="A766" s="81">
        <v>46188</v>
      </c>
      <c r="B766" s="82" t="s">
        <v>35</v>
      </c>
      <c r="C766" s="10" t="s">
        <v>100</v>
      </c>
      <c r="D766" s="83" t="s">
        <v>99</v>
      </c>
      <c r="E766" s="82" t="s">
        <v>877</v>
      </c>
      <c r="F766" s="85" t="s">
        <v>1034</v>
      </c>
      <c r="G766" s="86">
        <v>20</v>
      </c>
    </row>
    <row r="767" ht="16.5" spans="1:7">
      <c r="A767" s="81">
        <v>46187</v>
      </c>
      <c r="B767" s="82" t="s">
        <v>35</v>
      </c>
      <c r="C767" s="10" t="s">
        <v>100</v>
      </c>
      <c r="D767" s="83" t="s">
        <v>99</v>
      </c>
      <c r="E767" s="82" t="s">
        <v>877</v>
      </c>
      <c r="F767" s="85" t="s">
        <v>1035</v>
      </c>
      <c r="G767" s="86">
        <v>15</v>
      </c>
    </row>
    <row r="768" ht="16.5" spans="1:7">
      <c r="A768" s="81">
        <v>46187</v>
      </c>
      <c r="B768" s="82" t="s">
        <v>35</v>
      </c>
      <c r="C768" s="10" t="s">
        <v>100</v>
      </c>
      <c r="D768" s="83" t="s">
        <v>99</v>
      </c>
      <c r="E768" s="82" t="s">
        <v>877</v>
      </c>
      <c r="F768" s="85" t="s">
        <v>1276</v>
      </c>
      <c r="G768" s="86">
        <v>25</v>
      </c>
    </row>
    <row r="769" ht="16.5" spans="1:7">
      <c r="A769" s="81">
        <v>46187</v>
      </c>
      <c r="B769" s="82" t="s">
        <v>35</v>
      </c>
      <c r="C769" s="10" t="s">
        <v>149</v>
      </c>
      <c r="D769" s="83" t="s">
        <v>148</v>
      </c>
      <c r="E769" s="82" t="s">
        <v>877</v>
      </c>
      <c r="F769" s="105" t="s">
        <v>1277</v>
      </c>
      <c r="G769" s="86">
        <v>15</v>
      </c>
    </row>
    <row r="770" ht="16.5" spans="1:7">
      <c r="A770" s="81">
        <v>46188</v>
      </c>
      <c r="B770" s="82" t="s">
        <v>35</v>
      </c>
      <c r="C770" s="10" t="s">
        <v>149</v>
      </c>
      <c r="D770" s="83" t="s">
        <v>148</v>
      </c>
      <c r="E770" s="82" t="s">
        <v>877</v>
      </c>
      <c r="F770" s="105" t="s">
        <v>1278</v>
      </c>
      <c r="G770" s="86">
        <v>15</v>
      </c>
    </row>
    <row r="771" ht="16.5" spans="1:7">
      <c r="A771" s="113">
        <v>46188</v>
      </c>
      <c r="B771" s="82" t="s">
        <v>35</v>
      </c>
      <c r="C771" s="10" t="s">
        <v>149</v>
      </c>
      <c r="D771" s="83" t="s">
        <v>148</v>
      </c>
      <c r="E771" s="82" t="s">
        <v>877</v>
      </c>
      <c r="F771" s="105" t="s">
        <v>880</v>
      </c>
      <c r="G771" s="114">
        <v>15</v>
      </c>
    </row>
    <row r="772" ht="16.5" spans="1:7">
      <c r="A772" s="81">
        <v>46188</v>
      </c>
      <c r="B772" s="82" t="s">
        <v>35</v>
      </c>
      <c r="C772" s="10" t="s">
        <v>149</v>
      </c>
      <c r="D772" s="83" t="s">
        <v>148</v>
      </c>
      <c r="E772" s="82" t="s">
        <v>877</v>
      </c>
      <c r="F772" s="399" t="s">
        <v>882</v>
      </c>
      <c r="G772" s="86">
        <v>5</v>
      </c>
    </row>
    <row r="773" ht="16.5" spans="1:7">
      <c r="A773" s="81">
        <v>46187</v>
      </c>
      <c r="B773" s="401" t="s">
        <v>35</v>
      </c>
      <c r="C773" s="10" t="s">
        <v>125</v>
      </c>
      <c r="D773" s="83" t="s">
        <v>124</v>
      </c>
      <c r="E773" s="82" t="s">
        <v>877</v>
      </c>
      <c r="F773" s="104" t="s">
        <v>907</v>
      </c>
      <c r="G773" s="86">
        <v>15</v>
      </c>
    </row>
    <row r="774" ht="16.5" spans="1:7">
      <c r="A774" s="81">
        <v>46185</v>
      </c>
      <c r="B774" s="401" t="s">
        <v>35</v>
      </c>
      <c r="C774" s="10" t="s">
        <v>125</v>
      </c>
      <c r="D774" s="83" t="s">
        <v>124</v>
      </c>
      <c r="E774" s="82" t="s">
        <v>877</v>
      </c>
      <c r="F774" s="105" t="s">
        <v>907</v>
      </c>
      <c r="G774" s="86">
        <v>15</v>
      </c>
    </row>
    <row r="775" ht="16.5" spans="1:7">
      <c r="A775" s="81">
        <v>46188</v>
      </c>
      <c r="B775" s="401" t="s">
        <v>35</v>
      </c>
      <c r="C775" s="10" t="s">
        <v>125</v>
      </c>
      <c r="D775" s="83" t="s">
        <v>124</v>
      </c>
      <c r="E775" s="82" t="s">
        <v>877</v>
      </c>
      <c r="F775" s="105" t="s">
        <v>904</v>
      </c>
      <c r="G775" s="86">
        <v>10</v>
      </c>
    </row>
    <row r="776" ht="16.5" spans="1:7">
      <c r="A776" s="81">
        <v>46186</v>
      </c>
      <c r="B776" s="401" t="s">
        <v>35</v>
      </c>
      <c r="C776" s="10" t="s">
        <v>125</v>
      </c>
      <c r="D776" s="83" t="s">
        <v>124</v>
      </c>
      <c r="E776" s="82" t="s">
        <v>877</v>
      </c>
      <c r="F776" s="105" t="s">
        <v>1279</v>
      </c>
      <c r="G776" s="86">
        <v>20</v>
      </c>
    </row>
    <row r="777" ht="16.5" spans="1:7">
      <c r="A777" s="81">
        <v>46188</v>
      </c>
      <c r="B777" s="82" t="s">
        <v>35</v>
      </c>
      <c r="C777" s="10" t="s">
        <v>94</v>
      </c>
      <c r="D777" s="83" t="s">
        <v>93</v>
      </c>
      <c r="E777" s="82" t="s">
        <v>877</v>
      </c>
      <c r="F777" s="85" t="s">
        <v>1280</v>
      </c>
      <c r="G777" s="86">
        <v>35</v>
      </c>
    </row>
    <row r="778" ht="16.5" spans="1:7">
      <c r="A778" s="81">
        <v>46189</v>
      </c>
      <c r="B778" s="82" t="s">
        <v>35</v>
      </c>
      <c r="C778" s="10" t="s">
        <v>94</v>
      </c>
      <c r="D778" s="83" t="s">
        <v>93</v>
      </c>
      <c r="E778" s="82" t="s">
        <v>877</v>
      </c>
      <c r="F778" s="85" t="s">
        <v>880</v>
      </c>
      <c r="G778" s="86">
        <v>15</v>
      </c>
    </row>
    <row r="779" ht="16.5" spans="1:7">
      <c r="A779" s="81">
        <v>46189</v>
      </c>
      <c r="B779" s="82" t="s">
        <v>35</v>
      </c>
      <c r="C779" s="10" t="s">
        <v>94</v>
      </c>
      <c r="D779" s="83" t="s">
        <v>93</v>
      </c>
      <c r="E779" s="82" t="s">
        <v>877</v>
      </c>
      <c r="F779" s="85" t="s">
        <v>1281</v>
      </c>
      <c r="G779" s="86">
        <v>17</v>
      </c>
    </row>
    <row r="780" ht="16.5" spans="1:7">
      <c r="A780" s="81">
        <v>46189</v>
      </c>
      <c r="B780" s="82" t="s">
        <v>35</v>
      </c>
      <c r="C780" s="10" t="s">
        <v>327</v>
      </c>
      <c r="D780" s="83" t="s">
        <v>63</v>
      </c>
      <c r="E780" s="82" t="s">
        <v>877</v>
      </c>
      <c r="F780" s="85" t="s">
        <v>1282</v>
      </c>
      <c r="G780" s="86">
        <v>70</v>
      </c>
    </row>
    <row r="781" ht="16.5" spans="1:7">
      <c r="A781" s="81">
        <v>46188</v>
      </c>
      <c r="B781" s="82" t="s">
        <v>253</v>
      </c>
      <c r="C781" s="10" t="s">
        <v>112</v>
      </c>
      <c r="D781" s="83" t="s">
        <v>111</v>
      </c>
      <c r="E781" s="82" t="s">
        <v>877</v>
      </c>
      <c r="F781" s="85" t="s">
        <v>1283</v>
      </c>
      <c r="G781" s="86">
        <v>20</v>
      </c>
    </row>
    <row r="782" ht="16.5" spans="1:7">
      <c r="A782" s="81">
        <v>46188</v>
      </c>
      <c r="B782" s="82" t="s">
        <v>35</v>
      </c>
      <c r="C782" s="10" t="s">
        <v>112</v>
      </c>
      <c r="D782" s="83" t="s">
        <v>111</v>
      </c>
      <c r="E782" s="82" t="s">
        <v>877</v>
      </c>
      <c r="F782" s="85" t="s">
        <v>957</v>
      </c>
      <c r="G782" s="86">
        <v>30</v>
      </c>
    </row>
    <row r="783" ht="16.5" spans="1:7">
      <c r="A783" s="81">
        <v>46189</v>
      </c>
      <c r="B783" s="82" t="s">
        <v>35</v>
      </c>
      <c r="C783" s="10" t="s">
        <v>112</v>
      </c>
      <c r="D783" s="83" t="s">
        <v>111</v>
      </c>
      <c r="E783" s="82" t="s">
        <v>877</v>
      </c>
      <c r="F783" s="85" t="s">
        <v>889</v>
      </c>
      <c r="G783" s="86">
        <v>20</v>
      </c>
    </row>
    <row r="784" ht="16.5" spans="1:7">
      <c r="A784" s="81">
        <v>46189</v>
      </c>
      <c r="B784" s="82" t="s">
        <v>253</v>
      </c>
      <c r="C784" s="10" t="s">
        <v>70</v>
      </c>
      <c r="D784" s="83" t="s">
        <v>69</v>
      </c>
      <c r="E784" s="82" t="s">
        <v>877</v>
      </c>
      <c r="F784" s="85" t="s">
        <v>1284</v>
      </c>
      <c r="G784" s="86">
        <v>200</v>
      </c>
    </row>
    <row r="785" ht="16.5" spans="1:7">
      <c r="A785" s="81">
        <v>46189</v>
      </c>
      <c r="B785" s="82" t="s">
        <v>249</v>
      </c>
      <c r="C785" s="10" t="s">
        <v>70</v>
      </c>
      <c r="D785" s="83" t="s">
        <v>69</v>
      </c>
      <c r="E785" s="82" t="s">
        <v>877</v>
      </c>
      <c r="F785" s="85" t="s">
        <v>1285</v>
      </c>
      <c r="G785" s="86">
        <v>200</v>
      </c>
    </row>
    <row r="786" ht="16.5" spans="1:7">
      <c r="A786" s="81">
        <v>46189</v>
      </c>
      <c r="B786" s="82" t="s">
        <v>35</v>
      </c>
      <c r="C786" s="10" t="s">
        <v>70</v>
      </c>
      <c r="D786" s="83" t="s">
        <v>69</v>
      </c>
      <c r="E786" s="82" t="s">
        <v>877</v>
      </c>
      <c r="F786" s="85" t="s">
        <v>1241</v>
      </c>
      <c r="G786" s="86">
        <v>15</v>
      </c>
    </row>
    <row r="787" ht="16.5" spans="1:7">
      <c r="A787" s="81">
        <v>46188</v>
      </c>
      <c r="B787" s="82" t="s">
        <v>35</v>
      </c>
      <c r="C787" s="10" t="s">
        <v>70</v>
      </c>
      <c r="D787" s="83" t="s">
        <v>69</v>
      </c>
      <c r="E787" s="82" t="s">
        <v>877</v>
      </c>
      <c r="F787" s="85" t="s">
        <v>922</v>
      </c>
      <c r="G787" s="86">
        <v>10</v>
      </c>
    </row>
    <row r="788" ht="16.5" spans="1:7">
      <c r="A788" s="81">
        <v>46188</v>
      </c>
      <c r="B788" s="82" t="s">
        <v>35</v>
      </c>
      <c r="C788" s="10" t="s">
        <v>122</v>
      </c>
      <c r="D788" s="83" t="s">
        <v>172</v>
      </c>
      <c r="E788" s="82" t="s">
        <v>877</v>
      </c>
      <c r="F788" s="85" t="s">
        <v>1286</v>
      </c>
      <c r="G788" s="86">
        <v>80</v>
      </c>
    </row>
    <row r="789" ht="16.5" spans="1:7">
      <c r="A789" s="81">
        <v>46188</v>
      </c>
      <c r="B789" s="82" t="s">
        <v>35</v>
      </c>
      <c r="C789" s="10" t="s">
        <v>122</v>
      </c>
      <c r="D789" s="83" t="s">
        <v>172</v>
      </c>
      <c r="E789" s="82" t="s">
        <v>877</v>
      </c>
      <c r="F789" s="85" t="s">
        <v>1287</v>
      </c>
      <c r="G789" s="86">
        <v>191</v>
      </c>
    </row>
    <row r="790" ht="16.5" spans="1:7">
      <c r="A790" s="81">
        <v>46189</v>
      </c>
      <c r="B790" s="82" t="s">
        <v>35</v>
      </c>
      <c r="C790" s="10" t="s">
        <v>122</v>
      </c>
      <c r="D790" s="83" t="s">
        <v>172</v>
      </c>
      <c r="E790" s="82" t="s">
        <v>877</v>
      </c>
      <c r="F790" s="85" t="s">
        <v>1288</v>
      </c>
      <c r="G790" s="86">
        <v>276.4</v>
      </c>
    </row>
    <row r="791" ht="40.5" spans="1:7">
      <c r="A791" s="81">
        <v>46189</v>
      </c>
      <c r="B791" s="82" t="s">
        <v>249</v>
      </c>
      <c r="C791" s="10" t="s">
        <v>122</v>
      </c>
      <c r="D791" s="83" t="s">
        <v>172</v>
      </c>
      <c r="E791" s="82" t="s">
        <v>877</v>
      </c>
      <c r="F791" s="85" t="s">
        <v>1289</v>
      </c>
      <c r="G791" s="86">
        <v>780</v>
      </c>
    </row>
    <row r="792" ht="16.5" spans="1:7">
      <c r="A792" s="87">
        <v>46188</v>
      </c>
      <c r="B792" s="82" t="s">
        <v>35</v>
      </c>
      <c r="C792" s="10" t="s">
        <v>82</v>
      </c>
      <c r="D792" s="83" t="s">
        <v>81</v>
      </c>
      <c r="E792" s="82" t="s">
        <v>877</v>
      </c>
      <c r="F792" s="85" t="s">
        <v>1003</v>
      </c>
      <c r="G792" s="86">
        <v>15</v>
      </c>
    </row>
    <row r="793" ht="16.5" spans="1:7">
      <c r="A793" s="81">
        <v>46189</v>
      </c>
      <c r="B793" s="82" t="s">
        <v>35</v>
      </c>
      <c r="C793" s="10" t="s">
        <v>82</v>
      </c>
      <c r="D793" s="83" t="s">
        <v>81</v>
      </c>
      <c r="E793" s="82" t="s">
        <v>877</v>
      </c>
      <c r="F793" s="85" t="s">
        <v>1290</v>
      </c>
      <c r="G793" s="86">
        <v>16</v>
      </c>
    </row>
    <row r="794" ht="16.5" spans="1:7">
      <c r="A794" s="81">
        <v>46189</v>
      </c>
      <c r="B794" s="82" t="s">
        <v>35</v>
      </c>
      <c r="C794" s="10" t="s">
        <v>97</v>
      </c>
      <c r="D794" s="83" t="s">
        <v>96</v>
      </c>
      <c r="E794" s="82" t="s">
        <v>877</v>
      </c>
      <c r="F794" s="85" t="s">
        <v>1291</v>
      </c>
      <c r="G794" s="86">
        <v>15</v>
      </c>
    </row>
    <row r="795" ht="16.5" spans="1:7">
      <c r="A795" s="81">
        <v>46188</v>
      </c>
      <c r="B795" s="82" t="s">
        <v>35</v>
      </c>
      <c r="C795" s="10" t="s">
        <v>97</v>
      </c>
      <c r="D795" s="83" t="s">
        <v>96</v>
      </c>
      <c r="E795" s="82" t="s">
        <v>877</v>
      </c>
      <c r="F795" s="85" t="s">
        <v>933</v>
      </c>
      <c r="G795" s="86">
        <v>30</v>
      </c>
    </row>
    <row r="796" ht="16.5" spans="1:7">
      <c r="A796" s="81">
        <v>46189</v>
      </c>
      <c r="B796" s="82" t="s">
        <v>35</v>
      </c>
      <c r="C796" s="10" t="s">
        <v>97</v>
      </c>
      <c r="D796" s="83" t="s">
        <v>96</v>
      </c>
      <c r="E796" s="82" t="s">
        <v>877</v>
      </c>
      <c r="F796" s="85" t="s">
        <v>935</v>
      </c>
      <c r="G796" s="86">
        <v>15</v>
      </c>
    </row>
    <row r="797" ht="16.5" spans="1:7">
      <c r="A797" s="81">
        <v>46189</v>
      </c>
      <c r="B797" s="82" t="s">
        <v>35</v>
      </c>
      <c r="C797" s="10" t="s">
        <v>181</v>
      </c>
      <c r="D797" s="83" t="s">
        <v>180</v>
      </c>
      <c r="E797" s="82" t="s">
        <v>877</v>
      </c>
      <c r="F797" s="85" t="s">
        <v>1292</v>
      </c>
      <c r="G797" s="86">
        <v>30</v>
      </c>
    </row>
    <row r="798" ht="16.5" spans="1:7">
      <c r="A798" s="81">
        <v>46188</v>
      </c>
      <c r="B798" s="82" t="s">
        <v>35</v>
      </c>
      <c r="C798" s="10" t="s">
        <v>181</v>
      </c>
      <c r="D798" s="83" t="s">
        <v>180</v>
      </c>
      <c r="E798" s="82" t="s">
        <v>877</v>
      </c>
      <c r="F798" s="85" t="s">
        <v>1293</v>
      </c>
      <c r="G798" s="86">
        <v>30</v>
      </c>
    </row>
    <row r="799" ht="16.5" spans="1:7">
      <c r="A799" s="81">
        <v>46188</v>
      </c>
      <c r="B799" s="82" t="s">
        <v>35</v>
      </c>
      <c r="C799" s="10" t="s">
        <v>178</v>
      </c>
      <c r="D799" s="83" t="s">
        <v>177</v>
      </c>
      <c r="E799" s="82" t="s">
        <v>877</v>
      </c>
      <c r="F799" s="85" t="s">
        <v>1125</v>
      </c>
      <c r="G799" s="86">
        <v>10</v>
      </c>
    </row>
    <row r="800" ht="16.5" spans="1:7">
      <c r="A800" s="81">
        <v>46189</v>
      </c>
      <c r="B800" s="82" t="s">
        <v>35</v>
      </c>
      <c r="C800" s="10" t="s">
        <v>184</v>
      </c>
      <c r="D800" s="83" t="s">
        <v>183</v>
      </c>
      <c r="E800" s="82" t="s">
        <v>877</v>
      </c>
      <c r="F800" s="85" t="s">
        <v>1294</v>
      </c>
      <c r="G800" s="86">
        <v>15</v>
      </c>
    </row>
    <row r="801" ht="16.5" spans="1:7">
      <c r="A801" s="87">
        <v>46188</v>
      </c>
      <c r="B801" s="82" t="s">
        <v>35</v>
      </c>
      <c r="C801" s="10" t="s">
        <v>184</v>
      </c>
      <c r="D801" s="83" t="s">
        <v>183</v>
      </c>
      <c r="E801" s="82" t="s">
        <v>877</v>
      </c>
      <c r="F801" s="10" t="s">
        <v>915</v>
      </c>
      <c r="G801" s="86">
        <v>10</v>
      </c>
    </row>
    <row r="802" ht="16.5" spans="1:7">
      <c r="A802" s="87">
        <v>46187</v>
      </c>
      <c r="B802" s="82" t="s">
        <v>35</v>
      </c>
      <c r="C802" s="10" t="s">
        <v>196</v>
      </c>
      <c r="D802" s="83" t="s">
        <v>195</v>
      </c>
      <c r="E802" s="82" t="s">
        <v>877</v>
      </c>
      <c r="F802" s="10" t="s">
        <v>1295</v>
      </c>
      <c r="G802" s="86">
        <v>30</v>
      </c>
    </row>
    <row r="803" ht="16.5" spans="1:7">
      <c r="A803" s="87">
        <v>46189</v>
      </c>
      <c r="B803" s="82" t="s">
        <v>35</v>
      </c>
      <c r="C803" s="10" t="s">
        <v>196</v>
      </c>
      <c r="D803" s="83" t="s">
        <v>195</v>
      </c>
      <c r="E803" s="82" t="s">
        <v>877</v>
      </c>
      <c r="F803" s="10" t="s">
        <v>1296</v>
      </c>
      <c r="G803" s="86">
        <v>15</v>
      </c>
    </row>
    <row r="804" ht="16.5" spans="1:7">
      <c r="A804" s="87">
        <v>46188</v>
      </c>
      <c r="B804" s="82" t="s">
        <v>35</v>
      </c>
      <c r="C804" s="10" t="s">
        <v>196</v>
      </c>
      <c r="D804" s="83" t="s">
        <v>195</v>
      </c>
      <c r="E804" s="82" t="s">
        <v>877</v>
      </c>
      <c r="F804" s="105" t="s">
        <v>1297</v>
      </c>
      <c r="G804" s="86">
        <v>10</v>
      </c>
    </row>
    <row r="805" ht="16.5" spans="1:7">
      <c r="A805" s="87">
        <v>46189</v>
      </c>
      <c r="B805" s="82" t="s">
        <v>35</v>
      </c>
      <c r="C805" s="10" t="s">
        <v>199</v>
      </c>
      <c r="D805" s="83" t="s">
        <v>198</v>
      </c>
      <c r="E805" s="82" t="s">
        <v>877</v>
      </c>
      <c r="F805" s="10" t="s">
        <v>882</v>
      </c>
      <c r="G805" s="86">
        <v>5</v>
      </c>
    </row>
    <row r="806" ht="25.5" spans="1:7">
      <c r="A806" s="81">
        <v>46189</v>
      </c>
      <c r="B806" s="82" t="s">
        <v>250</v>
      </c>
      <c r="C806" s="82" t="s">
        <v>894</v>
      </c>
      <c r="D806" s="10"/>
      <c r="E806" s="82" t="s">
        <v>877</v>
      </c>
      <c r="F806" s="88" t="s">
        <v>1298</v>
      </c>
      <c r="G806" s="84">
        <f>122+60+70+143</f>
        <v>395</v>
      </c>
    </row>
    <row r="807" ht="16.5" spans="1:7">
      <c r="A807" s="81">
        <v>46189</v>
      </c>
      <c r="B807" s="82" t="s">
        <v>250</v>
      </c>
      <c r="C807" s="82" t="s">
        <v>894</v>
      </c>
      <c r="D807" s="10"/>
      <c r="E807" s="82" t="s">
        <v>877</v>
      </c>
      <c r="F807" s="88" t="s">
        <v>1299</v>
      </c>
      <c r="G807" s="84">
        <v>68.5</v>
      </c>
    </row>
    <row r="808" ht="16.5" spans="1:7">
      <c r="A808" s="81">
        <v>46187</v>
      </c>
      <c r="B808" s="82" t="s">
        <v>250</v>
      </c>
      <c r="C808" s="82" t="s">
        <v>1150</v>
      </c>
      <c r="D808" s="10"/>
      <c r="E808" s="82" t="s">
        <v>877</v>
      </c>
      <c r="F808" s="88" t="s">
        <v>1300</v>
      </c>
      <c r="G808" s="84">
        <v>360</v>
      </c>
    </row>
    <row r="809" ht="16.5" spans="1:7">
      <c r="A809" s="81">
        <v>46187</v>
      </c>
      <c r="B809" s="82" t="s">
        <v>250</v>
      </c>
      <c r="C809" s="82" t="s">
        <v>1150</v>
      </c>
      <c r="D809" s="10"/>
      <c r="E809" s="82" t="s">
        <v>877</v>
      </c>
      <c r="F809" s="88" t="s">
        <v>1301</v>
      </c>
      <c r="G809" s="84">
        <f>12.9+18.9+51.68+19.71+12.9+83.3</f>
        <v>199.39</v>
      </c>
    </row>
    <row r="810" ht="16.5" spans="1:7">
      <c r="A810" s="81">
        <v>46189</v>
      </c>
      <c r="B810" s="82" t="s">
        <v>35</v>
      </c>
      <c r="C810" s="10" t="s">
        <v>76</v>
      </c>
      <c r="D810" s="83" t="s">
        <v>75</v>
      </c>
      <c r="E810" s="82" t="s">
        <v>877</v>
      </c>
      <c r="F810" s="85" t="s">
        <v>904</v>
      </c>
      <c r="G810" s="86">
        <v>10</v>
      </c>
    </row>
    <row r="811" ht="16.5" spans="1:7">
      <c r="A811" s="81">
        <v>46189</v>
      </c>
      <c r="B811" s="82" t="s">
        <v>35</v>
      </c>
      <c r="C811" s="10" t="s">
        <v>76</v>
      </c>
      <c r="D811" s="83" t="s">
        <v>75</v>
      </c>
      <c r="E811" s="82" t="s">
        <v>877</v>
      </c>
      <c r="F811" s="85" t="s">
        <v>907</v>
      </c>
      <c r="G811" s="86">
        <v>15</v>
      </c>
    </row>
    <row r="812" ht="16.5" spans="1:7">
      <c r="A812" s="81">
        <v>46189</v>
      </c>
      <c r="B812" s="82" t="s">
        <v>35</v>
      </c>
      <c r="C812" s="10" t="s">
        <v>70</v>
      </c>
      <c r="D812" s="83" t="s">
        <v>69</v>
      </c>
      <c r="E812" s="82" t="s">
        <v>877</v>
      </c>
      <c r="F812" s="85" t="s">
        <v>922</v>
      </c>
      <c r="G812" s="86">
        <v>10</v>
      </c>
    </row>
    <row r="813" ht="16.5" spans="1:7">
      <c r="A813" s="81">
        <v>46189</v>
      </c>
      <c r="B813" s="82" t="s">
        <v>35</v>
      </c>
      <c r="C813" s="10" t="s">
        <v>67</v>
      </c>
      <c r="D813" s="83" t="s">
        <v>66</v>
      </c>
      <c r="E813" s="82" t="s">
        <v>877</v>
      </c>
      <c r="F813" s="85" t="s">
        <v>972</v>
      </c>
      <c r="G813" s="86">
        <v>10</v>
      </c>
    </row>
    <row r="814" ht="16.5" spans="1:7">
      <c r="A814" s="81">
        <v>46189</v>
      </c>
      <c r="B814" s="82" t="s">
        <v>35</v>
      </c>
      <c r="C814" s="10" t="s">
        <v>67</v>
      </c>
      <c r="D814" s="83" t="s">
        <v>66</v>
      </c>
      <c r="E814" s="82" t="s">
        <v>877</v>
      </c>
      <c r="F814" s="85" t="s">
        <v>907</v>
      </c>
      <c r="G814" s="86">
        <v>15</v>
      </c>
    </row>
    <row r="815" ht="16.5" spans="1:7">
      <c r="A815" s="81">
        <v>46189</v>
      </c>
      <c r="B815" s="82" t="s">
        <v>35</v>
      </c>
      <c r="C815" s="10" t="s">
        <v>55</v>
      </c>
      <c r="D815" s="83" t="s">
        <v>54</v>
      </c>
      <c r="E815" s="82" t="s">
        <v>877</v>
      </c>
      <c r="F815" s="4" t="s">
        <v>902</v>
      </c>
      <c r="G815" s="86">
        <v>10</v>
      </c>
    </row>
    <row r="816" ht="16.5" spans="1:7">
      <c r="A816" s="81">
        <v>46189</v>
      </c>
      <c r="B816" s="82" t="s">
        <v>35</v>
      </c>
      <c r="C816" s="10" t="s">
        <v>55</v>
      </c>
      <c r="D816" s="83" t="s">
        <v>54</v>
      </c>
      <c r="E816" s="82" t="s">
        <v>877</v>
      </c>
      <c r="F816" s="85" t="s">
        <v>893</v>
      </c>
      <c r="G816" s="86">
        <v>15</v>
      </c>
    </row>
    <row r="817" ht="16.5" spans="1:7">
      <c r="A817" s="81">
        <v>46189</v>
      </c>
      <c r="B817" s="82" t="s">
        <v>35</v>
      </c>
      <c r="C817" s="10" t="s">
        <v>58</v>
      </c>
      <c r="D817" s="83" t="s">
        <v>57</v>
      </c>
      <c r="E817" s="82" t="s">
        <v>877</v>
      </c>
      <c r="F817" s="85" t="s">
        <v>930</v>
      </c>
      <c r="G817" s="86">
        <v>15</v>
      </c>
    </row>
    <row r="818" ht="16.5" spans="1:7">
      <c r="A818" s="81">
        <v>46188</v>
      </c>
      <c r="B818" s="82" t="s">
        <v>35</v>
      </c>
      <c r="C818" s="10" t="s">
        <v>58</v>
      </c>
      <c r="D818" s="83" t="s">
        <v>57</v>
      </c>
      <c r="E818" s="82" t="s">
        <v>877</v>
      </c>
      <c r="F818" s="85" t="s">
        <v>957</v>
      </c>
      <c r="G818" s="86">
        <v>30</v>
      </c>
    </row>
    <row r="819" ht="16.5" spans="1:7">
      <c r="A819" s="81">
        <v>46189</v>
      </c>
      <c r="B819" s="82" t="s">
        <v>35</v>
      </c>
      <c r="C819" s="10" t="s">
        <v>58</v>
      </c>
      <c r="D819" s="83" t="s">
        <v>57</v>
      </c>
      <c r="E819" s="82" t="s">
        <v>877</v>
      </c>
      <c r="F819" s="105" t="s">
        <v>1302</v>
      </c>
      <c r="G819" s="86">
        <v>16</v>
      </c>
    </row>
    <row r="820" ht="16.5" spans="1:7">
      <c r="A820" s="81">
        <v>46188</v>
      </c>
      <c r="B820" s="82" t="s">
        <v>35</v>
      </c>
      <c r="C820" s="10" t="s">
        <v>133</v>
      </c>
      <c r="D820" s="83" t="s">
        <v>132</v>
      </c>
      <c r="E820" s="82" t="s">
        <v>877</v>
      </c>
      <c r="F820" s="399" t="s">
        <v>957</v>
      </c>
      <c r="G820" s="86">
        <v>30</v>
      </c>
    </row>
    <row r="821" ht="16.5" spans="1:7">
      <c r="A821" s="81">
        <v>46190</v>
      </c>
      <c r="B821" s="401" t="s">
        <v>35</v>
      </c>
      <c r="C821" s="10" t="s">
        <v>133</v>
      </c>
      <c r="D821" s="83" t="s">
        <v>132</v>
      </c>
      <c r="E821" s="82" t="s">
        <v>877</v>
      </c>
      <c r="F821" s="104" t="s">
        <v>889</v>
      </c>
      <c r="G821" s="86">
        <v>20</v>
      </c>
    </row>
    <row r="822" ht="16.5" spans="1:7">
      <c r="A822" s="81">
        <v>46189</v>
      </c>
      <c r="B822" s="401" t="s">
        <v>35</v>
      </c>
      <c r="C822" s="10" t="s">
        <v>115</v>
      </c>
      <c r="D822" s="83" t="s">
        <v>114</v>
      </c>
      <c r="E822" s="82" t="s">
        <v>877</v>
      </c>
      <c r="F822" s="105" t="s">
        <v>902</v>
      </c>
      <c r="G822" s="86">
        <v>10</v>
      </c>
    </row>
    <row r="823" ht="16.5" spans="1:7">
      <c r="A823" s="81">
        <v>46190</v>
      </c>
      <c r="B823" s="401" t="s">
        <v>35</v>
      </c>
      <c r="C823" s="10" t="s">
        <v>115</v>
      </c>
      <c r="D823" s="83" t="s">
        <v>114</v>
      </c>
      <c r="E823" s="82" t="s">
        <v>877</v>
      </c>
      <c r="F823" s="105" t="s">
        <v>908</v>
      </c>
      <c r="G823" s="86">
        <v>15</v>
      </c>
    </row>
    <row r="824" ht="16.5" spans="1:7">
      <c r="A824" s="81">
        <v>46190</v>
      </c>
      <c r="B824" s="82" t="s">
        <v>35</v>
      </c>
      <c r="C824" s="10" t="s">
        <v>139</v>
      </c>
      <c r="D824" s="83" t="s">
        <v>138</v>
      </c>
      <c r="E824" s="82" t="s">
        <v>877</v>
      </c>
      <c r="F824" s="85" t="s">
        <v>1303</v>
      </c>
      <c r="G824" s="86">
        <v>35</v>
      </c>
    </row>
    <row r="825" ht="16.5" spans="1:7">
      <c r="A825" s="81">
        <v>46189</v>
      </c>
      <c r="B825" s="82" t="s">
        <v>35</v>
      </c>
      <c r="C825" s="10" t="s">
        <v>139</v>
      </c>
      <c r="D825" s="83" t="s">
        <v>138</v>
      </c>
      <c r="E825" s="82" t="s">
        <v>877</v>
      </c>
      <c r="F825" s="85" t="s">
        <v>1304</v>
      </c>
      <c r="G825" s="86">
        <v>10</v>
      </c>
    </row>
    <row r="826" ht="16.5" spans="1:7">
      <c r="A826" s="81">
        <v>46189</v>
      </c>
      <c r="B826" s="82" t="s">
        <v>35</v>
      </c>
      <c r="C826" s="10" t="s">
        <v>139</v>
      </c>
      <c r="D826" s="83" t="s">
        <v>138</v>
      </c>
      <c r="E826" s="82" t="s">
        <v>877</v>
      </c>
      <c r="F826" s="85" t="s">
        <v>1059</v>
      </c>
      <c r="G826" s="86">
        <v>15</v>
      </c>
    </row>
    <row r="827" ht="16.5" spans="1:7">
      <c r="A827" s="81">
        <v>46189</v>
      </c>
      <c r="B827" s="82" t="s">
        <v>35</v>
      </c>
      <c r="C827" s="10" t="s">
        <v>139</v>
      </c>
      <c r="D827" s="83" t="s">
        <v>138</v>
      </c>
      <c r="E827" s="82" t="s">
        <v>877</v>
      </c>
      <c r="F827" s="85" t="s">
        <v>961</v>
      </c>
      <c r="G827" s="86">
        <v>10</v>
      </c>
    </row>
    <row r="828" ht="16.5" spans="1:7">
      <c r="A828" s="81">
        <v>46190</v>
      </c>
      <c r="B828" s="82" t="s">
        <v>35</v>
      </c>
      <c r="C828" s="10" t="s">
        <v>88</v>
      </c>
      <c r="D828" s="83" t="s">
        <v>87</v>
      </c>
      <c r="E828" s="82" t="s">
        <v>877</v>
      </c>
      <c r="F828" s="85" t="s">
        <v>1305</v>
      </c>
      <c r="G828" s="86">
        <v>15</v>
      </c>
    </row>
    <row r="829" ht="16.5" spans="1:7">
      <c r="A829" s="81">
        <v>46189</v>
      </c>
      <c r="B829" s="82" t="s">
        <v>35</v>
      </c>
      <c r="C829" s="10" t="s">
        <v>88</v>
      </c>
      <c r="D829" s="83" t="s">
        <v>87</v>
      </c>
      <c r="E829" s="82" t="s">
        <v>877</v>
      </c>
      <c r="F829" s="85" t="s">
        <v>882</v>
      </c>
      <c r="G829" s="86">
        <v>5</v>
      </c>
    </row>
    <row r="830" ht="16.5" spans="1:7">
      <c r="A830" s="81">
        <v>46190</v>
      </c>
      <c r="B830" s="82" t="s">
        <v>35</v>
      </c>
      <c r="C830" s="10" t="s">
        <v>142</v>
      </c>
      <c r="D830" s="83" t="s">
        <v>141</v>
      </c>
      <c r="E830" s="82" t="s">
        <v>877</v>
      </c>
      <c r="F830" s="85" t="s">
        <v>1065</v>
      </c>
      <c r="G830" s="86">
        <v>30</v>
      </c>
    </row>
    <row r="831" ht="16.5" spans="1:7">
      <c r="A831" s="81">
        <v>46189</v>
      </c>
      <c r="B831" s="82" t="s">
        <v>35</v>
      </c>
      <c r="C831" s="10" t="s">
        <v>142</v>
      </c>
      <c r="D831" s="83" t="s">
        <v>141</v>
      </c>
      <c r="E831" s="82" t="s">
        <v>877</v>
      </c>
      <c r="F831" s="85" t="s">
        <v>1306</v>
      </c>
      <c r="G831" s="86">
        <v>30</v>
      </c>
    </row>
    <row r="832" ht="16.5" spans="1:7">
      <c r="A832" s="81">
        <v>46189</v>
      </c>
      <c r="B832" s="82" t="s">
        <v>35</v>
      </c>
      <c r="C832" s="10" t="s">
        <v>100</v>
      </c>
      <c r="D832" s="83" t="s">
        <v>99</v>
      </c>
      <c r="E832" s="82" t="s">
        <v>877</v>
      </c>
      <c r="F832" s="85" t="s">
        <v>940</v>
      </c>
      <c r="G832" s="86">
        <v>15</v>
      </c>
    </row>
    <row r="833" ht="16.5" spans="1:7">
      <c r="A833" s="81">
        <v>46190</v>
      </c>
      <c r="B833" s="82" t="s">
        <v>35</v>
      </c>
      <c r="C833" s="10" t="s">
        <v>100</v>
      </c>
      <c r="D833" s="83" t="s">
        <v>99</v>
      </c>
      <c r="E833" s="82" t="s">
        <v>877</v>
      </c>
      <c r="F833" s="85" t="s">
        <v>1036</v>
      </c>
      <c r="G833" s="86">
        <v>15</v>
      </c>
    </row>
    <row r="834" ht="16.5" spans="1:7">
      <c r="A834" s="81">
        <v>46189</v>
      </c>
      <c r="B834" s="82" t="s">
        <v>35</v>
      </c>
      <c r="C834" s="10" t="s">
        <v>109</v>
      </c>
      <c r="D834" s="83" t="s">
        <v>108</v>
      </c>
      <c r="E834" s="82" t="s">
        <v>877</v>
      </c>
      <c r="F834" s="85" t="s">
        <v>1061</v>
      </c>
      <c r="G834" s="86">
        <v>15</v>
      </c>
    </row>
    <row r="835" ht="16.5" spans="1:7">
      <c r="A835" s="81">
        <v>46190</v>
      </c>
      <c r="B835" s="82" t="s">
        <v>35</v>
      </c>
      <c r="C835" s="10" t="s">
        <v>109</v>
      </c>
      <c r="D835" s="83" t="s">
        <v>108</v>
      </c>
      <c r="E835" s="82" t="s">
        <v>877</v>
      </c>
      <c r="F835" s="85" t="s">
        <v>889</v>
      </c>
      <c r="G835" s="86">
        <v>20</v>
      </c>
    </row>
    <row r="836" ht="16.5" spans="1:7">
      <c r="A836" s="81">
        <v>46190</v>
      </c>
      <c r="B836" s="82" t="s">
        <v>35</v>
      </c>
      <c r="C836" s="10" t="s">
        <v>327</v>
      </c>
      <c r="D836" s="83" t="s">
        <v>63</v>
      </c>
      <c r="E836" s="82" t="s">
        <v>877</v>
      </c>
      <c r="F836" s="85" t="s">
        <v>1060</v>
      </c>
      <c r="G836" s="86">
        <v>20</v>
      </c>
    </row>
    <row r="837" ht="16.5" spans="1:7">
      <c r="A837" s="81">
        <v>46189</v>
      </c>
      <c r="B837" s="82" t="s">
        <v>35</v>
      </c>
      <c r="C837" s="10" t="s">
        <v>327</v>
      </c>
      <c r="D837" s="83" t="s">
        <v>63</v>
      </c>
      <c r="E837" s="82" t="s">
        <v>877</v>
      </c>
      <c r="F837" s="85" t="s">
        <v>933</v>
      </c>
      <c r="G837" s="86">
        <v>30</v>
      </c>
    </row>
    <row r="838" ht="16.5" spans="1:7">
      <c r="A838" s="81">
        <v>46189</v>
      </c>
      <c r="B838" s="82" t="s">
        <v>35</v>
      </c>
      <c r="C838" s="10" t="s">
        <v>205</v>
      </c>
      <c r="D838" s="83" t="s">
        <v>204</v>
      </c>
      <c r="E838" s="82" t="s">
        <v>877</v>
      </c>
      <c r="F838" s="85" t="s">
        <v>1307</v>
      </c>
      <c r="G838" s="86">
        <v>10</v>
      </c>
    </row>
    <row r="839" ht="16.5" spans="1:7">
      <c r="A839" s="81">
        <v>46187</v>
      </c>
      <c r="B839" s="82" t="s">
        <v>35</v>
      </c>
      <c r="C839" s="10" t="s">
        <v>205</v>
      </c>
      <c r="D839" s="83" t="s">
        <v>204</v>
      </c>
      <c r="E839" s="82" t="s">
        <v>877</v>
      </c>
      <c r="F839" s="85" t="s">
        <v>1137</v>
      </c>
      <c r="G839" s="86">
        <v>15</v>
      </c>
    </row>
    <row r="840" ht="16.5" spans="1:7">
      <c r="A840" s="81">
        <v>46188</v>
      </c>
      <c r="B840" s="82" t="s">
        <v>35</v>
      </c>
      <c r="C840" s="10" t="s">
        <v>205</v>
      </c>
      <c r="D840" s="83" t="s">
        <v>204</v>
      </c>
      <c r="E840" s="82" t="s">
        <v>877</v>
      </c>
      <c r="F840" s="85" t="s">
        <v>985</v>
      </c>
      <c r="G840" s="86">
        <v>5</v>
      </c>
    </row>
    <row r="841" ht="16.5" spans="1:7">
      <c r="A841" s="81">
        <v>46189</v>
      </c>
      <c r="B841" s="82" t="s">
        <v>35</v>
      </c>
      <c r="C841" s="10" t="s">
        <v>202</v>
      </c>
      <c r="D841" s="83" t="s">
        <v>201</v>
      </c>
      <c r="E841" s="82" t="s">
        <v>877</v>
      </c>
      <c r="F841" s="85" t="s">
        <v>1307</v>
      </c>
      <c r="G841" s="86">
        <v>10</v>
      </c>
    </row>
    <row r="842" ht="16.5" spans="1:7">
      <c r="A842" s="81">
        <v>46187</v>
      </c>
      <c r="B842" s="82" t="s">
        <v>35</v>
      </c>
      <c r="C842" s="10" t="s">
        <v>202</v>
      </c>
      <c r="D842" s="83" t="s">
        <v>201</v>
      </c>
      <c r="E842" s="82" t="s">
        <v>877</v>
      </c>
      <c r="F842" s="85" t="s">
        <v>1137</v>
      </c>
      <c r="G842" s="86">
        <v>15</v>
      </c>
    </row>
    <row r="843" ht="16.5" spans="1:7">
      <c r="A843" s="81">
        <v>46188</v>
      </c>
      <c r="B843" s="82" t="s">
        <v>35</v>
      </c>
      <c r="C843" s="10" t="s">
        <v>202</v>
      </c>
      <c r="D843" s="83" t="s">
        <v>201</v>
      </c>
      <c r="E843" s="82" t="s">
        <v>877</v>
      </c>
      <c r="F843" s="85" t="s">
        <v>1308</v>
      </c>
      <c r="G843" s="86">
        <v>8</v>
      </c>
    </row>
    <row r="844" ht="16.5" spans="1:7">
      <c r="A844" s="81">
        <v>46190</v>
      </c>
      <c r="B844" s="82" t="s">
        <v>253</v>
      </c>
      <c r="C844" s="10" t="s">
        <v>181</v>
      </c>
      <c r="D844" s="83" t="s">
        <v>180</v>
      </c>
      <c r="E844" s="82" t="s">
        <v>877</v>
      </c>
      <c r="F844" s="85" t="s">
        <v>1309</v>
      </c>
      <c r="G844" s="86">
        <v>200</v>
      </c>
    </row>
    <row r="845" ht="16.5" spans="1:7">
      <c r="A845" s="81">
        <v>46190</v>
      </c>
      <c r="B845" s="82" t="s">
        <v>249</v>
      </c>
      <c r="C845" s="10" t="s">
        <v>181</v>
      </c>
      <c r="D845" s="83" t="s">
        <v>180</v>
      </c>
      <c r="E845" s="82" t="s">
        <v>877</v>
      </c>
      <c r="F845" s="85" t="s">
        <v>1310</v>
      </c>
      <c r="G845" s="86">
        <v>200</v>
      </c>
    </row>
    <row r="846" ht="16.5" spans="1:7">
      <c r="A846" s="81">
        <v>46188</v>
      </c>
      <c r="B846" s="82" t="s">
        <v>35</v>
      </c>
      <c r="C846" s="10" t="s">
        <v>145</v>
      </c>
      <c r="D846" s="83" t="s">
        <v>144</v>
      </c>
      <c r="E846" s="82" t="s">
        <v>877</v>
      </c>
      <c r="F846" s="85" t="s">
        <v>1137</v>
      </c>
      <c r="G846" s="86">
        <v>15</v>
      </c>
    </row>
    <row r="847" ht="16.5" spans="1:7">
      <c r="A847" s="81">
        <v>46189</v>
      </c>
      <c r="B847" s="82" t="s">
        <v>35</v>
      </c>
      <c r="C847" s="10" t="s">
        <v>145</v>
      </c>
      <c r="D847" s="83" t="s">
        <v>144</v>
      </c>
      <c r="E847" s="82" t="s">
        <v>877</v>
      </c>
      <c r="F847" s="85" t="s">
        <v>911</v>
      </c>
      <c r="G847" s="86">
        <v>10</v>
      </c>
    </row>
    <row r="848" ht="16.5" spans="1:7">
      <c r="A848" s="81">
        <v>46189</v>
      </c>
      <c r="B848" s="82" t="s">
        <v>35</v>
      </c>
      <c r="C848" s="10" t="s">
        <v>145</v>
      </c>
      <c r="D848" s="83" t="s">
        <v>144</v>
      </c>
      <c r="E848" s="82" t="s">
        <v>877</v>
      </c>
      <c r="F848" s="85" t="s">
        <v>1137</v>
      </c>
      <c r="G848" s="86">
        <v>15</v>
      </c>
    </row>
    <row r="849" ht="16.5" spans="1:7">
      <c r="A849" s="87">
        <v>46190</v>
      </c>
      <c r="B849" s="82" t="s">
        <v>35</v>
      </c>
      <c r="C849" s="10" t="s">
        <v>145</v>
      </c>
      <c r="D849" s="83" t="s">
        <v>144</v>
      </c>
      <c r="E849" s="82" t="s">
        <v>877</v>
      </c>
      <c r="F849" s="10" t="s">
        <v>911</v>
      </c>
      <c r="G849" s="86">
        <v>10</v>
      </c>
    </row>
    <row r="850" ht="16.5" spans="1:7">
      <c r="A850" s="87">
        <v>46189</v>
      </c>
      <c r="B850" s="82" t="s">
        <v>35</v>
      </c>
      <c r="C850" s="10" t="s">
        <v>155</v>
      </c>
      <c r="D850" s="83" t="s">
        <v>154</v>
      </c>
      <c r="E850" s="82" t="s">
        <v>877</v>
      </c>
      <c r="F850" s="10" t="s">
        <v>911</v>
      </c>
      <c r="G850" s="86">
        <v>10</v>
      </c>
    </row>
    <row r="851" ht="16.5" spans="1:7">
      <c r="A851" s="87">
        <v>46189</v>
      </c>
      <c r="B851" s="82" t="s">
        <v>253</v>
      </c>
      <c r="C851" s="10" t="s">
        <v>161</v>
      </c>
      <c r="D851" s="83" t="s">
        <v>160</v>
      </c>
      <c r="E851" s="82" t="s">
        <v>877</v>
      </c>
      <c r="F851" s="10" t="s">
        <v>1012</v>
      </c>
      <c r="G851" s="86">
        <v>200</v>
      </c>
    </row>
    <row r="852" ht="16.5" spans="1:7">
      <c r="A852" s="87">
        <v>46189</v>
      </c>
      <c r="B852" s="82" t="s">
        <v>249</v>
      </c>
      <c r="C852" s="10" t="s">
        <v>161</v>
      </c>
      <c r="D852" s="83" t="s">
        <v>160</v>
      </c>
      <c r="E852" s="82" t="s">
        <v>877</v>
      </c>
      <c r="F852" s="105" t="s">
        <v>1311</v>
      </c>
      <c r="G852" s="86">
        <v>200</v>
      </c>
    </row>
    <row r="853" ht="16.5" spans="1:7">
      <c r="A853" s="87">
        <v>46190</v>
      </c>
      <c r="B853" s="82" t="s">
        <v>35</v>
      </c>
      <c r="C853" s="10" t="s">
        <v>161</v>
      </c>
      <c r="D853" s="83" t="s">
        <v>160</v>
      </c>
      <c r="E853" s="82" t="s">
        <v>877</v>
      </c>
      <c r="F853" s="105" t="s">
        <v>889</v>
      </c>
      <c r="G853" s="86">
        <v>20</v>
      </c>
    </row>
    <row r="854" ht="16.5" spans="1:7">
      <c r="A854" s="87">
        <v>46189</v>
      </c>
      <c r="B854" s="82" t="s">
        <v>35</v>
      </c>
      <c r="C854" s="10" t="s">
        <v>167</v>
      </c>
      <c r="D854" s="83" t="s">
        <v>166</v>
      </c>
      <c r="E854" s="82" t="s">
        <v>877</v>
      </c>
      <c r="F854" s="105" t="s">
        <v>1312</v>
      </c>
      <c r="G854" s="86">
        <v>35</v>
      </c>
    </row>
    <row r="855" ht="16.5" spans="1:7">
      <c r="A855" s="81">
        <v>46189</v>
      </c>
      <c r="B855" s="82" t="s">
        <v>35</v>
      </c>
      <c r="C855" s="10" t="s">
        <v>106</v>
      </c>
      <c r="D855" s="83" t="s">
        <v>105</v>
      </c>
      <c r="E855" s="82" t="s">
        <v>877</v>
      </c>
      <c r="F855" s="85" t="s">
        <v>970</v>
      </c>
      <c r="G855" s="86">
        <v>15</v>
      </c>
    </row>
    <row r="856" ht="16.5" spans="1:7">
      <c r="A856" s="81">
        <v>46190</v>
      </c>
      <c r="B856" s="82" t="s">
        <v>35</v>
      </c>
      <c r="C856" s="10" t="s">
        <v>106</v>
      </c>
      <c r="D856" s="83" t="s">
        <v>105</v>
      </c>
      <c r="E856" s="82" t="s">
        <v>877</v>
      </c>
      <c r="F856" s="85" t="s">
        <v>904</v>
      </c>
      <c r="G856" s="86">
        <v>10</v>
      </c>
    </row>
    <row r="857" ht="16.5" spans="1:7">
      <c r="A857" s="81">
        <v>46190</v>
      </c>
      <c r="B857" s="82" t="s">
        <v>250</v>
      </c>
      <c r="C857" s="10" t="s">
        <v>47</v>
      </c>
      <c r="D857" s="83" t="s">
        <v>1273</v>
      </c>
      <c r="E857" s="82" t="s">
        <v>877</v>
      </c>
      <c r="F857" s="85" t="s">
        <v>1313</v>
      </c>
      <c r="G857" s="86">
        <v>300</v>
      </c>
    </row>
    <row r="858" ht="16.5" spans="1:7">
      <c r="A858" s="81">
        <v>46189</v>
      </c>
      <c r="B858" s="82" t="s">
        <v>35</v>
      </c>
      <c r="C858" s="10" t="s">
        <v>73</v>
      </c>
      <c r="D858" s="83" t="s">
        <v>72</v>
      </c>
      <c r="E858" s="82" t="s">
        <v>877</v>
      </c>
      <c r="F858" s="85" t="s">
        <v>933</v>
      </c>
      <c r="G858" s="86">
        <v>30</v>
      </c>
    </row>
    <row r="859" ht="16.5" spans="1:7">
      <c r="A859" s="81">
        <v>46190</v>
      </c>
      <c r="B859" s="82" t="s">
        <v>35</v>
      </c>
      <c r="C859" s="10" t="s">
        <v>73</v>
      </c>
      <c r="D859" s="83" t="s">
        <v>72</v>
      </c>
      <c r="E859" s="82" t="s">
        <v>877</v>
      </c>
      <c r="F859" s="85" t="s">
        <v>1088</v>
      </c>
      <c r="G859" s="86">
        <v>20</v>
      </c>
    </row>
    <row r="860" ht="16.5" spans="1:7">
      <c r="A860" s="81">
        <v>46190</v>
      </c>
      <c r="B860" s="82" t="s">
        <v>35</v>
      </c>
      <c r="C860" s="10" t="s">
        <v>136</v>
      </c>
      <c r="D860" s="83" t="s">
        <v>135</v>
      </c>
      <c r="E860" s="82" t="s">
        <v>877</v>
      </c>
      <c r="F860" s="85" t="s">
        <v>1314</v>
      </c>
      <c r="G860" s="86">
        <v>10</v>
      </c>
    </row>
    <row r="861" ht="16.5" spans="1:7">
      <c r="A861" s="81">
        <v>46189</v>
      </c>
      <c r="B861" s="82" t="s">
        <v>35</v>
      </c>
      <c r="C861" s="10" t="s">
        <v>103</v>
      </c>
      <c r="D861" s="83" t="s">
        <v>102</v>
      </c>
      <c r="E861" s="82" t="s">
        <v>877</v>
      </c>
      <c r="F861" s="85" t="s">
        <v>927</v>
      </c>
      <c r="G861" s="86">
        <v>15</v>
      </c>
    </row>
    <row r="862" ht="16.5" spans="1:7">
      <c r="A862" s="81">
        <v>46190</v>
      </c>
      <c r="B862" s="82" t="s">
        <v>35</v>
      </c>
      <c r="C862" s="10" t="s">
        <v>103</v>
      </c>
      <c r="D862" s="83" t="s">
        <v>102</v>
      </c>
      <c r="E862" s="82" t="s">
        <v>877</v>
      </c>
      <c r="F862" s="85" t="s">
        <v>1315</v>
      </c>
      <c r="G862" s="86">
        <v>15</v>
      </c>
    </row>
    <row r="863" ht="16.5" spans="1:7">
      <c r="A863" s="81">
        <v>46191</v>
      </c>
      <c r="B863" s="82" t="s">
        <v>35</v>
      </c>
      <c r="C863" s="10" t="s">
        <v>115</v>
      </c>
      <c r="D863" s="83" t="s">
        <v>114</v>
      </c>
      <c r="E863" s="82" t="s">
        <v>877</v>
      </c>
      <c r="F863" s="105" t="s">
        <v>908</v>
      </c>
      <c r="G863" s="86">
        <v>15</v>
      </c>
    </row>
    <row r="864" ht="16.5" spans="1:7">
      <c r="A864" s="113">
        <v>46190</v>
      </c>
      <c r="B864" s="82" t="s">
        <v>35</v>
      </c>
      <c r="C864" s="10" t="s">
        <v>115</v>
      </c>
      <c r="D864" s="83" t="s">
        <v>114</v>
      </c>
      <c r="E864" s="82" t="s">
        <v>877</v>
      </c>
      <c r="F864" s="105" t="s">
        <v>902</v>
      </c>
      <c r="G864" s="114">
        <v>10</v>
      </c>
    </row>
    <row r="865" ht="16.5" spans="1:7">
      <c r="A865" s="81">
        <v>46190</v>
      </c>
      <c r="B865" s="82" t="s">
        <v>35</v>
      </c>
      <c r="C865" s="10" t="s">
        <v>122</v>
      </c>
      <c r="D865" s="83" t="s">
        <v>130</v>
      </c>
      <c r="E865" s="82" t="s">
        <v>877</v>
      </c>
      <c r="F865" s="399" t="s">
        <v>1296</v>
      </c>
      <c r="G865" s="86">
        <v>15</v>
      </c>
    </row>
    <row r="866" ht="16.5" spans="1:7">
      <c r="A866" s="81">
        <v>46191</v>
      </c>
      <c r="B866" s="82" t="s">
        <v>35</v>
      </c>
      <c r="C866" s="10" t="s">
        <v>122</v>
      </c>
      <c r="D866" s="83" t="s">
        <v>130</v>
      </c>
      <c r="E866" s="82" t="s">
        <v>877</v>
      </c>
      <c r="F866" s="104" t="s">
        <v>907</v>
      </c>
      <c r="G866" s="86">
        <v>15</v>
      </c>
    </row>
    <row r="867" ht="16.5" spans="1:7">
      <c r="A867" s="81">
        <v>46190</v>
      </c>
      <c r="B867" s="401" t="s">
        <v>35</v>
      </c>
      <c r="C867" s="10" t="s">
        <v>61</v>
      </c>
      <c r="D867" s="83" t="s">
        <v>60</v>
      </c>
      <c r="E867" s="82" t="s">
        <v>877</v>
      </c>
      <c r="F867" s="105" t="s">
        <v>1316</v>
      </c>
      <c r="G867" s="86">
        <v>15</v>
      </c>
    </row>
    <row r="868" ht="16.5" spans="1:7">
      <c r="A868" s="81">
        <v>46189</v>
      </c>
      <c r="B868" s="401" t="s">
        <v>35</v>
      </c>
      <c r="C868" s="10" t="s">
        <v>61</v>
      </c>
      <c r="D868" s="83" t="s">
        <v>60</v>
      </c>
      <c r="E868" s="82" t="s">
        <v>877</v>
      </c>
      <c r="F868" s="105" t="s">
        <v>1317</v>
      </c>
      <c r="G868" s="86">
        <v>12</v>
      </c>
    </row>
    <row r="869" ht="16.5" spans="1:7">
      <c r="A869" s="81">
        <v>46191</v>
      </c>
      <c r="B869" s="82" t="s">
        <v>35</v>
      </c>
      <c r="C869" s="10" t="s">
        <v>79</v>
      </c>
      <c r="D869" s="83" t="s">
        <v>78</v>
      </c>
      <c r="E869" s="82" t="s">
        <v>877</v>
      </c>
      <c r="F869" s="105" t="s">
        <v>1318</v>
      </c>
      <c r="G869" s="86">
        <v>35</v>
      </c>
    </row>
    <row r="870" ht="16.5" spans="1:7">
      <c r="A870" s="81">
        <v>46190</v>
      </c>
      <c r="B870" s="82" t="s">
        <v>35</v>
      </c>
      <c r="C870" s="10" t="s">
        <v>79</v>
      </c>
      <c r="D870" s="83" t="s">
        <v>78</v>
      </c>
      <c r="E870" s="82" t="s">
        <v>877</v>
      </c>
      <c r="F870" s="10" t="s">
        <v>880</v>
      </c>
      <c r="G870" s="86">
        <v>15</v>
      </c>
    </row>
    <row r="871" ht="16.5" spans="1:7">
      <c r="A871" s="81">
        <v>46190</v>
      </c>
      <c r="B871" s="82" t="s">
        <v>35</v>
      </c>
      <c r="C871" s="10" t="s">
        <v>79</v>
      </c>
      <c r="D871" s="83" t="s">
        <v>78</v>
      </c>
      <c r="E871" s="82" t="s">
        <v>877</v>
      </c>
      <c r="F871" s="85" t="s">
        <v>902</v>
      </c>
      <c r="G871" s="86">
        <v>10</v>
      </c>
    </row>
    <row r="872" ht="16.5" spans="1:7">
      <c r="A872" s="81">
        <v>46191</v>
      </c>
      <c r="B872" s="82" t="s">
        <v>35</v>
      </c>
      <c r="C872" s="10" t="s">
        <v>52</v>
      </c>
      <c r="D872" s="83" t="s">
        <v>51</v>
      </c>
      <c r="E872" s="82" t="s">
        <v>877</v>
      </c>
      <c r="F872" s="85" t="s">
        <v>1042</v>
      </c>
      <c r="G872" s="86">
        <v>30</v>
      </c>
    </row>
    <row r="873" ht="16.5" spans="1:7">
      <c r="A873" s="81">
        <v>46190</v>
      </c>
      <c r="B873" s="82" t="s">
        <v>35</v>
      </c>
      <c r="C873" s="10" t="s">
        <v>52</v>
      </c>
      <c r="D873" s="83" t="s">
        <v>51</v>
      </c>
      <c r="E873" s="82" t="s">
        <v>877</v>
      </c>
      <c r="F873" s="85" t="s">
        <v>880</v>
      </c>
      <c r="G873" s="86">
        <v>15</v>
      </c>
    </row>
    <row r="874" ht="16.5" spans="1:7">
      <c r="A874" s="81">
        <v>46190</v>
      </c>
      <c r="B874" s="82" t="s">
        <v>35</v>
      </c>
      <c r="C874" s="10" t="s">
        <v>52</v>
      </c>
      <c r="D874" s="83" t="s">
        <v>51</v>
      </c>
      <c r="E874" s="82" t="s">
        <v>877</v>
      </c>
      <c r="F874" s="85" t="s">
        <v>1271</v>
      </c>
      <c r="G874" s="86">
        <v>20</v>
      </c>
    </row>
    <row r="875" ht="16.5" spans="1:7">
      <c r="A875" s="81">
        <v>46191</v>
      </c>
      <c r="B875" s="82" t="s">
        <v>35</v>
      </c>
      <c r="C875" s="10" t="s">
        <v>88</v>
      </c>
      <c r="D875" s="83" t="s">
        <v>87</v>
      </c>
      <c r="E875" s="82" t="s">
        <v>877</v>
      </c>
      <c r="F875" s="85" t="s">
        <v>902</v>
      </c>
      <c r="G875" s="86">
        <v>10</v>
      </c>
    </row>
    <row r="876" ht="16.5" spans="1:7">
      <c r="A876" s="81">
        <v>46191</v>
      </c>
      <c r="B876" s="82" t="s">
        <v>35</v>
      </c>
      <c r="C876" s="10" t="s">
        <v>55</v>
      </c>
      <c r="D876" s="83" t="s">
        <v>54</v>
      </c>
      <c r="E876" s="82" t="s">
        <v>877</v>
      </c>
      <c r="F876" s="85" t="s">
        <v>911</v>
      </c>
      <c r="G876" s="86">
        <v>10</v>
      </c>
    </row>
    <row r="877" ht="16.5" spans="1:7">
      <c r="A877" s="81">
        <v>46189</v>
      </c>
      <c r="B877" s="82" t="s">
        <v>35</v>
      </c>
      <c r="C877" s="10" t="s">
        <v>91</v>
      </c>
      <c r="D877" s="83" t="s">
        <v>90</v>
      </c>
      <c r="E877" s="82" t="s">
        <v>877</v>
      </c>
      <c r="F877" s="85" t="s">
        <v>940</v>
      </c>
      <c r="G877" s="86">
        <v>15</v>
      </c>
    </row>
    <row r="878" ht="16.5" spans="1:7">
      <c r="A878" s="81">
        <v>46191</v>
      </c>
      <c r="B878" s="82" t="s">
        <v>35</v>
      </c>
      <c r="C878" s="10" t="s">
        <v>91</v>
      </c>
      <c r="D878" s="83" t="s">
        <v>90</v>
      </c>
      <c r="E878" s="82" t="s">
        <v>877</v>
      </c>
      <c r="F878" s="85" t="s">
        <v>889</v>
      </c>
      <c r="G878" s="86">
        <v>20</v>
      </c>
    </row>
    <row r="879" ht="16.5" spans="1:7">
      <c r="A879" s="81">
        <v>46191</v>
      </c>
      <c r="B879" s="82" t="s">
        <v>35</v>
      </c>
      <c r="C879" s="10" t="s">
        <v>70</v>
      </c>
      <c r="D879" s="83" t="s">
        <v>69</v>
      </c>
      <c r="E879" s="82" t="s">
        <v>877</v>
      </c>
      <c r="F879" s="85" t="s">
        <v>970</v>
      </c>
      <c r="G879" s="86">
        <v>15</v>
      </c>
    </row>
    <row r="880" ht="16.5" spans="1:7">
      <c r="A880" s="81">
        <v>46191</v>
      </c>
      <c r="B880" s="82" t="s">
        <v>35</v>
      </c>
      <c r="C880" s="10" t="s">
        <v>70</v>
      </c>
      <c r="D880" s="83" t="s">
        <v>69</v>
      </c>
      <c r="E880" s="82" t="s">
        <v>877</v>
      </c>
      <c r="F880" s="85" t="s">
        <v>1319</v>
      </c>
      <c r="G880" s="86">
        <v>10</v>
      </c>
    </row>
    <row r="881" ht="16.5" spans="1:7">
      <c r="A881" s="81">
        <v>46190</v>
      </c>
      <c r="B881" s="82" t="s">
        <v>35</v>
      </c>
      <c r="C881" s="10" t="s">
        <v>67</v>
      </c>
      <c r="D881" s="83" t="s">
        <v>66</v>
      </c>
      <c r="E881" s="82" t="s">
        <v>877</v>
      </c>
      <c r="F881" s="85" t="s">
        <v>904</v>
      </c>
      <c r="G881" s="86">
        <v>10</v>
      </c>
    </row>
    <row r="882" ht="16.5" spans="1:7">
      <c r="A882" s="81">
        <v>46191</v>
      </c>
      <c r="B882" s="82" t="s">
        <v>35</v>
      </c>
      <c r="C882" s="10" t="s">
        <v>106</v>
      </c>
      <c r="D882" s="83" t="s">
        <v>105</v>
      </c>
      <c r="E882" s="82" t="s">
        <v>877</v>
      </c>
      <c r="F882" s="85" t="s">
        <v>1320</v>
      </c>
      <c r="G882" s="86">
        <v>20</v>
      </c>
    </row>
    <row r="883" ht="16.5" spans="1:7">
      <c r="A883" s="81">
        <v>46190</v>
      </c>
      <c r="B883" s="82" t="s">
        <v>35</v>
      </c>
      <c r="C883" s="10" t="s">
        <v>82</v>
      </c>
      <c r="D883" s="83" t="s">
        <v>81</v>
      </c>
      <c r="E883" s="82" t="s">
        <v>877</v>
      </c>
      <c r="F883" s="85" t="s">
        <v>1321</v>
      </c>
      <c r="G883" s="86">
        <v>25</v>
      </c>
    </row>
    <row r="884" ht="16.5" spans="1:7">
      <c r="A884" s="81">
        <v>46191</v>
      </c>
      <c r="B884" s="82" t="s">
        <v>35</v>
      </c>
      <c r="C884" s="10" t="s">
        <v>82</v>
      </c>
      <c r="D884" s="83" t="s">
        <v>81</v>
      </c>
      <c r="E884" s="82" t="s">
        <v>877</v>
      </c>
      <c r="F884" s="85" t="s">
        <v>930</v>
      </c>
      <c r="G884" s="86">
        <v>15</v>
      </c>
    </row>
    <row r="885" ht="16.5" spans="1:7">
      <c r="A885" s="81">
        <v>46192</v>
      </c>
      <c r="B885" s="82" t="s">
        <v>35</v>
      </c>
      <c r="C885" s="10" t="s">
        <v>94</v>
      </c>
      <c r="D885" s="83" t="s">
        <v>93</v>
      </c>
      <c r="E885" s="82" t="s">
        <v>877</v>
      </c>
      <c r="F885" s="85" t="s">
        <v>957</v>
      </c>
      <c r="G885" s="86">
        <v>30</v>
      </c>
    </row>
    <row r="886" ht="16.5" spans="1:7">
      <c r="A886" s="81">
        <v>46191</v>
      </c>
      <c r="B886" s="82" t="s">
        <v>35</v>
      </c>
      <c r="C886" s="10" t="s">
        <v>94</v>
      </c>
      <c r="D886" s="83" t="s">
        <v>93</v>
      </c>
      <c r="E886" s="82" t="s">
        <v>877</v>
      </c>
      <c r="F886" s="85" t="s">
        <v>889</v>
      </c>
      <c r="G886" s="86">
        <v>20</v>
      </c>
    </row>
    <row r="887" ht="16.5" spans="1:7">
      <c r="A887" s="81">
        <v>46191</v>
      </c>
      <c r="B887" s="82" t="s">
        <v>35</v>
      </c>
      <c r="C887" s="10" t="s">
        <v>58</v>
      </c>
      <c r="D887" s="83" t="s">
        <v>57</v>
      </c>
      <c r="E887" s="82" t="s">
        <v>877</v>
      </c>
      <c r="F887" s="85" t="s">
        <v>1322</v>
      </c>
      <c r="G887" s="86">
        <v>35</v>
      </c>
    </row>
    <row r="888" ht="16.5" spans="1:7">
      <c r="A888" s="81">
        <v>46192</v>
      </c>
      <c r="B888" s="82" t="s">
        <v>253</v>
      </c>
      <c r="C888" s="10" t="s">
        <v>58</v>
      </c>
      <c r="D888" s="83" t="s">
        <v>57</v>
      </c>
      <c r="E888" s="82" t="s">
        <v>877</v>
      </c>
      <c r="F888" s="85" t="s">
        <v>1323</v>
      </c>
      <c r="G888" s="86">
        <v>40</v>
      </c>
    </row>
    <row r="889" ht="16.5" spans="1:7">
      <c r="A889" s="81">
        <v>46190</v>
      </c>
      <c r="B889" s="82" t="s">
        <v>35</v>
      </c>
      <c r="C889" s="10" t="s">
        <v>58</v>
      </c>
      <c r="D889" s="83" t="s">
        <v>57</v>
      </c>
      <c r="E889" s="82" t="s">
        <v>877</v>
      </c>
      <c r="F889" s="85" t="s">
        <v>1140</v>
      </c>
      <c r="G889" s="86">
        <v>15</v>
      </c>
    </row>
    <row r="890" ht="16.5" spans="1:7">
      <c r="A890" s="81">
        <v>46192</v>
      </c>
      <c r="B890" s="82" t="s">
        <v>35</v>
      </c>
      <c r="C890" s="10" t="s">
        <v>58</v>
      </c>
      <c r="D890" s="83" t="s">
        <v>57</v>
      </c>
      <c r="E890" s="82" t="s">
        <v>877</v>
      </c>
      <c r="F890" s="85" t="s">
        <v>1324</v>
      </c>
      <c r="G890" s="86">
        <v>20</v>
      </c>
    </row>
    <row r="891" ht="16.5" spans="1:7">
      <c r="A891" s="81">
        <v>46192</v>
      </c>
      <c r="B891" s="82" t="s">
        <v>35</v>
      </c>
      <c r="C891" s="10" t="s">
        <v>67</v>
      </c>
      <c r="D891" s="83" t="s">
        <v>66</v>
      </c>
      <c r="E891" s="82" t="s">
        <v>877</v>
      </c>
      <c r="F891" s="85" t="s">
        <v>904</v>
      </c>
      <c r="G891" s="86">
        <v>10</v>
      </c>
    </row>
    <row r="892" ht="16.5" spans="1:7">
      <c r="A892" s="81">
        <v>46192</v>
      </c>
      <c r="B892" s="82" t="s">
        <v>35</v>
      </c>
      <c r="C892" s="10" t="s">
        <v>67</v>
      </c>
      <c r="D892" s="83" t="s">
        <v>66</v>
      </c>
      <c r="E892" s="82" t="s">
        <v>877</v>
      </c>
      <c r="F892" s="85" t="s">
        <v>907</v>
      </c>
      <c r="G892" s="86">
        <v>15</v>
      </c>
    </row>
    <row r="893" ht="16.5" spans="1:7">
      <c r="A893" s="81">
        <v>46191</v>
      </c>
      <c r="B893" s="82" t="s">
        <v>35</v>
      </c>
      <c r="C893" s="10" t="s">
        <v>133</v>
      </c>
      <c r="D893" s="83" t="s">
        <v>132</v>
      </c>
      <c r="E893" s="82" t="s">
        <v>877</v>
      </c>
      <c r="F893" s="85" t="s">
        <v>1191</v>
      </c>
      <c r="G893" s="86">
        <v>35</v>
      </c>
    </row>
    <row r="894" ht="16.5" spans="1:7">
      <c r="A894" s="81">
        <v>46190</v>
      </c>
      <c r="B894" s="82" t="s">
        <v>35</v>
      </c>
      <c r="C894" s="10" t="s">
        <v>133</v>
      </c>
      <c r="D894" s="83" t="s">
        <v>132</v>
      </c>
      <c r="E894" s="82" t="s">
        <v>877</v>
      </c>
      <c r="F894" s="85" t="s">
        <v>1325</v>
      </c>
      <c r="G894" s="86">
        <v>30</v>
      </c>
    </row>
    <row r="895" ht="16.5" spans="1:7">
      <c r="A895" s="87">
        <v>46192</v>
      </c>
      <c r="B895" s="82" t="s">
        <v>35</v>
      </c>
      <c r="C895" s="10" t="s">
        <v>133</v>
      </c>
      <c r="D895" s="83" t="s">
        <v>132</v>
      </c>
      <c r="E895" s="82" t="s">
        <v>877</v>
      </c>
      <c r="F895" s="10" t="s">
        <v>1326</v>
      </c>
      <c r="G895" s="86">
        <v>15</v>
      </c>
    </row>
    <row r="896" ht="16.5" spans="1:7">
      <c r="A896" s="87">
        <v>46191</v>
      </c>
      <c r="B896" s="82" t="s">
        <v>35</v>
      </c>
      <c r="C896" s="10" t="s">
        <v>112</v>
      </c>
      <c r="D896" s="83" t="s">
        <v>111</v>
      </c>
      <c r="E896" s="82" t="s">
        <v>877</v>
      </c>
      <c r="F896" s="10" t="s">
        <v>1327</v>
      </c>
      <c r="G896" s="86">
        <v>35</v>
      </c>
    </row>
    <row r="897" ht="16.5" spans="1:7">
      <c r="A897" s="87">
        <v>46192</v>
      </c>
      <c r="B897" s="82" t="s">
        <v>253</v>
      </c>
      <c r="C897" s="10" t="s">
        <v>112</v>
      </c>
      <c r="D897" s="83" t="s">
        <v>111</v>
      </c>
      <c r="E897" s="82" t="s">
        <v>877</v>
      </c>
      <c r="F897" s="10" t="s">
        <v>1323</v>
      </c>
      <c r="G897" s="86">
        <v>40</v>
      </c>
    </row>
    <row r="898" ht="16.5" spans="1:7">
      <c r="A898" s="87">
        <v>46190</v>
      </c>
      <c r="B898" s="82" t="s">
        <v>35</v>
      </c>
      <c r="C898" s="10" t="s">
        <v>112</v>
      </c>
      <c r="D898" s="83" t="s">
        <v>111</v>
      </c>
      <c r="E898" s="82" t="s">
        <v>877</v>
      </c>
      <c r="F898" s="10" t="s">
        <v>1140</v>
      </c>
      <c r="G898" s="86">
        <v>15</v>
      </c>
    </row>
    <row r="899" ht="16.5" spans="1:7">
      <c r="A899" s="87">
        <v>46192</v>
      </c>
      <c r="B899" s="82" t="s">
        <v>35</v>
      </c>
      <c r="C899" s="10" t="s">
        <v>112</v>
      </c>
      <c r="D899" s="83" t="s">
        <v>111</v>
      </c>
      <c r="E899" s="82" t="s">
        <v>877</v>
      </c>
      <c r="F899" s="105" t="s">
        <v>889</v>
      </c>
      <c r="G899" s="86">
        <v>20</v>
      </c>
    </row>
    <row r="900" ht="16.5" spans="1:7">
      <c r="A900" s="87">
        <v>46191</v>
      </c>
      <c r="B900" s="82" t="s">
        <v>35</v>
      </c>
      <c r="C900" s="10" t="s">
        <v>109</v>
      </c>
      <c r="D900" s="83" t="s">
        <v>108</v>
      </c>
      <c r="E900" s="82" t="s">
        <v>877</v>
      </c>
      <c r="F900" s="105" t="s">
        <v>1328</v>
      </c>
      <c r="G900" s="86">
        <v>15</v>
      </c>
    </row>
    <row r="901" ht="16.5" spans="1:7">
      <c r="A901" s="87">
        <v>46192</v>
      </c>
      <c r="B901" s="82" t="s">
        <v>35</v>
      </c>
      <c r="C901" s="10" t="s">
        <v>109</v>
      </c>
      <c r="D901" s="83" t="s">
        <v>108</v>
      </c>
      <c r="E901" s="82" t="s">
        <v>877</v>
      </c>
      <c r="F901" s="105" t="s">
        <v>1329</v>
      </c>
      <c r="G901" s="86">
        <v>12</v>
      </c>
    </row>
    <row r="902" ht="16.5" spans="1:7">
      <c r="A902" s="87">
        <v>46192</v>
      </c>
      <c r="B902" s="82" t="s">
        <v>35</v>
      </c>
      <c r="C902" s="10" t="s">
        <v>55</v>
      </c>
      <c r="D902" s="83" t="s">
        <v>54</v>
      </c>
      <c r="E902" s="82" t="s">
        <v>877</v>
      </c>
      <c r="F902" s="10" t="s">
        <v>957</v>
      </c>
      <c r="G902" s="86">
        <v>30</v>
      </c>
    </row>
    <row r="903" ht="16.5" spans="1:7">
      <c r="A903" s="87">
        <v>46192</v>
      </c>
      <c r="B903" s="82" t="s">
        <v>35</v>
      </c>
      <c r="C903" s="10" t="s">
        <v>55</v>
      </c>
      <c r="D903" s="83" t="s">
        <v>54</v>
      </c>
      <c r="E903" s="82" t="s">
        <v>877</v>
      </c>
      <c r="F903" s="10" t="s">
        <v>880</v>
      </c>
      <c r="G903" s="86">
        <v>15</v>
      </c>
    </row>
    <row r="904" ht="16.5" spans="1:7">
      <c r="A904" s="87">
        <v>46192</v>
      </c>
      <c r="B904" s="82" t="s">
        <v>35</v>
      </c>
      <c r="C904" s="10" t="s">
        <v>55</v>
      </c>
      <c r="D904" s="83" t="s">
        <v>54</v>
      </c>
      <c r="E904" s="82" t="s">
        <v>877</v>
      </c>
      <c r="F904" s="105" t="s">
        <v>902</v>
      </c>
      <c r="G904" s="86">
        <v>10</v>
      </c>
    </row>
    <row r="905" ht="16.5" spans="1:7">
      <c r="A905" s="81">
        <v>46190</v>
      </c>
      <c r="B905" s="82" t="s">
        <v>35</v>
      </c>
      <c r="C905" s="10" t="s">
        <v>164</v>
      </c>
      <c r="D905" s="83" t="s">
        <v>163</v>
      </c>
      <c r="E905" s="82" t="s">
        <v>877</v>
      </c>
      <c r="F905" s="85" t="s">
        <v>961</v>
      </c>
      <c r="G905" s="86">
        <v>10</v>
      </c>
    </row>
    <row r="906" ht="16.5" spans="1:7">
      <c r="A906" s="81">
        <v>46191</v>
      </c>
      <c r="B906" s="82" t="s">
        <v>35</v>
      </c>
      <c r="C906" s="10" t="s">
        <v>164</v>
      </c>
      <c r="D906" s="83" t="s">
        <v>163</v>
      </c>
      <c r="E906" s="82" t="s">
        <v>877</v>
      </c>
      <c r="F906" s="85" t="s">
        <v>907</v>
      </c>
      <c r="G906" s="86">
        <v>15</v>
      </c>
    </row>
    <row r="907" ht="16.5" spans="1:7">
      <c r="A907" s="81">
        <v>46191</v>
      </c>
      <c r="B907" s="82" t="s">
        <v>35</v>
      </c>
      <c r="C907" s="10" t="s">
        <v>152</v>
      </c>
      <c r="D907" s="83" t="s">
        <v>151</v>
      </c>
      <c r="E907" s="82" t="s">
        <v>877</v>
      </c>
      <c r="F907" s="85" t="s">
        <v>1330</v>
      </c>
      <c r="G907" s="86">
        <v>45</v>
      </c>
    </row>
    <row r="908" ht="16.5" spans="1:7">
      <c r="A908" s="81">
        <v>46190</v>
      </c>
      <c r="B908" s="82" t="s">
        <v>35</v>
      </c>
      <c r="C908" s="10" t="s">
        <v>152</v>
      </c>
      <c r="D908" s="83" t="s">
        <v>151</v>
      </c>
      <c r="E908" s="82" t="s">
        <v>877</v>
      </c>
      <c r="F908" s="85" t="s">
        <v>961</v>
      </c>
      <c r="G908" s="86">
        <v>10</v>
      </c>
    </row>
    <row r="909" ht="16.5" spans="1:7">
      <c r="A909" s="81">
        <v>46191</v>
      </c>
      <c r="B909" s="82" t="s">
        <v>35</v>
      </c>
      <c r="C909" s="10" t="s">
        <v>187</v>
      </c>
      <c r="D909" s="83" t="s">
        <v>186</v>
      </c>
      <c r="E909" s="82" t="s">
        <v>877</v>
      </c>
      <c r="F909" s="4" t="s">
        <v>1331</v>
      </c>
      <c r="G909" s="86">
        <v>5</v>
      </c>
    </row>
    <row r="910" ht="16.5" spans="1:7">
      <c r="A910" s="81">
        <v>46190</v>
      </c>
      <c r="B910" s="82" t="s">
        <v>35</v>
      </c>
      <c r="C910" s="10" t="s">
        <v>187</v>
      </c>
      <c r="D910" s="83" t="s">
        <v>186</v>
      </c>
      <c r="E910" s="82" t="s">
        <v>877</v>
      </c>
      <c r="F910" s="85" t="s">
        <v>961</v>
      </c>
      <c r="G910" s="86">
        <v>10</v>
      </c>
    </row>
    <row r="911" ht="16.5" spans="1:7">
      <c r="A911" s="81">
        <v>46191</v>
      </c>
      <c r="B911" s="82" t="s">
        <v>35</v>
      </c>
      <c r="C911" s="10" t="s">
        <v>187</v>
      </c>
      <c r="D911" s="83" t="s">
        <v>186</v>
      </c>
      <c r="E911" s="82" t="s">
        <v>877</v>
      </c>
      <c r="F911" s="85" t="s">
        <v>1332</v>
      </c>
      <c r="G911" s="86">
        <v>7</v>
      </c>
    </row>
    <row r="912" ht="16.5" spans="1:7">
      <c r="A912" s="81">
        <v>46191</v>
      </c>
      <c r="B912" s="82" t="s">
        <v>35</v>
      </c>
      <c r="C912" s="10" t="s">
        <v>187</v>
      </c>
      <c r="D912" s="83" t="s">
        <v>186</v>
      </c>
      <c r="E912" s="82" t="s">
        <v>877</v>
      </c>
      <c r="F912" s="85" t="s">
        <v>1333</v>
      </c>
      <c r="G912" s="86">
        <v>10</v>
      </c>
    </row>
    <row r="913" ht="16.5" spans="1:7">
      <c r="A913" s="81">
        <v>46190</v>
      </c>
      <c r="B913" s="82" t="s">
        <v>35</v>
      </c>
      <c r="C913" s="10" t="s">
        <v>158</v>
      </c>
      <c r="D913" s="83" t="s">
        <v>338</v>
      </c>
      <c r="E913" s="82" t="s">
        <v>877</v>
      </c>
      <c r="F913" s="105" t="s">
        <v>1334</v>
      </c>
      <c r="G913" s="86">
        <v>15</v>
      </c>
    </row>
    <row r="914" ht="16.5" spans="1:7">
      <c r="A914" s="81">
        <v>46191</v>
      </c>
      <c r="B914" s="82" t="s">
        <v>35</v>
      </c>
      <c r="C914" s="10" t="s">
        <v>158</v>
      </c>
      <c r="D914" s="83" t="s">
        <v>338</v>
      </c>
      <c r="E914" s="82" t="s">
        <v>877</v>
      </c>
      <c r="F914" s="105" t="s">
        <v>1335</v>
      </c>
      <c r="G914" s="86">
        <v>30</v>
      </c>
    </row>
    <row r="915" ht="16.5" spans="1:7">
      <c r="A915" s="113">
        <v>46185</v>
      </c>
      <c r="B915" s="82" t="s">
        <v>35</v>
      </c>
      <c r="C915" s="10" t="s">
        <v>158</v>
      </c>
      <c r="D915" s="83" t="s">
        <v>338</v>
      </c>
      <c r="E915" s="82" t="s">
        <v>877</v>
      </c>
      <c r="F915" s="105" t="s">
        <v>1336</v>
      </c>
      <c r="G915" s="114">
        <v>20</v>
      </c>
    </row>
    <row r="916" ht="16.5" spans="1:7">
      <c r="A916" s="81">
        <v>46191</v>
      </c>
      <c r="B916" s="82" t="s">
        <v>35</v>
      </c>
      <c r="C916" s="10" t="s">
        <v>158</v>
      </c>
      <c r="D916" s="83" t="s">
        <v>338</v>
      </c>
      <c r="E916" s="82" t="s">
        <v>877</v>
      </c>
      <c r="F916" s="399" t="s">
        <v>1337</v>
      </c>
      <c r="G916" s="86">
        <v>10</v>
      </c>
    </row>
    <row r="917" ht="16.5" spans="1:7">
      <c r="A917" s="81">
        <v>46190</v>
      </c>
      <c r="B917" s="401" t="s">
        <v>35</v>
      </c>
      <c r="C917" s="10" t="s">
        <v>170</v>
      </c>
      <c r="D917" s="83" t="s">
        <v>339</v>
      </c>
      <c r="E917" s="82" t="s">
        <v>877</v>
      </c>
      <c r="F917" s="105" t="s">
        <v>949</v>
      </c>
      <c r="G917" s="86">
        <v>15</v>
      </c>
    </row>
    <row r="918" ht="16.5" spans="1:7">
      <c r="A918" s="81">
        <v>46192</v>
      </c>
      <c r="B918" s="401" t="s">
        <v>35</v>
      </c>
      <c r="C918" s="10" t="s">
        <v>170</v>
      </c>
      <c r="D918" s="83" t="s">
        <v>339</v>
      </c>
      <c r="E918" s="82" t="s">
        <v>877</v>
      </c>
      <c r="F918" s="105" t="s">
        <v>1338</v>
      </c>
      <c r="G918" s="86">
        <v>40</v>
      </c>
    </row>
    <row r="919" ht="16.5" spans="1:7">
      <c r="A919" s="81">
        <v>46186</v>
      </c>
      <c r="B919" s="401" t="s">
        <v>35</v>
      </c>
      <c r="C919" s="10" t="s">
        <v>170</v>
      </c>
      <c r="D919" s="83" t="s">
        <v>339</v>
      </c>
      <c r="E919" s="82" t="s">
        <v>877</v>
      </c>
      <c r="F919" s="105" t="s">
        <v>1339</v>
      </c>
      <c r="G919" s="86">
        <v>15</v>
      </c>
    </row>
    <row r="920" ht="16.5" spans="1:7">
      <c r="A920" s="81">
        <v>46191</v>
      </c>
      <c r="B920" s="82" t="s">
        <v>35</v>
      </c>
      <c r="C920" s="10" t="s">
        <v>708</v>
      </c>
      <c r="D920" s="83" t="s">
        <v>223</v>
      </c>
      <c r="E920" s="82" t="s">
        <v>877</v>
      </c>
      <c r="F920" s="85" t="s">
        <v>1340</v>
      </c>
      <c r="G920" s="86">
        <v>17.5</v>
      </c>
    </row>
    <row r="921" ht="16.5" spans="1:7">
      <c r="A921" s="81">
        <v>46191</v>
      </c>
      <c r="B921" s="82" t="s">
        <v>35</v>
      </c>
      <c r="C921" s="10" t="s">
        <v>211</v>
      </c>
      <c r="D921" s="83" t="s">
        <v>210</v>
      </c>
      <c r="E921" s="82" t="s">
        <v>877</v>
      </c>
      <c r="F921" s="85" t="s">
        <v>1341</v>
      </c>
      <c r="G921" s="86">
        <v>10</v>
      </c>
    </row>
    <row r="922" ht="16.5" spans="1:7">
      <c r="A922" s="81">
        <v>46191</v>
      </c>
      <c r="B922" s="82" t="s">
        <v>35</v>
      </c>
      <c r="C922" s="10" t="s">
        <v>211</v>
      </c>
      <c r="D922" s="83" t="s">
        <v>210</v>
      </c>
      <c r="E922" s="82" t="s">
        <v>877</v>
      </c>
      <c r="F922" s="85" t="s">
        <v>1342</v>
      </c>
      <c r="G922" s="86">
        <v>10</v>
      </c>
    </row>
    <row r="923" ht="16.5" spans="1:7">
      <c r="A923" s="81">
        <v>46192</v>
      </c>
      <c r="B923" s="82" t="s">
        <v>35</v>
      </c>
      <c r="C923" s="10" t="s">
        <v>175</v>
      </c>
      <c r="D923" s="83" t="s">
        <v>174</v>
      </c>
      <c r="E923" s="82" t="s">
        <v>877</v>
      </c>
      <c r="F923" s="85" t="s">
        <v>1306</v>
      </c>
      <c r="G923" s="86">
        <v>30</v>
      </c>
    </row>
    <row r="924" ht="16.5" spans="1:7">
      <c r="A924" s="81">
        <v>46191</v>
      </c>
      <c r="B924" s="82" t="s">
        <v>35</v>
      </c>
      <c r="C924" s="10" t="s">
        <v>187</v>
      </c>
      <c r="D924" s="83" t="s">
        <v>186</v>
      </c>
      <c r="E924" s="82" t="s">
        <v>877</v>
      </c>
      <c r="F924" s="106" t="s">
        <v>907</v>
      </c>
      <c r="G924" s="86">
        <v>15</v>
      </c>
    </row>
    <row r="925" ht="16.5" spans="1:7">
      <c r="A925" s="81">
        <v>46192</v>
      </c>
      <c r="B925" s="82" t="s">
        <v>35</v>
      </c>
      <c r="C925" s="10" t="s">
        <v>187</v>
      </c>
      <c r="D925" s="83" t="s">
        <v>186</v>
      </c>
      <c r="E925" s="82" t="s">
        <v>877</v>
      </c>
      <c r="F925" s="85" t="s">
        <v>1095</v>
      </c>
      <c r="G925" s="86">
        <v>15</v>
      </c>
    </row>
    <row r="926" ht="16.5" spans="1:7">
      <c r="A926" s="81">
        <v>46190</v>
      </c>
      <c r="B926" s="82" t="s">
        <v>35</v>
      </c>
      <c r="C926" s="10" t="s">
        <v>199</v>
      </c>
      <c r="D926" s="83" t="s">
        <v>198</v>
      </c>
      <c r="E926" s="82" t="s">
        <v>877</v>
      </c>
      <c r="F926" s="85" t="s">
        <v>882</v>
      </c>
      <c r="G926" s="86">
        <v>5</v>
      </c>
    </row>
    <row r="927" ht="16.5" spans="1:7">
      <c r="A927" s="81">
        <v>46190</v>
      </c>
      <c r="B927" s="82" t="s">
        <v>35</v>
      </c>
      <c r="C927" s="10" t="s">
        <v>184</v>
      </c>
      <c r="D927" s="83" t="s">
        <v>183</v>
      </c>
      <c r="E927" s="82" t="s">
        <v>877</v>
      </c>
      <c r="F927" s="85" t="s">
        <v>1343</v>
      </c>
      <c r="G927" s="86">
        <v>15</v>
      </c>
    </row>
    <row r="928" ht="16.5" spans="1:7">
      <c r="A928" s="81">
        <v>46191</v>
      </c>
      <c r="B928" s="82" t="s">
        <v>35</v>
      </c>
      <c r="C928" s="10" t="s">
        <v>184</v>
      </c>
      <c r="D928" s="83" t="s">
        <v>183</v>
      </c>
      <c r="E928" s="82" t="s">
        <v>877</v>
      </c>
      <c r="F928" s="85" t="s">
        <v>915</v>
      </c>
      <c r="G928" s="86">
        <v>10</v>
      </c>
    </row>
    <row r="929" ht="16.5" spans="1:7">
      <c r="A929" s="81">
        <v>46189</v>
      </c>
      <c r="B929" s="82" t="s">
        <v>35</v>
      </c>
      <c r="C929" s="10" t="s">
        <v>149</v>
      </c>
      <c r="D929" s="83" t="s">
        <v>148</v>
      </c>
      <c r="E929" s="82" t="s">
        <v>877</v>
      </c>
      <c r="F929" s="85" t="s">
        <v>1344</v>
      </c>
      <c r="G929" s="86">
        <v>60</v>
      </c>
    </row>
    <row r="930" ht="16.5" spans="1:7">
      <c r="A930" s="81">
        <v>46189</v>
      </c>
      <c r="B930" s="82" t="s">
        <v>35</v>
      </c>
      <c r="C930" s="10" t="s">
        <v>149</v>
      </c>
      <c r="D930" s="83" t="s">
        <v>148</v>
      </c>
      <c r="E930" s="82" t="s">
        <v>877</v>
      </c>
      <c r="F930" s="85" t="s">
        <v>1345</v>
      </c>
      <c r="G930" s="86">
        <v>12</v>
      </c>
    </row>
    <row r="931" ht="16.5" spans="1:7">
      <c r="A931" s="81">
        <v>46190</v>
      </c>
      <c r="B931" s="82" t="s">
        <v>35</v>
      </c>
      <c r="C931" s="10" t="s">
        <v>149</v>
      </c>
      <c r="D931" s="83" t="s">
        <v>148</v>
      </c>
      <c r="E931" s="82" t="s">
        <v>877</v>
      </c>
      <c r="F931" s="85" t="s">
        <v>915</v>
      </c>
      <c r="G931" s="86">
        <v>10</v>
      </c>
    </row>
    <row r="932" ht="16.5" spans="1:7">
      <c r="A932" s="81">
        <v>46191</v>
      </c>
      <c r="B932" s="82" t="s">
        <v>35</v>
      </c>
      <c r="C932" s="10" t="s">
        <v>149</v>
      </c>
      <c r="D932" s="83" t="s">
        <v>148</v>
      </c>
      <c r="E932" s="82" t="s">
        <v>877</v>
      </c>
      <c r="F932" s="85" t="s">
        <v>893</v>
      </c>
      <c r="G932" s="86">
        <v>15</v>
      </c>
    </row>
    <row r="933" ht="16.5" spans="1:7">
      <c r="A933" s="87">
        <v>46191</v>
      </c>
      <c r="B933" s="82" t="s">
        <v>35</v>
      </c>
      <c r="C933" s="10" t="s">
        <v>190</v>
      </c>
      <c r="D933" s="83" t="s">
        <v>189</v>
      </c>
      <c r="E933" s="82" t="s">
        <v>877</v>
      </c>
      <c r="F933" s="85" t="s">
        <v>1346</v>
      </c>
      <c r="G933" s="86">
        <v>18</v>
      </c>
    </row>
    <row r="934" ht="16.5" spans="1:7">
      <c r="A934" s="81">
        <v>46190</v>
      </c>
      <c r="B934" s="82" t="s">
        <v>35</v>
      </c>
      <c r="C934" s="10" t="s">
        <v>190</v>
      </c>
      <c r="D934" s="83" t="s">
        <v>189</v>
      </c>
      <c r="E934" s="82" t="s">
        <v>877</v>
      </c>
      <c r="F934" s="85" t="s">
        <v>1347</v>
      </c>
      <c r="G934" s="86">
        <v>15</v>
      </c>
    </row>
    <row r="935" ht="16.5" spans="1:7">
      <c r="A935" s="81">
        <v>46191</v>
      </c>
      <c r="B935" s="82" t="s">
        <v>35</v>
      </c>
      <c r="C935" s="10" t="s">
        <v>199</v>
      </c>
      <c r="D935" s="83" t="s">
        <v>198</v>
      </c>
      <c r="E935" s="82" t="s">
        <v>877</v>
      </c>
      <c r="F935" s="85" t="s">
        <v>902</v>
      </c>
      <c r="G935" s="86">
        <v>10</v>
      </c>
    </row>
    <row r="936" ht="16.5" spans="1:7">
      <c r="A936" s="81">
        <v>46191</v>
      </c>
      <c r="B936" s="82" t="s">
        <v>35</v>
      </c>
      <c r="C936" s="10" t="s">
        <v>199</v>
      </c>
      <c r="D936" s="83" t="s">
        <v>198</v>
      </c>
      <c r="E936" s="82" t="s">
        <v>877</v>
      </c>
      <c r="F936" s="85" t="s">
        <v>908</v>
      </c>
      <c r="G936" s="86">
        <v>15</v>
      </c>
    </row>
    <row r="937" ht="16.5" spans="1:7">
      <c r="A937" s="81">
        <v>46190</v>
      </c>
      <c r="B937" s="82" t="s">
        <v>35</v>
      </c>
      <c r="C937" s="10" t="s">
        <v>199</v>
      </c>
      <c r="D937" s="83" t="s">
        <v>198</v>
      </c>
      <c r="E937" s="82" t="s">
        <v>877</v>
      </c>
      <c r="F937" s="85" t="s">
        <v>1348</v>
      </c>
      <c r="G937" s="86">
        <v>10</v>
      </c>
    </row>
    <row r="938" ht="16.5" spans="1:7">
      <c r="A938" s="81">
        <v>46193</v>
      </c>
      <c r="B938" s="82" t="s">
        <v>35</v>
      </c>
      <c r="C938" s="10" t="s">
        <v>97</v>
      </c>
      <c r="D938" s="83" t="s">
        <v>96</v>
      </c>
      <c r="E938" s="82" t="s">
        <v>877</v>
      </c>
      <c r="F938" s="85" t="s">
        <v>933</v>
      </c>
      <c r="G938" s="86">
        <v>30</v>
      </c>
    </row>
    <row r="939" ht="16.5" spans="1:7">
      <c r="A939" s="81">
        <v>46192</v>
      </c>
      <c r="B939" s="82" t="s">
        <v>35</v>
      </c>
      <c r="C939" s="10" t="s">
        <v>97</v>
      </c>
      <c r="D939" s="83" t="s">
        <v>96</v>
      </c>
      <c r="E939" s="82" t="s">
        <v>877</v>
      </c>
      <c r="F939" s="85" t="s">
        <v>1349</v>
      </c>
      <c r="G939" s="86">
        <v>11</v>
      </c>
    </row>
    <row r="940" ht="16.5" spans="1:7">
      <c r="A940" s="81">
        <v>46191</v>
      </c>
      <c r="B940" s="82" t="s">
        <v>35</v>
      </c>
      <c r="C940" s="10" t="s">
        <v>61</v>
      </c>
      <c r="D940" s="83" t="s">
        <v>60</v>
      </c>
      <c r="E940" s="82" t="s">
        <v>877</v>
      </c>
      <c r="F940" s="85" t="s">
        <v>955</v>
      </c>
      <c r="G940" s="86">
        <v>30</v>
      </c>
    </row>
    <row r="941" ht="16.5" spans="1:7">
      <c r="A941" s="81">
        <v>46193</v>
      </c>
      <c r="B941" s="82" t="s">
        <v>35</v>
      </c>
      <c r="C941" s="10" t="s">
        <v>61</v>
      </c>
      <c r="D941" s="83" t="s">
        <v>60</v>
      </c>
      <c r="E941" s="82" t="s">
        <v>877</v>
      </c>
      <c r="F941" s="85" t="s">
        <v>1350</v>
      </c>
      <c r="G941" s="86">
        <v>30</v>
      </c>
    </row>
    <row r="942" ht="16.5" spans="1:7">
      <c r="A942" s="81">
        <v>46192</v>
      </c>
      <c r="B942" s="82" t="s">
        <v>35</v>
      </c>
      <c r="C942" s="10" t="s">
        <v>61</v>
      </c>
      <c r="D942" s="83" t="s">
        <v>60</v>
      </c>
      <c r="E942" s="82" t="s">
        <v>877</v>
      </c>
      <c r="F942" s="85" t="s">
        <v>1317</v>
      </c>
      <c r="G942" s="86">
        <v>12</v>
      </c>
    </row>
    <row r="943" ht="16.5" spans="1:7">
      <c r="A943" s="81">
        <v>46191</v>
      </c>
      <c r="B943" s="82" t="s">
        <v>253</v>
      </c>
      <c r="C943" s="10" t="s">
        <v>125</v>
      </c>
      <c r="D943" s="83" t="s">
        <v>124</v>
      </c>
      <c r="E943" s="82" t="s">
        <v>877</v>
      </c>
      <c r="F943" s="85" t="s">
        <v>1351</v>
      </c>
      <c r="G943" s="86">
        <v>200</v>
      </c>
    </row>
    <row r="944" ht="16.5" spans="1:7">
      <c r="A944" s="81">
        <v>46191</v>
      </c>
      <c r="B944" s="82" t="s">
        <v>249</v>
      </c>
      <c r="C944" s="10" t="s">
        <v>125</v>
      </c>
      <c r="D944" s="83" t="s">
        <v>124</v>
      </c>
      <c r="E944" s="82" t="s">
        <v>877</v>
      </c>
      <c r="F944" s="4" t="s">
        <v>1352</v>
      </c>
      <c r="G944" s="86">
        <v>200</v>
      </c>
    </row>
    <row r="945" ht="16.5" spans="1:7">
      <c r="A945" s="81">
        <v>46193</v>
      </c>
      <c r="B945" s="82" t="s">
        <v>35</v>
      </c>
      <c r="C945" s="10" t="s">
        <v>125</v>
      </c>
      <c r="D945" s="83" t="s">
        <v>124</v>
      </c>
      <c r="E945" s="82" t="s">
        <v>877</v>
      </c>
      <c r="F945" s="85" t="s">
        <v>1353</v>
      </c>
      <c r="G945" s="86">
        <v>60</v>
      </c>
    </row>
    <row r="946" ht="16.5" spans="1:7">
      <c r="A946" s="81">
        <v>46193</v>
      </c>
      <c r="B946" s="82" t="s">
        <v>35</v>
      </c>
      <c r="C946" s="10" t="s">
        <v>125</v>
      </c>
      <c r="D946" s="83" t="s">
        <v>124</v>
      </c>
      <c r="E946" s="82" t="s">
        <v>877</v>
      </c>
      <c r="F946" s="85" t="s">
        <v>1354</v>
      </c>
      <c r="G946" s="86">
        <v>32</v>
      </c>
    </row>
    <row r="947" ht="16.5" spans="1:7">
      <c r="A947" s="81">
        <v>46192</v>
      </c>
      <c r="B947" s="82" t="s">
        <v>35</v>
      </c>
      <c r="C947" s="10" t="s">
        <v>327</v>
      </c>
      <c r="D947" s="83" t="s">
        <v>63</v>
      </c>
      <c r="E947" s="82" t="s">
        <v>877</v>
      </c>
      <c r="F947" s="85" t="s">
        <v>933</v>
      </c>
      <c r="G947" s="86">
        <v>30</v>
      </c>
    </row>
    <row r="948" ht="16.5" spans="1:7">
      <c r="A948" s="81">
        <v>46193</v>
      </c>
      <c r="B948" s="82" t="s">
        <v>35</v>
      </c>
      <c r="C948" s="10" t="s">
        <v>327</v>
      </c>
      <c r="D948" s="83" t="s">
        <v>63</v>
      </c>
      <c r="E948" s="82" t="s">
        <v>877</v>
      </c>
      <c r="F948" s="105" t="s">
        <v>1355</v>
      </c>
      <c r="G948" s="86">
        <v>22</v>
      </c>
    </row>
    <row r="949" ht="16.5" spans="1:7">
      <c r="A949" s="113">
        <v>46191</v>
      </c>
      <c r="B949" s="82" t="s">
        <v>35</v>
      </c>
      <c r="C949" s="10" t="s">
        <v>128</v>
      </c>
      <c r="D949" s="83" t="s">
        <v>127</v>
      </c>
      <c r="E949" s="82" t="s">
        <v>877</v>
      </c>
      <c r="F949" s="105" t="s">
        <v>1356</v>
      </c>
      <c r="G949" s="114">
        <v>20</v>
      </c>
    </row>
    <row r="950" ht="16.5" spans="1:7">
      <c r="A950" s="81">
        <v>46191</v>
      </c>
      <c r="B950" s="82" t="s">
        <v>35</v>
      </c>
      <c r="C950" s="10" t="s">
        <v>128</v>
      </c>
      <c r="D950" s="83" t="s">
        <v>127</v>
      </c>
      <c r="E950" s="82" t="s">
        <v>877</v>
      </c>
      <c r="F950" s="399" t="s">
        <v>1030</v>
      </c>
      <c r="G950" s="86">
        <v>15</v>
      </c>
    </row>
    <row r="951" ht="16.5" spans="1:7">
      <c r="A951" s="81">
        <v>46192</v>
      </c>
      <c r="B951" s="82" t="s">
        <v>35</v>
      </c>
      <c r="C951" s="10" t="s">
        <v>115</v>
      </c>
      <c r="D951" s="83" t="s">
        <v>114</v>
      </c>
      <c r="E951" s="82" t="s">
        <v>877</v>
      </c>
      <c r="F951" s="104" t="s">
        <v>902</v>
      </c>
      <c r="G951" s="86">
        <v>10</v>
      </c>
    </row>
    <row r="952" ht="16.5" spans="1:7">
      <c r="A952" s="81">
        <v>46193</v>
      </c>
      <c r="B952" s="401" t="s">
        <v>35</v>
      </c>
      <c r="C952" s="10" t="s">
        <v>115</v>
      </c>
      <c r="D952" s="83" t="s">
        <v>114</v>
      </c>
      <c r="E952" s="82" t="s">
        <v>877</v>
      </c>
      <c r="F952" s="105" t="s">
        <v>908</v>
      </c>
      <c r="G952" s="86">
        <v>15</v>
      </c>
    </row>
    <row r="953" ht="16.5" spans="1:7">
      <c r="A953" s="81">
        <v>46193</v>
      </c>
      <c r="B953" s="401" t="s">
        <v>35</v>
      </c>
      <c r="C953" s="10" t="s">
        <v>142</v>
      </c>
      <c r="D953" s="83" t="s">
        <v>141</v>
      </c>
      <c r="E953" s="82" t="s">
        <v>877</v>
      </c>
      <c r="F953" s="105" t="s">
        <v>1357</v>
      </c>
      <c r="G953" s="86">
        <v>30</v>
      </c>
    </row>
    <row r="954" ht="16.5" spans="1:7">
      <c r="A954" s="81">
        <v>46193</v>
      </c>
      <c r="B954" s="82" t="s">
        <v>35</v>
      </c>
      <c r="C954" s="10" t="s">
        <v>142</v>
      </c>
      <c r="D954" s="83" t="s">
        <v>141</v>
      </c>
      <c r="E954" s="82" t="s">
        <v>877</v>
      </c>
      <c r="F954" s="105" t="s">
        <v>1358</v>
      </c>
      <c r="G954" s="86">
        <v>27</v>
      </c>
    </row>
    <row r="955" ht="16.5" spans="1:7">
      <c r="A955" s="81">
        <v>46193</v>
      </c>
      <c r="B955" s="82" t="s">
        <v>35</v>
      </c>
      <c r="C955" s="10" t="s">
        <v>70</v>
      </c>
      <c r="D955" s="83" t="s">
        <v>69</v>
      </c>
      <c r="E955" s="82" t="s">
        <v>877</v>
      </c>
      <c r="F955" s="10" t="s">
        <v>1359</v>
      </c>
      <c r="G955" s="86">
        <v>20</v>
      </c>
    </row>
    <row r="956" ht="16.5" spans="1:7">
      <c r="A956" s="81">
        <v>46193</v>
      </c>
      <c r="B956" s="82" t="s">
        <v>35</v>
      </c>
      <c r="C956" s="10" t="s">
        <v>70</v>
      </c>
      <c r="D956" s="83" t="s">
        <v>69</v>
      </c>
      <c r="E956" s="82" t="s">
        <v>877</v>
      </c>
      <c r="F956" s="85" t="s">
        <v>1360</v>
      </c>
      <c r="G956" s="86">
        <v>17</v>
      </c>
    </row>
    <row r="957" ht="16.5" spans="1:7">
      <c r="A957" s="81">
        <v>46193</v>
      </c>
      <c r="B957" s="82" t="s">
        <v>35</v>
      </c>
      <c r="C957" s="10" t="s">
        <v>100</v>
      </c>
      <c r="D957" s="83" t="s">
        <v>99</v>
      </c>
      <c r="E957" s="82" t="s">
        <v>877</v>
      </c>
      <c r="F957" s="85" t="s">
        <v>1361</v>
      </c>
      <c r="G957" s="86">
        <v>20</v>
      </c>
    </row>
    <row r="958" ht="16.5" spans="1:7">
      <c r="A958" s="81">
        <v>46193</v>
      </c>
      <c r="B958" s="82" t="s">
        <v>35</v>
      </c>
      <c r="C958" s="10" t="s">
        <v>100</v>
      </c>
      <c r="D958" s="83" t="s">
        <v>99</v>
      </c>
      <c r="E958" s="82" t="s">
        <v>877</v>
      </c>
      <c r="F958" s="85" t="s">
        <v>940</v>
      </c>
      <c r="G958" s="86">
        <v>15</v>
      </c>
    </row>
    <row r="959" ht="16.5" spans="1:7">
      <c r="A959" s="81">
        <v>46193</v>
      </c>
      <c r="B959" s="82" t="s">
        <v>35</v>
      </c>
      <c r="C959" s="10" t="s">
        <v>122</v>
      </c>
      <c r="D959" s="83" t="s">
        <v>130</v>
      </c>
      <c r="E959" s="82" t="s">
        <v>877</v>
      </c>
      <c r="F959" s="106" t="s">
        <v>907</v>
      </c>
      <c r="G959" s="86">
        <v>15</v>
      </c>
    </row>
    <row r="960" ht="16.5" spans="1:7">
      <c r="A960" s="81">
        <v>46193</v>
      </c>
      <c r="B960" s="82" t="s">
        <v>35</v>
      </c>
      <c r="C960" s="10" t="s">
        <v>122</v>
      </c>
      <c r="D960" s="83" t="s">
        <v>130</v>
      </c>
      <c r="E960" s="82" t="s">
        <v>877</v>
      </c>
      <c r="F960" s="85" t="s">
        <v>1296</v>
      </c>
      <c r="G960" s="86">
        <v>15</v>
      </c>
    </row>
    <row r="961" ht="16.5" spans="1:7">
      <c r="A961" s="81">
        <v>46193</v>
      </c>
      <c r="B961" s="82" t="s">
        <v>35</v>
      </c>
      <c r="C961" s="10" t="s">
        <v>88</v>
      </c>
      <c r="D961" s="83" t="s">
        <v>87</v>
      </c>
      <c r="E961" s="82" t="s">
        <v>877</v>
      </c>
      <c r="F961" s="85" t="s">
        <v>1362</v>
      </c>
      <c r="G961" s="86">
        <v>15</v>
      </c>
    </row>
    <row r="962" ht="16.5" spans="1:7">
      <c r="A962" s="81">
        <v>46193</v>
      </c>
      <c r="B962" s="82" t="s">
        <v>35</v>
      </c>
      <c r="C962" s="10" t="s">
        <v>88</v>
      </c>
      <c r="D962" s="83" t="s">
        <v>87</v>
      </c>
      <c r="E962" s="82" t="s">
        <v>877</v>
      </c>
      <c r="F962" s="85" t="s">
        <v>1305</v>
      </c>
      <c r="G962" s="86">
        <v>15</v>
      </c>
    </row>
    <row r="963" ht="16.5" spans="1:7">
      <c r="A963" s="81">
        <v>46193</v>
      </c>
      <c r="B963" s="82" t="s">
        <v>35</v>
      </c>
      <c r="C963" s="10" t="s">
        <v>115</v>
      </c>
      <c r="D963" s="83" t="s">
        <v>114</v>
      </c>
      <c r="E963" s="82" t="s">
        <v>877</v>
      </c>
      <c r="F963" s="85" t="s">
        <v>908</v>
      </c>
      <c r="G963" s="86">
        <v>15</v>
      </c>
    </row>
    <row r="964" ht="16.5" spans="1:7">
      <c r="A964" s="81">
        <v>46193</v>
      </c>
      <c r="B964" s="82" t="s">
        <v>35</v>
      </c>
      <c r="C964" s="10" t="s">
        <v>115</v>
      </c>
      <c r="D964" s="83" t="s">
        <v>114</v>
      </c>
      <c r="E964" s="82" t="s">
        <v>877</v>
      </c>
      <c r="F964" s="85" t="s">
        <v>902</v>
      </c>
      <c r="G964" s="86">
        <v>10</v>
      </c>
    </row>
    <row r="965" ht="16.5" spans="1:7">
      <c r="A965" s="81">
        <v>46193</v>
      </c>
      <c r="B965" s="82" t="s">
        <v>35</v>
      </c>
      <c r="C965" s="10" t="s">
        <v>115</v>
      </c>
      <c r="D965" s="83" t="s">
        <v>114</v>
      </c>
      <c r="E965" s="82" t="s">
        <v>877</v>
      </c>
      <c r="F965" s="85" t="s">
        <v>1339</v>
      </c>
      <c r="G965" s="86">
        <v>15</v>
      </c>
    </row>
    <row r="966" ht="16.5" spans="1:7">
      <c r="A966" s="81">
        <v>46193</v>
      </c>
      <c r="B966" s="82" t="s">
        <v>35</v>
      </c>
      <c r="C966" s="10" t="s">
        <v>82</v>
      </c>
      <c r="D966" s="83" t="s">
        <v>81</v>
      </c>
      <c r="E966" s="82" t="s">
        <v>877</v>
      </c>
      <c r="F966" s="85" t="s">
        <v>957</v>
      </c>
      <c r="G966" s="86">
        <v>30</v>
      </c>
    </row>
    <row r="967" ht="16.5" spans="1:7">
      <c r="A967" s="81">
        <v>46192</v>
      </c>
      <c r="B967" s="82" t="s">
        <v>35</v>
      </c>
      <c r="C967" s="10" t="s">
        <v>82</v>
      </c>
      <c r="D967" s="83" t="s">
        <v>81</v>
      </c>
      <c r="E967" s="82" t="s">
        <v>877</v>
      </c>
      <c r="F967" s="85" t="s">
        <v>1363</v>
      </c>
      <c r="G967" s="86">
        <v>15</v>
      </c>
    </row>
    <row r="968" ht="16.5" spans="1:7">
      <c r="A968" s="81">
        <v>46193</v>
      </c>
      <c r="B968" s="82" t="s">
        <v>35</v>
      </c>
      <c r="C968" s="10" t="s">
        <v>82</v>
      </c>
      <c r="D968" s="83" t="s">
        <v>81</v>
      </c>
      <c r="E968" s="82" t="s">
        <v>877</v>
      </c>
      <c r="F968" s="85" t="s">
        <v>930</v>
      </c>
      <c r="G968" s="86">
        <v>15</v>
      </c>
    </row>
    <row r="969" ht="16.5" spans="1:7">
      <c r="A969" s="81">
        <v>46193</v>
      </c>
      <c r="B969" s="82" t="s">
        <v>35</v>
      </c>
      <c r="C969" s="10" t="s">
        <v>52</v>
      </c>
      <c r="D969" s="83" t="s">
        <v>51</v>
      </c>
      <c r="E969" s="82" t="s">
        <v>877</v>
      </c>
      <c r="F969" s="85" t="s">
        <v>880</v>
      </c>
      <c r="G969" s="86">
        <v>15</v>
      </c>
    </row>
    <row r="970" ht="16.5" spans="1:7">
      <c r="A970" s="87">
        <v>46193</v>
      </c>
      <c r="B970" s="82" t="s">
        <v>35</v>
      </c>
      <c r="C970" s="10" t="s">
        <v>52</v>
      </c>
      <c r="D970" s="83" t="s">
        <v>51</v>
      </c>
      <c r="E970" s="82" t="s">
        <v>877</v>
      </c>
      <c r="F970" s="85" t="s">
        <v>1042</v>
      </c>
      <c r="G970" s="86">
        <v>30</v>
      </c>
    </row>
    <row r="971" ht="16.5" spans="1:7">
      <c r="A971" s="81">
        <v>46193</v>
      </c>
      <c r="B971" s="82" t="s">
        <v>35</v>
      </c>
      <c r="C971" s="10" t="s">
        <v>52</v>
      </c>
      <c r="D971" s="83" t="s">
        <v>51</v>
      </c>
      <c r="E971" s="82" t="s">
        <v>877</v>
      </c>
      <c r="F971" s="85" t="s">
        <v>1364</v>
      </c>
      <c r="G971" s="86">
        <v>15</v>
      </c>
    </row>
    <row r="972" ht="16.5" spans="1:7">
      <c r="A972" s="81">
        <v>46191</v>
      </c>
      <c r="B972" s="82" t="s">
        <v>35</v>
      </c>
      <c r="C972" s="10" t="s">
        <v>73</v>
      </c>
      <c r="D972" s="83" t="s">
        <v>72</v>
      </c>
      <c r="E972" s="82" t="s">
        <v>877</v>
      </c>
      <c r="F972" s="85" t="s">
        <v>933</v>
      </c>
      <c r="G972" s="86">
        <v>30</v>
      </c>
    </row>
    <row r="973" ht="16.5" spans="1:7">
      <c r="A973" s="81">
        <v>46193</v>
      </c>
      <c r="B973" s="82" t="s">
        <v>35</v>
      </c>
      <c r="C973" s="10" t="s">
        <v>73</v>
      </c>
      <c r="D973" s="83" t="s">
        <v>72</v>
      </c>
      <c r="E973" s="82" t="s">
        <v>877</v>
      </c>
      <c r="F973" s="85" t="s">
        <v>1365</v>
      </c>
      <c r="G973" s="86">
        <v>23</v>
      </c>
    </row>
    <row r="974" ht="16.5" spans="1:7">
      <c r="A974" s="81">
        <v>46193</v>
      </c>
      <c r="B974" s="82" t="s">
        <v>35</v>
      </c>
      <c r="C974" s="10" t="s">
        <v>91</v>
      </c>
      <c r="D974" s="83" t="s">
        <v>90</v>
      </c>
      <c r="E974" s="82" t="s">
        <v>877</v>
      </c>
      <c r="F974" s="85" t="s">
        <v>1366</v>
      </c>
      <c r="G974" s="86">
        <v>17</v>
      </c>
    </row>
    <row r="975" ht="16.5" spans="1:7">
      <c r="A975" s="81">
        <v>46193</v>
      </c>
      <c r="B975" s="82" t="s">
        <v>35</v>
      </c>
      <c r="C975" s="10" t="s">
        <v>91</v>
      </c>
      <c r="D975" s="83" t="s">
        <v>90</v>
      </c>
      <c r="E975" s="82" t="s">
        <v>877</v>
      </c>
      <c r="F975" s="85" t="s">
        <v>889</v>
      </c>
      <c r="G975" s="86">
        <v>20</v>
      </c>
    </row>
    <row r="976" ht="16.5" spans="1:7">
      <c r="A976" s="81">
        <v>46193</v>
      </c>
      <c r="B976" s="82" t="s">
        <v>35</v>
      </c>
      <c r="C976" s="10" t="s">
        <v>103</v>
      </c>
      <c r="D976" s="83" t="s">
        <v>102</v>
      </c>
      <c r="E976" s="82" t="s">
        <v>877</v>
      </c>
      <c r="F976" s="85" t="s">
        <v>1367</v>
      </c>
      <c r="G976" s="86">
        <v>35</v>
      </c>
    </row>
    <row r="977" ht="16.5" spans="1:7">
      <c r="A977" s="81">
        <v>46193</v>
      </c>
      <c r="B977" s="82" t="s">
        <v>35</v>
      </c>
      <c r="C977" s="10" t="s">
        <v>103</v>
      </c>
      <c r="D977" s="83" t="s">
        <v>102</v>
      </c>
      <c r="E977" s="82" t="s">
        <v>877</v>
      </c>
      <c r="F977" s="85" t="s">
        <v>1368</v>
      </c>
      <c r="G977" s="86">
        <v>16</v>
      </c>
    </row>
    <row r="978" ht="16.5" spans="1:7">
      <c r="A978" s="81">
        <v>46193</v>
      </c>
      <c r="B978" s="82" t="s">
        <v>35</v>
      </c>
      <c r="C978" s="10" t="s">
        <v>103</v>
      </c>
      <c r="D978" s="83" t="s">
        <v>102</v>
      </c>
      <c r="E978" s="82" t="s">
        <v>877</v>
      </c>
      <c r="F978" s="85" t="s">
        <v>880</v>
      </c>
      <c r="G978" s="86">
        <v>15</v>
      </c>
    </row>
    <row r="979" ht="16.5" spans="1:7">
      <c r="A979" s="81">
        <v>46192</v>
      </c>
      <c r="B979" s="82" t="s">
        <v>35</v>
      </c>
      <c r="C979" s="10" t="s">
        <v>109</v>
      </c>
      <c r="D979" s="83" t="s">
        <v>108</v>
      </c>
      <c r="E979" s="82" t="s">
        <v>877</v>
      </c>
      <c r="F979" s="85" t="s">
        <v>1239</v>
      </c>
      <c r="G979" s="86">
        <v>30</v>
      </c>
    </row>
    <row r="980" ht="16.5" spans="1:7">
      <c r="A980" s="81">
        <v>46193</v>
      </c>
      <c r="B980" s="82" t="s">
        <v>35</v>
      </c>
      <c r="C980" s="10" t="s">
        <v>109</v>
      </c>
      <c r="D980" s="83" t="s">
        <v>108</v>
      </c>
      <c r="E980" s="82" t="s">
        <v>877</v>
      </c>
      <c r="F980" s="85" t="s">
        <v>880</v>
      </c>
      <c r="G980" s="86">
        <v>15</v>
      </c>
    </row>
    <row r="981" ht="16.5" spans="1:7">
      <c r="A981" s="87">
        <v>46193</v>
      </c>
      <c r="B981" s="82" t="s">
        <v>35</v>
      </c>
      <c r="C981" s="10" t="s">
        <v>109</v>
      </c>
      <c r="D981" s="83" t="s">
        <v>108</v>
      </c>
      <c r="E981" s="82" t="s">
        <v>877</v>
      </c>
      <c r="F981" s="10" t="s">
        <v>915</v>
      </c>
      <c r="G981" s="86">
        <v>10</v>
      </c>
    </row>
    <row r="982" ht="16.5" spans="1:7">
      <c r="A982" s="87">
        <v>46194</v>
      </c>
      <c r="B982" s="82" t="s">
        <v>35</v>
      </c>
      <c r="C982" s="10" t="s">
        <v>139</v>
      </c>
      <c r="D982" s="83" t="s">
        <v>138</v>
      </c>
      <c r="E982" s="82" t="s">
        <v>877</v>
      </c>
      <c r="F982" s="10" t="s">
        <v>1369</v>
      </c>
      <c r="G982" s="86">
        <v>30</v>
      </c>
    </row>
    <row r="983" ht="16.5" spans="1:7">
      <c r="A983" s="87">
        <v>46193</v>
      </c>
      <c r="B983" s="82" t="s">
        <v>35</v>
      </c>
      <c r="C983" s="10" t="s">
        <v>139</v>
      </c>
      <c r="D983" s="83" t="s">
        <v>138</v>
      </c>
      <c r="E983" s="82" t="s">
        <v>877</v>
      </c>
      <c r="F983" s="10" t="s">
        <v>1132</v>
      </c>
      <c r="G983" s="86">
        <v>20</v>
      </c>
    </row>
    <row r="984" ht="16.5" spans="1:7">
      <c r="A984" s="87">
        <v>46193</v>
      </c>
      <c r="B984" s="82" t="s">
        <v>35</v>
      </c>
      <c r="C984" s="10" t="s">
        <v>136</v>
      </c>
      <c r="D984" s="83" t="s">
        <v>135</v>
      </c>
      <c r="E984" s="82" t="s">
        <v>877</v>
      </c>
      <c r="F984" s="10" t="s">
        <v>1215</v>
      </c>
      <c r="G984" s="86">
        <v>15</v>
      </c>
    </row>
    <row r="985" ht="16.5" spans="1:7">
      <c r="A985" s="87">
        <v>46193</v>
      </c>
      <c r="B985" s="82" t="s">
        <v>35</v>
      </c>
      <c r="C985" s="10" t="s">
        <v>136</v>
      </c>
      <c r="D985" s="83" t="s">
        <v>135</v>
      </c>
      <c r="E985" s="82" t="s">
        <v>877</v>
      </c>
      <c r="F985" s="10" t="s">
        <v>1214</v>
      </c>
      <c r="G985" s="86">
        <v>15</v>
      </c>
    </row>
    <row r="986" ht="16.5" spans="1:7">
      <c r="A986" s="87">
        <v>46193</v>
      </c>
      <c r="B986" s="82" t="s">
        <v>35</v>
      </c>
      <c r="C986" s="10" t="s">
        <v>136</v>
      </c>
      <c r="D986" s="83" t="s">
        <v>135</v>
      </c>
      <c r="E986" s="82" t="s">
        <v>877</v>
      </c>
      <c r="F986" s="105" t="s">
        <v>1324</v>
      </c>
      <c r="G986" s="86">
        <v>20</v>
      </c>
    </row>
    <row r="987" ht="16.5" spans="1:7">
      <c r="A987" s="87">
        <v>46193</v>
      </c>
      <c r="B987" s="82" t="s">
        <v>35</v>
      </c>
      <c r="C987" s="10" t="s">
        <v>67</v>
      </c>
      <c r="D987" s="83" t="s">
        <v>66</v>
      </c>
      <c r="E987" s="82" t="s">
        <v>877</v>
      </c>
      <c r="F987" s="10" t="s">
        <v>1370</v>
      </c>
      <c r="G987" s="86">
        <v>10</v>
      </c>
    </row>
    <row r="988" ht="16.5" spans="1:7">
      <c r="A988" s="87">
        <v>46193</v>
      </c>
      <c r="B988" s="82" t="s">
        <v>35</v>
      </c>
      <c r="C988" s="10" t="s">
        <v>76</v>
      </c>
      <c r="D988" s="83" t="s">
        <v>75</v>
      </c>
      <c r="E988" s="82" t="s">
        <v>877</v>
      </c>
      <c r="F988" s="106" t="s">
        <v>904</v>
      </c>
      <c r="G988" s="86">
        <v>10</v>
      </c>
    </row>
    <row r="989" ht="16.5" spans="1:7">
      <c r="A989" s="87">
        <v>46192</v>
      </c>
      <c r="B989" s="82" t="s">
        <v>35</v>
      </c>
      <c r="C989" s="10" t="s">
        <v>76</v>
      </c>
      <c r="D989" s="83" t="s">
        <v>75</v>
      </c>
      <c r="E989" s="82" t="s">
        <v>877</v>
      </c>
      <c r="F989" s="10" t="s">
        <v>907</v>
      </c>
      <c r="G989" s="86">
        <v>15</v>
      </c>
    </row>
    <row r="990" ht="16.5" spans="1:7">
      <c r="A990" s="87">
        <v>46193</v>
      </c>
      <c r="B990" s="82" t="s">
        <v>35</v>
      </c>
      <c r="C990" s="10" t="s">
        <v>85</v>
      </c>
      <c r="D990" s="83" t="s">
        <v>84</v>
      </c>
      <c r="E990" s="82" t="s">
        <v>877</v>
      </c>
      <c r="F990" s="10" t="s">
        <v>1371</v>
      </c>
      <c r="G990" s="86">
        <v>30</v>
      </c>
    </row>
    <row r="991" ht="16.5" spans="1:7">
      <c r="A991" s="87">
        <v>46193</v>
      </c>
      <c r="B991" s="82" t="s">
        <v>35</v>
      </c>
      <c r="C991" s="10" t="s">
        <v>85</v>
      </c>
      <c r="D991" s="83" t="s">
        <v>84</v>
      </c>
      <c r="E991" s="82" t="s">
        <v>877</v>
      </c>
      <c r="F991" s="10" t="s">
        <v>1372</v>
      </c>
      <c r="G991" s="86">
        <v>21</v>
      </c>
    </row>
    <row r="992" ht="16.5" spans="1:7">
      <c r="A992" s="87">
        <v>46194</v>
      </c>
      <c r="B992" s="82" t="s">
        <v>35</v>
      </c>
      <c r="C992" s="10" t="s">
        <v>70</v>
      </c>
      <c r="D992" s="83" t="s">
        <v>69</v>
      </c>
      <c r="E992" s="82" t="s">
        <v>877</v>
      </c>
      <c r="F992" s="10" t="s">
        <v>1373</v>
      </c>
      <c r="G992" s="86">
        <v>20</v>
      </c>
    </row>
    <row r="993" ht="16.5" spans="1:7">
      <c r="A993" s="87">
        <v>46194</v>
      </c>
      <c r="B993" s="82" t="s">
        <v>35</v>
      </c>
      <c r="C993" s="10" t="s">
        <v>70</v>
      </c>
      <c r="D993" s="83" t="s">
        <v>69</v>
      </c>
      <c r="E993" s="82" t="s">
        <v>877</v>
      </c>
      <c r="F993" s="10" t="s">
        <v>1059</v>
      </c>
      <c r="G993" s="86">
        <v>15</v>
      </c>
    </row>
    <row r="994" ht="16.5" spans="1:7">
      <c r="A994" s="87">
        <v>46194</v>
      </c>
      <c r="B994" s="82" t="s">
        <v>35</v>
      </c>
      <c r="C994" s="10" t="s">
        <v>70</v>
      </c>
      <c r="D994" s="83" t="s">
        <v>69</v>
      </c>
      <c r="E994" s="82" t="s">
        <v>877</v>
      </c>
      <c r="F994" s="10" t="s">
        <v>922</v>
      </c>
      <c r="G994" s="86">
        <v>10</v>
      </c>
    </row>
    <row r="995" ht="16.5" spans="1:7">
      <c r="A995" s="87">
        <v>46193</v>
      </c>
      <c r="B995" s="82" t="s">
        <v>35</v>
      </c>
      <c r="C995" s="10" t="s">
        <v>58</v>
      </c>
      <c r="D995" s="83" t="s">
        <v>57</v>
      </c>
      <c r="E995" s="82" t="s">
        <v>877</v>
      </c>
      <c r="F995" s="10" t="s">
        <v>957</v>
      </c>
      <c r="G995" s="86">
        <v>30</v>
      </c>
    </row>
    <row r="996" ht="16.5" spans="1:7">
      <c r="A996" s="87">
        <v>46193</v>
      </c>
      <c r="B996" s="82" t="s">
        <v>35</v>
      </c>
      <c r="C996" s="10" t="s">
        <v>58</v>
      </c>
      <c r="D996" s="83" t="s">
        <v>57</v>
      </c>
      <c r="E996" s="82" t="s">
        <v>877</v>
      </c>
      <c r="F996" s="10" t="s">
        <v>1140</v>
      </c>
      <c r="G996" s="86">
        <v>15</v>
      </c>
    </row>
    <row r="997" ht="16.5" spans="1:7">
      <c r="A997" s="87">
        <v>46194</v>
      </c>
      <c r="B997" s="82" t="s">
        <v>35</v>
      </c>
      <c r="C997" s="10" t="s">
        <v>58</v>
      </c>
      <c r="D997" s="83" t="s">
        <v>57</v>
      </c>
      <c r="E997" s="82" t="s">
        <v>877</v>
      </c>
      <c r="F997" s="10" t="s">
        <v>889</v>
      </c>
      <c r="G997" s="86">
        <v>20</v>
      </c>
    </row>
    <row r="998" ht="16.5" spans="1:7">
      <c r="A998" s="87">
        <v>46194</v>
      </c>
      <c r="B998" s="82" t="s">
        <v>35</v>
      </c>
      <c r="C998" s="10" t="s">
        <v>55</v>
      </c>
      <c r="D998" s="83" t="s">
        <v>54</v>
      </c>
      <c r="E998" s="82" t="s">
        <v>877</v>
      </c>
      <c r="F998" s="10" t="s">
        <v>1248</v>
      </c>
      <c r="G998" s="86">
        <v>15</v>
      </c>
    </row>
    <row r="999" ht="16.5" spans="1:7">
      <c r="A999" s="87">
        <v>46191</v>
      </c>
      <c r="B999" s="82" t="s">
        <v>35</v>
      </c>
      <c r="C999" s="10" t="s">
        <v>181</v>
      </c>
      <c r="D999" s="83" t="s">
        <v>180</v>
      </c>
      <c r="E999" s="82" t="s">
        <v>877</v>
      </c>
      <c r="F999" s="10" t="s">
        <v>1293</v>
      </c>
      <c r="G999" s="86">
        <v>30</v>
      </c>
    </row>
    <row r="1000" ht="16.5" spans="1:7">
      <c r="A1000" s="87">
        <v>46190</v>
      </c>
      <c r="B1000" s="82" t="s">
        <v>35</v>
      </c>
      <c r="C1000" s="10" t="s">
        <v>145</v>
      </c>
      <c r="D1000" s="83" t="s">
        <v>144</v>
      </c>
      <c r="E1000" s="82" t="s">
        <v>877</v>
      </c>
      <c r="F1000" s="10" t="s">
        <v>1137</v>
      </c>
      <c r="G1000" s="86">
        <v>15</v>
      </c>
    </row>
    <row r="1001" ht="16.5" spans="1:7">
      <c r="A1001" s="87">
        <v>46191</v>
      </c>
      <c r="B1001" s="82" t="s">
        <v>35</v>
      </c>
      <c r="C1001" s="10" t="s">
        <v>145</v>
      </c>
      <c r="D1001" s="83" t="s">
        <v>144</v>
      </c>
      <c r="E1001" s="82" t="s">
        <v>877</v>
      </c>
      <c r="F1001" s="10" t="s">
        <v>911</v>
      </c>
      <c r="G1001" s="86">
        <v>10</v>
      </c>
    </row>
    <row r="1002" ht="16.5" spans="1:7">
      <c r="A1002" s="87">
        <v>46192</v>
      </c>
      <c r="B1002" s="82" t="s">
        <v>35</v>
      </c>
      <c r="C1002" s="10" t="s">
        <v>145</v>
      </c>
      <c r="D1002" s="83" t="s">
        <v>144</v>
      </c>
      <c r="E1002" s="82" t="s">
        <v>877</v>
      </c>
      <c r="F1002" s="10" t="s">
        <v>1137</v>
      </c>
      <c r="G1002" s="86">
        <v>15</v>
      </c>
    </row>
    <row r="1003" ht="16.5" spans="1:7">
      <c r="A1003" s="87">
        <v>46192</v>
      </c>
      <c r="B1003" s="82" t="s">
        <v>35</v>
      </c>
      <c r="C1003" s="10" t="s">
        <v>145</v>
      </c>
      <c r="D1003" s="83" t="s">
        <v>144</v>
      </c>
      <c r="E1003" s="82" t="s">
        <v>877</v>
      </c>
      <c r="F1003" s="10" t="s">
        <v>911</v>
      </c>
      <c r="G1003" s="86">
        <v>10</v>
      </c>
    </row>
    <row r="1004" ht="16.5" spans="1:7">
      <c r="A1004" s="87">
        <v>46192</v>
      </c>
      <c r="B1004" s="82" t="s">
        <v>35</v>
      </c>
      <c r="C1004" s="10" t="s">
        <v>167</v>
      </c>
      <c r="D1004" s="83" t="s">
        <v>166</v>
      </c>
      <c r="E1004" s="82" t="s">
        <v>877</v>
      </c>
      <c r="F1004" s="10" t="s">
        <v>908</v>
      </c>
      <c r="G1004" s="86">
        <v>15</v>
      </c>
    </row>
    <row r="1005" ht="16.5" spans="1:7">
      <c r="A1005" s="87">
        <v>46191</v>
      </c>
      <c r="B1005" s="82" t="s">
        <v>35</v>
      </c>
      <c r="C1005" s="10" t="s">
        <v>167</v>
      </c>
      <c r="D1005" s="83" t="s">
        <v>166</v>
      </c>
      <c r="E1005" s="82" t="s">
        <v>877</v>
      </c>
      <c r="F1005" s="10" t="s">
        <v>1225</v>
      </c>
      <c r="G1005" s="86">
        <v>20</v>
      </c>
    </row>
    <row r="1006" ht="16.5" spans="1:7">
      <c r="A1006" s="87">
        <v>46191</v>
      </c>
      <c r="B1006" s="82" t="s">
        <v>35</v>
      </c>
      <c r="C1006" s="10" t="s">
        <v>167</v>
      </c>
      <c r="D1006" s="83" t="s">
        <v>166</v>
      </c>
      <c r="E1006" s="82" t="s">
        <v>877</v>
      </c>
      <c r="F1006" s="10" t="s">
        <v>882</v>
      </c>
      <c r="G1006" s="86">
        <v>5</v>
      </c>
    </row>
    <row r="1007" ht="16.5" spans="1:7">
      <c r="A1007" s="87">
        <v>46192</v>
      </c>
      <c r="B1007" s="82" t="s">
        <v>35</v>
      </c>
      <c r="C1007" s="10" t="s">
        <v>178</v>
      </c>
      <c r="D1007" s="83" t="s">
        <v>177</v>
      </c>
      <c r="E1007" s="82" t="s">
        <v>877</v>
      </c>
      <c r="F1007" s="10" t="s">
        <v>1374</v>
      </c>
      <c r="G1007" s="86">
        <v>30</v>
      </c>
    </row>
    <row r="1008" ht="16.5" spans="1:7">
      <c r="A1008" s="87">
        <v>46192</v>
      </c>
      <c r="B1008" s="82" t="s">
        <v>35</v>
      </c>
      <c r="C1008" s="10" t="s">
        <v>178</v>
      </c>
      <c r="D1008" s="83" t="s">
        <v>177</v>
      </c>
      <c r="E1008" s="82" t="s">
        <v>877</v>
      </c>
      <c r="F1008" s="10" t="s">
        <v>1375</v>
      </c>
      <c r="G1008" s="86">
        <v>25</v>
      </c>
    </row>
    <row r="1009" ht="16.5" spans="1:7">
      <c r="A1009" s="87">
        <v>46193</v>
      </c>
      <c r="B1009" s="82" t="s">
        <v>35</v>
      </c>
      <c r="C1009" s="10" t="s">
        <v>217</v>
      </c>
      <c r="D1009" s="83" t="s">
        <v>670</v>
      </c>
      <c r="E1009" s="82" t="s">
        <v>877</v>
      </c>
      <c r="F1009" s="10" t="s">
        <v>1376</v>
      </c>
      <c r="G1009" s="86">
        <v>10</v>
      </c>
    </row>
    <row r="1010" ht="16.5" spans="1:7">
      <c r="A1010" s="87">
        <v>46192</v>
      </c>
      <c r="B1010" s="82" t="s">
        <v>35</v>
      </c>
      <c r="C1010" s="10" t="s">
        <v>217</v>
      </c>
      <c r="D1010" s="83" t="s">
        <v>670</v>
      </c>
      <c r="E1010" s="82" t="s">
        <v>877</v>
      </c>
      <c r="F1010" s="10" t="s">
        <v>1125</v>
      </c>
      <c r="G1010" s="86">
        <v>10</v>
      </c>
    </row>
    <row r="1011" ht="16.5" spans="1:7">
      <c r="A1011" s="87">
        <v>46193</v>
      </c>
      <c r="B1011" s="82" t="s">
        <v>35</v>
      </c>
      <c r="C1011" s="10" t="s">
        <v>217</v>
      </c>
      <c r="D1011" s="83" t="s">
        <v>670</v>
      </c>
      <c r="E1011" s="82" t="s">
        <v>877</v>
      </c>
      <c r="F1011" s="10" t="s">
        <v>893</v>
      </c>
      <c r="G1011" s="86">
        <v>15</v>
      </c>
    </row>
    <row r="1012" ht="16.5" spans="1:7">
      <c r="A1012" s="87">
        <v>46193</v>
      </c>
      <c r="B1012" s="82" t="s">
        <v>35</v>
      </c>
      <c r="C1012" s="10" t="s">
        <v>214</v>
      </c>
      <c r="D1012" s="83" t="s">
        <v>213</v>
      </c>
      <c r="E1012" s="82" t="s">
        <v>877</v>
      </c>
      <c r="F1012" s="10" t="s">
        <v>1377</v>
      </c>
      <c r="G1012" s="86">
        <v>10</v>
      </c>
    </row>
    <row r="1013" ht="16.5" spans="1:7">
      <c r="A1013" s="87">
        <v>46193</v>
      </c>
      <c r="B1013" s="82" t="s">
        <v>35</v>
      </c>
      <c r="C1013" s="10" t="s">
        <v>214</v>
      </c>
      <c r="D1013" s="83" t="s">
        <v>213</v>
      </c>
      <c r="E1013" s="82" t="s">
        <v>877</v>
      </c>
      <c r="F1013" s="10" t="s">
        <v>1378</v>
      </c>
      <c r="G1013" s="86">
        <v>15</v>
      </c>
    </row>
    <row r="1014" ht="16.5" spans="1:7">
      <c r="A1014" s="87">
        <v>46192</v>
      </c>
      <c r="B1014" s="82" t="s">
        <v>35</v>
      </c>
      <c r="C1014" s="10" t="s">
        <v>214</v>
      </c>
      <c r="D1014" s="83" t="s">
        <v>213</v>
      </c>
      <c r="E1014" s="82" t="s">
        <v>877</v>
      </c>
      <c r="F1014" s="10" t="s">
        <v>915</v>
      </c>
      <c r="G1014" s="86">
        <v>10</v>
      </c>
    </row>
    <row r="1015" ht="16.5" spans="1:7">
      <c r="A1015" s="87">
        <v>46192</v>
      </c>
      <c r="B1015" s="82" t="s">
        <v>35</v>
      </c>
      <c r="C1015" s="10" t="s">
        <v>184</v>
      </c>
      <c r="D1015" s="83" t="s">
        <v>183</v>
      </c>
      <c r="E1015" s="82" t="s">
        <v>877</v>
      </c>
      <c r="F1015" s="10" t="s">
        <v>1379</v>
      </c>
      <c r="G1015" s="86">
        <v>15</v>
      </c>
    </row>
    <row r="1016" ht="16.5" spans="1:7">
      <c r="A1016" s="87">
        <v>46191</v>
      </c>
      <c r="B1016" s="82" t="s">
        <v>35</v>
      </c>
      <c r="C1016" s="10" t="s">
        <v>184</v>
      </c>
      <c r="D1016" s="83" t="s">
        <v>183</v>
      </c>
      <c r="E1016" s="82" t="s">
        <v>877</v>
      </c>
      <c r="F1016" s="10" t="s">
        <v>904</v>
      </c>
      <c r="G1016" s="86">
        <v>10</v>
      </c>
    </row>
    <row r="1017" ht="16.5" spans="1:7">
      <c r="A1017" s="87">
        <v>46192</v>
      </c>
      <c r="B1017" s="82" t="s">
        <v>35</v>
      </c>
      <c r="C1017" s="10" t="s">
        <v>149</v>
      </c>
      <c r="D1017" s="83" t="s">
        <v>148</v>
      </c>
      <c r="E1017" s="82" t="s">
        <v>877</v>
      </c>
      <c r="F1017" s="10" t="s">
        <v>989</v>
      </c>
      <c r="G1017" s="86">
        <v>15</v>
      </c>
    </row>
    <row r="1018" ht="16.5" spans="1:7">
      <c r="A1018" s="87">
        <v>46191</v>
      </c>
      <c r="B1018" s="82" t="s">
        <v>35</v>
      </c>
      <c r="C1018" s="10" t="s">
        <v>149</v>
      </c>
      <c r="D1018" s="83" t="s">
        <v>148</v>
      </c>
      <c r="E1018" s="82" t="s">
        <v>877</v>
      </c>
      <c r="F1018" s="10" t="s">
        <v>1380</v>
      </c>
      <c r="G1018" s="86">
        <v>15</v>
      </c>
    </row>
    <row r="1019" ht="16.5" spans="1:7">
      <c r="A1019" s="87">
        <v>46193</v>
      </c>
      <c r="B1019" s="82" t="s">
        <v>35</v>
      </c>
      <c r="C1019" s="10" t="s">
        <v>678</v>
      </c>
      <c r="D1019" s="83" t="s">
        <v>207</v>
      </c>
      <c r="E1019" s="82" t="s">
        <v>877</v>
      </c>
      <c r="F1019" s="10" t="s">
        <v>1379</v>
      </c>
      <c r="G1019" s="86">
        <v>15</v>
      </c>
    </row>
    <row r="1020" ht="16.5" spans="1:7">
      <c r="A1020" s="87">
        <v>46192</v>
      </c>
      <c r="B1020" s="82" t="s">
        <v>35</v>
      </c>
      <c r="C1020" s="10" t="s">
        <v>678</v>
      </c>
      <c r="D1020" s="83" t="s">
        <v>207</v>
      </c>
      <c r="E1020" s="82" t="s">
        <v>877</v>
      </c>
      <c r="F1020" s="10" t="s">
        <v>915</v>
      </c>
      <c r="G1020" s="86">
        <v>10</v>
      </c>
    </row>
    <row r="1021" ht="16.5" spans="1:7">
      <c r="A1021" s="87">
        <v>46190</v>
      </c>
      <c r="B1021" s="82" t="s">
        <v>35</v>
      </c>
      <c r="C1021" s="10" t="s">
        <v>719</v>
      </c>
      <c r="D1021" s="83" t="s">
        <v>201</v>
      </c>
      <c r="E1021" s="82" t="s">
        <v>877</v>
      </c>
      <c r="F1021" s="10" t="s">
        <v>1381</v>
      </c>
      <c r="G1021" s="86">
        <v>20</v>
      </c>
    </row>
    <row r="1022" ht="16.5" spans="1:7">
      <c r="A1022" s="87">
        <v>46194</v>
      </c>
      <c r="B1022" s="82" t="s">
        <v>35</v>
      </c>
      <c r="C1022" s="10" t="s">
        <v>719</v>
      </c>
      <c r="D1022" s="83" t="s">
        <v>201</v>
      </c>
      <c r="E1022" s="82" t="s">
        <v>877</v>
      </c>
      <c r="F1022" s="10" t="s">
        <v>1382</v>
      </c>
      <c r="G1022" s="86">
        <v>35</v>
      </c>
    </row>
    <row r="1023" ht="16.5" spans="1:7">
      <c r="A1023" s="87">
        <v>46194</v>
      </c>
      <c r="B1023" s="82" t="s">
        <v>35</v>
      </c>
      <c r="C1023" s="10" t="s">
        <v>719</v>
      </c>
      <c r="D1023" s="83" t="s">
        <v>201</v>
      </c>
      <c r="E1023" s="82" t="s">
        <v>877</v>
      </c>
      <c r="F1023" s="10" t="s">
        <v>915</v>
      </c>
      <c r="G1023" s="86">
        <v>10</v>
      </c>
    </row>
    <row r="1024" ht="16.5" spans="1:7">
      <c r="A1024" s="87">
        <v>46193</v>
      </c>
      <c r="B1024" s="82" t="s">
        <v>35</v>
      </c>
      <c r="C1024" s="10" t="s">
        <v>719</v>
      </c>
      <c r="D1024" s="83" t="s">
        <v>201</v>
      </c>
      <c r="E1024" s="82" t="s">
        <v>877</v>
      </c>
      <c r="F1024" s="10" t="s">
        <v>1383</v>
      </c>
      <c r="G1024" s="86">
        <v>15</v>
      </c>
    </row>
    <row r="1025" ht="16.5" spans="1:7">
      <c r="A1025" s="87">
        <v>46194</v>
      </c>
      <c r="B1025" s="82" t="s">
        <v>253</v>
      </c>
      <c r="C1025" s="10" t="s">
        <v>184</v>
      </c>
      <c r="D1025" s="83" t="s">
        <v>183</v>
      </c>
      <c r="E1025" s="82" t="s">
        <v>877</v>
      </c>
      <c r="F1025" s="10" t="s">
        <v>1384</v>
      </c>
      <c r="G1025" s="86">
        <v>200</v>
      </c>
    </row>
    <row r="1026" ht="16.5" spans="1:7">
      <c r="A1026" s="87">
        <v>46194</v>
      </c>
      <c r="B1026" s="82" t="s">
        <v>249</v>
      </c>
      <c r="C1026" s="10" t="s">
        <v>184</v>
      </c>
      <c r="D1026" s="83" t="s">
        <v>183</v>
      </c>
      <c r="E1026" s="82" t="s">
        <v>877</v>
      </c>
      <c r="F1026" s="10" t="s">
        <v>1385</v>
      </c>
      <c r="G1026" s="86">
        <v>200</v>
      </c>
    </row>
    <row r="1027" ht="16.5" spans="1:7">
      <c r="A1027" s="81">
        <v>46194</v>
      </c>
      <c r="B1027" s="82" t="s">
        <v>35</v>
      </c>
      <c r="C1027" s="10" t="s">
        <v>106</v>
      </c>
      <c r="D1027" s="83" t="s">
        <v>105</v>
      </c>
      <c r="E1027" s="82" t="s">
        <v>877</v>
      </c>
      <c r="F1027" s="85" t="s">
        <v>904</v>
      </c>
      <c r="G1027" s="86">
        <v>10</v>
      </c>
    </row>
    <row r="1028" ht="16.5" spans="1:7">
      <c r="A1028" s="81">
        <v>46192</v>
      </c>
      <c r="B1028" s="82" t="s">
        <v>35</v>
      </c>
      <c r="C1028" s="10" t="s">
        <v>106</v>
      </c>
      <c r="D1028" s="83" t="s">
        <v>105</v>
      </c>
      <c r="E1028" s="82" t="s">
        <v>877</v>
      </c>
      <c r="F1028" s="85" t="s">
        <v>970</v>
      </c>
      <c r="G1028" s="86">
        <v>15</v>
      </c>
    </row>
    <row r="1029" ht="16.5" spans="1:7">
      <c r="A1029" s="81">
        <v>46193</v>
      </c>
      <c r="B1029" s="82" t="s">
        <v>35</v>
      </c>
      <c r="C1029" s="10" t="s">
        <v>97</v>
      </c>
      <c r="D1029" s="83" t="s">
        <v>96</v>
      </c>
      <c r="E1029" s="82" t="s">
        <v>877</v>
      </c>
      <c r="F1029" s="85" t="s">
        <v>1243</v>
      </c>
      <c r="G1029" s="86">
        <v>35</v>
      </c>
    </row>
    <row r="1030" ht="16.5" spans="1:7">
      <c r="A1030" s="81">
        <v>46195</v>
      </c>
      <c r="B1030" s="82" t="s">
        <v>35</v>
      </c>
      <c r="C1030" s="10" t="s">
        <v>97</v>
      </c>
      <c r="D1030" s="83" t="s">
        <v>96</v>
      </c>
      <c r="E1030" s="82" t="s">
        <v>877</v>
      </c>
      <c r="F1030" s="85" t="s">
        <v>1059</v>
      </c>
      <c r="G1030" s="86">
        <v>15</v>
      </c>
    </row>
    <row r="1031" ht="16.5" spans="1:7">
      <c r="A1031" s="81">
        <v>46194</v>
      </c>
      <c r="B1031" s="82" t="s">
        <v>35</v>
      </c>
      <c r="C1031" s="10" t="s">
        <v>97</v>
      </c>
      <c r="D1031" s="83" t="s">
        <v>96</v>
      </c>
      <c r="E1031" s="82" t="s">
        <v>877</v>
      </c>
      <c r="F1031" s="85" t="s">
        <v>1386</v>
      </c>
      <c r="G1031" s="86">
        <v>12</v>
      </c>
    </row>
    <row r="1032" ht="16.5" spans="1:7">
      <c r="A1032" s="81">
        <v>46194</v>
      </c>
      <c r="B1032" s="82" t="s">
        <v>253</v>
      </c>
      <c r="C1032" s="10" t="s">
        <v>109</v>
      </c>
      <c r="D1032" s="83" t="s">
        <v>108</v>
      </c>
      <c r="E1032" s="82" t="s">
        <v>877</v>
      </c>
      <c r="F1032" s="85" t="s">
        <v>1387</v>
      </c>
      <c r="G1032" s="86">
        <v>200</v>
      </c>
    </row>
    <row r="1033" ht="16.5" spans="1:7">
      <c r="A1033" s="81">
        <v>46194</v>
      </c>
      <c r="B1033" s="82" t="s">
        <v>249</v>
      </c>
      <c r="C1033" s="10" t="s">
        <v>109</v>
      </c>
      <c r="D1033" s="83" t="s">
        <v>108</v>
      </c>
      <c r="E1033" s="82" t="s">
        <v>877</v>
      </c>
      <c r="F1033" s="4" t="s">
        <v>1385</v>
      </c>
      <c r="G1033" s="86">
        <v>200</v>
      </c>
    </row>
    <row r="1034" ht="16.5" spans="1:7">
      <c r="A1034" s="81">
        <v>46195</v>
      </c>
      <c r="B1034" s="82" t="s">
        <v>35</v>
      </c>
      <c r="C1034" s="10" t="s">
        <v>109</v>
      </c>
      <c r="D1034" s="83" t="s">
        <v>108</v>
      </c>
      <c r="E1034" s="82" t="s">
        <v>877</v>
      </c>
      <c r="F1034" s="85" t="s">
        <v>1061</v>
      </c>
      <c r="G1034" s="86">
        <v>15</v>
      </c>
    </row>
    <row r="1035" ht="16.5" spans="1:7">
      <c r="A1035" s="81">
        <v>46194</v>
      </c>
      <c r="B1035" s="82" t="s">
        <v>35</v>
      </c>
      <c r="C1035" s="10" t="s">
        <v>109</v>
      </c>
      <c r="D1035" s="83" t="s">
        <v>108</v>
      </c>
      <c r="E1035" s="82" t="s">
        <v>877</v>
      </c>
      <c r="F1035" s="85" t="s">
        <v>1388</v>
      </c>
      <c r="G1035" s="86">
        <v>12</v>
      </c>
    </row>
    <row r="1036" ht="16.5" spans="1:7">
      <c r="A1036" s="81">
        <v>46195</v>
      </c>
      <c r="B1036" s="82" t="s">
        <v>35</v>
      </c>
      <c r="C1036" s="10" t="s">
        <v>94</v>
      </c>
      <c r="D1036" s="83" t="s">
        <v>93</v>
      </c>
      <c r="E1036" s="82" t="s">
        <v>877</v>
      </c>
      <c r="F1036" s="85" t="s">
        <v>1191</v>
      </c>
      <c r="G1036" s="86">
        <v>35</v>
      </c>
    </row>
    <row r="1037" ht="16.5" spans="1:7">
      <c r="A1037" s="81">
        <v>46194</v>
      </c>
      <c r="B1037" s="82" t="s">
        <v>35</v>
      </c>
      <c r="C1037" s="10" t="s">
        <v>94</v>
      </c>
      <c r="D1037" s="83" t="s">
        <v>93</v>
      </c>
      <c r="E1037" s="82" t="s">
        <v>877</v>
      </c>
      <c r="F1037" s="105" t="s">
        <v>1389</v>
      </c>
      <c r="G1037" s="86">
        <v>17</v>
      </c>
    </row>
    <row r="1038" ht="16.5" spans="1:7">
      <c r="A1038" s="113">
        <v>46195</v>
      </c>
      <c r="B1038" s="82" t="s">
        <v>35</v>
      </c>
      <c r="C1038" s="10" t="s">
        <v>133</v>
      </c>
      <c r="D1038" s="83" t="s">
        <v>132</v>
      </c>
      <c r="E1038" s="82" t="s">
        <v>877</v>
      </c>
      <c r="F1038" s="105" t="s">
        <v>893</v>
      </c>
      <c r="G1038" s="114">
        <v>15</v>
      </c>
    </row>
    <row r="1039" ht="16.5" spans="1:7">
      <c r="A1039" s="81">
        <v>46193</v>
      </c>
      <c r="B1039" s="82" t="s">
        <v>35</v>
      </c>
      <c r="C1039" s="10" t="s">
        <v>133</v>
      </c>
      <c r="D1039" s="83" t="s">
        <v>132</v>
      </c>
      <c r="E1039" s="82" t="s">
        <v>877</v>
      </c>
      <c r="F1039" s="399" t="s">
        <v>889</v>
      </c>
      <c r="G1039" s="86">
        <v>20</v>
      </c>
    </row>
    <row r="1040" ht="16.5" spans="1:7">
      <c r="A1040" s="81">
        <v>46194</v>
      </c>
      <c r="B1040" s="401" t="s">
        <v>35</v>
      </c>
      <c r="C1040" s="10" t="s">
        <v>112</v>
      </c>
      <c r="D1040" s="83" t="s">
        <v>111</v>
      </c>
      <c r="E1040" s="82" t="s">
        <v>877</v>
      </c>
      <c r="F1040" s="105" t="s">
        <v>957</v>
      </c>
      <c r="G1040" s="86">
        <v>30</v>
      </c>
    </row>
    <row r="1041" ht="16.5" spans="1:7">
      <c r="A1041" s="81">
        <v>46195</v>
      </c>
      <c r="B1041" s="401" t="s">
        <v>35</v>
      </c>
      <c r="C1041" s="10" t="s">
        <v>112</v>
      </c>
      <c r="D1041" s="83" t="s">
        <v>111</v>
      </c>
      <c r="E1041" s="82" t="s">
        <v>877</v>
      </c>
      <c r="F1041" s="105" t="s">
        <v>889</v>
      </c>
      <c r="G1041" s="86">
        <v>20</v>
      </c>
    </row>
    <row r="1042" ht="16.5" spans="1:7">
      <c r="A1042" s="81">
        <v>46194</v>
      </c>
      <c r="B1042" s="82" t="s">
        <v>35</v>
      </c>
      <c r="C1042" s="10" t="s">
        <v>115</v>
      </c>
      <c r="D1042" s="83" t="s">
        <v>114</v>
      </c>
      <c r="E1042" s="82" t="s">
        <v>877</v>
      </c>
      <c r="F1042" s="105" t="s">
        <v>1390</v>
      </c>
      <c r="G1042" s="86">
        <v>12</v>
      </c>
    </row>
    <row r="1043" ht="16.5" spans="1:7">
      <c r="A1043" s="81">
        <v>46195</v>
      </c>
      <c r="B1043" s="82" t="s">
        <v>35</v>
      </c>
      <c r="C1043" s="10" t="s">
        <v>115</v>
      </c>
      <c r="D1043" s="83" t="s">
        <v>114</v>
      </c>
      <c r="E1043" s="82" t="s">
        <v>877</v>
      </c>
      <c r="F1043" s="10" t="s">
        <v>908</v>
      </c>
      <c r="G1043" s="86">
        <v>15</v>
      </c>
    </row>
    <row r="1044" ht="16.5" spans="1:7">
      <c r="A1044" s="81">
        <v>46193</v>
      </c>
      <c r="B1044" s="82" t="s">
        <v>35</v>
      </c>
      <c r="C1044" s="10" t="s">
        <v>211</v>
      </c>
      <c r="D1044" s="83" t="s">
        <v>210</v>
      </c>
      <c r="E1044" s="82" t="s">
        <v>877</v>
      </c>
      <c r="F1044" s="85" t="s">
        <v>1391</v>
      </c>
      <c r="G1044" s="86">
        <v>20</v>
      </c>
    </row>
    <row r="1045" ht="16.5" spans="1:7">
      <c r="A1045" s="81">
        <v>46194</v>
      </c>
      <c r="B1045" s="82" t="s">
        <v>35</v>
      </c>
      <c r="C1045" s="10" t="s">
        <v>164</v>
      </c>
      <c r="D1045" s="83" t="s">
        <v>163</v>
      </c>
      <c r="E1045" s="82" t="s">
        <v>877</v>
      </c>
      <c r="F1045" s="85" t="s">
        <v>961</v>
      </c>
      <c r="G1045" s="86">
        <v>10</v>
      </c>
    </row>
    <row r="1046" ht="16.5" spans="1:7">
      <c r="A1046" s="81">
        <v>46194</v>
      </c>
      <c r="B1046" s="82" t="s">
        <v>35</v>
      </c>
      <c r="C1046" s="10" t="s">
        <v>164</v>
      </c>
      <c r="D1046" s="83" t="s">
        <v>163</v>
      </c>
      <c r="E1046" s="82" t="s">
        <v>877</v>
      </c>
      <c r="F1046" s="106" t="s">
        <v>1059</v>
      </c>
      <c r="G1046" s="86">
        <v>15</v>
      </c>
    </row>
    <row r="1047" ht="16.5" spans="1:7">
      <c r="A1047" s="81">
        <v>46195</v>
      </c>
      <c r="B1047" s="82" t="s">
        <v>35</v>
      </c>
      <c r="C1047" s="10" t="s">
        <v>164</v>
      </c>
      <c r="D1047" s="83" t="s">
        <v>163</v>
      </c>
      <c r="E1047" s="82" t="s">
        <v>877</v>
      </c>
      <c r="F1047" s="85" t="s">
        <v>1392</v>
      </c>
      <c r="G1047" s="86">
        <v>30</v>
      </c>
    </row>
    <row r="1048" ht="16.5" spans="1:7">
      <c r="A1048" s="81">
        <v>46191</v>
      </c>
      <c r="B1048" s="82" t="s">
        <v>35</v>
      </c>
      <c r="C1048" s="10" t="s">
        <v>155</v>
      </c>
      <c r="D1048" s="83" t="s">
        <v>154</v>
      </c>
      <c r="E1048" s="82" t="s">
        <v>877</v>
      </c>
      <c r="F1048" s="85" t="s">
        <v>1393</v>
      </c>
      <c r="G1048" s="86">
        <v>15</v>
      </c>
    </row>
    <row r="1049" ht="16.5" spans="1:7">
      <c r="A1049" s="81">
        <v>46194</v>
      </c>
      <c r="B1049" s="82" t="s">
        <v>35</v>
      </c>
      <c r="C1049" s="10" t="s">
        <v>155</v>
      </c>
      <c r="D1049" s="83" t="s">
        <v>154</v>
      </c>
      <c r="E1049" s="82" t="s">
        <v>877</v>
      </c>
      <c r="F1049" s="85" t="s">
        <v>893</v>
      </c>
      <c r="G1049" s="86">
        <v>15</v>
      </c>
    </row>
    <row r="1050" ht="16.5" spans="1:7">
      <c r="A1050" s="81">
        <v>46195</v>
      </c>
      <c r="B1050" s="82" t="s">
        <v>35</v>
      </c>
      <c r="C1050" s="10" t="s">
        <v>155</v>
      </c>
      <c r="D1050" s="83" t="s">
        <v>154</v>
      </c>
      <c r="E1050" s="82" t="s">
        <v>877</v>
      </c>
      <c r="F1050" s="85" t="s">
        <v>1264</v>
      </c>
      <c r="G1050" s="86">
        <v>30</v>
      </c>
    </row>
    <row r="1051" ht="16.5" spans="1:7">
      <c r="A1051" s="81">
        <v>46194</v>
      </c>
      <c r="B1051" s="82" t="s">
        <v>35</v>
      </c>
      <c r="C1051" s="10" t="s">
        <v>155</v>
      </c>
      <c r="D1051" s="83" t="s">
        <v>154</v>
      </c>
      <c r="E1051" s="82" t="s">
        <v>877</v>
      </c>
      <c r="F1051" s="85" t="s">
        <v>911</v>
      </c>
      <c r="G1051" s="86">
        <v>10</v>
      </c>
    </row>
    <row r="1052" ht="16.5" spans="1:7">
      <c r="A1052" s="81">
        <v>46195</v>
      </c>
      <c r="B1052" s="82" t="s">
        <v>35</v>
      </c>
      <c r="C1052" s="10" t="s">
        <v>704</v>
      </c>
      <c r="D1052" s="83" t="s">
        <v>221</v>
      </c>
      <c r="E1052" s="82" t="s">
        <v>877</v>
      </c>
      <c r="F1052" s="85" t="s">
        <v>1392</v>
      </c>
      <c r="G1052" s="86">
        <v>30</v>
      </c>
    </row>
    <row r="1053" ht="16.5" spans="1:7">
      <c r="A1053" s="81">
        <v>46194</v>
      </c>
      <c r="B1053" s="82" t="s">
        <v>35</v>
      </c>
      <c r="C1053" s="10" t="s">
        <v>704</v>
      </c>
      <c r="D1053" s="83" t="s">
        <v>221</v>
      </c>
      <c r="E1053" s="82" t="s">
        <v>877</v>
      </c>
      <c r="F1053" s="85" t="s">
        <v>1059</v>
      </c>
      <c r="G1053" s="86">
        <v>15</v>
      </c>
    </row>
    <row r="1054" ht="16.5" spans="1:7">
      <c r="A1054" s="81">
        <v>46194</v>
      </c>
      <c r="B1054" s="82" t="s">
        <v>35</v>
      </c>
      <c r="C1054" s="10" t="s">
        <v>704</v>
      </c>
      <c r="D1054" s="83" t="s">
        <v>221</v>
      </c>
      <c r="E1054" s="82" t="s">
        <v>877</v>
      </c>
      <c r="F1054" s="85" t="s">
        <v>1394</v>
      </c>
      <c r="G1054" s="86">
        <v>10</v>
      </c>
    </row>
    <row r="1055" ht="16.5" spans="1:7">
      <c r="A1055" s="81">
        <v>46194</v>
      </c>
      <c r="B1055" s="82" t="s">
        <v>35</v>
      </c>
      <c r="C1055" s="10" t="s">
        <v>704</v>
      </c>
      <c r="D1055" s="83" t="s">
        <v>221</v>
      </c>
      <c r="E1055" s="82" t="s">
        <v>877</v>
      </c>
      <c r="F1055" s="85" t="s">
        <v>1132</v>
      </c>
      <c r="G1055" s="86">
        <v>20</v>
      </c>
    </row>
    <row r="1056" ht="16.5" spans="1:7">
      <c r="A1056" s="81">
        <v>46191</v>
      </c>
      <c r="B1056" s="82" t="s">
        <v>35</v>
      </c>
      <c r="C1056" s="10" t="s">
        <v>704</v>
      </c>
      <c r="D1056" s="83" t="s">
        <v>221</v>
      </c>
      <c r="E1056" s="82" t="s">
        <v>877</v>
      </c>
      <c r="F1056" s="85" t="s">
        <v>1395</v>
      </c>
      <c r="G1056" s="86">
        <v>17.5</v>
      </c>
    </row>
    <row r="1057" ht="16.5" spans="1:7">
      <c r="A1057" s="81">
        <v>46195</v>
      </c>
      <c r="B1057" s="82" t="s">
        <v>35</v>
      </c>
      <c r="C1057" s="10" t="s">
        <v>708</v>
      </c>
      <c r="D1057" s="83" t="s">
        <v>223</v>
      </c>
      <c r="E1057" s="82" t="s">
        <v>877</v>
      </c>
      <c r="F1057" s="85" t="s">
        <v>957</v>
      </c>
      <c r="G1057" s="86">
        <v>30</v>
      </c>
    </row>
    <row r="1058" ht="16.5" spans="1:7">
      <c r="A1058" s="87">
        <v>46194</v>
      </c>
      <c r="B1058" s="82" t="s">
        <v>35</v>
      </c>
      <c r="C1058" s="10" t="s">
        <v>708</v>
      </c>
      <c r="D1058" s="83" t="s">
        <v>223</v>
      </c>
      <c r="E1058" s="82" t="s">
        <v>877</v>
      </c>
      <c r="F1058" s="85" t="s">
        <v>1393</v>
      </c>
      <c r="G1058" s="86">
        <v>15</v>
      </c>
    </row>
    <row r="1059" ht="16.5" spans="1:7">
      <c r="A1059" s="81">
        <v>46194</v>
      </c>
      <c r="B1059" s="82" t="s">
        <v>35</v>
      </c>
      <c r="C1059" s="10" t="s">
        <v>708</v>
      </c>
      <c r="D1059" s="83" t="s">
        <v>223</v>
      </c>
      <c r="E1059" s="82" t="s">
        <v>877</v>
      </c>
      <c r="F1059" s="85" t="s">
        <v>1396</v>
      </c>
      <c r="G1059" s="86">
        <v>13</v>
      </c>
    </row>
    <row r="1060" ht="16.5" spans="1:7">
      <c r="A1060" s="81">
        <v>46194</v>
      </c>
      <c r="B1060" s="82" t="s">
        <v>35</v>
      </c>
      <c r="C1060" s="10" t="s">
        <v>708</v>
      </c>
      <c r="D1060" s="83" t="s">
        <v>223</v>
      </c>
      <c r="E1060" s="82" t="s">
        <v>877</v>
      </c>
      <c r="F1060" s="85" t="s">
        <v>930</v>
      </c>
      <c r="G1060" s="86">
        <v>15</v>
      </c>
    </row>
    <row r="1061" ht="16.5" spans="1:7">
      <c r="A1061" s="81">
        <v>46191</v>
      </c>
      <c r="B1061" s="82" t="s">
        <v>35</v>
      </c>
      <c r="C1061" s="10" t="s">
        <v>161</v>
      </c>
      <c r="D1061" s="83" t="s">
        <v>160</v>
      </c>
      <c r="E1061" s="82" t="s">
        <v>877</v>
      </c>
      <c r="F1061" s="85" t="s">
        <v>1393</v>
      </c>
      <c r="G1061" s="86">
        <v>15</v>
      </c>
    </row>
    <row r="1062" ht="16.5" spans="1:7">
      <c r="A1062" s="81">
        <v>46195</v>
      </c>
      <c r="B1062" s="82" t="s">
        <v>35</v>
      </c>
      <c r="C1062" s="10" t="s">
        <v>161</v>
      </c>
      <c r="D1062" s="83" t="s">
        <v>160</v>
      </c>
      <c r="E1062" s="82" t="s">
        <v>877</v>
      </c>
      <c r="F1062" s="85" t="s">
        <v>1397</v>
      </c>
      <c r="G1062" s="86">
        <v>45</v>
      </c>
    </row>
    <row r="1063" ht="16.5" spans="1:7">
      <c r="A1063" s="81">
        <v>46194</v>
      </c>
      <c r="B1063" s="82" t="s">
        <v>35</v>
      </c>
      <c r="C1063" s="10" t="s">
        <v>161</v>
      </c>
      <c r="D1063" s="83" t="s">
        <v>160</v>
      </c>
      <c r="E1063" s="82" t="s">
        <v>877</v>
      </c>
      <c r="F1063" s="85" t="s">
        <v>930</v>
      </c>
      <c r="G1063" s="86">
        <v>15</v>
      </c>
    </row>
    <row r="1064" ht="16.5" spans="1:7">
      <c r="A1064" s="81">
        <v>46193</v>
      </c>
      <c r="B1064" s="82" t="s">
        <v>35</v>
      </c>
      <c r="C1064" s="10" t="s">
        <v>190</v>
      </c>
      <c r="D1064" s="83" t="s">
        <v>189</v>
      </c>
      <c r="E1064" s="82" t="s">
        <v>877</v>
      </c>
      <c r="F1064" s="85" t="s">
        <v>1398</v>
      </c>
      <c r="G1064" s="86">
        <v>30</v>
      </c>
    </row>
    <row r="1065" ht="16.5" spans="1:7">
      <c r="A1065" s="81">
        <v>46194</v>
      </c>
      <c r="B1065" s="82" t="s">
        <v>35</v>
      </c>
      <c r="C1065" s="10" t="s">
        <v>190</v>
      </c>
      <c r="D1065" s="83" t="s">
        <v>189</v>
      </c>
      <c r="E1065" s="82" t="s">
        <v>877</v>
      </c>
      <c r="F1065" s="85" t="s">
        <v>1008</v>
      </c>
      <c r="G1065" s="86">
        <v>25</v>
      </c>
    </row>
    <row r="1066" ht="16.5" spans="1:7">
      <c r="A1066" s="81">
        <v>46194</v>
      </c>
      <c r="B1066" s="82" t="s">
        <v>35</v>
      </c>
      <c r="C1066" s="10" t="s">
        <v>190</v>
      </c>
      <c r="D1066" s="83" t="s">
        <v>189</v>
      </c>
      <c r="E1066" s="82" t="s">
        <v>877</v>
      </c>
      <c r="F1066" s="85" t="s">
        <v>1196</v>
      </c>
      <c r="G1066" s="86">
        <v>3</v>
      </c>
    </row>
    <row r="1067" ht="16.5" spans="1:7">
      <c r="A1067" s="81">
        <v>46193</v>
      </c>
      <c r="B1067" s="82" t="s">
        <v>35</v>
      </c>
      <c r="C1067" s="10" t="s">
        <v>678</v>
      </c>
      <c r="D1067" s="83" t="s">
        <v>207</v>
      </c>
      <c r="E1067" s="82" t="s">
        <v>877</v>
      </c>
      <c r="F1067" s="85" t="s">
        <v>1399</v>
      </c>
      <c r="G1067" s="86">
        <v>17</v>
      </c>
    </row>
    <row r="1068" ht="16.5" spans="1:7">
      <c r="A1068" s="81">
        <v>46194</v>
      </c>
      <c r="B1068" s="82" t="s">
        <v>35</v>
      </c>
      <c r="C1068" s="10" t="s">
        <v>678</v>
      </c>
      <c r="D1068" s="83" t="s">
        <v>207</v>
      </c>
      <c r="E1068" s="82" t="s">
        <v>877</v>
      </c>
      <c r="F1068" s="85" t="s">
        <v>915</v>
      </c>
      <c r="G1068" s="86">
        <v>10</v>
      </c>
    </row>
    <row r="1069" ht="16.5" spans="1:7">
      <c r="A1069" s="81">
        <v>46194</v>
      </c>
      <c r="B1069" s="82" t="s">
        <v>35</v>
      </c>
      <c r="C1069" s="10" t="s">
        <v>330</v>
      </c>
      <c r="D1069" s="83" t="s">
        <v>198</v>
      </c>
      <c r="E1069" s="82" t="s">
        <v>877</v>
      </c>
      <c r="F1069" s="85" t="s">
        <v>1400</v>
      </c>
      <c r="G1069" s="86">
        <v>16</v>
      </c>
    </row>
    <row r="1070" ht="16.5" spans="1:7">
      <c r="A1070" s="87">
        <v>46194</v>
      </c>
      <c r="B1070" s="82" t="s">
        <v>35</v>
      </c>
      <c r="C1070" s="10" t="s">
        <v>330</v>
      </c>
      <c r="D1070" s="83" t="s">
        <v>198</v>
      </c>
      <c r="E1070" s="82" t="s">
        <v>877</v>
      </c>
      <c r="F1070" s="10" t="s">
        <v>1401</v>
      </c>
      <c r="G1070" s="86">
        <v>23</v>
      </c>
    </row>
    <row r="1071" ht="16.5" spans="1:7">
      <c r="A1071" s="87">
        <v>46193</v>
      </c>
      <c r="B1071" s="82" t="s">
        <v>35</v>
      </c>
      <c r="C1071" s="10" t="s">
        <v>330</v>
      </c>
      <c r="D1071" s="83" t="s">
        <v>198</v>
      </c>
      <c r="E1071" s="82" t="s">
        <v>877</v>
      </c>
      <c r="F1071" s="10" t="s">
        <v>1066</v>
      </c>
      <c r="G1071" s="86">
        <v>15</v>
      </c>
    </row>
    <row r="1072" ht="16.5" spans="1:7">
      <c r="A1072" s="87">
        <v>46194</v>
      </c>
      <c r="B1072" s="82" t="s">
        <v>35</v>
      </c>
      <c r="C1072" s="10" t="s">
        <v>330</v>
      </c>
      <c r="D1072" s="83" t="s">
        <v>198</v>
      </c>
      <c r="E1072" s="82" t="s">
        <v>877</v>
      </c>
      <c r="F1072" s="10" t="s">
        <v>882</v>
      </c>
      <c r="G1072" s="86">
        <v>5</v>
      </c>
    </row>
    <row r="1073" ht="16.5" spans="1:7">
      <c r="A1073" s="87">
        <v>46195</v>
      </c>
      <c r="B1073" s="82" t="s">
        <v>35</v>
      </c>
      <c r="C1073" s="10" t="s">
        <v>196</v>
      </c>
      <c r="D1073" s="83" t="s">
        <v>195</v>
      </c>
      <c r="E1073" s="82" t="s">
        <v>877</v>
      </c>
      <c r="F1073" s="10" t="s">
        <v>1402</v>
      </c>
      <c r="G1073" s="86">
        <v>45</v>
      </c>
    </row>
    <row r="1074" ht="16.5" spans="1:7">
      <c r="A1074" s="87">
        <v>46192</v>
      </c>
      <c r="B1074" s="82" t="s">
        <v>35</v>
      </c>
      <c r="C1074" s="10" t="s">
        <v>196</v>
      </c>
      <c r="D1074" s="83" t="s">
        <v>195</v>
      </c>
      <c r="E1074" s="82" t="s">
        <v>877</v>
      </c>
      <c r="F1074" s="105" t="s">
        <v>882</v>
      </c>
      <c r="G1074" s="86">
        <v>5</v>
      </c>
    </row>
    <row r="1075" ht="16.5" spans="1:7">
      <c r="A1075" s="81">
        <v>46194</v>
      </c>
      <c r="B1075" s="10" t="s">
        <v>35</v>
      </c>
      <c r="C1075" s="10" t="s">
        <v>82</v>
      </c>
      <c r="D1075" s="10" t="s">
        <v>81</v>
      </c>
      <c r="E1075" s="10" t="s">
        <v>877</v>
      </c>
      <c r="F1075" s="85" t="s">
        <v>888</v>
      </c>
      <c r="G1075" s="110">
        <v>25</v>
      </c>
    </row>
    <row r="1076" ht="16.5" spans="1:7">
      <c r="A1076" s="81">
        <v>46195</v>
      </c>
      <c r="B1076" s="10" t="s">
        <v>35</v>
      </c>
      <c r="C1076" s="10" t="s">
        <v>82</v>
      </c>
      <c r="D1076" s="10" t="s">
        <v>81</v>
      </c>
      <c r="E1076" s="10" t="s">
        <v>877</v>
      </c>
      <c r="F1076" s="85" t="s">
        <v>1326</v>
      </c>
      <c r="G1076" s="110">
        <v>15</v>
      </c>
    </row>
    <row r="1077" ht="16.5" spans="1:7">
      <c r="A1077" s="81">
        <v>46194</v>
      </c>
      <c r="B1077" s="10" t="s">
        <v>35</v>
      </c>
      <c r="C1077" s="10" t="s">
        <v>82</v>
      </c>
      <c r="D1077" s="10" t="s">
        <v>81</v>
      </c>
      <c r="E1077" s="10" t="s">
        <v>877</v>
      </c>
      <c r="F1077" s="85" t="s">
        <v>880</v>
      </c>
      <c r="G1077" s="110">
        <v>15</v>
      </c>
    </row>
    <row r="1078" ht="16.5" spans="1:7">
      <c r="A1078" s="81">
        <v>46195</v>
      </c>
      <c r="B1078" s="10" t="s">
        <v>35</v>
      </c>
      <c r="C1078" s="10" t="s">
        <v>82</v>
      </c>
      <c r="D1078" s="10" t="s">
        <v>81</v>
      </c>
      <c r="E1078" s="10" t="s">
        <v>877</v>
      </c>
      <c r="F1078" s="85" t="s">
        <v>1403</v>
      </c>
      <c r="G1078" s="110">
        <v>2</v>
      </c>
    </row>
    <row r="1079" ht="16.5" spans="1:7">
      <c r="A1079" s="81">
        <v>46194</v>
      </c>
      <c r="B1079" s="10" t="s">
        <v>35</v>
      </c>
      <c r="C1079" s="10" t="s">
        <v>327</v>
      </c>
      <c r="D1079" s="10" t="s">
        <v>63</v>
      </c>
      <c r="E1079" s="10" t="s">
        <v>877</v>
      </c>
      <c r="F1079" s="85" t="s">
        <v>1058</v>
      </c>
      <c r="G1079" s="110">
        <v>35</v>
      </c>
    </row>
    <row r="1080" ht="16.5" spans="1:7">
      <c r="A1080" s="81">
        <v>46195</v>
      </c>
      <c r="B1080" s="10" t="s">
        <v>35</v>
      </c>
      <c r="C1080" s="10" t="s">
        <v>327</v>
      </c>
      <c r="D1080" s="10" t="s">
        <v>63</v>
      </c>
      <c r="E1080" s="10" t="s">
        <v>877</v>
      </c>
      <c r="F1080" s="85" t="s">
        <v>1088</v>
      </c>
      <c r="G1080" s="110">
        <v>20</v>
      </c>
    </row>
    <row r="1081" ht="16.5" spans="1:7">
      <c r="A1081" s="81">
        <v>46193</v>
      </c>
      <c r="B1081" s="10" t="s">
        <v>35</v>
      </c>
      <c r="C1081" s="10" t="s">
        <v>327</v>
      </c>
      <c r="D1081" s="10" t="s">
        <v>63</v>
      </c>
      <c r="E1081" s="10" t="s">
        <v>877</v>
      </c>
      <c r="F1081" s="85" t="s">
        <v>1404</v>
      </c>
      <c r="G1081" s="110">
        <v>15</v>
      </c>
    </row>
    <row r="1082" ht="16.5" spans="1:7">
      <c r="A1082" s="81">
        <v>46195</v>
      </c>
      <c r="B1082" s="10" t="s">
        <v>35</v>
      </c>
      <c r="C1082" s="10" t="s">
        <v>327</v>
      </c>
      <c r="D1082" s="10" t="s">
        <v>63</v>
      </c>
      <c r="E1082" s="10" t="s">
        <v>877</v>
      </c>
      <c r="F1082" s="85" t="s">
        <v>1405</v>
      </c>
      <c r="G1082" s="110">
        <v>2</v>
      </c>
    </row>
    <row r="1083" ht="16.5" spans="1:7">
      <c r="A1083" s="81">
        <v>46196</v>
      </c>
      <c r="B1083" s="10" t="s">
        <v>35</v>
      </c>
      <c r="C1083" s="10" t="s">
        <v>55</v>
      </c>
      <c r="D1083" s="10" t="s">
        <v>54</v>
      </c>
      <c r="E1083" s="10" t="s">
        <v>877</v>
      </c>
      <c r="F1083" s="85" t="s">
        <v>1264</v>
      </c>
      <c r="G1083" s="110">
        <v>30</v>
      </c>
    </row>
    <row r="1084" ht="16.5" spans="1:7">
      <c r="A1084" s="81">
        <v>46195</v>
      </c>
      <c r="B1084" s="10" t="s">
        <v>35</v>
      </c>
      <c r="C1084" s="10" t="s">
        <v>55</v>
      </c>
      <c r="D1084" s="10" t="s">
        <v>54</v>
      </c>
      <c r="E1084" s="10" t="s">
        <v>877</v>
      </c>
      <c r="F1084" s="85" t="s">
        <v>880</v>
      </c>
      <c r="G1084" s="110">
        <v>15</v>
      </c>
    </row>
    <row r="1085" ht="16.5" spans="1:7">
      <c r="A1085" s="113">
        <v>46196</v>
      </c>
      <c r="B1085" s="10" t="s">
        <v>35</v>
      </c>
      <c r="C1085" s="10" t="s">
        <v>55</v>
      </c>
      <c r="D1085" s="10" t="s">
        <v>54</v>
      </c>
      <c r="E1085" s="10" t="s">
        <v>877</v>
      </c>
      <c r="F1085" s="85" t="s">
        <v>902</v>
      </c>
      <c r="G1085" s="110">
        <v>10</v>
      </c>
    </row>
    <row r="1086" ht="16.5" spans="1:7">
      <c r="A1086" s="81">
        <v>46196</v>
      </c>
      <c r="B1086" s="10" t="s">
        <v>35</v>
      </c>
      <c r="C1086" s="10" t="s">
        <v>115</v>
      </c>
      <c r="D1086" s="10" t="s">
        <v>114</v>
      </c>
      <c r="E1086" s="10" t="s">
        <v>877</v>
      </c>
      <c r="F1086" s="85" t="s">
        <v>908</v>
      </c>
      <c r="G1086" s="110">
        <v>15</v>
      </c>
    </row>
    <row r="1087" ht="16.5" spans="1:7">
      <c r="A1087" s="81">
        <v>46196</v>
      </c>
      <c r="B1087" s="10" t="s">
        <v>35</v>
      </c>
      <c r="C1087" s="10" t="s">
        <v>115</v>
      </c>
      <c r="D1087" s="10" t="s">
        <v>114</v>
      </c>
      <c r="E1087" s="10" t="s">
        <v>877</v>
      </c>
      <c r="F1087" s="85" t="s">
        <v>880</v>
      </c>
      <c r="G1087" s="110">
        <v>15</v>
      </c>
    </row>
    <row r="1088" ht="16.5" spans="1:7">
      <c r="A1088" s="81">
        <v>46195</v>
      </c>
      <c r="B1088" s="10" t="s">
        <v>35</v>
      </c>
      <c r="C1088" s="10" t="s">
        <v>115</v>
      </c>
      <c r="D1088" s="10" t="s">
        <v>114</v>
      </c>
      <c r="E1088" s="10" t="s">
        <v>877</v>
      </c>
      <c r="F1088" s="85" t="s">
        <v>902</v>
      </c>
      <c r="G1088" s="110">
        <v>10</v>
      </c>
    </row>
    <row r="1089" ht="16.5" spans="1:7">
      <c r="A1089" s="81">
        <v>46195</v>
      </c>
      <c r="B1089" s="10" t="s">
        <v>35</v>
      </c>
      <c r="C1089" s="10" t="s">
        <v>328</v>
      </c>
      <c r="D1089" s="10" t="s">
        <v>105</v>
      </c>
      <c r="E1089" s="10" t="s">
        <v>877</v>
      </c>
      <c r="F1089" s="85" t="s">
        <v>1406</v>
      </c>
      <c r="G1089" s="110">
        <v>27.6</v>
      </c>
    </row>
    <row r="1090" ht="16.5" spans="1:7">
      <c r="A1090" s="81">
        <v>46196</v>
      </c>
      <c r="B1090" s="10" t="s">
        <v>35</v>
      </c>
      <c r="C1090" s="10" t="s">
        <v>328</v>
      </c>
      <c r="D1090" s="10" t="s">
        <v>105</v>
      </c>
      <c r="E1090" s="10" t="s">
        <v>877</v>
      </c>
      <c r="F1090" s="85" t="s">
        <v>1264</v>
      </c>
      <c r="G1090" s="110">
        <v>30</v>
      </c>
    </row>
    <row r="1091" ht="16.5" spans="1:7">
      <c r="A1091" s="81">
        <v>46195</v>
      </c>
      <c r="B1091" s="10" t="s">
        <v>35</v>
      </c>
      <c r="C1091" s="10" t="s">
        <v>328</v>
      </c>
      <c r="D1091" s="10" t="s">
        <v>105</v>
      </c>
      <c r="E1091" s="10" t="s">
        <v>877</v>
      </c>
      <c r="F1091" s="85" t="s">
        <v>880</v>
      </c>
      <c r="G1091" s="110">
        <v>15</v>
      </c>
    </row>
    <row r="1092" ht="16.5" spans="1:7">
      <c r="A1092" s="81">
        <v>46196</v>
      </c>
      <c r="B1092" s="10" t="s">
        <v>35</v>
      </c>
      <c r="C1092" s="10" t="s">
        <v>328</v>
      </c>
      <c r="D1092" s="10" t="s">
        <v>105</v>
      </c>
      <c r="E1092" s="10" t="s">
        <v>877</v>
      </c>
      <c r="F1092" s="85" t="s">
        <v>902</v>
      </c>
      <c r="G1092" s="110">
        <v>10</v>
      </c>
    </row>
    <row r="1093" ht="16.5" spans="1:7">
      <c r="A1093" s="81">
        <v>46195</v>
      </c>
      <c r="B1093" s="10" t="s">
        <v>35</v>
      </c>
      <c r="C1093" s="10" t="s">
        <v>67</v>
      </c>
      <c r="D1093" s="10" t="s">
        <v>66</v>
      </c>
      <c r="E1093" s="10" t="s">
        <v>877</v>
      </c>
      <c r="F1093" s="85" t="s">
        <v>904</v>
      </c>
      <c r="G1093" s="110">
        <v>10</v>
      </c>
    </row>
    <row r="1094" ht="16.5" spans="1:7">
      <c r="A1094" s="81">
        <v>46196</v>
      </c>
      <c r="B1094" s="10" t="s">
        <v>35</v>
      </c>
      <c r="C1094" s="10" t="s">
        <v>67</v>
      </c>
      <c r="D1094" s="10" t="s">
        <v>66</v>
      </c>
      <c r="E1094" s="10" t="s">
        <v>877</v>
      </c>
      <c r="F1094" s="85" t="s">
        <v>907</v>
      </c>
      <c r="G1094" s="110">
        <v>15</v>
      </c>
    </row>
    <row r="1095" ht="16.5" spans="1:7">
      <c r="A1095" s="81">
        <v>46196</v>
      </c>
      <c r="B1095" s="10" t="s">
        <v>35</v>
      </c>
      <c r="C1095" s="10" t="s">
        <v>109</v>
      </c>
      <c r="D1095" s="10" t="s">
        <v>108</v>
      </c>
      <c r="E1095" s="10" t="s">
        <v>877</v>
      </c>
      <c r="F1095" s="85" t="s">
        <v>1407</v>
      </c>
      <c r="G1095" s="110">
        <v>30</v>
      </c>
    </row>
    <row r="1096" ht="16.5" spans="1:7">
      <c r="A1096" s="81">
        <v>46195</v>
      </c>
      <c r="B1096" s="10" t="s">
        <v>35</v>
      </c>
      <c r="C1096" s="10" t="s">
        <v>109</v>
      </c>
      <c r="D1096" s="10" t="s">
        <v>108</v>
      </c>
      <c r="E1096" s="10" t="s">
        <v>877</v>
      </c>
      <c r="F1096" s="85" t="s">
        <v>915</v>
      </c>
      <c r="G1096" s="110">
        <v>10</v>
      </c>
    </row>
    <row r="1097" ht="16.5" spans="1:7">
      <c r="A1097" s="81">
        <v>46195</v>
      </c>
      <c r="B1097" s="10" t="s">
        <v>35</v>
      </c>
      <c r="C1097" s="10" t="s">
        <v>109</v>
      </c>
      <c r="D1097" s="10" t="s">
        <v>108</v>
      </c>
      <c r="E1097" s="10" t="s">
        <v>877</v>
      </c>
      <c r="F1097" s="85" t="s">
        <v>1408</v>
      </c>
      <c r="G1097" s="110">
        <v>15</v>
      </c>
    </row>
    <row r="1098" ht="16.5" spans="1:7">
      <c r="A1098" s="81">
        <v>46194</v>
      </c>
      <c r="B1098" s="10" t="s">
        <v>35</v>
      </c>
      <c r="C1098" s="10" t="s">
        <v>122</v>
      </c>
      <c r="D1098" s="10" t="s">
        <v>130</v>
      </c>
      <c r="E1098" s="10" t="s">
        <v>877</v>
      </c>
      <c r="F1098" s="85" t="s">
        <v>1409</v>
      </c>
      <c r="G1098" s="110">
        <v>30</v>
      </c>
    </row>
    <row r="1099" ht="16.5" spans="1:7">
      <c r="A1099" s="81">
        <v>46194</v>
      </c>
      <c r="B1099" s="10" t="s">
        <v>35</v>
      </c>
      <c r="C1099" s="10" t="s">
        <v>122</v>
      </c>
      <c r="D1099" s="10" t="s">
        <v>130</v>
      </c>
      <c r="E1099" s="10" t="s">
        <v>877</v>
      </c>
      <c r="F1099" s="85" t="s">
        <v>1410</v>
      </c>
      <c r="G1099" s="110">
        <v>35</v>
      </c>
    </row>
    <row r="1100" ht="16.5" spans="1:7">
      <c r="A1100" s="81">
        <v>46196</v>
      </c>
      <c r="B1100" s="10" t="s">
        <v>35</v>
      </c>
      <c r="C1100" s="10" t="s">
        <v>122</v>
      </c>
      <c r="D1100" s="10" t="s">
        <v>130</v>
      </c>
      <c r="E1100" s="10" t="s">
        <v>877</v>
      </c>
      <c r="F1100" s="85" t="s">
        <v>1059</v>
      </c>
      <c r="G1100" s="110">
        <v>15</v>
      </c>
    </row>
    <row r="1101" ht="16.5" spans="1:7">
      <c r="A1101" s="81">
        <v>46195</v>
      </c>
      <c r="B1101" s="10" t="s">
        <v>35</v>
      </c>
      <c r="C1101" s="10" t="s">
        <v>122</v>
      </c>
      <c r="D1101" s="10" t="s">
        <v>130</v>
      </c>
      <c r="E1101" s="10" t="s">
        <v>877</v>
      </c>
      <c r="F1101" s="85" t="s">
        <v>1411</v>
      </c>
      <c r="G1101" s="110">
        <v>20</v>
      </c>
    </row>
    <row r="1102" ht="16.5" spans="1:7">
      <c r="A1102" s="81">
        <v>46195</v>
      </c>
      <c r="B1102" s="10" t="s">
        <v>35</v>
      </c>
      <c r="C1102" s="10" t="s">
        <v>122</v>
      </c>
      <c r="D1102" s="10" t="s">
        <v>130</v>
      </c>
      <c r="E1102" s="10" t="s">
        <v>877</v>
      </c>
      <c r="F1102" s="85" t="s">
        <v>1405</v>
      </c>
      <c r="G1102" s="110">
        <v>2</v>
      </c>
    </row>
    <row r="1103" ht="16.5" spans="1:7">
      <c r="A1103" s="81">
        <v>46193</v>
      </c>
      <c r="B1103" s="10" t="s">
        <v>29</v>
      </c>
      <c r="C1103" s="10" t="s">
        <v>61</v>
      </c>
      <c r="D1103" s="10" t="s">
        <v>60</v>
      </c>
      <c r="E1103" s="10" t="s">
        <v>877</v>
      </c>
      <c r="F1103" s="85" t="s">
        <v>1412</v>
      </c>
      <c r="G1103" s="110">
        <v>60</v>
      </c>
    </row>
    <row r="1104" ht="16.5" spans="1:7">
      <c r="A1104" s="81">
        <v>46194</v>
      </c>
      <c r="B1104" s="10" t="s">
        <v>35</v>
      </c>
      <c r="C1104" s="10" t="s">
        <v>61</v>
      </c>
      <c r="D1104" s="10" t="s">
        <v>60</v>
      </c>
      <c r="E1104" s="10" t="s">
        <v>877</v>
      </c>
      <c r="F1104" s="85" t="s">
        <v>1059</v>
      </c>
      <c r="G1104" s="110">
        <v>15</v>
      </c>
    </row>
    <row r="1105" ht="16.5" spans="1:7">
      <c r="A1105" s="81">
        <v>46195</v>
      </c>
      <c r="B1105" s="10" t="s">
        <v>35</v>
      </c>
      <c r="C1105" s="10" t="s">
        <v>61</v>
      </c>
      <c r="D1105" s="10" t="s">
        <v>60</v>
      </c>
      <c r="E1105" s="10" t="s">
        <v>877</v>
      </c>
      <c r="F1105" s="85" t="s">
        <v>904</v>
      </c>
      <c r="G1105" s="110">
        <v>10</v>
      </c>
    </row>
    <row r="1106" ht="16.5" spans="1:7">
      <c r="A1106" s="81">
        <v>46196</v>
      </c>
      <c r="B1106" s="10" t="s">
        <v>253</v>
      </c>
      <c r="C1106" s="10" t="s">
        <v>142</v>
      </c>
      <c r="D1106" s="10" t="s">
        <v>141</v>
      </c>
      <c r="E1106" s="10" t="s">
        <v>877</v>
      </c>
      <c r="F1106" s="85" t="s">
        <v>1413</v>
      </c>
      <c r="G1106" s="110">
        <v>200</v>
      </c>
    </row>
    <row r="1107" ht="16.5" spans="1:7">
      <c r="A1107" s="87">
        <v>46196</v>
      </c>
      <c r="B1107" s="10" t="s">
        <v>249</v>
      </c>
      <c r="C1107" s="10" t="s">
        <v>142</v>
      </c>
      <c r="D1107" s="10" t="s">
        <v>141</v>
      </c>
      <c r="E1107" s="10" t="s">
        <v>877</v>
      </c>
      <c r="F1107" s="85" t="s">
        <v>1414</v>
      </c>
      <c r="G1107" s="110">
        <v>200</v>
      </c>
    </row>
    <row r="1108" ht="16.5" spans="1:7">
      <c r="A1108" s="81">
        <v>46196</v>
      </c>
      <c r="B1108" s="10" t="s">
        <v>35</v>
      </c>
      <c r="C1108" s="10" t="s">
        <v>142</v>
      </c>
      <c r="D1108" s="10" t="s">
        <v>141</v>
      </c>
      <c r="E1108" s="10" t="s">
        <v>877</v>
      </c>
      <c r="F1108" s="85" t="s">
        <v>1264</v>
      </c>
      <c r="G1108" s="110">
        <v>30</v>
      </c>
    </row>
    <row r="1109" ht="16.5" spans="1:7">
      <c r="A1109" s="81">
        <v>46195</v>
      </c>
      <c r="B1109" s="10" t="s">
        <v>35</v>
      </c>
      <c r="C1109" s="10" t="s">
        <v>142</v>
      </c>
      <c r="D1109" s="10" t="s">
        <v>141</v>
      </c>
      <c r="E1109" s="10" t="s">
        <v>877</v>
      </c>
      <c r="F1109" s="85" t="s">
        <v>1008</v>
      </c>
      <c r="G1109" s="110">
        <v>25</v>
      </c>
    </row>
    <row r="1110" ht="16.5" spans="1:7">
      <c r="A1110" s="81">
        <v>46195</v>
      </c>
      <c r="B1110" s="10" t="s">
        <v>253</v>
      </c>
      <c r="C1110" s="10" t="s">
        <v>88</v>
      </c>
      <c r="D1110" s="10" t="s">
        <v>87</v>
      </c>
      <c r="E1110" s="10" t="s">
        <v>877</v>
      </c>
      <c r="F1110" s="85" t="s">
        <v>1415</v>
      </c>
      <c r="G1110" s="110">
        <v>20</v>
      </c>
    </row>
    <row r="1111" ht="16.5" spans="1:7">
      <c r="A1111" s="81">
        <v>46196</v>
      </c>
      <c r="B1111" s="10" t="s">
        <v>35</v>
      </c>
      <c r="C1111" s="10" t="s">
        <v>88</v>
      </c>
      <c r="D1111" s="10" t="s">
        <v>87</v>
      </c>
      <c r="E1111" s="10" t="s">
        <v>877</v>
      </c>
      <c r="F1111" s="85" t="s">
        <v>1305</v>
      </c>
      <c r="G1111" s="110">
        <v>15</v>
      </c>
    </row>
    <row r="1112" ht="16.5" spans="1:7">
      <c r="A1112" s="81">
        <v>46195</v>
      </c>
      <c r="B1112" s="10" t="s">
        <v>35</v>
      </c>
      <c r="C1112" s="10" t="s">
        <v>88</v>
      </c>
      <c r="D1112" s="10" t="s">
        <v>87</v>
      </c>
      <c r="E1112" s="10" t="s">
        <v>877</v>
      </c>
      <c r="F1112" s="85" t="s">
        <v>882</v>
      </c>
      <c r="G1112" s="110">
        <v>5</v>
      </c>
    </row>
    <row r="1113" ht="16.5" spans="1:7">
      <c r="A1113" s="81">
        <v>46195</v>
      </c>
      <c r="B1113" s="10" t="s">
        <v>29</v>
      </c>
      <c r="C1113" s="10" t="s">
        <v>52</v>
      </c>
      <c r="D1113" s="10" t="s">
        <v>51</v>
      </c>
      <c r="E1113" s="10" t="s">
        <v>877</v>
      </c>
      <c r="F1113" s="85" t="s">
        <v>1416</v>
      </c>
      <c r="G1113" s="110">
        <v>80</v>
      </c>
    </row>
    <row r="1114" ht="16.5" spans="1:7">
      <c r="A1114" s="81">
        <v>46195</v>
      </c>
      <c r="B1114" s="10" t="s">
        <v>35</v>
      </c>
      <c r="C1114" s="10" t="s">
        <v>52</v>
      </c>
      <c r="D1114" s="10" t="s">
        <v>51</v>
      </c>
      <c r="E1114" s="10" t="s">
        <v>877</v>
      </c>
      <c r="F1114" s="85" t="s">
        <v>921</v>
      </c>
      <c r="G1114" s="110">
        <v>15</v>
      </c>
    </row>
    <row r="1115" ht="16.5" spans="1:7">
      <c r="A1115" s="81">
        <v>46195</v>
      </c>
      <c r="B1115" s="10" t="s">
        <v>35</v>
      </c>
      <c r="C1115" s="10" t="s">
        <v>52</v>
      </c>
      <c r="D1115" s="10" t="s">
        <v>51</v>
      </c>
      <c r="E1115" s="10" t="s">
        <v>877</v>
      </c>
      <c r="F1115" s="85" t="s">
        <v>1364</v>
      </c>
      <c r="G1115" s="110">
        <v>15</v>
      </c>
    </row>
    <row r="1116" ht="16.5" spans="1:7">
      <c r="A1116" s="81">
        <v>46195</v>
      </c>
      <c r="B1116" s="10" t="s">
        <v>35</v>
      </c>
      <c r="C1116" s="10" t="s">
        <v>91</v>
      </c>
      <c r="D1116" s="10" t="s">
        <v>90</v>
      </c>
      <c r="E1116" s="10" t="s">
        <v>877</v>
      </c>
      <c r="F1116" s="85" t="s">
        <v>1417</v>
      </c>
      <c r="G1116" s="110">
        <v>20</v>
      </c>
    </row>
    <row r="1117" ht="16.5" spans="1:7">
      <c r="A1117" s="81">
        <v>46195</v>
      </c>
      <c r="B1117" s="10" t="s">
        <v>35</v>
      </c>
      <c r="C1117" s="10" t="s">
        <v>91</v>
      </c>
      <c r="D1117" s="10" t="s">
        <v>90</v>
      </c>
      <c r="E1117" s="10" t="s">
        <v>877</v>
      </c>
      <c r="F1117" s="85" t="s">
        <v>940</v>
      </c>
      <c r="G1117" s="110">
        <v>15</v>
      </c>
    </row>
    <row r="1118" ht="16.5" spans="1:7">
      <c r="A1118" s="81">
        <v>46196</v>
      </c>
      <c r="B1118" s="10" t="s">
        <v>35</v>
      </c>
      <c r="C1118" s="10" t="s">
        <v>91</v>
      </c>
      <c r="D1118" s="10" t="s">
        <v>90</v>
      </c>
      <c r="E1118" s="10" t="s">
        <v>877</v>
      </c>
      <c r="F1118" s="85" t="s">
        <v>930</v>
      </c>
      <c r="G1118" s="110">
        <v>15</v>
      </c>
    </row>
    <row r="1119" ht="16.5" spans="1:7">
      <c r="A1119" s="87">
        <v>46194</v>
      </c>
      <c r="B1119" s="10" t="s">
        <v>35</v>
      </c>
      <c r="C1119" s="10" t="s">
        <v>91</v>
      </c>
      <c r="D1119" s="10" t="s">
        <v>90</v>
      </c>
      <c r="E1119" s="10" t="s">
        <v>877</v>
      </c>
      <c r="F1119" s="85" t="s">
        <v>1418</v>
      </c>
      <c r="G1119" s="110">
        <v>15</v>
      </c>
    </row>
    <row r="1120" ht="16.5" spans="1:7">
      <c r="A1120" s="87">
        <v>46195</v>
      </c>
      <c r="B1120" s="10" t="s">
        <v>29</v>
      </c>
      <c r="C1120" s="10" t="s">
        <v>70</v>
      </c>
      <c r="D1120" s="10" t="s">
        <v>69</v>
      </c>
      <c r="E1120" s="10" t="s">
        <v>877</v>
      </c>
      <c r="F1120" s="85" t="s">
        <v>1419</v>
      </c>
      <c r="G1120" s="110">
        <v>25</v>
      </c>
    </row>
    <row r="1121" ht="16.5" spans="1:7">
      <c r="A1121" s="87">
        <v>46196</v>
      </c>
      <c r="B1121" s="10" t="s">
        <v>35</v>
      </c>
      <c r="C1121" s="10" t="s">
        <v>70</v>
      </c>
      <c r="D1121" s="10" t="s">
        <v>69</v>
      </c>
      <c r="E1121" s="10" t="s">
        <v>877</v>
      </c>
      <c r="F1121" s="85" t="s">
        <v>1241</v>
      </c>
      <c r="G1121" s="110">
        <v>15</v>
      </c>
    </row>
    <row r="1122" ht="16.5" spans="1:7">
      <c r="A1122" s="87">
        <v>46195</v>
      </c>
      <c r="B1122" s="10" t="s">
        <v>35</v>
      </c>
      <c r="C1122" s="10" t="s">
        <v>70</v>
      </c>
      <c r="D1122" s="10" t="s">
        <v>69</v>
      </c>
      <c r="E1122" s="10" t="s">
        <v>877</v>
      </c>
      <c r="F1122" s="85" t="s">
        <v>922</v>
      </c>
      <c r="G1122" s="110">
        <v>10</v>
      </c>
    </row>
    <row r="1123" ht="16.5" spans="1:7">
      <c r="A1123" s="87">
        <v>46195</v>
      </c>
      <c r="B1123" s="10" t="s">
        <v>35</v>
      </c>
      <c r="C1123" s="10" t="s">
        <v>70</v>
      </c>
      <c r="D1123" s="10" t="s">
        <v>69</v>
      </c>
      <c r="E1123" s="10" t="s">
        <v>877</v>
      </c>
      <c r="F1123" s="85" t="s">
        <v>1420</v>
      </c>
      <c r="G1123" s="110">
        <v>2</v>
      </c>
    </row>
    <row r="1124" ht="16.5" spans="1:7">
      <c r="A1124" s="87">
        <v>46196</v>
      </c>
      <c r="B1124" s="10" t="s">
        <v>250</v>
      </c>
      <c r="C1124" s="10" t="s">
        <v>47</v>
      </c>
      <c r="D1124" s="10" t="s">
        <v>1273</v>
      </c>
      <c r="E1124" s="10" t="s">
        <v>877</v>
      </c>
      <c r="F1124" s="85" t="s">
        <v>1421</v>
      </c>
      <c r="G1124" s="110">
        <v>240</v>
      </c>
    </row>
    <row r="1125" ht="16.5" spans="1:7">
      <c r="A1125" s="87">
        <v>46195</v>
      </c>
      <c r="B1125" s="10" t="s">
        <v>29</v>
      </c>
      <c r="C1125" s="10" t="s">
        <v>76</v>
      </c>
      <c r="D1125" s="10" t="s">
        <v>75</v>
      </c>
      <c r="E1125" s="10" t="s">
        <v>877</v>
      </c>
      <c r="F1125" s="85" t="s">
        <v>1422</v>
      </c>
      <c r="G1125" s="110">
        <v>70</v>
      </c>
    </row>
    <row r="1126" ht="16.5" spans="1:7">
      <c r="A1126" s="87">
        <v>46196</v>
      </c>
      <c r="B1126" s="10" t="s">
        <v>35</v>
      </c>
      <c r="C1126" s="10" t="s">
        <v>76</v>
      </c>
      <c r="D1126" s="10" t="s">
        <v>75</v>
      </c>
      <c r="E1126" s="10" t="s">
        <v>877</v>
      </c>
      <c r="F1126" s="85" t="s">
        <v>1423</v>
      </c>
      <c r="G1126" s="110">
        <v>30</v>
      </c>
    </row>
    <row r="1127" ht="16.5" spans="1:7">
      <c r="A1127" s="87">
        <v>46196</v>
      </c>
      <c r="B1127" s="10" t="s">
        <v>35</v>
      </c>
      <c r="C1127" s="10" t="s">
        <v>76</v>
      </c>
      <c r="D1127" s="10" t="s">
        <v>75</v>
      </c>
      <c r="E1127" s="10" t="s">
        <v>877</v>
      </c>
      <c r="F1127" s="85" t="s">
        <v>902</v>
      </c>
      <c r="G1127" s="110">
        <v>10</v>
      </c>
    </row>
    <row r="1128" ht="16.5" spans="1:7">
      <c r="A1128" s="87">
        <v>46195</v>
      </c>
      <c r="B1128" s="10" t="s">
        <v>35</v>
      </c>
      <c r="C1128" s="10" t="s">
        <v>76</v>
      </c>
      <c r="D1128" s="10" t="s">
        <v>75</v>
      </c>
      <c r="E1128" s="10" t="s">
        <v>877</v>
      </c>
      <c r="F1128" s="85" t="s">
        <v>1424</v>
      </c>
      <c r="G1128" s="110">
        <v>15</v>
      </c>
    </row>
    <row r="1129" ht="16.5" spans="1:7">
      <c r="A1129" s="87">
        <v>46193</v>
      </c>
      <c r="B1129" s="10" t="s">
        <v>35</v>
      </c>
      <c r="C1129" s="10" t="s">
        <v>76</v>
      </c>
      <c r="D1129" s="10" t="s">
        <v>75</v>
      </c>
      <c r="E1129" s="10" t="s">
        <v>877</v>
      </c>
      <c r="F1129" s="85" t="s">
        <v>1425</v>
      </c>
      <c r="G1129" s="110">
        <v>4</v>
      </c>
    </row>
    <row r="1130" ht="16.5" spans="1:7">
      <c r="A1130" s="87">
        <v>46195</v>
      </c>
      <c r="B1130" s="10" t="s">
        <v>35</v>
      </c>
      <c r="C1130" s="10" t="s">
        <v>158</v>
      </c>
      <c r="D1130" s="10" t="s">
        <v>338</v>
      </c>
      <c r="E1130" s="10" t="s">
        <v>877</v>
      </c>
      <c r="F1130" s="85" t="s">
        <v>957</v>
      </c>
      <c r="G1130" s="110">
        <v>30</v>
      </c>
    </row>
    <row r="1131" ht="16.5" spans="1:7">
      <c r="A1131" s="87">
        <v>46194</v>
      </c>
      <c r="B1131" s="10" t="s">
        <v>35</v>
      </c>
      <c r="C1131" s="10" t="s">
        <v>158</v>
      </c>
      <c r="D1131" s="10" t="s">
        <v>338</v>
      </c>
      <c r="E1131" s="10" t="s">
        <v>877</v>
      </c>
      <c r="F1131" s="85" t="s">
        <v>1393</v>
      </c>
      <c r="G1131" s="110">
        <v>15</v>
      </c>
    </row>
    <row r="1132" ht="16.5" spans="1:7">
      <c r="A1132" s="87">
        <v>46194</v>
      </c>
      <c r="B1132" s="10" t="s">
        <v>35</v>
      </c>
      <c r="C1132" s="10" t="s">
        <v>158</v>
      </c>
      <c r="D1132" s="10" t="s">
        <v>338</v>
      </c>
      <c r="E1132" s="10" t="s">
        <v>877</v>
      </c>
      <c r="F1132" s="85" t="s">
        <v>930</v>
      </c>
      <c r="G1132" s="110">
        <v>15</v>
      </c>
    </row>
    <row r="1133" ht="16.5" spans="1:7">
      <c r="A1133" s="87">
        <v>46196</v>
      </c>
      <c r="B1133" s="10" t="s">
        <v>35</v>
      </c>
      <c r="C1133" s="10" t="s">
        <v>181</v>
      </c>
      <c r="D1133" s="10" t="s">
        <v>180</v>
      </c>
      <c r="E1133" s="10" t="s">
        <v>877</v>
      </c>
      <c r="F1133" s="85" t="s">
        <v>1426</v>
      </c>
      <c r="G1133" s="110">
        <v>30</v>
      </c>
    </row>
    <row r="1134" ht="16.5" spans="1:7">
      <c r="A1134" s="87">
        <v>46195</v>
      </c>
      <c r="B1134" s="10" t="s">
        <v>35</v>
      </c>
      <c r="C1134" s="10" t="s">
        <v>181</v>
      </c>
      <c r="D1134" s="10" t="s">
        <v>180</v>
      </c>
      <c r="E1134" s="10" t="s">
        <v>877</v>
      </c>
      <c r="F1134" s="85" t="s">
        <v>1005</v>
      </c>
      <c r="G1134" s="110">
        <v>20</v>
      </c>
    </row>
    <row r="1135" ht="16.5" spans="1:7">
      <c r="A1135" s="87">
        <v>46193</v>
      </c>
      <c r="B1135" s="10" t="s">
        <v>35</v>
      </c>
      <c r="C1135" s="10" t="s">
        <v>145</v>
      </c>
      <c r="D1135" s="10" t="s">
        <v>144</v>
      </c>
      <c r="E1135" s="10" t="s">
        <v>877</v>
      </c>
      <c r="F1135" s="85" t="s">
        <v>1137</v>
      </c>
      <c r="G1135" s="110">
        <v>15</v>
      </c>
    </row>
    <row r="1136" ht="16.5" spans="1:7">
      <c r="A1136" s="87">
        <v>46194</v>
      </c>
      <c r="B1136" s="10" t="s">
        <v>35</v>
      </c>
      <c r="C1136" s="10" t="s">
        <v>145</v>
      </c>
      <c r="D1136" s="10" t="s">
        <v>144</v>
      </c>
      <c r="E1136" s="10" t="s">
        <v>877</v>
      </c>
      <c r="F1136" s="85" t="s">
        <v>911</v>
      </c>
      <c r="G1136" s="110">
        <v>10</v>
      </c>
    </row>
    <row r="1137" ht="16.5" spans="1:7">
      <c r="A1137" s="87">
        <v>46195</v>
      </c>
      <c r="B1137" s="10" t="s">
        <v>35</v>
      </c>
      <c r="C1137" s="10" t="s">
        <v>145</v>
      </c>
      <c r="D1137" s="10" t="s">
        <v>144</v>
      </c>
      <c r="E1137" s="10" t="s">
        <v>877</v>
      </c>
      <c r="F1137" s="85" t="s">
        <v>1137</v>
      </c>
      <c r="G1137" s="110">
        <v>15</v>
      </c>
    </row>
    <row r="1138" ht="16.5" spans="1:7">
      <c r="A1138" s="87">
        <v>46195</v>
      </c>
      <c r="B1138" s="10" t="s">
        <v>35</v>
      </c>
      <c r="C1138" s="10" t="s">
        <v>145</v>
      </c>
      <c r="D1138" s="10" t="s">
        <v>144</v>
      </c>
      <c r="E1138" s="10" t="s">
        <v>877</v>
      </c>
      <c r="F1138" s="85" t="s">
        <v>911</v>
      </c>
      <c r="G1138" s="110">
        <v>10</v>
      </c>
    </row>
    <row r="1139" ht="16.5" spans="1:7">
      <c r="A1139" s="87">
        <v>46196</v>
      </c>
      <c r="B1139" s="10" t="s">
        <v>35</v>
      </c>
      <c r="C1139" s="10" t="s">
        <v>145</v>
      </c>
      <c r="D1139" s="10" t="s">
        <v>144</v>
      </c>
      <c r="E1139" s="10" t="s">
        <v>877</v>
      </c>
      <c r="F1139" s="85" t="s">
        <v>880</v>
      </c>
      <c r="G1139" s="110">
        <v>15</v>
      </c>
    </row>
    <row r="1140" ht="16.5" spans="1:7">
      <c r="A1140" s="87">
        <v>46196</v>
      </c>
      <c r="B1140" s="10" t="s">
        <v>35</v>
      </c>
      <c r="C1140" s="10" t="s">
        <v>187</v>
      </c>
      <c r="D1140" s="10" t="s">
        <v>186</v>
      </c>
      <c r="E1140" s="10" t="s">
        <v>877</v>
      </c>
      <c r="F1140" s="85" t="s">
        <v>1262</v>
      </c>
      <c r="G1140" s="110">
        <v>35</v>
      </c>
    </row>
    <row r="1141" ht="16.5" spans="1:7">
      <c r="A1141" s="87">
        <v>46196</v>
      </c>
      <c r="B1141" s="10" t="s">
        <v>35</v>
      </c>
      <c r="C1141" s="10" t="s">
        <v>187</v>
      </c>
      <c r="D1141" s="10" t="s">
        <v>186</v>
      </c>
      <c r="E1141" s="10" t="s">
        <v>877</v>
      </c>
      <c r="F1141" s="85" t="s">
        <v>1427</v>
      </c>
      <c r="G1141" s="110">
        <v>15</v>
      </c>
    </row>
    <row r="1142" ht="16.5" spans="1:7">
      <c r="A1142" s="87">
        <v>46194</v>
      </c>
      <c r="B1142" s="10" t="s">
        <v>35</v>
      </c>
      <c r="C1142" s="10" t="s">
        <v>187</v>
      </c>
      <c r="D1142" s="10" t="s">
        <v>186</v>
      </c>
      <c r="E1142" s="10" t="s">
        <v>877</v>
      </c>
      <c r="F1142" s="85" t="s">
        <v>1428</v>
      </c>
      <c r="G1142" s="110">
        <v>10</v>
      </c>
    </row>
    <row r="1143" ht="16.5" spans="1:7">
      <c r="A1143" s="87">
        <v>46196</v>
      </c>
      <c r="B1143" s="10" t="s">
        <v>35</v>
      </c>
      <c r="C1143" s="10" t="s">
        <v>187</v>
      </c>
      <c r="D1143" s="10" t="s">
        <v>186</v>
      </c>
      <c r="E1143" s="10" t="s">
        <v>877</v>
      </c>
      <c r="F1143" s="85" t="s">
        <v>1429</v>
      </c>
      <c r="G1143" s="110">
        <v>8</v>
      </c>
    </row>
    <row r="1144" ht="16.5" spans="1:7">
      <c r="A1144" s="87">
        <v>46196</v>
      </c>
      <c r="B1144" s="10" t="s">
        <v>35</v>
      </c>
      <c r="C1144" s="10" t="s">
        <v>187</v>
      </c>
      <c r="D1144" s="10" t="s">
        <v>186</v>
      </c>
      <c r="E1144" s="10" t="s">
        <v>877</v>
      </c>
      <c r="F1144" s="85" t="s">
        <v>1132</v>
      </c>
      <c r="G1144" s="110">
        <v>20</v>
      </c>
    </row>
    <row r="1145" ht="16.5" spans="1:7">
      <c r="A1145" s="87">
        <v>46196</v>
      </c>
      <c r="B1145" s="10" t="s">
        <v>35</v>
      </c>
      <c r="C1145" s="10" t="s">
        <v>170</v>
      </c>
      <c r="D1145" s="10" t="s">
        <v>339</v>
      </c>
      <c r="E1145" s="10" t="s">
        <v>877</v>
      </c>
      <c r="F1145" s="85" t="s">
        <v>1430</v>
      </c>
      <c r="G1145" s="110">
        <v>10</v>
      </c>
    </row>
    <row r="1146" ht="16.5" spans="1:7">
      <c r="A1146" s="87">
        <v>46195</v>
      </c>
      <c r="B1146" s="10" t="s">
        <v>35</v>
      </c>
      <c r="C1146" s="10" t="s">
        <v>170</v>
      </c>
      <c r="D1146" s="10" t="s">
        <v>339</v>
      </c>
      <c r="E1146" s="10" t="s">
        <v>877</v>
      </c>
      <c r="F1146" s="85" t="s">
        <v>1431</v>
      </c>
      <c r="G1146" s="110">
        <v>10</v>
      </c>
    </row>
    <row r="1147" ht="16.5" spans="1:7">
      <c r="A1147" s="87">
        <v>46196</v>
      </c>
      <c r="B1147" s="10" t="s">
        <v>35</v>
      </c>
      <c r="C1147" s="10" t="s">
        <v>170</v>
      </c>
      <c r="D1147" s="10" t="s">
        <v>339</v>
      </c>
      <c r="E1147" s="10" t="s">
        <v>877</v>
      </c>
      <c r="F1147" s="85" t="s">
        <v>880</v>
      </c>
      <c r="G1147" s="110">
        <v>15</v>
      </c>
    </row>
    <row r="1148" ht="16.5" spans="1:7">
      <c r="A1148" s="87">
        <v>46196</v>
      </c>
      <c r="B1148" s="10" t="s">
        <v>35</v>
      </c>
      <c r="C1148" s="10" t="s">
        <v>149</v>
      </c>
      <c r="D1148" s="10" t="s">
        <v>148</v>
      </c>
      <c r="E1148" s="10" t="s">
        <v>877</v>
      </c>
      <c r="F1148" s="85" t="s">
        <v>1278</v>
      </c>
      <c r="G1148" s="110">
        <v>15</v>
      </c>
    </row>
    <row r="1149" ht="16.5" spans="1:7">
      <c r="A1149" s="87">
        <v>46196</v>
      </c>
      <c r="B1149" s="10" t="s">
        <v>35</v>
      </c>
      <c r="C1149" s="10" t="s">
        <v>149</v>
      </c>
      <c r="D1149" s="10" t="s">
        <v>148</v>
      </c>
      <c r="E1149" s="10" t="s">
        <v>877</v>
      </c>
      <c r="F1149" s="85" t="s">
        <v>1277</v>
      </c>
      <c r="G1149" s="110">
        <v>15</v>
      </c>
    </row>
    <row r="1150" ht="16.5" spans="1:7">
      <c r="A1150" s="87">
        <v>46195</v>
      </c>
      <c r="B1150" s="10" t="s">
        <v>35</v>
      </c>
      <c r="C1150" s="10" t="s">
        <v>149</v>
      </c>
      <c r="D1150" s="10" t="s">
        <v>148</v>
      </c>
      <c r="E1150" s="10" t="s">
        <v>877</v>
      </c>
      <c r="F1150" s="85" t="s">
        <v>1432</v>
      </c>
      <c r="G1150" s="110">
        <v>15</v>
      </c>
    </row>
    <row r="1151" ht="16.5" spans="1:7">
      <c r="A1151" s="87">
        <v>46196</v>
      </c>
      <c r="B1151" s="10" t="s">
        <v>35</v>
      </c>
      <c r="C1151" s="10" t="s">
        <v>149</v>
      </c>
      <c r="D1151" s="10" t="s">
        <v>148</v>
      </c>
      <c r="E1151" s="10" t="s">
        <v>877</v>
      </c>
      <c r="F1151" s="85" t="s">
        <v>932</v>
      </c>
      <c r="G1151" s="110">
        <v>20</v>
      </c>
    </row>
    <row r="1152" ht="16.5" spans="1:7">
      <c r="A1152" s="87">
        <v>46196</v>
      </c>
      <c r="B1152" s="10" t="s">
        <v>253</v>
      </c>
      <c r="C1152" s="10" t="s">
        <v>330</v>
      </c>
      <c r="D1152" s="10" t="s">
        <v>198</v>
      </c>
      <c r="E1152" s="10" t="s">
        <v>877</v>
      </c>
      <c r="F1152" s="85" t="s">
        <v>1433</v>
      </c>
      <c r="G1152" s="110">
        <v>200</v>
      </c>
    </row>
    <row r="1153" ht="16.5" spans="1:7">
      <c r="A1153" s="87">
        <v>46196</v>
      </c>
      <c r="B1153" s="10" t="s">
        <v>249</v>
      </c>
      <c r="C1153" s="10" t="s">
        <v>330</v>
      </c>
      <c r="D1153" s="10" t="s">
        <v>198</v>
      </c>
      <c r="E1153" s="10" t="s">
        <v>877</v>
      </c>
      <c r="F1153" s="85" t="s">
        <v>1414</v>
      </c>
      <c r="G1153" s="110">
        <v>200</v>
      </c>
    </row>
    <row r="1154" ht="16.5" spans="1:7">
      <c r="A1154" s="87">
        <v>46190</v>
      </c>
      <c r="B1154" s="10" t="s">
        <v>35</v>
      </c>
      <c r="C1154" s="10" t="s">
        <v>193</v>
      </c>
      <c r="D1154" s="10" t="s">
        <v>192</v>
      </c>
      <c r="E1154" s="10" t="s">
        <v>877</v>
      </c>
      <c r="F1154" s="85" t="s">
        <v>1434</v>
      </c>
      <c r="G1154" s="110">
        <v>15</v>
      </c>
    </row>
    <row r="1155" ht="16.5" spans="1:7">
      <c r="A1155" s="87">
        <v>46193</v>
      </c>
      <c r="B1155" s="10" t="s">
        <v>35</v>
      </c>
      <c r="C1155" s="10" t="s">
        <v>193</v>
      </c>
      <c r="D1155" s="10" t="s">
        <v>192</v>
      </c>
      <c r="E1155" s="10" t="s">
        <v>877</v>
      </c>
      <c r="F1155" s="85" t="s">
        <v>1434</v>
      </c>
      <c r="G1155" s="110">
        <v>15</v>
      </c>
    </row>
    <row r="1156" ht="16.5" spans="1:7">
      <c r="A1156" s="87">
        <v>46194</v>
      </c>
      <c r="B1156" s="10" t="s">
        <v>35</v>
      </c>
      <c r="C1156" s="10" t="s">
        <v>193</v>
      </c>
      <c r="D1156" s="10" t="s">
        <v>192</v>
      </c>
      <c r="E1156" s="10" t="s">
        <v>877</v>
      </c>
      <c r="F1156" s="85" t="s">
        <v>1434</v>
      </c>
      <c r="G1156" s="110">
        <v>15</v>
      </c>
    </row>
    <row r="1157" spans="1:7">
      <c r="A1157" s="402"/>
      <c r="B1157" s="10" t="s">
        <v>250</v>
      </c>
      <c r="C1157" s="10" t="s">
        <v>894</v>
      </c>
      <c r="D1157" s="10" t="s">
        <v>1255</v>
      </c>
      <c r="E1157" s="10" t="s">
        <v>877</v>
      </c>
      <c r="F1157" s="85" t="s">
        <v>1435</v>
      </c>
      <c r="G1157" s="110">
        <v>37.06</v>
      </c>
    </row>
    <row r="1158" spans="1:7">
      <c r="A1158" s="402"/>
      <c r="B1158" s="10" t="s">
        <v>250</v>
      </c>
      <c r="C1158" s="10" t="s">
        <v>894</v>
      </c>
      <c r="D1158" s="10" t="s">
        <v>1255</v>
      </c>
      <c r="E1158" s="10" t="s">
        <v>877</v>
      </c>
      <c r="F1158" s="85" t="s">
        <v>1436</v>
      </c>
      <c r="G1158" s="110">
        <v>45.39</v>
      </c>
    </row>
    <row r="1159" ht="16.5" spans="1:7">
      <c r="A1159" s="81">
        <v>46193</v>
      </c>
      <c r="B1159" s="82" t="s">
        <v>35</v>
      </c>
      <c r="C1159" s="10" t="s">
        <v>79</v>
      </c>
      <c r="D1159" s="83" t="s">
        <v>78</v>
      </c>
      <c r="E1159" s="82" t="s">
        <v>877</v>
      </c>
      <c r="F1159" s="85" t="s">
        <v>1109</v>
      </c>
      <c r="G1159" s="86">
        <v>15</v>
      </c>
    </row>
    <row r="1160" ht="16.5" spans="1:7">
      <c r="A1160" s="81">
        <v>46193</v>
      </c>
      <c r="B1160" s="82" t="s">
        <v>35</v>
      </c>
      <c r="C1160" s="10" t="s">
        <v>79</v>
      </c>
      <c r="D1160" s="83" t="s">
        <v>78</v>
      </c>
      <c r="E1160" s="82" t="s">
        <v>877</v>
      </c>
      <c r="F1160" s="85" t="s">
        <v>998</v>
      </c>
      <c r="G1160" s="86">
        <v>10</v>
      </c>
    </row>
    <row r="1161" ht="16.5" spans="1:7">
      <c r="A1161" s="81">
        <v>46194</v>
      </c>
      <c r="B1161" s="82" t="s">
        <v>35</v>
      </c>
      <c r="C1161" s="10" t="s">
        <v>79</v>
      </c>
      <c r="D1161" s="83" t="s">
        <v>78</v>
      </c>
      <c r="E1161" s="82" t="s">
        <v>877</v>
      </c>
      <c r="F1161" s="85" t="s">
        <v>998</v>
      </c>
      <c r="G1161" s="86">
        <v>10</v>
      </c>
    </row>
    <row r="1162" ht="16.5" spans="1:7">
      <c r="A1162" s="81">
        <v>46196</v>
      </c>
      <c r="B1162" s="82" t="s">
        <v>35</v>
      </c>
      <c r="C1162" s="10" t="s">
        <v>79</v>
      </c>
      <c r="D1162" s="83" t="s">
        <v>78</v>
      </c>
      <c r="E1162" s="82" t="s">
        <v>877</v>
      </c>
      <c r="F1162" s="85" t="s">
        <v>1109</v>
      </c>
      <c r="G1162" s="86">
        <v>15</v>
      </c>
    </row>
    <row r="1163" ht="16.5" spans="1:7">
      <c r="A1163" s="81">
        <v>46194</v>
      </c>
      <c r="B1163" s="82" t="s">
        <v>245</v>
      </c>
      <c r="C1163" s="10" t="s">
        <v>79</v>
      </c>
      <c r="D1163" s="83" t="s">
        <v>78</v>
      </c>
      <c r="E1163" s="82" t="s">
        <v>877</v>
      </c>
      <c r="F1163" s="85" t="s">
        <v>1437</v>
      </c>
      <c r="G1163" s="86">
        <v>50</v>
      </c>
    </row>
    <row r="1164" ht="16.5" spans="1:7">
      <c r="A1164" s="81">
        <v>46197</v>
      </c>
      <c r="B1164" s="82" t="s">
        <v>35</v>
      </c>
      <c r="C1164" s="10" t="s">
        <v>136</v>
      </c>
      <c r="D1164" s="83" t="s">
        <v>135</v>
      </c>
      <c r="E1164" s="82" t="s">
        <v>877</v>
      </c>
      <c r="F1164" s="85" t="s">
        <v>1438</v>
      </c>
      <c r="G1164" s="86">
        <v>19</v>
      </c>
    </row>
    <row r="1165" ht="16.5" spans="1:7">
      <c r="A1165" s="81">
        <v>46196</v>
      </c>
      <c r="B1165" s="82" t="s">
        <v>35</v>
      </c>
      <c r="C1165" s="10" t="s">
        <v>136</v>
      </c>
      <c r="D1165" s="83" t="s">
        <v>135</v>
      </c>
      <c r="E1165" s="82" t="s">
        <v>877</v>
      </c>
      <c r="F1165" s="4" t="s">
        <v>889</v>
      </c>
      <c r="G1165" s="86">
        <v>20</v>
      </c>
    </row>
    <row r="1166" ht="16.5" spans="1:7">
      <c r="A1166" s="81">
        <v>46196</v>
      </c>
      <c r="B1166" s="82" t="s">
        <v>35</v>
      </c>
      <c r="C1166" s="10" t="s">
        <v>136</v>
      </c>
      <c r="D1166" s="83" t="s">
        <v>135</v>
      </c>
      <c r="E1166" s="82" t="s">
        <v>877</v>
      </c>
      <c r="F1166" s="85" t="s">
        <v>1214</v>
      </c>
      <c r="G1166" s="86">
        <v>15</v>
      </c>
    </row>
    <row r="1167" ht="16.5" spans="1:7">
      <c r="A1167" s="81">
        <v>46195</v>
      </c>
      <c r="B1167" s="82" t="s">
        <v>35</v>
      </c>
      <c r="C1167" s="10" t="s">
        <v>136</v>
      </c>
      <c r="D1167" s="83" t="s">
        <v>135</v>
      </c>
      <c r="E1167" s="82" t="s">
        <v>877</v>
      </c>
      <c r="F1167" s="85" t="s">
        <v>1439</v>
      </c>
      <c r="G1167" s="86">
        <v>15</v>
      </c>
    </row>
    <row r="1168" ht="16.5" spans="1:7">
      <c r="A1168" s="81">
        <v>46195</v>
      </c>
      <c r="B1168" s="82" t="s">
        <v>35</v>
      </c>
      <c r="C1168" s="10" t="s">
        <v>136</v>
      </c>
      <c r="D1168" s="83" t="s">
        <v>135</v>
      </c>
      <c r="E1168" s="82" t="s">
        <v>877</v>
      </c>
      <c r="F1168" s="85" t="s">
        <v>1140</v>
      </c>
      <c r="G1168" s="86">
        <v>15</v>
      </c>
    </row>
    <row r="1169" ht="16.5" spans="1:7">
      <c r="A1169" s="81">
        <v>46196</v>
      </c>
      <c r="B1169" s="82" t="s">
        <v>35</v>
      </c>
      <c r="C1169" s="10" t="s">
        <v>79</v>
      </c>
      <c r="D1169" s="83" t="s">
        <v>78</v>
      </c>
      <c r="E1169" s="82" t="s">
        <v>877</v>
      </c>
      <c r="F1169" s="105" t="s">
        <v>902</v>
      </c>
      <c r="G1169" s="86">
        <v>10</v>
      </c>
    </row>
    <row r="1170" ht="16.5" spans="1:7">
      <c r="A1170" s="81">
        <v>46197</v>
      </c>
      <c r="B1170" s="82" t="s">
        <v>35</v>
      </c>
      <c r="C1170" s="10" t="s">
        <v>79</v>
      </c>
      <c r="D1170" s="83" t="s">
        <v>78</v>
      </c>
      <c r="E1170" s="82" t="s">
        <v>877</v>
      </c>
      <c r="F1170" s="105" t="s">
        <v>1109</v>
      </c>
      <c r="G1170" s="86">
        <v>15</v>
      </c>
    </row>
    <row r="1171" ht="16.5" spans="1:7">
      <c r="A1171" s="113">
        <v>46197</v>
      </c>
      <c r="B1171" s="82" t="s">
        <v>35</v>
      </c>
      <c r="C1171" s="10" t="s">
        <v>79</v>
      </c>
      <c r="D1171" s="83" t="s">
        <v>78</v>
      </c>
      <c r="E1171" s="82" t="s">
        <v>877</v>
      </c>
      <c r="F1171" s="105" t="s">
        <v>880</v>
      </c>
      <c r="G1171" s="114">
        <v>15</v>
      </c>
    </row>
    <row r="1172" ht="16.5" spans="1:7">
      <c r="A1172" s="81">
        <v>46196</v>
      </c>
      <c r="B1172" s="82" t="s">
        <v>35</v>
      </c>
      <c r="C1172" s="10" t="s">
        <v>100</v>
      </c>
      <c r="D1172" s="83" t="s">
        <v>99</v>
      </c>
      <c r="E1172" s="82" t="s">
        <v>877</v>
      </c>
      <c r="F1172" s="399" t="s">
        <v>940</v>
      </c>
      <c r="G1172" s="86">
        <v>15</v>
      </c>
    </row>
    <row r="1173" ht="16.5" spans="1:7">
      <c r="A1173" s="81">
        <v>46196</v>
      </c>
      <c r="B1173" s="82" t="s">
        <v>35</v>
      </c>
      <c r="C1173" s="10" t="s">
        <v>100</v>
      </c>
      <c r="D1173" s="83" t="s">
        <v>99</v>
      </c>
      <c r="E1173" s="82" t="s">
        <v>877</v>
      </c>
      <c r="F1173" s="104" t="s">
        <v>1339</v>
      </c>
      <c r="G1173" s="86">
        <v>15</v>
      </c>
    </row>
    <row r="1174" ht="16.5" spans="1:7">
      <c r="A1174" s="81">
        <v>46197</v>
      </c>
      <c r="B1174" s="82" t="s">
        <v>35</v>
      </c>
      <c r="C1174" s="10" t="s">
        <v>100</v>
      </c>
      <c r="D1174" s="83" t="s">
        <v>99</v>
      </c>
      <c r="E1174" s="82" t="s">
        <v>877</v>
      </c>
      <c r="F1174" s="105" t="s">
        <v>1417</v>
      </c>
      <c r="G1174" s="86">
        <v>20</v>
      </c>
    </row>
    <row r="1175" ht="16.5" spans="1:7">
      <c r="A1175" s="81">
        <v>46197</v>
      </c>
      <c r="B1175" s="82" t="s">
        <v>35</v>
      </c>
      <c r="C1175" s="10" t="s">
        <v>100</v>
      </c>
      <c r="D1175" s="83" t="s">
        <v>99</v>
      </c>
      <c r="E1175" s="82" t="s">
        <v>877</v>
      </c>
      <c r="F1175" s="105" t="s">
        <v>1440</v>
      </c>
      <c r="G1175" s="86">
        <v>20</v>
      </c>
    </row>
    <row r="1176" ht="16.5" spans="1:7">
      <c r="A1176" s="81">
        <v>46197</v>
      </c>
      <c r="B1176" s="401" t="s">
        <v>35</v>
      </c>
      <c r="C1176" s="10" t="s">
        <v>67</v>
      </c>
      <c r="D1176" s="83" t="s">
        <v>66</v>
      </c>
      <c r="E1176" s="82" t="s">
        <v>877</v>
      </c>
      <c r="F1176" s="105" t="s">
        <v>880</v>
      </c>
      <c r="G1176" s="86">
        <v>15</v>
      </c>
    </row>
    <row r="1177" ht="16.5" spans="1:7">
      <c r="A1177" s="81">
        <v>46197</v>
      </c>
      <c r="B1177" s="401" t="s">
        <v>35</v>
      </c>
      <c r="C1177" s="10" t="s">
        <v>67</v>
      </c>
      <c r="D1177" s="83" t="s">
        <v>66</v>
      </c>
      <c r="E1177" s="82" t="s">
        <v>877</v>
      </c>
      <c r="F1177" s="10" t="s">
        <v>907</v>
      </c>
      <c r="G1177" s="86">
        <v>15</v>
      </c>
    </row>
    <row r="1178" ht="16.5" spans="1:7">
      <c r="A1178" s="81">
        <v>46197</v>
      </c>
      <c r="B1178" s="401" t="s">
        <v>35</v>
      </c>
      <c r="C1178" s="10" t="s">
        <v>67</v>
      </c>
      <c r="D1178" s="83" t="s">
        <v>66</v>
      </c>
      <c r="E1178" s="82" t="s">
        <v>877</v>
      </c>
      <c r="F1178" s="85" t="s">
        <v>904</v>
      </c>
      <c r="G1178" s="86">
        <v>10</v>
      </c>
    </row>
    <row r="1179" ht="16.5" spans="1:7">
      <c r="A1179" s="81">
        <v>46197</v>
      </c>
      <c r="B1179" s="82" t="s">
        <v>35</v>
      </c>
      <c r="C1179" s="10" t="s">
        <v>115</v>
      </c>
      <c r="D1179" s="83" t="s">
        <v>114</v>
      </c>
      <c r="E1179" s="82" t="s">
        <v>877</v>
      </c>
      <c r="F1179" s="85" t="s">
        <v>902</v>
      </c>
      <c r="G1179" s="86">
        <v>10</v>
      </c>
    </row>
    <row r="1180" ht="16.5" spans="1:7">
      <c r="A1180" s="81">
        <v>46197</v>
      </c>
      <c r="B1180" s="82" t="s">
        <v>35</v>
      </c>
      <c r="C1180" s="10" t="s">
        <v>115</v>
      </c>
      <c r="D1180" s="83" t="s">
        <v>114</v>
      </c>
      <c r="E1180" s="82" t="s">
        <v>877</v>
      </c>
      <c r="F1180" s="85" t="s">
        <v>908</v>
      </c>
      <c r="G1180" s="86">
        <v>15</v>
      </c>
    </row>
    <row r="1181" ht="16.5" spans="1:7">
      <c r="A1181" s="81">
        <v>46197</v>
      </c>
      <c r="B1181" s="82" t="s">
        <v>35</v>
      </c>
      <c r="C1181" s="10" t="s">
        <v>55</v>
      </c>
      <c r="D1181" s="83" t="s">
        <v>54</v>
      </c>
      <c r="E1181" s="82" t="s">
        <v>877</v>
      </c>
      <c r="F1181" s="85" t="s">
        <v>1223</v>
      </c>
      <c r="G1181" s="86">
        <v>10</v>
      </c>
    </row>
    <row r="1182" ht="16.5" spans="1:7">
      <c r="A1182" s="81">
        <v>46196</v>
      </c>
      <c r="B1182" s="82" t="s">
        <v>29</v>
      </c>
      <c r="C1182" s="10" t="s">
        <v>55</v>
      </c>
      <c r="D1182" s="83" t="s">
        <v>54</v>
      </c>
      <c r="E1182" s="82" t="s">
        <v>877</v>
      </c>
      <c r="F1182" s="106" t="s">
        <v>1441</v>
      </c>
      <c r="G1182" s="86">
        <v>50</v>
      </c>
    </row>
    <row r="1183" ht="16.5" spans="1:7">
      <c r="A1183" s="81">
        <v>46196</v>
      </c>
      <c r="B1183" s="82" t="s">
        <v>35</v>
      </c>
      <c r="C1183" s="10" t="s">
        <v>55</v>
      </c>
      <c r="D1183" s="83" t="s">
        <v>54</v>
      </c>
      <c r="E1183" s="82" t="s">
        <v>877</v>
      </c>
      <c r="F1183" s="85" t="s">
        <v>1442</v>
      </c>
      <c r="G1183" s="86">
        <v>2</v>
      </c>
    </row>
    <row r="1184" ht="16.5" spans="1:7">
      <c r="A1184" s="81">
        <v>46197</v>
      </c>
      <c r="B1184" s="82" t="s">
        <v>35</v>
      </c>
      <c r="C1184" s="10" t="s">
        <v>139</v>
      </c>
      <c r="D1184" s="83" t="s">
        <v>138</v>
      </c>
      <c r="E1184" s="82" t="s">
        <v>877</v>
      </c>
      <c r="F1184" s="85" t="s">
        <v>1443</v>
      </c>
      <c r="G1184" s="86">
        <v>35</v>
      </c>
    </row>
    <row r="1185" ht="16.5" spans="1:7">
      <c r="A1185" s="81">
        <v>46196</v>
      </c>
      <c r="B1185" s="82" t="s">
        <v>35</v>
      </c>
      <c r="C1185" s="10" t="s">
        <v>139</v>
      </c>
      <c r="D1185" s="83" t="s">
        <v>138</v>
      </c>
      <c r="E1185" s="82" t="s">
        <v>877</v>
      </c>
      <c r="F1185" s="85" t="s">
        <v>1059</v>
      </c>
      <c r="G1185" s="86">
        <v>15</v>
      </c>
    </row>
    <row r="1186" ht="16.5" spans="1:7">
      <c r="A1186" s="81">
        <v>46197</v>
      </c>
      <c r="B1186" s="82" t="s">
        <v>35</v>
      </c>
      <c r="C1186" s="10" t="s">
        <v>139</v>
      </c>
      <c r="D1186" s="83" t="s">
        <v>138</v>
      </c>
      <c r="E1186" s="82" t="s">
        <v>877</v>
      </c>
      <c r="F1186" s="85" t="s">
        <v>1132</v>
      </c>
      <c r="G1186" s="86">
        <v>20</v>
      </c>
    </row>
    <row r="1187" ht="16.5" spans="1:7">
      <c r="A1187" s="81">
        <v>46196</v>
      </c>
      <c r="B1187" s="82" t="s">
        <v>35</v>
      </c>
      <c r="C1187" s="10" t="s">
        <v>103</v>
      </c>
      <c r="D1187" s="83" t="s">
        <v>102</v>
      </c>
      <c r="E1187" s="82" t="s">
        <v>877</v>
      </c>
      <c r="F1187" s="85" t="s">
        <v>1264</v>
      </c>
      <c r="G1187" s="86">
        <v>30</v>
      </c>
    </row>
    <row r="1188" ht="16.5" spans="1:7">
      <c r="A1188" s="81">
        <v>46197</v>
      </c>
      <c r="B1188" s="82" t="s">
        <v>35</v>
      </c>
      <c r="C1188" s="10" t="s">
        <v>103</v>
      </c>
      <c r="D1188" s="83" t="s">
        <v>102</v>
      </c>
      <c r="E1188" s="82" t="s">
        <v>877</v>
      </c>
      <c r="F1188" s="85" t="s">
        <v>889</v>
      </c>
      <c r="G1188" s="86">
        <v>20</v>
      </c>
    </row>
    <row r="1189" ht="16.5" spans="1:7">
      <c r="A1189" s="81">
        <v>46194</v>
      </c>
      <c r="B1189" s="82" t="s">
        <v>35</v>
      </c>
      <c r="C1189" s="10" t="s">
        <v>103</v>
      </c>
      <c r="D1189" s="83" t="s">
        <v>102</v>
      </c>
      <c r="E1189" s="82" t="s">
        <v>877</v>
      </c>
      <c r="F1189" s="85" t="s">
        <v>1444</v>
      </c>
      <c r="G1189" s="86">
        <v>2</v>
      </c>
    </row>
    <row r="1190" ht="16.5" spans="1:7">
      <c r="A1190" s="81">
        <v>46196</v>
      </c>
      <c r="B1190" s="82" t="s">
        <v>29</v>
      </c>
      <c r="C1190" s="10" t="s">
        <v>58</v>
      </c>
      <c r="D1190" s="83" t="s">
        <v>57</v>
      </c>
      <c r="E1190" s="82" t="s">
        <v>877</v>
      </c>
      <c r="F1190" s="85" t="s">
        <v>1445</v>
      </c>
      <c r="G1190" s="86">
        <v>150</v>
      </c>
    </row>
    <row r="1191" ht="16.5" spans="1:7">
      <c r="A1191" s="81">
        <v>46197</v>
      </c>
      <c r="B1191" s="82" t="s">
        <v>35</v>
      </c>
      <c r="C1191" s="10" t="s">
        <v>58</v>
      </c>
      <c r="D1191" s="83" t="s">
        <v>57</v>
      </c>
      <c r="E1191" s="82" t="s">
        <v>877</v>
      </c>
      <c r="F1191" s="85" t="s">
        <v>1415</v>
      </c>
      <c r="G1191" s="86">
        <v>20</v>
      </c>
    </row>
    <row r="1192" ht="16.5" spans="1:7">
      <c r="A1192" s="81">
        <v>46195</v>
      </c>
      <c r="B1192" s="82" t="s">
        <v>35</v>
      </c>
      <c r="C1192" s="10" t="s">
        <v>58</v>
      </c>
      <c r="D1192" s="83" t="s">
        <v>57</v>
      </c>
      <c r="E1192" s="82" t="s">
        <v>877</v>
      </c>
      <c r="F1192" s="85" t="s">
        <v>1140</v>
      </c>
      <c r="G1192" s="86">
        <v>15</v>
      </c>
    </row>
    <row r="1193" ht="16.5" spans="1:7">
      <c r="A1193" s="81">
        <v>46196</v>
      </c>
      <c r="B1193" s="82" t="s">
        <v>35</v>
      </c>
      <c r="C1193" s="10" t="s">
        <v>58</v>
      </c>
      <c r="D1193" s="83" t="s">
        <v>57</v>
      </c>
      <c r="E1193" s="82" t="s">
        <v>877</v>
      </c>
      <c r="F1193" s="85" t="s">
        <v>957</v>
      </c>
      <c r="G1193" s="86">
        <v>30</v>
      </c>
    </row>
    <row r="1194" ht="16.5" spans="1:7">
      <c r="A1194" s="87">
        <v>46197</v>
      </c>
      <c r="B1194" s="82" t="s">
        <v>35</v>
      </c>
      <c r="C1194" s="10" t="s">
        <v>58</v>
      </c>
      <c r="D1194" s="83" t="s">
        <v>57</v>
      </c>
      <c r="E1194" s="82" t="s">
        <v>877</v>
      </c>
      <c r="F1194" s="85" t="s">
        <v>889</v>
      </c>
      <c r="G1194" s="86">
        <v>20</v>
      </c>
    </row>
    <row r="1195" ht="16.5" spans="1:7">
      <c r="A1195" s="81">
        <v>46195</v>
      </c>
      <c r="B1195" s="82" t="s">
        <v>35</v>
      </c>
      <c r="C1195" s="10" t="s">
        <v>58</v>
      </c>
      <c r="D1195" s="83" t="s">
        <v>57</v>
      </c>
      <c r="E1195" s="82" t="s">
        <v>877</v>
      </c>
      <c r="F1195" s="85" t="s">
        <v>1446</v>
      </c>
      <c r="G1195" s="86">
        <v>5</v>
      </c>
    </row>
    <row r="1196" ht="16.5" spans="1:7">
      <c r="A1196" s="81">
        <v>46194</v>
      </c>
      <c r="B1196" s="82" t="s">
        <v>29</v>
      </c>
      <c r="C1196" s="10" t="s">
        <v>128</v>
      </c>
      <c r="D1196" s="83" t="s">
        <v>127</v>
      </c>
      <c r="E1196" s="82" t="s">
        <v>877</v>
      </c>
      <c r="F1196" s="85" t="s">
        <v>1447</v>
      </c>
      <c r="G1196" s="86">
        <v>60</v>
      </c>
    </row>
    <row r="1197" ht="16.5" spans="1:7">
      <c r="A1197" s="81">
        <v>46195</v>
      </c>
      <c r="B1197" s="82" t="s">
        <v>253</v>
      </c>
      <c r="C1197" s="10" t="s">
        <v>128</v>
      </c>
      <c r="D1197" s="83" t="s">
        <v>127</v>
      </c>
      <c r="E1197" s="82" t="s">
        <v>877</v>
      </c>
      <c r="F1197" s="85" t="s">
        <v>1448</v>
      </c>
      <c r="G1197" s="86">
        <v>20</v>
      </c>
    </row>
    <row r="1198" ht="16.5" spans="1:7">
      <c r="A1198" s="81">
        <v>46197</v>
      </c>
      <c r="B1198" s="82" t="s">
        <v>245</v>
      </c>
      <c r="C1198" s="10" t="s">
        <v>128</v>
      </c>
      <c r="D1198" s="83" t="s">
        <v>127</v>
      </c>
      <c r="E1198" s="82" t="s">
        <v>877</v>
      </c>
      <c r="F1198" s="85" t="s">
        <v>1449</v>
      </c>
      <c r="G1198" s="86">
        <v>100.26</v>
      </c>
    </row>
    <row r="1199" ht="16.5" spans="1:7">
      <c r="A1199" s="81">
        <v>46195</v>
      </c>
      <c r="B1199" s="82" t="s">
        <v>35</v>
      </c>
      <c r="C1199" s="10" t="s">
        <v>128</v>
      </c>
      <c r="D1199" s="83" t="s">
        <v>127</v>
      </c>
      <c r="E1199" s="82" t="s">
        <v>877</v>
      </c>
      <c r="F1199" s="85" t="s">
        <v>1450</v>
      </c>
      <c r="G1199" s="86">
        <v>10</v>
      </c>
    </row>
    <row r="1200" ht="16.5" spans="1:7">
      <c r="A1200" s="81">
        <v>46197</v>
      </c>
      <c r="B1200" s="82" t="s">
        <v>35</v>
      </c>
      <c r="C1200" s="10" t="s">
        <v>128</v>
      </c>
      <c r="D1200" s="83" t="s">
        <v>127</v>
      </c>
      <c r="E1200" s="82" t="s">
        <v>877</v>
      </c>
      <c r="F1200" s="85" t="s">
        <v>930</v>
      </c>
      <c r="G1200" s="86">
        <v>15</v>
      </c>
    </row>
    <row r="1201" ht="16.5" spans="1:7">
      <c r="A1201" s="81">
        <v>46197</v>
      </c>
      <c r="B1201" s="82" t="s">
        <v>35</v>
      </c>
      <c r="C1201" s="10" t="s">
        <v>128</v>
      </c>
      <c r="D1201" s="83" t="s">
        <v>127</v>
      </c>
      <c r="E1201" s="82" t="s">
        <v>877</v>
      </c>
      <c r="F1201" s="85" t="s">
        <v>1451</v>
      </c>
      <c r="G1201" s="86">
        <v>30</v>
      </c>
    </row>
    <row r="1202" ht="16.5" spans="1:7">
      <c r="A1202" s="81">
        <v>46196</v>
      </c>
      <c r="B1202" s="82" t="s">
        <v>35</v>
      </c>
      <c r="C1202" s="10" t="s">
        <v>128</v>
      </c>
      <c r="D1202" s="83" t="s">
        <v>127</v>
      </c>
      <c r="E1202" s="82" t="s">
        <v>877</v>
      </c>
      <c r="F1202" s="85" t="s">
        <v>1214</v>
      </c>
      <c r="G1202" s="86">
        <v>15</v>
      </c>
    </row>
    <row r="1203" ht="16.5" spans="1:7">
      <c r="A1203" s="81">
        <v>46194</v>
      </c>
      <c r="B1203" s="82" t="s">
        <v>35</v>
      </c>
      <c r="C1203" s="10" t="s">
        <v>128</v>
      </c>
      <c r="D1203" s="83" t="s">
        <v>127</v>
      </c>
      <c r="E1203" s="82" t="s">
        <v>877</v>
      </c>
      <c r="F1203" s="85" t="s">
        <v>1452</v>
      </c>
      <c r="G1203" s="86">
        <v>15</v>
      </c>
    </row>
    <row r="1204" ht="16.5" spans="1:7">
      <c r="A1204" s="81">
        <v>46196</v>
      </c>
      <c r="B1204" s="82" t="s">
        <v>35</v>
      </c>
      <c r="C1204" s="10" t="s">
        <v>112</v>
      </c>
      <c r="D1204" s="83" t="s">
        <v>111</v>
      </c>
      <c r="E1204" s="82" t="s">
        <v>877</v>
      </c>
      <c r="F1204" s="85" t="s">
        <v>1140</v>
      </c>
      <c r="G1204" s="86">
        <v>15</v>
      </c>
    </row>
    <row r="1205" ht="16.5" spans="1:7">
      <c r="A1205" s="81">
        <v>46197</v>
      </c>
      <c r="B1205" s="82" t="s">
        <v>35</v>
      </c>
      <c r="C1205" s="10" t="s">
        <v>112</v>
      </c>
      <c r="D1205" s="83" t="s">
        <v>111</v>
      </c>
      <c r="E1205" s="82" t="s">
        <v>877</v>
      </c>
      <c r="F1205" s="85" t="s">
        <v>957</v>
      </c>
      <c r="G1205" s="86">
        <v>30</v>
      </c>
    </row>
    <row r="1206" ht="16.5" spans="1:7">
      <c r="A1206" s="87">
        <v>46197</v>
      </c>
      <c r="B1206" s="82" t="s">
        <v>35</v>
      </c>
      <c r="C1206" s="10" t="s">
        <v>112</v>
      </c>
      <c r="D1206" s="83" t="s">
        <v>111</v>
      </c>
      <c r="E1206" s="82" t="s">
        <v>877</v>
      </c>
      <c r="F1206" s="10" t="s">
        <v>889</v>
      </c>
      <c r="G1206" s="86">
        <v>20</v>
      </c>
    </row>
    <row r="1207" ht="16.5" spans="1:7">
      <c r="A1207" s="87">
        <v>46197</v>
      </c>
      <c r="B1207" s="82" t="s">
        <v>29</v>
      </c>
      <c r="C1207" s="10" t="s">
        <v>112</v>
      </c>
      <c r="D1207" s="83" t="s">
        <v>111</v>
      </c>
      <c r="E1207" s="82" t="s">
        <v>877</v>
      </c>
      <c r="F1207" s="10" t="s">
        <v>1453</v>
      </c>
      <c r="G1207" s="86">
        <v>5</v>
      </c>
    </row>
    <row r="1208" ht="16.5" spans="1:7">
      <c r="A1208" s="87">
        <v>46197</v>
      </c>
      <c r="B1208" s="82" t="s">
        <v>247</v>
      </c>
      <c r="C1208" s="10" t="s">
        <v>109</v>
      </c>
      <c r="D1208" s="83" t="s">
        <v>108</v>
      </c>
      <c r="E1208" s="82" t="s">
        <v>877</v>
      </c>
      <c r="F1208" s="10" t="s">
        <v>1454</v>
      </c>
      <c r="G1208" s="86">
        <v>1000</v>
      </c>
    </row>
    <row r="1209" ht="16.5" spans="1:7">
      <c r="A1209" s="87">
        <v>46197</v>
      </c>
      <c r="B1209" s="82" t="s">
        <v>35</v>
      </c>
      <c r="C1209" s="10" t="s">
        <v>88</v>
      </c>
      <c r="D1209" s="83" t="s">
        <v>87</v>
      </c>
      <c r="E1209" s="82" t="s">
        <v>877</v>
      </c>
      <c r="F1209" s="10" t="s">
        <v>902</v>
      </c>
      <c r="G1209" s="86">
        <v>10</v>
      </c>
    </row>
    <row r="1210" ht="16.5" spans="1:7">
      <c r="A1210" s="87">
        <v>46197</v>
      </c>
      <c r="B1210" s="82" t="s">
        <v>35</v>
      </c>
      <c r="C1210" s="10" t="s">
        <v>88</v>
      </c>
      <c r="D1210" s="83" t="s">
        <v>87</v>
      </c>
      <c r="E1210" s="82" t="s">
        <v>877</v>
      </c>
      <c r="F1210" s="10" t="s">
        <v>880</v>
      </c>
      <c r="G1210" s="86">
        <v>15</v>
      </c>
    </row>
    <row r="1211" ht="16.5" spans="1:7">
      <c r="A1211" s="87">
        <v>46197</v>
      </c>
      <c r="B1211" s="82" t="s">
        <v>35</v>
      </c>
      <c r="C1211" s="10" t="s">
        <v>88</v>
      </c>
      <c r="D1211" s="83" t="s">
        <v>87</v>
      </c>
      <c r="E1211" s="82" t="s">
        <v>877</v>
      </c>
      <c r="F1211" s="105" t="s">
        <v>1063</v>
      </c>
      <c r="G1211" s="86">
        <v>20</v>
      </c>
    </row>
    <row r="1212" ht="16.5" spans="1:7">
      <c r="A1212" s="87">
        <v>46197</v>
      </c>
      <c r="B1212" s="82" t="s">
        <v>245</v>
      </c>
      <c r="C1212" s="10" t="s">
        <v>109</v>
      </c>
      <c r="D1212" s="83" t="s">
        <v>108</v>
      </c>
      <c r="E1212" s="82" t="s">
        <v>877</v>
      </c>
      <c r="F1212" s="105" t="s">
        <v>1455</v>
      </c>
      <c r="G1212" s="86">
        <v>156.67</v>
      </c>
    </row>
    <row r="1213" ht="16.5" spans="1:7">
      <c r="A1213" s="87">
        <v>46197</v>
      </c>
      <c r="B1213" s="82" t="s">
        <v>245</v>
      </c>
      <c r="C1213" s="10" t="s">
        <v>109</v>
      </c>
      <c r="D1213" s="83" t="s">
        <v>108</v>
      </c>
      <c r="E1213" s="82" t="s">
        <v>877</v>
      </c>
      <c r="F1213" s="138" t="s">
        <v>1456</v>
      </c>
      <c r="G1213" s="86">
        <v>112.42</v>
      </c>
    </row>
    <row r="1214" ht="16.5" spans="1:7">
      <c r="A1214" s="87">
        <v>46197</v>
      </c>
      <c r="B1214" s="82" t="s">
        <v>253</v>
      </c>
      <c r="C1214" s="10" t="s">
        <v>109</v>
      </c>
      <c r="D1214" s="83" t="s">
        <v>108</v>
      </c>
      <c r="E1214" s="82" t="s">
        <v>877</v>
      </c>
      <c r="F1214" s="105" t="s">
        <v>1457</v>
      </c>
      <c r="G1214" s="86">
        <v>200</v>
      </c>
    </row>
    <row r="1215" ht="16.5" spans="1:7">
      <c r="A1215" s="87">
        <v>46197</v>
      </c>
      <c r="B1215" s="82" t="s">
        <v>35</v>
      </c>
      <c r="C1215" s="10" t="s">
        <v>109</v>
      </c>
      <c r="D1215" s="83" t="s">
        <v>108</v>
      </c>
      <c r="E1215" s="82" t="s">
        <v>877</v>
      </c>
      <c r="F1215" s="10" t="s">
        <v>915</v>
      </c>
      <c r="G1215" s="86">
        <v>10</v>
      </c>
    </row>
    <row r="1216" ht="16.5" spans="1:7">
      <c r="A1216" s="87">
        <v>46197</v>
      </c>
      <c r="B1216" s="82" t="s">
        <v>29</v>
      </c>
      <c r="C1216" s="10" t="s">
        <v>112</v>
      </c>
      <c r="D1216" s="83" t="s">
        <v>111</v>
      </c>
      <c r="E1216" s="82" t="s">
        <v>877</v>
      </c>
      <c r="F1216" s="10" t="s">
        <v>1458</v>
      </c>
      <c r="G1216" s="86">
        <v>110</v>
      </c>
    </row>
    <row r="1217" ht="16.5" spans="1:7">
      <c r="A1217" s="87">
        <v>46196</v>
      </c>
      <c r="B1217" s="82" t="s">
        <v>253</v>
      </c>
      <c r="C1217" s="10" t="s">
        <v>158</v>
      </c>
      <c r="D1217" s="83" t="s">
        <v>338</v>
      </c>
      <c r="E1217" s="82" t="s">
        <v>877</v>
      </c>
      <c r="F1217" s="138" t="s">
        <v>1459</v>
      </c>
      <c r="G1217" s="86">
        <v>200</v>
      </c>
    </row>
    <row r="1218" ht="16.5" spans="1:7">
      <c r="A1218" s="87">
        <v>46196</v>
      </c>
      <c r="B1218" s="82" t="s">
        <v>249</v>
      </c>
      <c r="C1218" s="10" t="s">
        <v>158</v>
      </c>
      <c r="D1218" s="83" t="s">
        <v>338</v>
      </c>
      <c r="E1218" s="82" t="s">
        <v>877</v>
      </c>
      <c r="F1218" s="10" t="s">
        <v>1460</v>
      </c>
      <c r="G1218" s="86">
        <v>200</v>
      </c>
    </row>
    <row r="1219" ht="16.5" spans="1:7">
      <c r="A1219" s="87">
        <v>46196</v>
      </c>
      <c r="B1219" s="82" t="s">
        <v>29</v>
      </c>
      <c r="C1219" s="10" t="s">
        <v>158</v>
      </c>
      <c r="D1219" s="83" t="s">
        <v>338</v>
      </c>
      <c r="E1219" s="82" t="s">
        <v>877</v>
      </c>
      <c r="F1219" s="10" t="s">
        <v>1461</v>
      </c>
      <c r="G1219" s="86">
        <v>80</v>
      </c>
    </row>
    <row r="1220" ht="16.5" spans="1:7">
      <c r="A1220" s="87">
        <v>46193</v>
      </c>
      <c r="B1220" s="82" t="s">
        <v>35</v>
      </c>
      <c r="C1220" s="10" t="s">
        <v>175</v>
      </c>
      <c r="D1220" s="83" t="s">
        <v>174</v>
      </c>
      <c r="E1220" s="82" t="s">
        <v>877</v>
      </c>
      <c r="F1220" s="10" t="s">
        <v>1434</v>
      </c>
      <c r="G1220" s="86">
        <v>15</v>
      </c>
    </row>
    <row r="1221" ht="16.5" spans="1:7">
      <c r="A1221" s="87">
        <v>46195</v>
      </c>
      <c r="B1221" s="82" t="s">
        <v>35</v>
      </c>
      <c r="C1221" s="10" t="s">
        <v>175</v>
      </c>
      <c r="D1221" s="83" t="s">
        <v>174</v>
      </c>
      <c r="E1221" s="82" t="s">
        <v>877</v>
      </c>
      <c r="F1221" s="10" t="s">
        <v>1008</v>
      </c>
      <c r="G1221" s="86">
        <v>25</v>
      </c>
    </row>
    <row r="1222" ht="16.5" spans="1:7">
      <c r="A1222" s="87">
        <v>46195</v>
      </c>
      <c r="B1222" s="82" t="s">
        <v>35</v>
      </c>
      <c r="C1222" s="10" t="s">
        <v>715</v>
      </c>
      <c r="D1222" s="83" t="s">
        <v>204</v>
      </c>
      <c r="E1222" s="82" t="s">
        <v>877</v>
      </c>
      <c r="F1222" s="10" t="s">
        <v>1462</v>
      </c>
      <c r="G1222" s="86">
        <v>40</v>
      </c>
    </row>
    <row r="1223" ht="16.5" spans="1:7">
      <c r="A1223" s="87">
        <v>46195</v>
      </c>
      <c r="B1223" s="82" t="s">
        <v>35</v>
      </c>
      <c r="C1223" s="10" t="s">
        <v>715</v>
      </c>
      <c r="D1223" s="83" t="s">
        <v>204</v>
      </c>
      <c r="E1223" s="82" t="s">
        <v>877</v>
      </c>
      <c r="F1223" s="10" t="s">
        <v>1434</v>
      </c>
      <c r="G1223" s="86">
        <v>15</v>
      </c>
    </row>
    <row r="1224" ht="16.5" spans="1:7">
      <c r="A1224" s="87">
        <v>46195</v>
      </c>
      <c r="B1224" s="82" t="s">
        <v>35</v>
      </c>
      <c r="C1224" s="10" t="s">
        <v>715</v>
      </c>
      <c r="D1224" s="83" t="s">
        <v>204</v>
      </c>
      <c r="E1224" s="82" t="s">
        <v>877</v>
      </c>
      <c r="F1224" s="10" t="s">
        <v>1339</v>
      </c>
      <c r="G1224" s="86">
        <v>15</v>
      </c>
    </row>
    <row r="1225" ht="16.5" spans="1:7">
      <c r="A1225" s="87">
        <v>46196</v>
      </c>
      <c r="B1225" s="82" t="s">
        <v>35</v>
      </c>
      <c r="C1225" s="10" t="s">
        <v>715</v>
      </c>
      <c r="D1225" s="83" t="s">
        <v>204</v>
      </c>
      <c r="E1225" s="82" t="s">
        <v>877</v>
      </c>
      <c r="F1225" s="10" t="s">
        <v>911</v>
      </c>
      <c r="G1225" s="86">
        <v>10</v>
      </c>
    </row>
    <row r="1226" ht="16.5" spans="1:7">
      <c r="A1226" s="87">
        <v>46194</v>
      </c>
      <c r="B1226" s="82" t="s">
        <v>35</v>
      </c>
      <c r="C1226" s="10" t="s">
        <v>715</v>
      </c>
      <c r="D1226" s="83" t="s">
        <v>204</v>
      </c>
      <c r="E1226" s="82" t="s">
        <v>877</v>
      </c>
      <c r="F1226" s="10" t="s">
        <v>1196</v>
      </c>
      <c r="G1226" s="86">
        <v>3</v>
      </c>
    </row>
    <row r="1227" ht="16.5" spans="1:7">
      <c r="A1227" s="87">
        <v>46196</v>
      </c>
      <c r="B1227" s="82" t="s">
        <v>35</v>
      </c>
      <c r="C1227" s="10" t="s">
        <v>178</v>
      </c>
      <c r="D1227" s="83" t="s">
        <v>177</v>
      </c>
      <c r="E1227" s="82" t="s">
        <v>877</v>
      </c>
      <c r="F1227" s="10" t="s">
        <v>1463</v>
      </c>
      <c r="G1227" s="86">
        <v>10</v>
      </c>
    </row>
    <row r="1228" ht="16.5" spans="1:7">
      <c r="A1228" s="87">
        <v>46197</v>
      </c>
      <c r="B1228" s="82" t="s">
        <v>35</v>
      </c>
      <c r="C1228" s="10" t="s">
        <v>178</v>
      </c>
      <c r="D1228" s="83" t="s">
        <v>177</v>
      </c>
      <c r="E1228" s="82" t="s">
        <v>877</v>
      </c>
      <c r="F1228" s="10" t="s">
        <v>1464</v>
      </c>
      <c r="G1228" s="86">
        <v>10</v>
      </c>
    </row>
    <row r="1229" ht="16.5" spans="1:7">
      <c r="A1229" s="87">
        <v>46196</v>
      </c>
      <c r="B1229" s="82" t="s">
        <v>35</v>
      </c>
      <c r="C1229" s="10" t="s">
        <v>178</v>
      </c>
      <c r="D1229" s="83" t="s">
        <v>177</v>
      </c>
      <c r="E1229" s="82" t="s">
        <v>877</v>
      </c>
      <c r="F1229" s="10" t="s">
        <v>939</v>
      </c>
      <c r="G1229" s="86">
        <v>20</v>
      </c>
    </row>
    <row r="1230" ht="16.5" spans="1:7">
      <c r="A1230" s="87">
        <v>46193</v>
      </c>
      <c r="B1230" s="82" t="s">
        <v>35</v>
      </c>
      <c r="C1230" s="10" t="s">
        <v>152</v>
      </c>
      <c r="D1230" s="83" t="s">
        <v>151</v>
      </c>
      <c r="E1230" s="82" t="s">
        <v>877</v>
      </c>
      <c r="F1230" s="10" t="s">
        <v>927</v>
      </c>
      <c r="G1230" s="86">
        <v>15</v>
      </c>
    </row>
    <row r="1231" ht="16.5" spans="1:7">
      <c r="A1231" s="87">
        <v>46196</v>
      </c>
      <c r="B1231" s="82" t="s">
        <v>35</v>
      </c>
      <c r="C1231" s="10" t="s">
        <v>152</v>
      </c>
      <c r="D1231" s="83" t="s">
        <v>151</v>
      </c>
      <c r="E1231" s="82" t="s">
        <v>877</v>
      </c>
      <c r="F1231" s="10" t="s">
        <v>961</v>
      </c>
      <c r="G1231" s="86">
        <v>10</v>
      </c>
    </row>
    <row r="1232" ht="16.5" spans="1:7">
      <c r="A1232" s="87">
        <v>46196</v>
      </c>
      <c r="B1232" s="82" t="s">
        <v>35</v>
      </c>
      <c r="C1232" s="10" t="s">
        <v>167</v>
      </c>
      <c r="D1232" s="83" t="s">
        <v>166</v>
      </c>
      <c r="E1232" s="82" t="s">
        <v>877</v>
      </c>
      <c r="F1232" s="10" t="s">
        <v>1465</v>
      </c>
      <c r="G1232" s="86">
        <v>45</v>
      </c>
    </row>
    <row r="1233" ht="16.5" spans="1:7">
      <c r="A1233" s="87">
        <v>46196</v>
      </c>
      <c r="B1233" s="82" t="s">
        <v>35</v>
      </c>
      <c r="C1233" s="10" t="s">
        <v>167</v>
      </c>
      <c r="D1233" s="83" t="s">
        <v>166</v>
      </c>
      <c r="E1233" s="82" t="s">
        <v>877</v>
      </c>
      <c r="F1233" s="10" t="s">
        <v>882</v>
      </c>
      <c r="G1233" s="86">
        <v>5</v>
      </c>
    </row>
    <row r="1234" ht="16.5" spans="1:7">
      <c r="A1234" s="87">
        <v>46197</v>
      </c>
      <c r="B1234" s="82" t="s">
        <v>35</v>
      </c>
      <c r="C1234" s="10" t="s">
        <v>167</v>
      </c>
      <c r="D1234" s="83" t="s">
        <v>166</v>
      </c>
      <c r="E1234" s="82" t="s">
        <v>877</v>
      </c>
      <c r="F1234" s="10" t="s">
        <v>1466</v>
      </c>
      <c r="G1234" s="86">
        <v>20</v>
      </c>
    </row>
    <row r="1235" ht="16.5" spans="1:7">
      <c r="A1235" s="87">
        <v>46197</v>
      </c>
      <c r="B1235" s="82" t="s">
        <v>253</v>
      </c>
      <c r="C1235" s="10" t="s">
        <v>187</v>
      </c>
      <c r="D1235" s="83" t="s">
        <v>186</v>
      </c>
      <c r="E1235" s="82" t="s">
        <v>877</v>
      </c>
      <c r="F1235" s="10" t="s">
        <v>1467</v>
      </c>
      <c r="G1235" s="86">
        <v>20</v>
      </c>
    </row>
    <row r="1236" ht="16.5" spans="1:7">
      <c r="A1236" s="87">
        <v>46197</v>
      </c>
      <c r="B1236" s="82" t="s">
        <v>253</v>
      </c>
      <c r="C1236" s="10" t="s">
        <v>187</v>
      </c>
      <c r="D1236" s="83" t="s">
        <v>186</v>
      </c>
      <c r="E1236" s="82" t="s">
        <v>877</v>
      </c>
      <c r="F1236" s="10" t="s">
        <v>1468</v>
      </c>
      <c r="G1236" s="86">
        <v>20</v>
      </c>
    </row>
    <row r="1237" ht="16.5" spans="1:7">
      <c r="A1237" s="87">
        <v>46197</v>
      </c>
      <c r="B1237" s="82" t="s">
        <v>35</v>
      </c>
      <c r="C1237" s="10" t="s">
        <v>187</v>
      </c>
      <c r="D1237" s="83" t="s">
        <v>186</v>
      </c>
      <c r="E1237" s="82" t="s">
        <v>877</v>
      </c>
      <c r="F1237" s="10" t="s">
        <v>961</v>
      </c>
      <c r="G1237" s="86">
        <v>10</v>
      </c>
    </row>
    <row r="1238" ht="16.5" spans="1:7">
      <c r="A1238" s="87">
        <v>46197</v>
      </c>
      <c r="B1238" s="82" t="s">
        <v>35</v>
      </c>
      <c r="C1238" s="10" t="s">
        <v>187</v>
      </c>
      <c r="D1238" s="83" t="s">
        <v>186</v>
      </c>
      <c r="E1238" s="82" t="s">
        <v>877</v>
      </c>
      <c r="F1238" s="10" t="s">
        <v>1469</v>
      </c>
      <c r="G1238" s="86">
        <v>3</v>
      </c>
    </row>
    <row r="1239" ht="16.5" spans="1:7">
      <c r="A1239" s="87">
        <v>46196</v>
      </c>
      <c r="B1239" s="82" t="s">
        <v>35</v>
      </c>
      <c r="C1239" s="10" t="s">
        <v>184</v>
      </c>
      <c r="D1239" s="83" t="s">
        <v>183</v>
      </c>
      <c r="E1239" s="82" t="s">
        <v>877</v>
      </c>
      <c r="F1239" s="10" t="s">
        <v>1470</v>
      </c>
      <c r="G1239" s="86">
        <v>30</v>
      </c>
    </row>
    <row r="1240" ht="16.5" spans="1:7">
      <c r="A1240" s="87">
        <v>46197</v>
      </c>
      <c r="B1240" s="82" t="s">
        <v>35</v>
      </c>
      <c r="C1240" s="10" t="s">
        <v>184</v>
      </c>
      <c r="D1240" s="83" t="s">
        <v>183</v>
      </c>
      <c r="E1240" s="82" t="s">
        <v>877</v>
      </c>
      <c r="F1240" s="10" t="s">
        <v>1140</v>
      </c>
      <c r="G1240" s="86">
        <v>15</v>
      </c>
    </row>
    <row r="1241" ht="16.5" spans="1:7">
      <c r="A1241" s="87">
        <v>46196</v>
      </c>
      <c r="B1241" s="82" t="s">
        <v>35</v>
      </c>
      <c r="C1241" s="10" t="s">
        <v>184</v>
      </c>
      <c r="D1241" s="83" t="s">
        <v>183</v>
      </c>
      <c r="E1241" s="82" t="s">
        <v>877</v>
      </c>
      <c r="F1241" s="10" t="s">
        <v>1471</v>
      </c>
      <c r="G1241" s="86">
        <v>25</v>
      </c>
    </row>
    <row r="1242" ht="16.5" spans="1:7">
      <c r="A1242" s="87">
        <v>46196</v>
      </c>
      <c r="B1242" s="82" t="s">
        <v>35</v>
      </c>
      <c r="C1242" s="10" t="s">
        <v>330</v>
      </c>
      <c r="D1242" s="83" t="s">
        <v>198</v>
      </c>
      <c r="E1242" s="82" t="s">
        <v>877</v>
      </c>
      <c r="F1242" s="10" t="s">
        <v>1472</v>
      </c>
      <c r="G1242" s="86">
        <v>15</v>
      </c>
    </row>
    <row r="1243" ht="16.5" spans="1:7">
      <c r="A1243" s="87">
        <v>46196</v>
      </c>
      <c r="B1243" s="82" t="s">
        <v>35</v>
      </c>
      <c r="C1243" s="10" t="s">
        <v>330</v>
      </c>
      <c r="D1243" s="83" t="s">
        <v>198</v>
      </c>
      <c r="E1243" s="82" t="s">
        <v>877</v>
      </c>
      <c r="F1243" s="10" t="s">
        <v>1473</v>
      </c>
      <c r="G1243" s="86">
        <v>30</v>
      </c>
    </row>
    <row r="1244" ht="16.5" spans="1:7">
      <c r="A1244" s="87">
        <v>46196</v>
      </c>
      <c r="B1244" s="82" t="s">
        <v>35</v>
      </c>
      <c r="C1244" s="10" t="s">
        <v>330</v>
      </c>
      <c r="D1244" s="83" t="s">
        <v>198</v>
      </c>
      <c r="E1244" s="82" t="s">
        <v>877</v>
      </c>
      <c r="F1244" s="10" t="s">
        <v>1474</v>
      </c>
      <c r="G1244" s="86">
        <v>15</v>
      </c>
    </row>
    <row r="1245" ht="16.5" spans="1:7">
      <c r="A1245" s="87">
        <v>46196</v>
      </c>
      <c r="B1245" s="82" t="s">
        <v>245</v>
      </c>
      <c r="C1245" s="10" t="s">
        <v>330</v>
      </c>
      <c r="D1245" s="83" t="s">
        <v>198</v>
      </c>
      <c r="E1245" s="82" t="s">
        <v>877</v>
      </c>
      <c r="F1245" s="10" t="s">
        <v>1475</v>
      </c>
      <c r="G1245" s="86">
        <v>257.44</v>
      </c>
    </row>
    <row r="1246" ht="16.5" spans="1:7">
      <c r="A1246" s="87">
        <v>46196</v>
      </c>
      <c r="B1246" s="82" t="s">
        <v>35</v>
      </c>
      <c r="C1246" s="10" t="s">
        <v>330</v>
      </c>
      <c r="D1246" s="83" t="s">
        <v>198</v>
      </c>
      <c r="E1246" s="82" t="s">
        <v>877</v>
      </c>
      <c r="F1246" s="10" t="s">
        <v>1476</v>
      </c>
      <c r="G1246" s="86">
        <v>15</v>
      </c>
    </row>
    <row r="1247" ht="16.5" spans="1:7">
      <c r="A1247" s="87">
        <v>46196</v>
      </c>
      <c r="B1247" s="82" t="s">
        <v>35</v>
      </c>
      <c r="C1247" s="10" t="s">
        <v>678</v>
      </c>
      <c r="D1247" s="83" t="s">
        <v>207</v>
      </c>
      <c r="E1247" s="82" t="s">
        <v>877</v>
      </c>
      <c r="F1247" s="10" t="s">
        <v>902</v>
      </c>
      <c r="G1247" s="86">
        <v>10</v>
      </c>
    </row>
    <row r="1248" ht="16.5" spans="1:7">
      <c r="A1248" s="87">
        <v>46196</v>
      </c>
      <c r="B1248" s="82" t="s">
        <v>35</v>
      </c>
      <c r="C1248" s="10" t="s">
        <v>678</v>
      </c>
      <c r="D1248" s="83" t="s">
        <v>207</v>
      </c>
      <c r="E1248" s="82" t="s">
        <v>877</v>
      </c>
      <c r="F1248" s="10" t="s">
        <v>1477</v>
      </c>
      <c r="G1248" s="86">
        <v>15</v>
      </c>
    </row>
    <row r="1249" ht="16.5" spans="1:7">
      <c r="A1249" s="87">
        <v>46196</v>
      </c>
      <c r="B1249" s="82" t="s">
        <v>35</v>
      </c>
      <c r="C1249" s="10" t="s">
        <v>678</v>
      </c>
      <c r="D1249" s="83" t="s">
        <v>207</v>
      </c>
      <c r="E1249" s="82" t="s">
        <v>877</v>
      </c>
      <c r="F1249" s="10" t="s">
        <v>1478</v>
      </c>
      <c r="G1249" s="86">
        <v>15</v>
      </c>
    </row>
    <row r="1250" ht="16.5" spans="1:7">
      <c r="A1250" s="87">
        <v>46196</v>
      </c>
      <c r="B1250" s="82" t="s">
        <v>35</v>
      </c>
      <c r="C1250" s="10" t="s">
        <v>678</v>
      </c>
      <c r="D1250" s="83" t="s">
        <v>207</v>
      </c>
      <c r="E1250" s="82" t="s">
        <v>877</v>
      </c>
      <c r="F1250" s="10" t="s">
        <v>1479</v>
      </c>
      <c r="G1250" s="86">
        <v>15</v>
      </c>
    </row>
    <row r="1251" ht="16.5" spans="1:7">
      <c r="A1251" s="87">
        <v>46190</v>
      </c>
      <c r="B1251" s="82" t="s">
        <v>250</v>
      </c>
      <c r="C1251" s="10" t="s">
        <v>119</v>
      </c>
      <c r="D1251" s="83"/>
      <c r="E1251" s="82" t="s">
        <v>877</v>
      </c>
      <c r="F1251" s="10" t="s">
        <v>1480</v>
      </c>
      <c r="G1251" s="86">
        <v>200</v>
      </c>
    </row>
    <row r="1252" ht="16.5" spans="1:7">
      <c r="A1252" s="87">
        <v>46195</v>
      </c>
      <c r="B1252" s="82" t="s">
        <v>250</v>
      </c>
      <c r="C1252" s="10" t="s">
        <v>119</v>
      </c>
      <c r="D1252" s="83"/>
      <c r="E1252" s="82" t="s">
        <v>877</v>
      </c>
      <c r="F1252" s="10" t="s">
        <v>1481</v>
      </c>
      <c r="G1252" s="86">
        <v>112</v>
      </c>
    </row>
    <row r="1253" ht="16.5" spans="1:7">
      <c r="A1253" s="87">
        <v>46196</v>
      </c>
      <c r="B1253" s="82" t="s">
        <v>250</v>
      </c>
      <c r="C1253" s="10" t="s">
        <v>119</v>
      </c>
      <c r="D1253" s="83"/>
      <c r="E1253" s="82" t="s">
        <v>877</v>
      </c>
      <c r="F1253" s="10" t="s">
        <v>1482</v>
      </c>
      <c r="G1253" s="86">
        <v>90</v>
      </c>
    </row>
    <row r="1254" ht="16.5" spans="1:7">
      <c r="A1254" s="87">
        <v>46196</v>
      </c>
      <c r="B1254" s="82" t="s">
        <v>250</v>
      </c>
      <c r="C1254" s="10" t="s">
        <v>119</v>
      </c>
      <c r="D1254" s="83"/>
      <c r="E1254" s="82" t="s">
        <v>877</v>
      </c>
      <c r="F1254" s="10" t="s">
        <v>1483</v>
      </c>
      <c r="G1254" s="86">
        <v>99.92</v>
      </c>
    </row>
    <row r="1255" ht="16.5" spans="1:7">
      <c r="A1255" s="87">
        <v>46197</v>
      </c>
      <c r="B1255" s="82" t="s">
        <v>250</v>
      </c>
      <c r="C1255" s="10" t="s">
        <v>119</v>
      </c>
      <c r="D1255" s="83"/>
      <c r="E1255" s="82" t="s">
        <v>877</v>
      </c>
      <c r="F1255" s="10" t="s">
        <v>1484</v>
      </c>
      <c r="G1255" s="86">
        <v>99.79</v>
      </c>
    </row>
    <row r="1256" ht="16.5" spans="1:7">
      <c r="A1256" s="87">
        <v>46197</v>
      </c>
      <c r="B1256" s="82" t="s">
        <v>250</v>
      </c>
      <c r="C1256" s="10" t="s">
        <v>119</v>
      </c>
      <c r="D1256" s="83"/>
      <c r="E1256" s="82" t="s">
        <v>877</v>
      </c>
      <c r="F1256" s="10" t="s">
        <v>1485</v>
      </c>
      <c r="G1256" s="86">
        <v>200</v>
      </c>
    </row>
    <row r="1257" ht="16.5" spans="1:7">
      <c r="A1257" s="87">
        <v>46195</v>
      </c>
      <c r="B1257" s="82" t="s">
        <v>250</v>
      </c>
      <c r="C1257" s="10" t="s">
        <v>119</v>
      </c>
      <c r="D1257" s="83"/>
      <c r="E1257" s="82" t="s">
        <v>877</v>
      </c>
      <c r="F1257" s="10" t="s">
        <v>1486</v>
      </c>
      <c r="G1257" s="86">
        <v>52</v>
      </c>
    </row>
    <row r="1258" ht="16.5" spans="1:7">
      <c r="A1258" s="87">
        <v>46197</v>
      </c>
      <c r="B1258" s="82" t="s">
        <v>250</v>
      </c>
      <c r="C1258" s="10" t="s">
        <v>119</v>
      </c>
      <c r="D1258" s="83"/>
      <c r="E1258" s="82" t="s">
        <v>877</v>
      </c>
      <c r="F1258" s="10" t="s">
        <v>1487</v>
      </c>
      <c r="G1258" s="86">
        <v>46</v>
      </c>
    </row>
    <row r="1259" ht="16.5" spans="1:7">
      <c r="A1259" s="87">
        <v>46196</v>
      </c>
      <c r="B1259" s="82" t="s">
        <v>35</v>
      </c>
      <c r="C1259" s="10" t="s">
        <v>193</v>
      </c>
      <c r="D1259" s="83" t="s">
        <v>192</v>
      </c>
      <c r="E1259" s="82" t="s">
        <v>877</v>
      </c>
      <c r="F1259" s="10" t="s">
        <v>1306</v>
      </c>
      <c r="G1259" s="86">
        <v>30</v>
      </c>
    </row>
    <row r="1260" ht="16.5" spans="1:7">
      <c r="A1260" s="81">
        <v>46197</v>
      </c>
      <c r="B1260" s="82" t="s">
        <v>1488</v>
      </c>
      <c r="C1260" s="82" t="s">
        <v>269</v>
      </c>
      <c r="D1260" s="83"/>
      <c r="E1260" s="82" t="s">
        <v>877</v>
      </c>
      <c r="F1260" s="82" t="s">
        <v>1489</v>
      </c>
      <c r="G1260" s="86">
        <v>424000</v>
      </c>
    </row>
    <row r="1261" ht="16.5" spans="1:7">
      <c r="A1261" s="81">
        <v>46197</v>
      </c>
      <c r="B1261" s="82" t="s">
        <v>323</v>
      </c>
      <c r="C1261" s="82" t="s">
        <v>269</v>
      </c>
      <c r="D1261" s="83"/>
      <c r="E1261" s="82" t="s">
        <v>877</v>
      </c>
      <c r="F1261" s="82" t="s">
        <v>1490</v>
      </c>
      <c r="G1261" s="86">
        <v>157294</v>
      </c>
    </row>
    <row r="1262" ht="16.5" spans="1:7">
      <c r="A1262" s="81">
        <v>46196</v>
      </c>
      <c r="B1262" s="82" t="s">
        <v>35</v>
      </c>
      <c r="C1262" s="10" t="s">
        <v>97</v>
      </c>
      <c r="D1262" s="83" t="s">
        <v>96</v>
      </c>
      <c r="E1262" s="82" t="s">
        <v>877</v>
      </c>
      <c r="F1262" s="85" t="s">
        <v>1243</v>
      </c>
      <c r="G1262" s="86">
        <v>35</v>
      </c>
    </row>
    <row r="1263" ht="16.5" spans="1:7">
      <c r="A1263" s="81">
        <v>46196</v>
      </c>
      <c r="B1263" s="82" t="s">
        <v>35</v>
      </c>
      <c r="C1263" s="10" t="s">
        <v>97</v>
      </c>
      <c r="D1263" s="83" t="s">
        <v>96</v>
      </c>
      <c r="E1263" s="82" t="s">
        <v>877</v>
      </c>
      <c r="F1263" s="85" t="s">
        <v>926</v>
      </c>
      <c r="G1263" s="86">
        <v>5</v>
      </c>
    </row>
    <row r="1264" ht="16.5" spans="1:7">
      <c r="A1264" s="81">
        <v>46195</v>
      </c>
      <c r="B1264" s="82" t="s">
        <v>35</v>
      </c>
      <c r="C1264" s="10" t="s">
        <v>97</v>
      </c>
      <c r="D1264" s="83" t="s">
        <v>96</v>
      </c>
      <c r="E1264" s="82" t="s">
        <v>877</v>
      </c>
      <c r="F1264" s="85" t="s">
        <v>880</v>
      </c>
      <c r="G1264" s="86">
        <v>15</v>
      </c>
    </row>
    <row r="1265" ht="16.5" spans="1:7">
      <c r="A1265" s="81">
        <v>46197</v>
      </c>
      <c r="B1265" s="82" t="s">
        <v>253</v>
      </c>
      <c r="C1265" s="10" t="s">
        <v>94</v>
      </c>
      <c r="D1265" s="83" t="s">
        <v>93</v>
      </c>
      <c r="E1265" s="82" t="s">
        <v>877</v>
      </c>
      <c r="F1265" s="85" t="s">
        <v>1415</v>
      </c>
      <c r="G1265" s="86">
        <v>20</v>
      </c>
    </row>
    <row r="1266" ht="16.5" spans="1:7">
      <c r="A1266" s="81">
        <v>46196</v>
      </c>
      <c r="B1266" s="82" t="s">
        <v>35</v>
      </c>
      <c r="C1266" s="10" t="s">
        <v>94</v>
      </c>
      <c r="D1266" s="83" t="s">
        <v>93</v>
      </c>
      <c r="E1266" s="82" t="s">
        <v>877</v>
      </c>
      <c r="F1266" s="85" t="s">
        <v>1491</v>
      </c>
      <c r="G1266" s="86">
        <v>20</v>
      </c>
    </row>
    <row r="1267" ht="16.5" spans="1:7">
      <c r="A1267" s="81">
        <v>46196</v>
      </c>
      <c r="B1267" s="82" t="s">
        <v>35</v>
      </c>
      <c r="C1267" s="10" t="s">
        <v>94</v>
      </c>
      <c r="D1267" s="83" t="s">
        <v>93</v>
      </c>
      <c r="E1267" s="82" t="s">
        <v>877</v>
      </c>
      <c r="F1267" s="85" t="s">
        <v>880</v>
      </c>
      <c r="G1267" s="86">
        <v>15</v>
      </c>
    </row>
    <row r="1268" ht="16.5" spans="1:7">
      <c r="A1268" s="81">
        <v>46197</v>
      </c>
      <c r="B1268" s="82" t="s">
        <v>35</v>
      </c>
      <c r="C1268" s="10" t="s">
        <v>94</v>
      </c>
      <c r="D1268" s="83" t="s">
        <v>93</v>
      </c>
      <c r="E1268" s="82" t="s">
        <v>877</v>
      </c>
      <c r="F1268" s="4" t="s">
        <v>889</v>
      </c>
      <c r="G1268" s="86">
        <v>20</v>
      </c>
    </row>
    <row r="1269" ht="16.5" spans="1:7">
      <c r="A1269" s="81">
        <v>46197</v>
      </c>
      <c r="B1269" s="82" t="s">
        <v>35</v>
      </c>
      <c r="C1269" s="10" t="s">
        <v>70</v>
      </c>
      <c r="D1269" s="83" t="s">
        <v>69</v>
      </c>
      <c r="E1269" s="82" t="s">
        <v>877</v>
      </c>
      <c r="F1269" s="85" t="s">
        <v>1373</v>
      </c>
      <c r="G1269" s="86">
        <v>20</v>
      </c>
    </row>
    <row r="1270" ht="16.5" spans="1:7">
      <c r="A1270" s="81">
        <v>46197</v>
      </c>
      <c r="B1270" s="82" t="s">
        <v>35</v>
      </c>
      <c r="C1270" s="10" t="s">
        <v>70</v>
      </c>
      <c r="D1270" s="83" t="s">
        <v>69</v>
      </c>
      <c r="E1270" s="82" t="s">
        <v>877</v>
      </c>
      <c r="F1270" s="105" t="s">
        <v>1059</v>
      </c>
      <c r="G1270" s="86">
        <v>15</v>
      </c>
    </row>
    <row r="1271" ht="16.5" spans="1:7">
      <c r="A1271" s="81">
        <v>46197</v>
      </c>
      <c r="B1271" s="82" t="s">
        <v>35</v>
      </c>
      <c r="C1271" s="10" t="s">
        <v>70</v>
      </c>
      <c r="D1271" s="83" t="s">
        <v>69</v>
      </c>
      <c r="E1271" s="82" t="s">
        <v>877</v>
      </c>
      <c r="F1271" s="105" t="s">
        <v>922</v>
      </c>
      <c r="G1271" s="86">
        <v>10</v>
      </c>
    </row>
    <row r="1272" ht="16.5" spans="1:7">
      <c r="A1272" s="113">
        <v>46197</v>
      </c>
      <c r="B1272" s="82" t="s">
        <v>35</v>
      </c>
      <c r="C1272" s="10" t="s">
        <v>73</v>
      </c>
      <c r="D1272" s="83" t="s">
        <v>72</v>
      </c>
      <c r="E1272" s="82" t="s">
        <v>877</v>
      </c>
      <c r="F1272" s="105" t="s">
        <v>1058</v>
      </c>
      <c r="G1272" s="114">
        <v>35</v>
      </c>
    </row>
    <row r="1273" ht="16.5" spans="1:7">
      <c r="A1273" s="81">
        <v>46196</v>
      </c>
      <c r="B1273" s="82" t="s">
        <v>35</v>
      </c>
      <c r="C1273" s="10" t="s">
        <v>73</v>
      </c>
      <c r="D1273" s="83" t="s">
        <v>72</v>
      </c>
      <c r="E1273" s="82" t="s">
        <v>877</v>
      </c>
      <c r="F1273" s="399" t="s">
        <v>1059</v>
      </c>
      <c r="G1273" s="86">
        <v>15</v>
      </c>
    </row>
    <row r="1274" ht="16.5" spans="1:7">
      <c r="A1274" s="81">
        <v>46197</v>
      </c>
      <c r="B1274" s="82" t="s">
        <v>35</v>
      </c>
      <c r="C1274" s="10" t="s">
        <v>73</v>
      </c>
      <c r="D1274" s="83" t="s">
        <v>72</v>
      </c>
      <c r="E1274" s="82" t="s">
        <v>877</v>
      </c>
      <c r="F1274" s="104" t="s">
        <v>1060</v>
      </c>
      <c r="G1274" s="86">
        <v>20</v>
      </c>
    </row>
    <row r="1275" ht="16.5" spans="1:7">
      <c r="A1275" s="81">
        <v>46197</v>
      </c>
      <c r="B1275" s="82" t="s">
        <v>35</v>
      </c>
      <c r="C1275" s="10" t="s">
        <v>73</v>
      </c>
      <c r="D1275" s="83" t="s">
        <v>72</v>
      </c>
      <c r="E1275" s="82" t="s">
        <v>877</v>
      </c>
      <c r="F1275" s="105" t="s">
        <v>1492</v>
      </c>
      <c r="G1275" s="86">
        <v>2</v>
      </c>
    </row>
    <row r="1276" ht="16.5" spans="1:7">
      <c r="A1276" s="81">
        <v>46196</v>
      </c>
      <c r="B1276" s="82" t="s">
        <v>35</v>
      </c>
      <c r="C1276" s="10" t="s">
        <v>328</v>
      </c>
      <c r="D1276" s="83" t="s">
        <v>105</v>
      </c>
      <c r="E1276" s="82" t="s">
        <v>877</v>
      </c>
      <c r="F1276" s="105" t="s">
        <v>1444</v>
      </c>
      <c r="G1276" s="86">
        <v>2</v>
      </c>
    </row>
    <row r="1277" ht="16.5" spans="1:7">
      <c r="A1277" s="81">
        <v>46197</v>
      </c>
      <c r="B1277" s="82" t="s">
        <v>35</v>
      </c>
      <c r="C1277" s="10" t="s">
        <v>328</v>
      </c>
      <c r="D1277" s="83" t="s">
        <v>105</v>
      </c>
      <c r="E1277" s="82" t="s">
        <v>877</v>
      </c>
      <c r="F1277" s="105" t="s">
        <v>902</v>
      </c>
      <c r="G1277" s="86">
        <v>10</v>
      </c>
    </row>
    <row r="1278" ht="16.5" spans="1:7">
      <c r="A1278" s="81">
        <v>46193</v>
      </c>
      <c r="B1278" s="401" t="s">
        <v>35</v>
      </c>
      <c r="C1278" s="10" t="s">
        <v>125</v>
      </c>
      <c r="D1278" s="83" t="s">
        <v>124</v>
      </c>
      <c r="E1278" s="82" t="s">
        <v>877</v>
      </c>
      <c r="F1278" s="105" t="s">
        <v>1493</v>
      </c>
      <c r="G1278" s="86">
        <v>68</v>
      </c>
    </row>
    <row r="1279" ht="16.5" spans="1:7">
      <c r="A1279" s="81">
        <v>46196</v>
      </c>
      <c r="B1279" s="401" t="s">
        <v>35</v>
      </c>
      <c r="C1279" s="10" t="s">
        <v>125</v>
      </c>
      <c r="D1279" s="83" t="s">
        <v>124</v>
      </c>
      <c r="E1279" s="82" t="s">
        <v>877</v>
      </c>
      <c r="F1279" s="10" t="s">
        <v>933</v>
      </c>
      <c r="G1279" s="86">
        <v>30</v>
      </c>
    </row>
    <row r="1280" ht="16.5" spans="1:7">
      <c r="A1280" s="81">
        <v>46195</v>
      </c>
      <c r="B1280" s="401" t="s">
        <v>35</v>
      </c>
      <c r="C1280" s="10" t="s">
        <v>125</v>
      </c>
      <c r="D1280" s="83" t="s">
        <v>124</v>
      </c>
      <c r="E1280" s="82" t="s">
        <v>877</v>
      </c>
      <c r="F1280" s="85" t="s">
        <v>1035</v>
      </c>
      <c r="G1280" s="86">
        <v>15</v>
      </c>
    </row>
    <row r="1281" ht="16.5" spans="1:7">
      <c r="A1281" s="81">
        <v>46196</v>
      </c>
      <c r="B1281" s="401" t="s">
        <v>35</v>
      </c>
      <c r="C1281" s="10" t="s">
        <v>125</v>
      </c>
      <c r="D1281" s="83" t="s">
        <v>124</v>
      </c>
      <c r="E1281" s="82" t="s">
        <v>877</v>
      </c>
      <c r="F1281" s="85" t="s">
        <v>1091</v>
      </c>
      <c r="G1281" s="86">
        <v>30</v>
      </c>
    </row>
    <row r="1282" ht="16.5" spans="1:7">
      <c r="A1282" s="81">
        <v>46196</v>
      </c>
      <c r="B1282" s="401" t="s">
        <v>35</v>
      </c>
      <c r="C1282" s="10" t="s">
        <v>125</v>
      </c>
      <c r="D1282" s="83" t="s">
        <v>124</v>
      </c>
      <c r="E1282" s="82" t="s">
        <v>877</v>
      </c>
      <c r="F1282" s="85" t="s">
        <v>1494</v>
      </c>
      <c r="G1282" s="86">
        <v>2</v>
      </c>
    </row>
    <row r="1283" ht="16.5" spans="1:7">
      <c r="A1283" s="81">
        <v>46197</v>
      </c>
      <c r="B1283" s="82" t="s">
        <v>35</v>
      </c>
      <c r="C1283" s="10" t="s">
        <v>82</v>
      </c>
      <c r="D1283" s="83" t="s">
        <v>81</v>
      </c>
      <c r="E1283" s="82" t="s">
        <v>877</v>
      </c>
      <c r="F1283" s="106" t="s">
        <v>1073</v>
      </c>
      <c r="G1283" s="86">
        <v>35</v>
      </c>
    </row>
    <row r="1284" ht="16.5" spans="1:7">
      <c r="A1284" s="81">
        <v>46196</v>
      </c>
      <c r="B1284" s="82" t="s">
        <v>35</v>
      </c>
      <c r="C1284" s="10" t="s">
        <v>82</v>
      </c>
      <c r="D1284" s="83" t="s">
        <v>81</v>
      </c>
      <c r="E1284" s="82" t="s">
        <v>877</v>
      </c>
      <c r="F1284" s="85" t="s">
        <v>880</v>
      </c>
      <c r="G1284" s="86">
        <v>15</v>
      </c>
    </row>
    <row r="1285" ht="16.5" spans="1:7">
      <c r="A1285" s="81">
        <v>46198</v>
      </c>
      <c r="B1285" s="82" t="s">
        <v>35</v>
      </c>
      <c r="C1285" s="10" t="s">
        <v>82</v>
      </c>
      <c r="D1285" s="83" t="s">
        <v>81</v>
      </c>
      <c r="E1285" s="82" t="s">
        <v>877</v>
      </c>
      <c r="F1285" s="85" t="s">
        <v>889</v>
      </c>
      <c r="G1285" s="86">
        <v>20</v>
      </c>
    </row>
    <row r="1286" ht="16.5" spans="1:7">
      <c r="A1286" s="81">
        <v>46197</v>
      </c>
      <c r="B1286" s="82" t="s">
        <v>35</v>
      </c>
      <c r="C1286" s="10" t="s">
        <v>82</v>
      </c>
      <c r="D1286" s="83" t="s">
        <v>81</v>
      </c>
      <c r="E1286" s="82" t="s">
        <v>877</v>
      </c>
      <c r="F1286" s="85" t="s">
        <v>1403</v>
      </c>
      <c r="G1286" s="86">
        <v>2</v>
      </c>
    </row>
    <row r="1287" ht="16.5" spans="1:7">
      <c r="A1287" s="81">
        <v>46197</v>
      </c>
      <c r="B1287" s="82" t="s">
        <v>35</v>
      </c>
      <c r="C1287" s="10" t="s">
        <v>52</v>
      </c>
      <c r="D1287" s="83" t="s">
        <v>51</v>
      </c>
      <c r="E1287" s="82" t="s">
        <v>877</v>
      </c>
      <c r="F1287" s="85" t="s">
        <v>904</v>
      </c>
      <c r="G1287" s="86">
        <v>10</v>
      </c>
    </row>
    <row r="1288" ht="16.5" spans="1:7">
      <c r="A1288" s="81">
        <v>46197</v>
      </c>
      <c r="B1288" s="82" t="s">
        <v>35</v>
      </c>
      <c r="C1288" s="10" t="s">
        <v>61</v>
      </c>
      <c r="D1288" s="83" t="s">
        <v>60</v>
      </c>
      <c r="E1288" s="82" t="s">
        <v>877</v>
      </c>
      <c r="F1288" s="85" t="s">
        <v>1495</v>
      </c>
      <c r="G1288" s="86">
        <v>20</v>
      </c>
    </row>
    <row r="1289" ht="16.5" spans="1:7">
      <c r="A1289" s="81">
        <v>46197</v>
      </c>
      <c r="B1289" s="82" t="s">
        <v>35</v>
      </c>
      <c r="C1289" s="10" t="s">
        <v>61</v>
      </c>
      <c r="D1289" s="83" t="s">
        <v>60</v>
      </c>
      <c r="E1289" s="82" t="s">
        <v>877</v>
      </c>
      <c r="F1289" s="85" t="s">
        <v>1496</v>
      </c>
      <c r="G1289" s="86">
        <v>2</v>
      </c>
    </row>
    <row r="1290" ht="16.5" spans="1:7">
      <c r="A1290" s="81">
        <v>46197</v>
      </c>
      <c r="B1290" s="82" t="s">
        <v>35</v>
      </c>
      <c r="C1290" s="10" t="s">
        <v>61</v>
      </c>
      <c r="D1290" s="83" t="s">
        <v>60</v>
      </c>
      <c r="E1290" s="82" t="s">
        <v>877</v>
      </c>
      <c r="F1290" s="85" t="s">
        <v>904</v>
      </c>
      <c r="G1290" s="86">
        <v>10</v>
      </c>
    </row>
    <row r="1291" ht="16.5" spans="1:7">
      <c r="A1291" s="81">
        <v>46197</v>
      </c>
      <c r="B1291" s="82" t="s">
        <v>35</v>
      </c>
      <c r="C1291" s="10" t="s">
        <v>61</v>
      </c>
      <c r="D1291" s="83" t="s">
        <v>60</v>
      </c>
      <c r="E1291" s="82" t="s">
        <v>877</v>
      </c>
      <c r="F1291" s="85" t="s">
        <v>1059</v>
      </c>
      <c r="G1291" s="86">
        <v>15</v>
      </c>
    </row>
    <row r="1292" ht="16.5" spans="1:7">
      <c r="A1292" s="81">
        <v>46197</v>
      </c>
      <c r="B1292" s="82" t="s">
        <v>35</v>
      </c>
      <c r="C1292" s="10" t="s">
        <v>61</v>
      </c>
      <c r="D1292" s="83" t="s">
        <v>60</v>
      </c>
      <c r="E1292" s="82" t="s">
        <v>877</v>
      </c>
      <c r="F1292" s="85" t="s">
        <v>1196</v>
      </c>
      <c r="G1292" s="86">
        <v>3</v>
      </c>
    </row>
    <row r="1293" ht="16.5" spans="1:7">
      <c r="A1293" s="81">
        <v>46198</v>
      </c>
      <c r="B1293" s="82" t="s">
        <v>253</v>
      </c>
      <c r="C1293" s="10" t="s">
        <v>91</v>
      </c>
      <c r="D1293" s="83" t="s">
        <v>90</v>
      </c>
      <c r="E1293" s="82" t="s">
        <v>877</v>
      </c>
      <c r="F1293" s="85" t="s">
        <v>1497</v>
      </c>
      <c r="G1293" s="86">
        <v>20</v>
      </c>
    </row>
    <row r="1294" ht="16.5" spans="1:7">
      <c r="A1294" s="87">
        <v>46197</v>
      </c>
      <c r="B1294" s="82" t="s">
        <v>35</v>
      </c>
      <c r="C1294" s="10" t="s">
        <v>91</v>
      </c>
      <c r="D1294" s="83" t="s">
        <v>90</v>
      </c>
      <c r="E1294" s="82" t="s">
        <v>877</v>
      </c>
      <c r="F1294" s="85" t="s">
        <v>1417</v>
      </c>
      <c r="G1294" s="86">
        <v>20</v>
      </c>
    </row>
    <row r="1295" ht="16.5" spans="1:7">
      <c r="A1295" s="81">
        <v>46197</v>
      </c>
      <c r="B1295" s="82" t="s">
        <v>35</v>
      </c>
      <c r="C1295" s="10" t="s">
        <v>91</v>
      </c>
      <c r="D1295" s="83" t="s">
        <v>90</v>
      </c>
      <c r="E1295" s="82" t="s">
        <v>877</v>
      </c>
      <c r="F1295" s="85" t="s">
        <v>940</v>
      </c>
      <c r="G1295" s="86">
        <v>15</v>
      </c>
    </row>
    <row r="1296" ht="16.5" spans="1:7">
      <c r="A1296" s="81">
        <v>46197</v>
      </c>
      <c r="B1296" s="82" t="s">
        <v>35</v>
      </c>
      <c r="C1296" s="10" t="s">
        <v>91</v>
      </c>
      <c r="D1296" s="83" t="s">
        <v>90</v>
      </c>
      <c r="E1296" s="82" t="s">
        <v>877</v>
      </c>
      <c r="F1296" s="85" t="s">
        <v>880</v>
      </c>
      <c r="G1296" s="86">
        <v>15</v>
      </c>
    </row>
    <row r="1297" ht="16.5" spans="1:7">
      <c r="A1297" s="81">
        <v>46198</v>
      </c>
      <c r="B1297" s="82" t="s">
        <v>35</v>
      </c>
      <c r="C1297" s="10" t="s">
        <v>91</v>
      </c>
      <c r="D1297" s="83" t="s">
        <v>90</v>
      </c>
      <c r="E1297" s="82" t="s">
        <v>877</v>
      </c>
      <c r="F1297" s="85" t="s">
        <v>930</v>
      </c>
      <c r="G1297" s="86">
        <v>15</v>
      </c>
    </row>
    <row r="1298" ht="16.5" spans="1:7">
      <c r="A1298" s="81">
        <v>46197</v>
      </c>
      <c r="B1298" s="82" t="s">
        <v>35</v>
      </c>
      <c r="C1298" s="10" t="s">
        <v>122</v>
      </c>
      <c r="D1298" s="83" t="s">
        <v>130</v>
      </c>
      <c r="E1298" s="82" t="s">
        <v>877</v>
      </c>
      <c r="F1298" s="85" t="s">
        <v>903</v>
      </c>
      <c r="G1298" s="86">
        <v>20</v>
      </c>
    </row>
    <row r="1299" ht="16.5" spans="1:7">
      <c r="A1299" s="81">
        <v>46197</v>
      </c>
      <c r="B1299" s="82" t="s">
        <v>35</v>
      </c>
      <c r="C1299" s="10" t="s">
        <v>122</v>
      </c>
      <c r="D1299" s="83" t="s">
        <v>130</v>
      </c>
      <c r="E1299" s="82" t="s">
        <v>877</v>
      </c>
      <c r="F1299" s="85" t="s">
        <v>1059</v>
      </c>
      <c r="G1299" s="86">
        <v>15</v>
      </c>
    </row>
    <row r="1300" ht="16.5" spans="1:7">
      <c r="A1300" s="81">
        <v>46198</v>
      </c>
      <c r="B1300" s="82" t="s">
        <v>35</v>
      </c>
      <c r="C1300" s="10" t="s">
        <v>122</v>
      </c>
      <c r="D1300" s="83" t="s">
        <v>130</v>
      </c>
      <c r="E1300" s="82" t="s">
        <v>877</v>
      </c>
      <c r="F1300" s="85" t="s">
        <v>1498</v>
      </c>
      <c r="G1300" s="86">
        <v>20</v>
      </c>
    </row>
    <row r="1301" ht="16.5" spans="1:7">
      <c r="A1301" s="81">
        <v>46198</v>
      </c>
      <c r="B1301" s="82" t="s">
        <v>35</v>
      </c>
      <c r="C1301" s="10" t="s">
        <v>109</v>
      </c>
      <c r="D1301" s="83" t="s">
        <v>108</v>
      </c>
      <c r="E1301" s="82" t="s">
        <v>877</v>
      </c>
      <c r="F1301" s="85" t="s">
        <v>1061</v>
      </c>
      <c r="G1301" s="86">
        <v>15</v>
      </c>
    </row>
    <row r="1302" ht="16.5" spans="1:7">
      <c r="A1302" s="81">
        <v>46197</v>
      </c>
      <c r="B1302" s="82" t="s">
        <v>35</v>
      </c>
      <c r="C1302" s="10" t="s">
        <v>327</v>
      </c>
      <c r="D1302" s="83" t="s">
        <v>63</v>
      </c>
      <c r="E1302" s="82" t="s">
        <v>877</v>
      </c>
      <c r="F1302" s="85" t="s">
        <v>1058</v>
      </c>
      <c r="G1302" s="86">
        <v>35</v>
      </c>
    </row>
    <row r="1303" ht="16.5" spans="1:7">
      <c r="A1303" s="81">
        <v>46196</v>
      </c>
      <c r="B1303" s="82" t="s">
        <v>35</v>
      </c>
      <c r="C1303" s="10" t="s">
        <v>327</v>
      </c>
      <c r="D1303" s="83" t="s">
        <v>63</v>
      </c>
      <c r="E1303" s="82" t="s">
        <v>877</v>
      </c>
      <c r="F1303" s="85" t="s">
        <v>1059</v>
      </c>
      <c r="G1303" s="86">
        <v>15</v>
      </c>
    </row>
    <row r="1304" ht="16.5" spans="1:7">
      <c r="A1304" s="81">
        <v>46197</v>
      </c>
      <c r="B1304" s="82" t="s">
        <v>35</v>
      </c>
      <c r="C1304" s="10" t="s">
        <v>327</v>
      </c>
      <c r="D1304" s="83" t="s">
        <v>63</v>
      </c>
      <c r="E1304" s="82" t="s">
        <v>877</v>
      </c>
      <c r="F1304" s="85" t="s">
        <v>1405</v>
      </c>
      <c r="G1304" s="86">
        <v>2</v>
      </c>
    </row>
    <row r="1305" ht="16.5" spans="1:7">
      <c r="A1305" s="87">
        <v>46198</v>
      </c>
      <c r="B1305" s="82" t="s">
        <v>35</v>
      </c>
      <c r="C1305" s="10" t="s">
        <v>327</v>
      </c>
      <c r="D1305" s="83" t="s">
        <v>63</v>
      </c>
      <c r="E1305" s="82" t="s">
        <v>877</v>
      </c>
      <c r="F1305" s="10" t="s">
        <v>1088</v>
      </c>
      <c r="G1305" s="86">
        <v>20</v>
      </c>
    </row>
    <row r="1306" ht="16.5" spans="1:7">
      <c r="A1306" s="87">
        <v>46197</v>
      </c>
      <c r="B1306" s="82" t="s">
        <v>35</v>
      </c>
      <c r="C1306" s="10" t="s">
        <v>133</v>
      </c>
      <c r="D1306" s="83" t="s">
        <v>132</v>
      </c>
      <c r="E1306" s="82" t="s">
        <v>877</v>
      </c>
      <c r="F1306" s="10" t="s">
        <v>1191</v>
      </c>
      <c r="G1306" s="86">
        <v>35</v>
      </c>
    </row>
    <row r="1307" ht="16.5" spans="1:7">
      <c r="A1307" s="87">
        <v>46196</v>
      </c>
      <c r="B1307" s="82" t="s">
        <v>35</v>
      </c>
      <c r="C1307" s="10" t="s">
        <v>133</v>
      </c>
      <c r="D1307" s="83" t="s">
        <v>132</v>
      </c>
      <c r="E1307" s="82" t="s">
        <v>877</v>
      </c>
      <c r="F1307" s="10" t="s">
        <v>1393</v>
      </c>
      <c r="G1307" s="86">
        <v>15</v>
      </c>
    </row>
    <row r="1308" ht="16.5" spans="1:7">
      <c r="A1308" s="87">
        <v>46196</v>
      </c>
      <c r="B1308" s="82" t="s">
        <v>35</v>
      </c>
      <c r="C1308" s="10" t="s">
        <v>133</v>
      </c>
      <c r="D1308" s="83" t="s">
        <v>132</v>
      </c>
      <c r="E1308" s="82" t="s">
        <v>877</v>
      </c>
      <c r="F1308" s="10" t="s">
        <v>911</v>
      </c>
      <c r="G1308" s="86">
        <v>10</v>
      </c>
    </row>
    <row r="1309" ht="16.5" spans="1:7">
      <c r="A1309" s="87">
        <v>46197</v>
      </c>
      <c r="B1309" s="82" t="s">
        <v>35</v>
      </c>
      <c r="C1309" s="10" t="s">
        <v>133</v>
      </c>
      <c r="D1309" s="83" t="s">
        <v>132</v>
      </c>
      <c r="E1309" s="82" t="s">
        <v>877</v>
      </c>
      <c r="F1309" s="10" t="s">
        <v>1499</v>
      </c>
      <c r="G1309" s="86">
        <v>2</v>
      </c>
    </row>
    <row r="1310" ht="16.5" spans="1:7">
      <c r="A1310" s="87">
        <v>46198</v>
      </c>
      <c r="B1310" s="82" t="s">
        <v>35</v>
      </c>
      <c r="C1310" s="10" t="s">
        <v>100</v>
      </c>
      <c r="D1310" s="83" t="s">
        <v>99</v>
      </c>
      <c r="E1310" s="82" t="s">
        <v>877</v>
      </c>
      <c r="F1310" s="105" t="s">
        <v>900</v>
      </c>
      <c r="G1310" s="86">
        <v>10</v>
      </c>
    </row>
    <row r="1311" ht="16.5" spans="1:7">
      <c r="A1311" s="87">
        <v>46198</v>
      </c>
      <c r="B1311" s="82" t="s">
        <v>35</v>
      </c>
      <c r="C1311" s="10" t="s">
        <v>67</v>
      </c>
      <c r="D1311" s="83" t="s">
        <v>66</v>
      </c>
      <c r="E1311" s="82" t="s">
        <v>877</v>
      </c>
      <c r="F1311" s="105" t="s">
        <v>900</v>
      </c>
      <c r="G1311" s="86">
        <v>10</v>
      </c>
    </row>
    <row r="1312" ht="16.5" spans="1:7">
      <c r="A1312" s="87">
        <v>46197</v>
      </c>
      <c r="B1312" s="82" t="s">
        <v>35</v>
      </c>
      <c r="C1312" s="10" t="s">
        <v>142</v>
      </c>
      <c r="D1312" s="83" t="s">
        <v>141</v>
      </c>
      <c r="E1312" s="82" t="s">
        <v>877</v>
      </c>
      <c r="F1312" s="10" t="s">
        <v>880</v>
      </c>
      <c r="G1312" s="86">
        <v>15</v>
      </c>
    </row>
    <row r="1313" ht="16.5" spans="1:7">
      <c r="A1313" s="87">
        <v>46197</v>
      </c>
      <c r="B1313" s="82" t="s">
        <v>35</v>
      </c>
      <c r="C1313" s="10" t="s">
        <v>142</v>
      </c>
      <c r="D1313" s="83" t="s">
        <v>141</v>
      </c>
      <c r="E1313" s="82" t="s">
        <v>877</v>
      </c>
      <c r="F1313" s="138" t="s">
        <v>1500</v>
      </c>
      <c r="G1313" s="86">
        <v>2</v>
      </c>
    </row>
    <row r="1314" ht="16.5" spans="1:7">
      <c r="A1314" s="87">
        <v>46198</v>
      </c>
      <c r="B1314" s="82" t="s">
        <v>35</v>
      </c>
      <c r="C1314" s="10" t="s">
        <v>142</v>
      </c>
      <c r="D1314" s="83" t="s">
        <v>141</v>
      </c>
      <c r="E1314" s="82" t="s">
        <v>877</v>
      </c>
      <c r="F1314" s="10" t="s">
        <v>1008</v>
      </c>
      <c r="G1314" s="86">
        <v>25</v>
      </c>
    </row>
    <row r="1315" ht="16.5" spans="1:7">
      <c r="A1315" s="87">
        <v>46197</v>
      </c>
      <c r="B1315" s="82" t="s">
        <v>35</v>
      </c>
      <c r="C1315" s="10" t="s">
        <v>704</v>
      </c>
      <c r="D1315" s="83" t="s">
        <v>221</v>
      </c>
      <c r="E1315" s="82" t="s">
        <v>877</v>
      </c>
      <c r="F1315" s="10" t="s">
        <v>900</v>
      </c>
      <c r="G1315" s="86">
        <v>10</v>
      </c>
    </row>
    <row r="1316" ht="16.5" spans="1:7">
      <c r="A1316" s="87">
        <v>46197</v>
      </c>
      <c r="B1316" s="82" t="s">
        <v>35</v>
      </c>
      <c r="C1316" s="10" t="s">
        <v>704</v>
      </c>
      <c r="D1316" s="83" t="s">
        <v>221</v>
      </c>
      <c r="E1316" s="82" t="s">
        <v>877</v>
      </c>
      <c r="F1316" s="10" t="s">
        <v>1501</v>
      </c>
      <c r="G1316" s="86">
        <v>3</v>
      </c>
    </row>
    <row r="1317" ht="16.5" spans="1:7">
      <c r="A1317" s="87">
        <v>46197</v>
      </c>
      <c r="B1317" s="82" t="s">
        <v>35</v>
      </c>
      <c r="C1317" s="10" t="s">
        <v>175</v>
      </c>
      <c r="D1317" s="83" t="s">
        <v>174</v>
      </c>
      <c r="E1317" s="82" t="s">
        <v>877</v>
      </c>
      <c r="F1317" s="10" t="s">
        <v>1502</v>
      </c>
      <c r="G1317" s="86">
        <v>19</v>
      </c>
    </row>
    <row r="1318" ht="16.5" spans="1:7">
      <c r="A1318" s="87">
        <v>46198</v>
      </c>
      <c r="B1318" s="82" t="s">
        <v>35</v>
      </c>
      <c r="C1318" s="10" t="s">
        <v>175</v>
      </c>
      <c r="D1318" s="83" t="s">
        <v>174</v>
      </c>
      <c r="E1318" s="82" t="s">
        <v>877</v>
      </c>
      <c r="F1318" s="10" t="s">
        <v>911</v>
      </c>
      <c r="G1318" s="86">
        <v>10</v>
      </c>
    </row>
    <row r="1319" ht="16.5" spans="1:7">
      <c r="A1319" s="403">
        <v>46199</v>
      </c>
      <c r="B1319" s="404" t="s">
        <v>249</v>
      </c>
      <c r="C1319" s="405" t="s">
        <v>184</v>
      </c>
      <c r="D1319" s="406" t="s">
        <v>183</v>
      </c>
      <c r="E1319" s="404" t="s">
        <v>877</v>
      </c>
      <c r="F1319" s="407" t="s">
        <v>1503</v>
      </c>
      <c r="G1319" s="408">
        <v>2500</v>
      </c>
    </row>
    <row r="1320" ht="16.5" spans="1:7">
      <c r="A1320" s="403">
        <v>46199</v>
      </c>
      <c r="B1320" s="404" t="s">
        <v>249</v>
      </c>
      <c r="C1320" s="405" t="s">
        <v>181</v>
      </c>
      <c r="D1320" s="406" t="s">
        <v>180</v>
      </c>
      <c r="E1320" s="404" t="s">
        <v>877</v>
      </c>
      <c r="F1320" s="407" t="s">
        <v>1504</v>
      </c>
      <c r="G1320" s="408">
        <v>2000</v>
      </c>
    </row>
    <row r="1321" ht="16.5" spans="1:7">
      <c r="A1321" s="403">
        <v>46199</v>
      </c>
      <c r="B1321" s="404" t="s">
        <v>249</v>
      </c>
      <c r="C1321" s="405" t="s">
        <v>167</v>
      </c>
      <c r="D1321" s="406" t="s">
        <v>166</v>
      </c>
      <c r="E1321" s="404" t="s">
        <v>877</v>
      </c>
      <c r="F1321" s="407" t="s">
        <v>1505</v>
      </c>
      <c r="G1321" s="408">
        <v>3000</v>
      </c>
    </row>
    <row r="1322" ht="16.5" spans="1:7">
      <c r="A1322" s="81">
        <v>46198</v>
      </c>
      <c r="B1322" s="82" t="s">
        <v>35</v>
      </c>
      <c r="C1322" s="10" t="s">
        <v>136</v>
      </c>
      <c r="D1322" s="83" t="s">
        <v>135</v>
      </c>
      <c r="E1322" s="82" t="s">
        <v>877</v>
      </c>
      <c r="F1322" s="85" t="s">
        <v>930</v>
      </c>
      <c r="G1322" s="86">
        <v>15</v>
      </c>
    </row>
    <row r="1323" ht="16.5" spans="1:7">
      <c r="A1323" s="81">
        <v>46199</v>
      </c>
      <c r="B1323" s="82" t="s">
        <v>35</v>
      </c>
      <c r="C1323" s="10" t="s">
        <v>58</v>
      </c>
      <c r="D1323" s="83" t="s">
        <v>105</v>
      </c>
      <c r="E1323" s="82" t="s">
        <v>877</v>
      </c>
      <c r="F1323" s="85" t="s">
        <v>1506</v>
      </c>
      <c r="G1323" s="86">
        <v>11</v>
      </c>
    </row>
    <row r="1324" ht="16.5" spans="1:7">
      <c r="A1324" s="81">
        <v>46199</v>
      </c>
      <c r="B1324" s="82" t="s">
        <v>35</v>
      </c>
      <c r="C1324" s="10" t="s">
        <v>55</v>
      </c>
      <c r="D1324" s="83" t="s">
        <v>54</v>
      </c>
      <c r="E1324" s="82" t="s">
        <v>877</v>
      </c>
      <c r="F1324" s="85" t="s">
        <v>1507</v>
      </c>
      <c r="G1324" s="86">
        <v>12</v>
      </c>
    </row>
    <row r="1325" ht="16.5" spans="1:7">
      <c r="A1325" s="81">
        <v>46199</v>
      </c>
      <c r="B1325" s="82" t="s">
        <v>35</v>
      </c>
      <c r="C1325" s="10" t="s">
        <v>142</v>
      </c>
      <c r="D1325" s="83" t="s">
        <v>141</v>
      </c>
      <c r="E1325" s="82" t="s">
        <v>877</v>
      </c>
      <c r="F1325" s="85" t="s">
        <v>893</v>
      </c>
      <c r="G1325" s="86">
        <v>15</v>
      </c>
    </row>
    <row r="1326" ht="16.5" spans="1:7">
      <c r="A1326" s="81">
        <v>46199</v>
      </c>
      <c r="B1326" s="82" t="s">
        <v>29</v>
      </c>
      <c r="C1326" s="10" t="s">
        <v>133</v>
      </c>
      <c r="D1326" s="83" t="s">
        <v>132</v>
      </c>
      <c r="E1326" s="82" t="s">
        <v>877</v>
      </c>
      <c r="F1326" s="85" t="s">
        <v>1508</v>
      </c>
      <c r="G1326" s="86">
        <v>200</v>
      </c>
    </row>
    <row r="1327" ht="16.5" spans="1:7">
      <c r="A1327" s="81">
        <v>46199</v>
      </c>
      <c r="B1327" s="82" t="s">
        <v>250</v>
      </c>
      <c r="C1327" s="10" t="s">
        <v>47</v>
      </c>
      <c r="D1327" s="83" t="s">
        <v>1273</v>
      </c>
      <c r="E1327" s="82" t="s">
        <v>877</v>
      </c>
      <c r="F1327" s="4" t="s">
        <v>1509</v>
      </c>
      <c r="G1327" s="86">
        <v>320</v>
      </c>
    </row>
    <row r="1328" ht="16.5" spans="1:7">
      <c r="A1328" s="81">
        <v>46199</v>
      </c>
      <c r="B1328" s="82" t="s">
        <v>250</v>
      </c>
      <c r="C1328" s="10" t="s">
        <v>47</v>
      </c>
      <c r="D1328" s="83" t="s">
        <v>1273</v>
      </c>
      <c r="E1328" s="82" t="s">
        <v>877</v>
      </c>
      <c r="F1328" s="85" t="s">
        <v>1510</v>
      </c>
      <c r="G1328" s="86">
        <v>336</v>
      </c>
    </row>
    <row r="1329" ht="16.5" spans="1:7">
      <c r="A1329" s="81">
        <v>46199</v>
      </c>
      <c r="B1329" s="82" t="s">
        <v>35</v>
      </c>
      <c r="C1329" s="10" t="s">
        <v>112</v>
      </c>
      <c r="D1329" s="83" t="s">
        <v>111</v>
      </c>
      <c r="E1329" s="82" t="s">
        <v>877</v>
      </c>
      <c r="F1329" s="85" t="s">
        <v>911</v>
      </c>
      <c r="G1329" s="86">
        <v>10</v>
      </c>
    </row>
    <row r="1330" ht="16.5" spans="1:7">
      <c r="A1330" s="81">
        <v>46199</v>
      </c>
      <c r="B1330" s="82" t="s">
        <v>35</v>
      </c>
      <c r="C1330" s="10" t="s">
        <v>82</v>
      </c>
      <c r="D1330" s="83" t="s">
        <v>81</v>
      </c>
      <c r="E1330" s="82" t="s">
        <v>877</v>
      </c>
      <c r="F1330" s="85" t="s">
        <v>930</v>
      </c>
      <c r="G1330" s="86">
        <v>15</v>
      </c>
    </row>
    <row r="1331" ht="16.5" spans="1:7">
      <c r="A1331" s="81">
        <v>46198</v>
      </c>
      <c r="B1331" s="82" t="s">
        <v>29</v>
      </c>
      <c r="C1331" s="10" t="s">
        <v>52</v>
      </c>
      <c r="D1331" s="83" t="s">
        <v>51</v>
      </c>
      <c r="E1331" s="82" t="s">
        <v>877</v>
      </c>
      <c r="F1331" s="105" t="s">
        <v>1511</v>
      </c>
      <c r="G1331" s="86">
        <v>20</v>
      </c>
    </row>
    <row r="1332" ht="16.5" spans="1:7">
      <c r="A1332" s="81">
        <v>46198</v>
      </c>
      <c r="B1332" s="82" t="s">
        <v>35</v>
      </c>
      <c r="C1332" s="10" t="s">
        <v>52</v>
      </c>
      <c r="D1332" s="83" t="s">
        <v>51</v>
      </c>
      <c r="E1332" s="82" t="s">
        <v>877</v>
      </c>
      <c r="F1332" s="105" t="s">
        <v>904</v>
      </c>
      <c r="G1332" s="86">
        <v>10</v>
      </c>
    </row>
    <row r="1333" ht="16.5" spans="1:7">
      <c r="A1333" s="113">
        <v>46199</v>
      </c>
      <c r="B1333" s="82" t="s">
        <v>35</v>
      </c>
      <c r="C1333" s="10" t="s">
        <v>97</v>
      </c>
      <c r="D1333" s="83" t="s">
        <v>96</v>
      </c>
      <c r="E1333" s="82" t="s">
        <v>877</v>
      </c>
      <c r="F1333" s="105" t="s">
        <v>903</v>
      </c>
      <c r="G1333" s="114">
        <v>20</v>
      </c>
    </row>
    <row r="1334" ht="16.5" spans="1:7">
      <c r="A1334" s="81">
        <v>46198</v>
      </c>
      <c r="B1334" s="82" t="s">
        <v>35</v>
      </c>
      <c r="C1334" s="10" t="s">
        <v>97</v>
      </c>
      <c r="D1334" s="83" t="s">
        <v>96</v>
      </c>
      <c r="E1334" s="82" t="s">
        <v>877</v>
      </c>
      <c r="F1334" s="399" t="s">
        <v>926</v>
      </c>
      <c r="G1334" s="86">
        <v>5</v>
      </c>
    </row>
    <row r="1335" ht="16.5" spans="1:7">
      <c r="A1335" s="81">
        <v>46198</v>
      </c>
      <c r="B1335" s="82" t="s">
        <v>35</v>
      </c>
      <c r="C1335" s="10" t="s">
        <v>115</v>
      </c>
      <c r="D1335" s="83" t="s">
        <v>114</v>
      </c>
      <c r="E1335" s="82" t="s">
        <v>877</v>
      </c>
      <c r="F1335" s="104" t="s">
        <v>1512</v>
      </c>
      <c r="G1335" s="86">
        <v>24</v>
      </c>
    </row>
    <row r="1336" ht="16.5" spans="1:7">
      <c r="A1336" s="81">
        <v>46199</v>
      </c>
      <c r="B1336" s="82" t="s">
        <v>35</v>
      </c>
      <c r="C1336" s="10" t="s">
        <v>115</v>
      </c>
      <c r="D1336" s="83" t="s">
        <v>114</v>
      </c>
      <c r="E1336" s="82" t="s">
        <v>877</v>
      </c>
      <c r="F1336" s="105" t="s">
        <v>902</v>
      </c>
      <c r="G1336" s="86">
        <v>10</v>
      </c>
    </row>
    <row r="1337" ht="16.5" spans="1:7">
      <c r="A1337" s="81">
        <v>46197</v>
      </c>
      <c r="B1337" s="82" t="s">
        <v>250</v>
      </c>
      <c r="C1337" s="10" t="s">
        <v>146</v>
      </c>
      <c r="D1337" s="83" t="s">
        <v>1226</v>
      </c>
      <c r="E1337" s="82" t="s">
        <v>877</v>
      </c>
      <c r="F1337" s="105" t="s">
        <v>1513</v>
      </c>
      <c r="G1337" s="86">
        <v>200</v>
      </c>
    </row>
    <row r="1338" ht="16.5" spans="1:7">
      <c r="A1338" s="81">
        <v>46199</v>
      </c>
      <c r="B1338" s="82" t="s">
        <v>35</v>
      </c>
      <c r="C1338" s="10" t="s">
        <v>181</v>
      </c>
      <c r="D1338" s="83" t="s">
        <v>180</v>
      </c>
      <c r="E1338" s="82" t="s">
        <v>877</v>
      </c>
      <c r="F1338" s="105" t="s">
        <v>1514</v>
      </c>
      <c r="G1338" s="86">
        <v>31</v>
      </c>
    </row>
    <row r="1339" ht="16.5" spans="1:7">
      <c r="A1339" s="81">
        <v>46198</v>
      </c>
      <c r="B1339" s="401" t="s">
        <v>35</v>
      </c>
      <c r="C1339" s="10" t="s">
        <v>181</v>
      </c>
      <c r="D1339" s="83" t="s">
        <v>180</v>
      </c>
      <c r="E1339" s="82" t="s">
        <v>877</v>
      </c>
      <c r="F1339" s="105" t="s">
        <v>1091</v>
      </c>
      <c r="G1339" s="86">
        <v>30</v>
      </c>
    </row>
    <row r="1340" ht="16.5" spans="1:7">
      <c r="A1340" s="81">
        <v>46197</v>
      </c>
      <c r="B1340" s="401" t="s">
        <v>35</v>
      </c>
      <c r="C1340" s="10" t="s">
        <v>214</v>
      </c>
      <c r="D1340" s="83" t="s">
        <v>213</v>
      </c>
      <c r="E1340" s="82" t="s">
        <v>877</v>
      </c>
      <c r="F1340" s="10" t="s">
        <v>1515</v>
      </c>
      <c r="G1340" s="86">
        <v>20</v>
      </c>
    </row>
    <row r="1341" ht="16.5" spans="1:7">
      <c r="A1341" s="81">
        <v>46197</v>
      </c>
      <c r="B1341" s="401" t="s">
        <v>35</v>
      </c>
      <c r="C1341" s="10" t="s">
        <v>214</v>
      </c>
      <c r="D1341" s="83" t="s">
        <v>213</v>
      </c>
      <c r="E1341" s="82" t="s">
        <v>877</v>
      </c>
      <c r="F1341" s="85" t="s">
        <v>1516</v>
      </c>
      <c r="G1341" s="86">
        <v>15</v>
      </c>
    </row>
    <row r="1342" ht="16.5" spans="1:7">
      <c r="A1342" s="81">
        <v>46196</v>
      </c>
      <c r="B1342" s="401" t="s">
        <v>35</v>
      </c>
      <c r="C1342" s="10" t="s">
        <v>214</v>
      </c>
      <c r="D1342" s="83" t="s">
        <v>213</v>
      </c>
      <c r="E1342" s="82" t="s">
        <v>877</v>
      </c>
      <c r="F1342" s="85" t="s">
        <v>1516</v>
      </c>
      <c r="G1342" s="86">
        <v>15</v>
      </c>
    </row>
    <row r="1343" ht="16.5" spans="1:7">
      <c r="A1343" s="81">
        <v>46198</v>
      </c>
      <c r="B1343" s="401" t="s">
        <v>35</v>
      </c>
      <c r="C1343" s="10" t="s">
        <v>214</v>
      </c>
      <c r="D1343" s="83" t="s">
        <v>213</v>
      </c>
      <c r="E1343" s="82" t="s">
        <v>877</v>
      </c>
      <c r="F1343" s="85" t="s">
        <v>932</v>
      </c>
      <c r="G1343" s="86">
        <v>20</v>
      </c>
    </row>
    <row r="1344" ht="16.5" spans="1:7">
      <c r="A1344" s="81">
        <v>46198</v>
      </c>
      <c r="B1344" s="401" t="s">
        <v>35</v>
      </c>
      <c r="C1344" s="10" t="s">
        <v>214</v>
      </c>
      <c r="D1344" s="83" t="s">
        <v>213</v>
      </c>
      <c r="E1344" s="82" t="s">
        <v>877</v>
      </c>
      <c r="F1344" s="85" t="s">
        <v>1517</v>
      </c>
      <c r="G1344" s="86">
        <v>6</v>
      </c>
    </row>
    <row r="1345" ht="16.5" spans="1:7">
      <c r="A1345" s="81">
        <v>46197</v>
      </c>
      <c r="B1345" s="401" t="s">
        <v>35</v>
      </c>
      <c r="C1345" s="10" t="s">
        <v>217</v>
      </c>
      <c r="D1345" s="83" t="s">
        <v>670</v>
      </c>
      <c r="E1345" s="82" t="s">
        <v>877</v>
      </c>
      <c r="F1345" s="106" t="s">
        <v>1515</v>
      </c>
      <c r="G1345" s="86">
        <v>20</v>
      </c>
    </row>
    <row r="1346" ht="16.5" spans="1:7">
      <c r="A1346" s="81">
        <v>46196</v>
      </c>
      <c r="B1346" s="401" t="s">
        <v>35</v>
      </c>
      <c r="C1346" s="10" t="s">
        <v>217</v>
      </c>
      <c r="D1346" s="83" t="s">
        <v>670</v>
      </c>
      <c r="E1346" s="82" t="s">
        <v>877</v>
      </c>
      <c r="F1346" s="85" t="s">
        <v>1518</v>
      </c>
      <c r="G1346" s="86">
        <v>15</v>
      </c>
    </row>
    <row r="1347" ht="16.5" spans="1:7">
      <c r="A1347" s="81">
        <v>46197</v>
      </c>
      <c r="B1347" s="401" t="s">
        <v>35</v>
      </c>
      <c r="C1347" s="10" t="s">
        <v>217</v>
      </c>
      <c r="D1347" s="83" t="s">
        <v>670</v>
      </c>
      <c r="E1347" s="82" t="s">
        <v>877</v>
      </c>
      <c r="F1347" s="85" t="s">
        <v>1519</v>
      </c>
      <c r="G1347" s="86">
        <v>15</v>
      </c>
    </row>
    <row r="1348" ht="16.5" spans="1:7">
      <c r="A1348" s="81">
        <v>46198</v>
      </c>
      <c r="B1348" s="82" t="s">
        <v>35</v>
      </c>
      <c r="C1348" s="10" t="s">
        <v>217</v>
      </c>
      <c r="D1348" s="83" t="s">
        <v>670</v>
      </c>
      <c r="E1348" s="82" t="s">
        <v>877</v>
      </c>
      <c r="F1348" s="85" t="s">
        <v>882</v>
      </c>
      <c r="G1348" s="86">
        <v>5</v>
      </c>
    </row>
    <row r="1349" ht="16.5" spans="1:7">
      <c r="A1349" s="81">
        <v>46197</v>
      </c>
      <c r="B1349" s="82" t="s">
        <v>35</v>
      </c>
      <c r="C1349" s="10" t="s">
        <v>217</v>
      </c>
      <c r="D1349" s="83" t="s">
        <v>670</v>
      </c>
      <c r="E1349" s="82" t="s">
        <v>877</v>
      </c>
      <c r="F1349" s="85" t="s">
        <v>1520</v>
      </c>
      <c r="G1349" s="86">
        <v>6</v>
      </c>
    </row>
    <row r="1350" ht="16.5" spans="1:7">
      <c r="A1350" s="81">
        <v>46199</v>
      </c>
      <c r="B1350" s="82" t="s">
        <v>35</v>
      </c>
      <c r="C1350" s="10" t="s">
        <v>774</v>
      </c>
      <c r="D1350" s="83" t="s">
        <v>670</v>
      </c>
      <c r="E1350" s="82" t="s">
        <v>877</v>
      </c>
      <c r="F1350" s="85" t="s">
        <v>915</v>
      </c>
      <c r="G1350" s="86">
        <v>10</v>
      </c>
    </row>
    <row r="1351" ht="16.5" spans="1:7">
      <c r="A1351" s="81">
        <v>46196</v>
      </c>
      <c r="B1351" s="82" t="s">
        <v>35</v>
      </c>
      <c r="C1351" s="10" t="s">
        <v>774</v>
      </c>
      <c r="D1351" s="83" t="s">
        <v>670</v>
      </c>
      <c r="E1351" s="82" t="s">
        <v>877</v>
      </c>
      <c r="F1351" s="85" t="s">
        <v>893</v>
      </c>
      <c r="G1351" s="86">
        <v>15</v>
      </c>
    </row>
    <row r="1352" ht="16.5" spans="1:7">
      <c r="A1352" s="81">
        <v>46198</v>
      </c>
      <c r="B1352" s="82" t="s">
        <v>35</v>
      </c>
      <c r="C1352" s="10" t="s">
        <v>211</v>
      </c>
      <c r="D1352" s="83" t="s">
        <v>210</v>
      </c>
      <c r="E1352" s="82" t="s">
        <v>877</v>
      </c>
      <c r="F1352" s="85" t="s">
        <v>915</v>
      </c>
      <c r="G1352" s="86">
        <v>10</v>
      </c>
    </row>
    <row r="1353" ht="16.5" spans="1:7">
      <c r="A1353" s="81">
        <v>46198</v>
      </c>
      <c r="B1353" s="82" t="s">
        <v>35</v>
      </c>
      <c r="C1353" s="10" t="s">
        <v>211</v>
      </c>
      <c r="D1353" s="83" t="s">
        <v>210</v>
      </c>
      <c r="E1353" s="82" t="s">
        <v>877</v>
      </c>
      <c r="F1353" s="85" t="s">
        <v>1521</v>
      </c>
      <c r="G1353" s="86">
        <v>2</v>
      </c>
    </row>
    <row r="1354" ht="16.5" spans="1:7">
      <c r="A1354" s="81">
        <v>46199</v>
      </c>
      <c r="B1354" s="82" t="s">
        <v>35</v>
      </c>
      <c r="C1354" s="10" t="s">
        <v>187</v>
      </c>
      <c r="D1354" s="83" t="s">
        <v>186</v>
      </c>
      <c r="E1354" s="82" t="s">
        <v>877</v>
      </c>
      <c r="F1354" s="85" t="s">
        <v>900</v>
      </c>
      <c r="G1354" s="86">
        <v>10</v>
      </c>
    </row>
    <row r="1355" ht="16.5" spans="1:7">
      <c r="A1355" s="81">
        <v>46199</v>
      </c>
      <c r="B1355" s="82" t="s">
        <v>35</v>
      </c>
      <c r="C1355" s="10" t="s">
        <v>187</v>
      </c>
      <c r="D1355" s="83" t="s">
        <v>186</v>
      </c>
      <c r="E1355" s="82" t="s">
        <v>877</v>
      </c>
      <c r="F1355" s="85" t="s">
        <v>1520</v>
      </c>
      <c r="G1355" s="86">
        <v>6</v>
      </c>
    </row>
    <row r="1356" ht="16.5" spans="1:7">
      <c r="A1356" s="81">
        <v>46195</v>
      </c>
      <c r="B1356" s="82" t="s">
        <v>35</v>
      </c>
      <c r="C1356" s="10" t="s">
        <v>719</v>
      </c>
      <c r="D1356" s="83" t="s">
        <v>201</v>
      </c>
      <c r="E1356" s="82" t="s">
        <v>877</v>
      </c>
      <c r="F1356" s="106" t="s">
        <v>930</v>
      </c>
      <c r="G1356" s="86">
        <v>15</v>
      </c>
    </row>
    <row r="1357" ht="16.5" spans="1:7">
      <c r="A1357" s="81">
        <v>46197</v>
      </c>
      <c r="B1357" s="82" t="s">
        <v>35</v>
      </c>
      <c r="C1357" s="10" t="s">
        <v>719</v>
      </c>
      <c r="D1357" s="83" t="s">
        <v>201</v>
      </c>
      <c r="E1357" s="82" t="s">
        <v>877</v>
      </c>
      <c r="F1357" s="85" t="s">
        <v>893</v>
      </c>
      <c r="G1357" s="86">
        <v>15</v>
      </c>
    </row>
    <row r="1358" ht="16.5" spans="1:7">
      <c r="A1358" s="81">
        <v>46196</v>
      </c>
      <c r="B1358" s="82" t="s">
        <v>35</v>
      </c>
      <c r="C1358" s="10" t="s">
        <v>719</v>
      </c>
      <c r="D1358" s="83" t="s">
        <v>201</v>
      </c>
      <c r="E1358" s="82" t="s">
        <v>877</v>
      </c>
      <c r="F1358" s="85" t="s">
        <v>1522</v>
      </c>
      <c r="G1358" s="86">
        <v>20</v>
      </c>
    </row>
    <row r="1359" ht="16.5" spans="1:7">
      <c r="A1359" s="81">
        <v>46198</v>
      </c>
      <c r="B1359" s="82" t="s">
        <v>35</v>
      </c>
      <c r="C1359" s="10" t="s">
        <v>719</v>
      </c>
      <c r="D1359" s="83" t="s">
        <v>201</v>
      </c>
      <c r="E1359" s="82" t="s">
        <v>877</v>
      </c>
      <c r="F1359" s="85" t="s">
        <v>1523</v>
      </c>
      <c r="G1359" s="86">
        <v>20</v>
      </c>
    </row>
    <row r="1360" ht="16.5" spans="1:7">
      <c r="A1360" s="81">
        <v>46197</v>
      </c>
      <c r="B1360" s="82" t="s">
        <v>35</v>
      </c>
      <c r="C1360" s="10" t="s">
        <v>190</v>
      </c>
      <c r="D1360" s="83" t="s">
        <v>189</v>
      </c>
      <c r="E1360" s="82" t="s">
        <v>877</v>
      </c>
      <c r="F1360" s="85" t="s">
        <v>1524</v>
      </c>
      <c r="G1360" s="86">
        <v>30</v>
      </c>
    </row>
    <row r="1361" ht="16.5" spans="1:8">
      <c r="A1361" s="81">
        <v>46198</v>
      </c>
      <c r="B1361" s="82" t="s">
        <v>35</v>
      </c>
      <c r="C1361" s="10" t="s">
        <v>190</v>
      </c>
      <c r="D1361" s="83" t="s">
        <v>189</v>
      </c>
      <c r="E1361" s="82" t="s">
        <v>877</v>
      </c>
      <c r="F1361" s="85" t="s">
        <v>889</v>
      </c>
      <c r="G1361" s="86">
        <v>20</v>
      </c>
    </row>
    <row r="1362" ht="16.5" spans="1:8">
      <c r="A1362" s="81">
        <v>46199</v>
      </c>
      <c r="B1362" s="82" t="s">
        <v>29</v>
      </c>
      <c r="C1362" s="10" t="s">
        <v>149</v>
      </c>
      <c r="D1362" s="83" t="s">
        <v>148</v>
      </c>
      <c r="E1362" s="82" t="s">
        <v>877</v>
      </c>
      <c r="F1362" s="85" t="s">
        <v>1525</v>
      </c>
      <c r="G1362" s="86">
        <v>70</v>
      </c>
    </row>
    <row r="1363" ht="16.5" spans="1:8">
      <c r="A1363" s="81">
        <v>46199</v>
      </c>
      <c r="B1363" s="82" t="s">
        <v>35</v>
      </c>
      <c r="C1363" s="10" t="s">
        <v>149</v>
      </c>
      <c r="D1363" s="83" t="s">
        <v>148</v>
      </c>
      <c r="E1363" s="82" t="s">
        <v>877</v>
      </c>
      <c r="F1363" s="85" t="s">
        <v>930</v>
      </c>
      <c r="G1363" s="86">
        <v>15</v>
      </c>
    </row>
    <row r="1364" ht="16.5" spans="1:8">
      <c r="A1364" s="81">
        <v>46199</v>
      </c>
      <c r="B1364" s="82" t="s">
        <v>29</v>
      </c>
      <c r="C1364" s="10" t="s">
        <v>678</v>
      </c>
      <c r="D1364" s="83" t="s">
        <v>207</v>
      </c>
      <c r="E1364" s="82" t="s">
        <v>877</v>
      </c>
      <c r="F1364" s="85" t="s">
        <v>1525</v>
      </c>
      <c r="G1364" s="86">
        <v>70</v>
      </c>
    </row>
    <row r="1365" ht="16.5" spans="1:8">
      <c r="A1365" s="81">
        <v>46199</v>
      </c>
      <c r="B1365" s="82" t="s">
        <v>35</v>
      </c>
      <c r="C1365" s="10" t="s">
        <v>678</v>
      </c>
      <c r="D1365" s="83" t="s">
        <v>207</v>
      </c>
      <c r="E1365" s="82" t="s">
        <v>877</v>
      </c>
      <c r="F1365" s="85" t="s">
        <v>930</v>
      </c>
      <c r="G1365" s="86">
        <v>15</v>
      </c>
    </row>
    <row r="1366" ht="16.5" spans="1:8">
      <c r="A1366" s="81">
        <v>46199</v>
      </c>
      <c r="B1366" s="82" t="s">
        <v>245</v>
      </c>
      <c r="C1366" s="10" t="s">
        <v>184</v>
      </c>
      <c r="D1366" s="83" t="s">
        <v>183</v>
      </c>
      <c r="E1366" s="82" t="s">
        <v>877</v>
      </c>
      <c r="F1366" s="85" t="s">
        <v>1526</v>
      </c>
      <c r="G1366" s="86">
        <v>37.96</v>
      </c>
    </row>
    <row r="1367" ht="16.5" spans="1:8">
      <c r="A1367" s="81">
        <v>46198</v>
      </c>
      <c r="B1367" s="82" t="s">
        <v>35</v>
      </c>
      <c r="C1367" s="10" t="s">
        <v>184</v>
      </c>
      <c r="D1367" s="83" t="s">
        <v>183</v>
      </c>
      <c r="E1367" s="82" t="s">
        <v>877</v>
      </c>
      <c r="F1367" s="85" t="s">
        <v>915</v>
      </c>
      <c r="G1367" s="86">
        <v>10</v>
      </c>
    </row>
    <row r="1368" ht="16.5" spans="1:8">
      <c r="A1368" s="394">
        <v>46200</v>
      </c>
      <c r="B1368" s="95" t="s">
        <v>250</v>
      </c>
      <c r="C1368" s="95" t="s">
        <v>146</v>
      </c>
      <c r="D1368" s="95" t="s">
        <v>1255</v>
      </c>
      <c r="E1368" s="82" t="s">
        <v>877</v>
      </c>
      <c r="F1368" s="108" t="s">
        <v>1527</v>
      </c>
      <c r="G1368" s="96">
        <v>17.1</v>
      </c>
    </row>
    <row r="1369" ht="16.5" spans="1:8">
      <c r="A1369" s="81">
        <v>46199</v>
      </c>
      <c r="B1369" s="82" t="s">
        <v>35</v>
      </c>
      <c r="C1369" s="10" t="s">
        <v>327</v>
      </c>
      <c r="D1369" s="83" t="s">
        <v>63</v>
      </c>
      <c r="E1369" s="82" t="s">
        <v>877</v>
      </c>
      <c r="F1369" s="85" t="s">
        <v>904</v>
      </c>
      <c r="G1369" s="86">
        <v>10</v>
      </c>
      <c r="H1369" s="82"/>
    </row>
    <row r="1370" ht="16.5" spans="1:8">
      <c r="A1370" s="81">
        <v>46199</v>
      </c>
      <c r="B1370" s="82" t="s">
        <v>35</v>
      </c>
      <c r="C1370" s="10" t="s">
        <v>327</v>
      </c>
      <c r="D1370" s="83" t="s">
        <v>63</v>
      </c>
      <c r="E1370" s="82" t="s">
        <v>877</v>
      </c>
      <c r="F1370" s="85" t="s">
        <v>1405</v>
      </c>
      <c r="G1370" s="86">
        <v>2</v>
      </c>
      <c r="H1370" s="82"/>
    </row>
    <row r="1371" ht="16.5" spans="1:8">
      <c r="A1371" s="81">
        <v>46199</v>
      </c>
      <c r="B1371" s="82" t="s">
        <v>35</v>
      </c>
      <c r="C1371" s="10" t="s">
        <v>70</v>
      </c>
      <c r="D1371" s="83" t="s">
        <v>69</v>
      </c>
      <c r="E1371" s="82" t="s">
        <v>877</v>
      </c>
      <c r="F1371" s="85" t="s">
        <v>922</v>
      </c>
      <c r="G1371" s="86">
        <v>10</v>
      </c>
      <c r="H1371" s="82"/>
    </row>
    <row r="1372" ht="16.5" spans="1:8">
      <c r="A1372" s="81">
        <v>46199</v>
      </c>
      <c r="B1372" s="82" t="s">
        <v>253</v>
      </c>
      <c r="C1372" s="10" t="s">
        <v>91</v>
      </c>
      <c r="D1372" s="83" t="s">
        <v>90</v>
      </c>
      <c r="E1372" s="82" t="s">
        <v>877</v>
      </c>
      <c r="F1372" s="85" t="s">
        <v>1528</v>
      </c>
      <c r="G1372" s="86">
        <v>200</v>
      </c>
      <c r="H1372" s="82" t="s">
        <v>1529</v>
      </c>
    </row>
    <row r="1373" ht="16.5" spans="1:8">
      <c r="A1373" s="81">
        <v>46199</v>
      </c>
      <c r="B1373" s="82" t="s">
        <v>249</v>
      </c>
      <c r="C1373" s="10" t="s">
        <v>91</v>
      </c>
      <c r="D1373" s="83" t="s">
        <v>90</v>
      </c>
      <c r="E1373" s="82" t="s">
        <v>877</v>
      </c>
      <c r="F1373" s="85" t="s">
        <v>1414</v>
      </c>
      <c r="G1373" s="86">
        <v>200</v>
      </c>
      <c r="H1373" s="82"/>
    </row>
    <row r="1374" ht="16.5" spans="1:8">
      <c r="A1374" s="81">
        <v>46199</v>
      </c>
      <c r="B1374" s="82" t="s">
        <v>29</v>
      </c>
      <c r="C1374" s="10" t="s">
        <v>91</v>
      </c>
      <c r="D1374" s="83" t="s">
        <v>90</v>
      </c>
      <c r="E1374" s="82" t="s">
        <v>877</v>
      </c>
      <c r="F1374" s="4" t="s">
        <v>1530</v>
      </c>
      <c r="G1374" s="86">
        <v>50</v>
      </c>
      <c r="H1374" s="82"/>
    </row>
    <row r="1375" ht="16.5" spans="1:8">
      <c r="A1375" s="81">
        <v>46200</v>
      </c>
      <c r="B1375" s="82" t="s">
        <v>35</v>
      </c>
      <c r="C1375" s="10" t="s">
        <v>91</v>
      </c>
      <c r="D1375" s="83" t="s">
        <v>90</v>
      </c>
      <c r="E1375" s="82" t="s">
        <v>877</v>
      </c>
      <c r="F1375" s="85" t="s">
        <v>1531</v>
      </c>
      <c r="G1375" s="86">
        <v>12</v>
      </c>
      <c r="H1375" s="82"/>
    </row>
    <row r="1376" ht="16.5" spans="1:8">
      <c r="A1376" s="81">
        <v>46198</v>
      </c>
      <c r="B1376" s="82" t="s">
        <v>29</v>
      </c>
      <c r="C1376" s="10" t="s">
        <v>122</v>
      </c>
      <c r="D1376" s="83" t="s">
        <v>130</v>
      </c>
      <c r="E1376" s="82" t="s">
        <v>877</v>
      </c>
      <c r="F1376" s="85" t="s">
        <v>1532</v>
      </c>
      <c r="G1376" s="86">
        <v>10</v>
      </c>
      <c r="H1376" s="82"/>
    </row>
    <row r="1377" ht="16.5" spans="1:8">
      <c r="A1377" s="81">
        <v>46199</v>
      </c>
      <c r="B1377" s="82" t="s">
        <v>29</v>
      </c>
      <c r="C1377" s="10" t="s">
        <v>122</v>
      </c>
      <c r="D1377" s="83" t="s">
        <v>130</v>
      </c>
      <c r="E1377" s="82" t="s">
        <v>877</v>
      </c>
      <c r="F1377" s="85" t="s">
        <v>1533</v>
      </c>
      <c r="G1377" s="86">
        <v>10</v>
      </c>
      <c r="H1377" s="82"/>
    </row>
    <row r="1378" ht="16.5" spans="1:8">
      <c r="A1378" s="81">
        <v>46199</v>
      </c>
      <c r="B1378" s="82" t="s">
        <v>35</v>
      </c>
      <c r="C1378" s="10" t="s">
        <v>122</v>
      </c>
      <c r="D1378" s="83" t="s">
        <v>130</v>
      </c>
      <c r="E1378" s="82" t="s">
        <v>877</v>
      </c>
      <c r="F1378" s="105" t="s">
        <v>1534</v>
      </c>
      <c r="G1378" s="86">
        <v>30</v>
      </c>
      <c r="H1378" s="82"/>
    </row>
    <row r="1379" ht="16.5" spans="1:8">
      <c r="A1379" s="81">
        <v>46200</v>
      </c>
      <c r="B1379" s="82" t="s">
        <v>35</v>
      </c>
      <c r="C1379" s="10" t="s">
        <v>122</v>
      </c>
      <c r="D1379" s="83" t="s">
        <v>130</v>
      </c>
      <c r="E1379" s="82" t="s">
        <v>877</v>
      </c>
      <c r="F1379" s="105" t="s">
        <v>1125</v>
      </c>
      <c r="G1379" s="86">
        <v>10</v>
      </c>
      <c r="H1379" s="82"/>
    </row>
    <row r="1380" ht="16.5" spans="1:8">
      <c r="A1380" s="113">
        <v>46199</v>
      </c>
      <c r="B1380" s="82" t="s">
        <v>29</v>
      </c>
      <c r="C1380" s="10" t="s">
        <v>133</v>
      </c>
      <c r="D1380" s="83" t="s">
        <v>132</v>
      </c>
      <c r="E1380" s="82" t="s">
        <v>877</v>
      </c>
      <c r="F1380" s="105" t="s">
        <v>1535</v>
      </c>
      <c r="G1380" s="114">
        <v>50</v>
      </c>
      <c r="H1380" s="401"/>
    </row>
    <row r="1381" ht="16.5" spans="1:8">
      <c r="A1381" s="81">
        <v>46199</v>
      </c>
      <c r="B1381" s="82" t="s">
        <v>35</v>
      </c>
      <c r="C1381" s="10" t="s">
        <v>133</v>
      </c>
      <c r="D1381" s="83" t="s">
        <v>132</v>
      </c>
      <c r="E1381" s="82" t="s">
        <v>877</v>
      </c>
      <c r="F1381" s="399" t="s">
        <v>1536</v>
      </c>
      <c r="G1381" s="86">
        <v>12</v>
      </c>
      <c r="H1381" s="82"/>
    </row>
    <row r="1382" ht="16.5" spans="1:8">
      <c r="A1382" s="81">
        <v>46200</v>
      </c>
      <c r="B1382" s="82" t="s">
        <v>247</v>
      </c>
      <c r="C1382" s="10" t="s">
        <v>55</v>
      </c>
      <c r="D1382" s="83" t="s">
        <v>54</v>
      </c>
      <c r="E1382" s="82" t="s">
        <v>877</v>
      </c>
      <c r="F1382" s="104" t="s">
        <v>1537</v>
      </c>
      <c r="G1382" s="86">
        <v>1050</v>
      </c>
      <c r="H1382" s="82" t="s">
        <v>1538</v>
      </c>
    </row>
    <row r="1383" ht="16.5" spans="1:8">
      <c r="A1383" s="81">
        <v>46200</v>
      </c>
      <c r="B1383" s="82" t="s">
        <v>35</v>
      </c>
      <c r="C1383" s="10" t="s">
        <v>58</v>
      </c>
      <c r="D1383" s="83" t="s">
        <v>105</v>
      </c>
      <c r="E1383" s="82" t="s">
        <v>877</v>
      </c>
      <c r="F1383" s="105" t="s">
        <v>1539</v>
      </c>
      <c r="G1383" s="86">
        <v>11</v>
      </c>
      <c r="H1383" s="82"/>
    </row>
    <row r="1384" ht="16.5" spans="1:8">
      <c r="A1384" s="81">
        <v>46200</v>
      </c>
      <c r="B1384" s="82" t="s">
        <v>247</v>
      </c>
      <c r="C1384" s="10" t="s">
        <v>82</v>
      </c>
      <c r="D1384" s="83" t="s">
        <v>81</v>
      </c>
      <c r="E1384" s="82" t="s">
        <v>877</v>
      </c>
      <c r="F1384" s="105" t="s">
        <v>1540</v>
      </c>
      <c r="G1384" s="86">
        <v>900</v>
      </c>
      <c r="H1384" s="82" t="s">
        <v>1538</v>
      </c>
    </row>
    <row r="1385" ht="16.5" spans="1:8">
      <c r="A1385" s="81">
        <v>46199</v>
      </c>
      <c r="B1385" s="82" t="s">
        <v>29</v>
      </c>
      <c r="C1385" s="10" t="s">
        <v>76</v>
      </c>
      <c r="D1385" s="83" t="s">
        <v>75</v>
      </c>
      <c r="E1385" s="82" t="s">
        <v>877</v>
      </c>
      <c r="F1385" s="105" t="s">
        <v>1541</v>
      </c>
      <c r="G1385" s="86">
        <v>90</v>
      </c>
      <c r="H1385" s="82"/>
    </row>
    <row r="1386" ht="16.5" spans="1:8">
      <c r="A1386" s="81">
        <v>46200</v>
      </c>
      <c r="B1386" s="82" t="s">
        <v>29</v>
      </c>
      <c r="C1386" s="10" t="s">
        <v>76</v>
      </c>
      <c r="D1386" s="83" t="s">
        <v>75</v>
      </c>
      <c r="E1386" s="82" t="s">
        <v>877</v>
      </c>
      <c r="F1386" s="105" t="s">
        <v>1542</v>
      </c>
      <c r="G1386" s="86">
        <v>70</v>
      </c>
      <c r="H1386" s="82"/>
    </row>
    <row r="1387" ht="16.5" spans="1:8">
      <c r="A1387" s="81">
        <v>46197</v>
      </c>
      <c r="B1387" s="401" t="s">
        <v>35</v>
      </c>
      <c r="C1387" s="10" t="s">
        <v>76</v>
      </c>
      <c r="D1387" s="83" t="s">
        <v>75</v>
      </c>
      <c r="E1387" s="82" t="s">
        <v>877</v>
      </c>
      <c r="F1387" s="10" t="s">
        <v>1543</v>
      </c>
      <c r="G1387" s="86">
        <v>25</v>
      </c>
      <c r="H1387" s="82"/>
    </row>
    <row r="1388" ht="16.5" spans="1:8">
      <c r="A1388" s="81">
        <v>46199</v>
      </c>
      <c r="B1388" s="401" t="s">
        <v>35</v>
      </c>
      <c r="C1388" s="10" t="s">
        <v>76</v>
      </c>
      <c r="D1388" s="83" t="s">
        <v>75</v>
      </c>
      <c r="E1388" s="82" t="s">
        <v>877</v>
      </c>
      <c r="F1388" s="85" t="s">
        <v>926</v>
      </c>
      <c r="G1388" s="86">
        <v>5</v>
      </c>
      <c r="H1388" s="82"/>
    </row>
    <row r="1389" ht="16.5" spans="1:8">
      <c r="A1389" s="81">
        <v>46199</v>
      </c>
      <c r="B1389" s="401" t="s">
        <v>35</v>
      </c>
      <c r="C1389" s="10" t="s">
        <v>85</v>
      </c>
      <c r="D1389" s="83" t="s">
        <v>84</v>
      </c>
      <c r="E1389" s="82" t="s">
        <v>877</v>
      </c>
      <c r="F1389" s="85" t="s">
        <v>889</v>
      </c>
      <c r="G1389" s="86">
        <v>20</v>
      </c>
      <c r="H1389" s="82"/>
    </row>
    <row r="1390" ht="16.5" spans="1:8">
      <c r="A1390" s="81">
        <v>46197</v>
      </c>
      <c r="B1390" s="401" t="s">
        <v>35</v>
      </c>
      <c r="C1390" s="10" t="s">
        <v>85</v>
      </c>
      <c r="D1390" s="83" t="s">
        <v>84</v>
      </c>
      <c r="E1390" s="82" t="s">
        <v>877</v>
      </c>
      <c r="F1390" s="85" t="s">
        <v>1073</v>
      </c>
      <c r="G1390" s="86">
        <v>35</v>
      </c>
      <c r="H1390" s="82"/>
    </row>
    <row r="1391" ht="16.5" spans="1:8">
      <c r="A1391" s="81">
        <v>46200</v>
      </c>
      <c r="B1391" s="401" t="s">
        <v>35</v>
      </c>
      <c r="C1391" s="10" t="s">
        <v>85</v>
      </c>
      <c r="D1391" s="83" t="s">
        <v>84</v>
      </c>
      <c r="E1391" s="82" t="s">
        <v>877</v>
      </c>
      <c r="F1391" s="85" t="s">
        <v>1544</v>
      </c>
      <c r="G1391" s="86">
        <v>5</v>
      </c>
      <c r="H1391" s="82"/>
    </row>
    <row r="1392" ht="16.5" spans="1:8">
      <c r="A1392" s="81">
        <v>46196</v>
      </c>
      <c r="B1392" s="401" t="s">
        <v>35</v>
      </c>
      <c r="C1392" s="10" t="s">
        <v>85</v>
      </c>
      <c r="D1392" s="83" t="s">
        <v>84</v>
      </c>
      <c r="E1392" s="82" t="s">
        <v>877</v>
      </c>
      <c r="F1392" s="106" t="s">
        <v>880</v>
      </c>
      <c r="G1392" s="86">
        <v>15</v>
      </c>
      <c r="H1392" s="82"/>
    </row>
    <row r="1393" ht="16.5" spans="1:8">
      <c r="A1393" s="81">
        <v>46195</v>
      </c>
      <c r="B1393" s="401" t="s">
        <v>253</v>
      </c>
      <c r="C1393" s="10" t="s">
        <v>85</v>
      </c>
      <c r="D1393" s="83" t="s">
        <v>84</v>
      </c>
      <c r="E1393" s="82" t="s">
        <v>877</v>
      </c>
      <c r="F1393" s="85" t="s">
        <v>1415</v>
      </c>
      <c r="G1393" s="86">
        <v>20</v>
      </c>
      <c r="H1393" s="82" t="s">
        <v>1529</v>
      </c>
    </row>
    <row r="1394" ht="16.5" spans="1:8">
      <c r="A1394" s="81">
        <v>46197</v>
      </c>
      <c r="B1394" s="401" t="s">
        <v>35</v>
      </c>
      <c r="C1394" s="10" t="s">
        <v>85</v>
      </c>
      <c r="D1394" s="83" t="s">
        <v>84</v>
      </c>
      <c r="E1394" s="82" t="s">
        <v>877</v>
      </c>
      <c r="F1394" s="85" t="s">
        <v>1545</v>
      </c>
      <c r="G1394" s="86">
        <v>2</v>
      </c>
      <c r="H1394" s="83"/>
    </row>
    <row r="1395" ht="16.5" spans="1:8">
      <c r="A1395" s="81">
        <v>46200</v>
      </c>
      <c r="B1395" s="82" t="s">
        <v>35</v>
      </c>
      <c r="C1395" s="10" t="s">
        <v>139</v>
      </c>
      <c r="D1395" s="83" t="s">
        <v>138</v>
      </c>
      <c r="E1395" s="82" t="s">
        <v>877</v>
      </c>
      <c r="F1395" s="85" t="s">
        <v>1546</v>
      </c>
      <c r="G1395" s="86">
        <v>15</v>
      </c>
      <c r="H1395" s="83"/>
    </row>
    <row r="1396" ht="16.5" spans="1:8">
      <c r="A1396" s="81">
        <v>46198</v>
      </c>
      <c r="B1396" s="82" t="s">
        <v>35</v>
      </c>
      <c r="C1396" s="10" t="s">
        <v>139</v>
      </c>
      <c r="D1396" s="83" t="s">
        <v>138</v>
      </c>
      <c r="E1396" s="82" t="s">
        <v>877</v>
      </c>
      <c r="F1396" s="85" t="s">
        <v>1547</v>
      </c>
      <c r="G1396" s="86">
        <v>10</v>
      </c>
      <c r="H1396" s="83"/>
    </row>
    <row r="1397" ht="16.5" spans="1:8">
      <c r="A1397" s="81">
        <v>46200</v>
      </c>
      <c r="B1397" s="82" t="s">
        <v>35</v>
      </c>
      <c r="C1397" s="10" t="s">
        <v>67</v>
      </c>
      <c r="D1397" s="83" t="s">
        <v>66</v>
      </c>
      <c r="E1397" s="82" t="s">
        <v>877</v>
      </c>
      <c r="F1397" s="85" t="s">
        <v>904</v>
      </c>
      <c r="G1397" s="86">
        <v>10</v>
      </c>
      <c r="H1397" s="83"/>
    </row>
    <row r="1398" ht="16.5" spans="1:8">
      <c r="A1398" s="81">
        <v>46200</v>
      </c>
      <c r="B1398" s="82" t="s">
        <v>35</v>
      </c>
      <c r="C1398" s="106" t="s">
        <v>100</v>
      </c>
      <c r="D1398" s="83" t="s">
        <v>99</v>
      </c>
      <c r="E1398" s="82" t="s">
        <v>877</v>
      </c>
      <c r="F1398" s="85" t="s">
        <v>900</v>
      </c>
      <c r="G1398" s="86">
        <v>10</v>
      </c>
      <c r="H1398" s="82"/>
    </row>
    <row r="1399" ht="16.5" spans="1:8">
      <c r="A1399" s="81">
        <v>46200</v>
      </c>
      <c r="B1399" s="82" t="s">
        <v>253</v>
      </c>
      <c r="C1399" s="10" t="s">
        <v>97</v>
      </c>
      <c r="D1399" s="83" t="s">
        <v>96</v>
      </c>
      <c r="E1399" s="82" t="s">
        <v>877</v>
      </c>
      <c r="F1399" s="85" t="s">
        <v>1548</v>
      </c>
      <c r="G1399" s="86">
        <v>20</v>
      </c>
      <c r="H1399" s="82" t="s">
        <v>1529</v>
      </c>
    </row>
    <row r="1400" ht="16.5" spans="1:8">
      <c r="A1400" s="81">
        <v>46200</v>
      </c>
      <c r="B1400" s="82" t="s">
        <v>35</v>
      </c>
      <c r="C1400" s="10" t="s">
        <v>97</v>
      </c>
      <c r="D1400" s="83" t="s">
        <v>96</v>
      </c>
      <c r="E1400" s="82" t="s">
        <v>877</v>
      </c>
      <c r="F1400" s="85" t="s">
        <v>1549</v>
      </c>
      <c r="G1400" s="86">
        <v>7</v>
      </c>
      <c r="H1400" s="82"/>
    </row>
    <row r="1401" ht="16.5" spans="1:8">
      <c r="A1401" s="81">
        <v>46200</v>
      </c>
      <c r="B1401" s="82" t="s">
        <v>29</v>
      </c>
      <c r="C1401" s="10" t="s">
        <v>103</v>
      </c>
      <c r="D1401" s="83" t="s">
        <v>102</v>
      </c>
      <c r="E1401" s="82" t="s">
        <v>877</v>
      </c>
      <c r="F1401" s="85" t="s">
        <v>1550</v>
      </c>
      <c r="G1401" s="86">
        <v>20</v>
      </c>
      <c r="H1401" s="82"/>
    </row>
    <row r="1402" ht="16.5" spans="1:8">
      <c r="A1402" s="81">
        <v>46200</v>
      </c>
      <c r="B1402" s="82" t="s">
        <v>35</v>
      </c>
      <c r="C1402" s="10" t="s">
        <v>103</v>
      </c>
      <c r="D1402" s="83" t="s">
        <v>102</v>
      </c>
      <c r="E1402" s="82" t="s">
        <v>877</v>
      </c>
      <c r="F1402" s="85" t="s">
        <v>1095</v>
      </c>
      <c r="G1402" s="86">
        <v>15</v>
      </c>
      <c r="H1402" s="82"/>
    </row>
    <row r="1403" ht="16.5" spans="1:8">
      <c r="A1403" s="81">
        <v>46198</v>
      </c>
      <c r="B1403" s="82" t="s">
        <v>35</v>
      </c>
      <c r="C1403" s="10" t="s">
        <v>103</v>
      </c>
      <c r="D1403" s="83" t="s">
        <v>102</v>
      </c>
      <c r="E1403" s="82" t="s">
        <v>877</v>
      </c>
      <c r="F1403" s="106" t="s">
        <v>1551</v>
      </c>
      <c r="G1403" s="86">
        <v>2</v>
      </c>
      <c r="H1403" s="83"/>
    </row>
    <row r="1404" ht="16.5" spans="1:8">
      <c r="A1404" s="81">
        <v>46200</v>
      </c>
      <c r="B1404" s="82" t="s">
        <v>35</v>
      </c>
      <c r="C1404" s="10" t="s">
        <v>55</v>
      </c>
      <c r="D1404" s="83" t="s">
        <v>54</v>
      </c>
      <c r="E1404" s="82" t="s">
        <v>877</v>
      </c>
      <c r="F1404" s="85" t="s">
        <v>911</v>
      </c>
      <c r="G1404" s="86">
        <v>10</v>
      </c>
      <c r="H1404" s="83"/>
    </row>
    <row r="1405" ht="16.5" spans="1:8">
      <c r="A1405" s="81">
        <v>46200</v>
      </c>
      <c r="B1405" s="82" t="s">
        <v>35</v>
      </c>
      <c r="C1405" s="10" t="s">
        <v>52</v>
      </c>
      <c r="D1405" s="83" t="s">
        <v>51</v>
      </c>
      <c r="E1405" s="82" t="s">
        <v>877</v>
      </c>
      <c r="F1405" s="85" t="s">
        <v>904</v>
      </c>
      <c r="G1405" s="86">
        <v>10</v>
      </c>
      <c r="H1405" s="83"/>
    </row>
    <row r="1406" ht="16.5" spans="1:8">
      <c r="A1406" s="81">
        <v>46201</v>
      </c>
      <c r="B1406" s="82" t="s">
        <v>35</v>
      </c>
      <c r="C1406" s="10" t="s">
        <v>136</v>
      </c>
      <c r="D1406" s="83" t="s">
        <v>135</v>
      </c>
      <c r="E1406" s="82" t="s">
        <v>877</v>
      </c>
      <c r="F1406" s="85" t="s">
        <v>930</v>
      </c>
      <c r="G1406" s="86">
        <v>15</v>
      </c>
      <c r="H1406" s="83"/>
    </row>
    <row r="1407" ht="16.5" spans="1:8">
      <c r="A1407" s="81">
        <v>46200</v>
      </c>
      <c r="B1407" s="82" t="s">
        <v>29</v>
      </c>
      <c r="C1407" s="10" t="s">
        <v>82</v>
      </c>
      <c r="D1407" s="83" t="s">
        <v>81</v>
      </c>
      <c r="E1407" s="82" t="s">
        <v>877</v>
      </c>
      <c r="F1407" s="85" t="s">
        <v>1552</v>
      </c>
      <c r="G1407" s="86">
        <v>50</v>
      </c>
      <c r="H1407" s="82"/>
    </row>
    <row r="1408" ht="16.5" spans="1:8">
      <c r="A1408" s="81">
        <v>46201</v>
      </c>
      <c r="B1408" s="82" t="s">
        <v>35</v>
      </c>
      <c r="C1408" s="10" t="s">
        <v>82</v>
      </c>
      <c r="D1408" s="83" t="s">
        <v>81</v>
      </c>
      <c r="E1408" s="82" t="s">
        <v>877</v>
      </c>
      <c r="F1408" s="85" t="s">
        <v>930</v>
      </c>
      <c r="G1408" s="86">
        <v>15</v>
      </c>
      <c r="H1408" s="83"/>
    </row>
    <row r="1409" ht="16.5" spans="1:8">
      <c r="A1409" s="81">
        <v>46200</v>
      </c>
      <c r="B1409" s="82" t="s">
        <v>250</v>
      </c>
      <c r="C1409" s="10" t="s">
        <v>894</v>
      </c>
      <c r="D1409" s="83" t="s">
        <v>1255</v>
      </c>
      <c r="E1409" s="82" t="s">
        <v>877</v>
      </c>
      <c r="F1409" s="85" t="s">
        <v>1553</v>
      </c>
      <c r="G1409" s="86">
        <v>238</v>
      </c>
      <c r="H1409" s="83"/>
    </row>
    <row r="1410" ht="16.5" spans="1:8">
      <c r="A1410" s="81">
        <v>46199</v>
      </c>
      <c r="B1410" s="82" t="s">
        <v>250</v>
      </c>
      <c r="C1410" s="10" t="s">
        <v>894</v>
      </c>
      <c r="D1410" s="83" t="s">
        <v>1255</v>
      </c>
      <c r="E1410" s="82" t="s">
        <v>877</v>
      </c>
      <c r="F1410" s="85" t="s">
        <v>1554</v>
      </c>
      <c r="G1410" s="86">
        <v>368.05</v>
      </c>
      <c r="H1410" s="83"/>
    </row>
    <row r="1411" ht="16.5" spans="1:8">
      <c r="A1411" s="81">
        <v>46199</v>
      </c>
      <c r="B1411" s="82" t="s">
        <v>250</v>
      </c>
      <c r="C1411" s="10" t="s">
        <v>894</v>
      </c>
      <c r="D1411" s="83" t="s">
        <v>1255</v>
      </c>
      <c r="E1411" s="82" t="s">
        <v>877</v>
      </c>
      <c r="F1411" s="85" t="s">
        <v>1555</v>
      </c>
      <c r="G1411" s="86">
        <v>44.26</v>
      </c>
      <c r="H1411" s="82"/>
    </row>
    <row r="1412" ht="16.5" spans="1:8">
      <c r="A1412" s="81">
        <v>46194</v>
      </c>
      <c r="B1412" s="82" t="s">
        <v>250</v>
      </c>
      <c r="C1412" s="10" t="s">
        <v>894</v>
      </c>
      <c r="D1412" s="83" t="s">
        <v>1255</v>
      </c>
      <c r="E1412" s="82" t="s">
        <v>877</v>
      </c>
      <c r="F1412" s="85" t="s">
        <v>1556</v>
      </c>
      <c r="G1412" s="86">
        <v>12</v>
      </c>
      <c r="H1412" s="82"/>
    </row>
    <row r="1413" ht="16.5" spans="1:8">
      <c r="A1413" s="81">
        <v>46201</v>
      </c>
      <c r="B1413" s="82" t="s">
        <v>247</v>
      </c>
      <c r="C1413" s="10" t="s">
        <v>327</v>
      </c>
      <c r="D1413" s="83" t="s">
        <v>63</v>
      </c>
      <c r="E1413" s="82" t="s">
        <v>877</v>
      </c>
      <c r="F1413" s="85" t="s">
        <v>1557</v>
      </c>
      <c r="G1413" s="86">
        <v>900</v>
      </c>
      <c r="H1413" s="82" t="s">
        <v>1538</v>
      </c>
    </row>
    <row r="1414" ht="16.5" spans="1:8">
      <c r="A1414" s="81">
        <v>46201</v>
      </c>
      <c r="B1414" s="82" t="s">
        <v>29</v>
      </c>
      <c r="C1414" s="10" t="s">
        <v>327</v>
      </c>
      <c r="D1414" s="83" t="s">
        <v>63</v>
      </c>
      <c r="E1414" s="82" t="s">
        <v>877</v>
      </c>
      <c r="F1414" s="85" t="s">
        <v>1558</v>
      </c>
      <c r="G1414" s="86">
        <v>50</v>
      </c>
      <c r="H1414" s="82" t="s">
        <v>1538</v>
      </c>
    </row>
    <row r="1415" ht="16.5" spans="1:8">
      <c r="A1415" s="87">
        <v>46201</v>
      </c>
      <c r="B1415" s="82" t="s">
        <v>35</v>
      </c>
      <c r="C1415" s="10" t="s">
        <v>115</v>
      </c>
      <c r="D1415" s="83" t="s">
        <v>114</v>
      </c>
      <c r="E1415" s="82" t="s">
        <v>877</v>
      </c>
      <c r="F1415" s="10" t="s">
        <v>902</v>
      </c>
      <c r="G1415" s="86">
        <v>10</v>
      </c>
      <c r="H1415" s="82"/>
    </row>
    <row r="1416" ht="16.5" spans="1:8">
      <c r="A1416" s="87">
        <v>46200</v>
      </c>
      <c r="B1416" s="82" t="s">
        <v>35</v>
      </c>
      <c r="C1416" s="10" t="s">
        <v>115</v>
      </c>
      <c r="D1416" s="83" t="s">
        <v>114</v>
      </c>
      <c r="E1416" s="82" t="s">
        <v>877</v>
      </c>
      <c r="F1416" s="10" t="s">
        <v>1442</v>
      </c>
      <c r="G1416" s="86">
        <v>2</v>
      </c>
      <c r="H1416" s="82"/>
    </row>
    <row r="1417" ht="16.5" spans="1:8">
      <c r="A1417" s="87">
        <v>46201</v>
      </c>
      <c r="B1417" s="82" t="s">
        <v>35</v>
      </c>
      <c r="C1417" s="10" t="s">
        <v>112</v>
      </c>
      <c r="D1417" s="83" t="s">
        <v>111</v>
      </c>
      <c r="E1417" s="82" t="s">
        <v>877</v>
      </c>
      <c r="F1417" s="10" t="s">
        <v>911</v>
      </c>
      <c r="G1417" s="86">
        <v>10</v>
      </c>
      <c r="H1417" s="82"/>
    </row>
    <row r="1418" ht="16.5" spans="1:8">
      <c r="A1418" s="87">
        <v>46200</v>
      </c>
      <c r="B1418" s="82" t="s">
        <v>35</v>
      </c>
      <c r="C1418" s="10" t="s">
        <v>128</v>
      </c>
      <c r="D1418" s="83" t="s">
        <v>127</v>
      </c>
      <c r="E1418" s="82" t="s">
        <v>877</v>
      </c>
      <c r="F1418" s="10" t="s">
        <v>902</v>
      </c>
      <c r="G1418" s="86">
        <v>10</v>
      </c>
      <c r="H1418" s="82"/>
    </row>
    <row r="1419" ht="16.5" spans="1:8">
      <c r="A1419" s="87">
        <v>46200</v>
      </c>
      <c r="B1419" s="82" t="s">
        <v>245</v>
      </c>
      <c r="C1419" s="10" t="s">
        <v>128</v>
      </c>
      <c r="D1419" s="83" t="s">
        <v>127</v>
      </c>
      <c r="E1419" s="82" t="s">
        <v>877</v>
      </c>
      <c r="F1419" s="10" t="s">
        <v>1559</v>
      </c>
      <c r="G1419" s="86">
        <v>73.38</v>
      </c>
      <c r="H1419" s="82"/>
    </row>
    <row r="1420" ht="16.5" spans="1:8">
      <c r="A1420" s="87">
        <v>46201</v>
      </c>
      <c r="B1420" s="82" t="s">
        <v>35</v>
      </c>
      <c r="C1420" s="10" t="s">
        <v>327</v>
      </c>
      <c r="D1420" s="83" t="s">
        <v>63</v>
      </c>
      <c r="E1420" s="82" t="s">
        <v>877</v>
      </c>
      <c r="F1420" s="10" t="s">
        <v>904</v>
      </c>
      <c r="G1420" s="86">
        <v>10</v>
      </c>
      <c r="H1420" s="82"/>
    </row>
    <row r="1421" ht="16.5" spans="1:8">
      <c r="A1421" s="87">
        <v>46200</v>
      </c>
      <c r="B1421" s="82" t="s">
        <v>35</v>
      </c>
      <c r="C1421" s="10" t="s">
        <v>327</v>
      </c>
      <c r="D1421" s="83" t="s">
        <v>63</v>
      </c>
      <c r="E1421" s="82" t="s">
        <v>877</v>
      </c>
      <c r="F1421" s="10" t="s">
        <v>1405</v>
      </c>
      <c r="G1421" s="86">
        <v>2</v>
      </c>
      <c r="H1421" s="82"/>
    </row>
    <row r="1422" ht="16.5" spans="1:8">
      <c r="A1422" s="87">
        <v>46200</v>
      </c>
      <c r="B1422" s="82" t="s">
        <v>35</v>
      </c>
      <c r="C1422" s="10" t="s">
        <v>125</v>
      </c>
      <c r="D1422" s="83" t="s">
        <v>124</v>
      </c>
      <c r="E1422" s="82" t="s">
        <v>877</v>
      </c>
      <c r="F1422" s="10" t="s">
        <v>1271</v>
      </c>
      <c r="G1422" s="86">
        <v>20</v>
      </c>
      <c r="H1422" s="82"/>
    </row>
    <row r="1423" ht="16.5" spans="1:8">
      <c r="A1423" s="87">
        <v>46201</v>
      </c>
      <c r="B1423" s="82" t="s">
        <v>245</v>
      </c>
      <c r="C1423" s="10" t="s">
        <v>125</v>
      </c>
      <c r="D1423" s="83" t="s">
        <v>124</v>
      </c>
      <c r="E1423" s="82" t="s">
        <v>877</v>
      </c>
      <c r="F1423" s="10" t="s">
        <v>1560</v>
      </c>
      <c r="G1423" s="86">
        <v>154.35</v>
      </c>
      <c r="H1423" s="82"/>
    </row>
    <row r="1424" ht="16.5" spans="1:8">
      <c r="A1424" s="87">
        <v>46196</v>
      </c>
      <c r="B1424" s="82" t="s">
        <v>245</v>
      </c>
      <c r="C1424" s="10" t="s">
        <v>125</v>
      </c>
      <c r="D1424" s="83" t="s">
        <v>124</v>
      </c>
      <c r="E1424" s="82" t="s">
        <v>877</v>
      </c>
      <c r="F1424" s="10" t="s">
        <v>1561</v>
      </c>
      <c r="G1424" s="86">
        <v>66.93</v>
      </c>
      <c r="H1424" s="82"/>
    </row>
    <row r="1425" ht="16.5" spans="1:8">
      <c r="A1425" s="87">
        <v>46200</v>
      </c>
      <c r="B1425" s="82" t="s">
        <v>35</v>
      </c>
      <c r="C1425" s="10" t="s">
        <v>125</v>
      </c>
      <c r="D1425" s="83" t="s">
        <v>124</v>
      </c>
      <c r="E1425" s="82" t="s">
        <v>877</v>
      </c>
      <c r="F1425" s="10" t="s">
        <v>1562</v>
      </c>
      <c r="G1425" s="86">
        <v>4</v>
      </c>
      <c r="H1425" s="82"/>
    </row>
    <row r="1426" ht="16.5" spans="1:8">
      <c r="A1426" s="87">
        <v>46201</v>
      </c>
      <c r="B1426" s="82" t="s">
        <v>35</v>
      </c>
      <c r="C1426" s="10" t="s">
        <v>70</v>
      </c>
      <c r="D1426" s="83" t="s">
        <v>69</v>
      </c>
      <c r="E1426" s="82" t="s">
        <v>877</v>
      </c>
      <c r="F1426" s="10" t="s">
        <v>1563</v>
      </c>
      <c r="G1426" s="86">
        <v>15</v>
      </c>
      <c r="H1426" s="82"/>
    </row>
    <row r="1427" ht="16.5" spans="1:8">
      <c r="A1427" s="87">
        <v>46200</v>
      </c>
      <c r="B1427" s="82" t="s">
        <v>35</v>
      </c>
      <c r="C1427" s="10" t="s">
        <v>70</v>
      </c>
      <c r="D1427" s="83" t="s">
        <v>69</v>
      </c>
      <c r="E1427" s="82" t="s">
        <v>877</v>
      </c>
      <c r="F1427" s="10" t="s">
        <v>1564</v>
      </c>
      <c r="G1427" s="86">
        <v>2</v>
      </c>
      <c r="H1427" s="82"/>
    </row>
    <row r="1428" ht="16.5" spans="1:8">
      <c r="A1428" s="87">
        <v>46199</v>
      </c>
      <c r="B1428" s="82" t="s">
        <v>35</v>
      </c>
      <c r="C1428" s="10" t="s">
        <v>818</v>
      </c>
      <c r="D1428" s="83" t="s">
        <v>219</v>
      </c>
      <c r="E1428" s="82" t="s">
        <v>877</v>
      </c>
      <c r="F1428" s="10" t="s">
        <v>1565</v>
      </c>
      <c r="G1428" s="86">
        <v>10</v>
      </c>
      <c r="H1428" s="82"/>
    </row>
    <row r="1429" ht="16.5" spans="1:8">
      <c r="A1429" s="87">
        <v>46199</v>
      </c>
      <c r="B1429" s="82" t="s">
        <v>35</v>
      </c>
      <c r="C1429" s="10" t="s">
        <v>818</v>
      </c>
      <c r="D1429" s="83" t="s">
        <v>219</v>
      </c>
      <c r="E1429" s="82" t="s">
        <v>877</v>
      </c>
      <c r="F1429" s="10" t="s">
        <v>882</v>
      </c>
      <c r="G1429" s="86">
        <v>5</v>
      </c>
      <c r="H1429" s="82"/>
    </row>
    <row r="1430" ht="16.5" spans="1:8">
      <c r="A1430" s="87">
        <v>46198</v>
      </c>
      <c r="B1430" s="82" t="s">
        <v>35</v>
      </c>
      <c r="C1430" s="10" t="s">
        <v>164</v>
      </c>
      <c r="D1430" s="83" t="s">
        <v>163</v>
      </c>
      <c r="E1430" s="82" t="s">
        <v>877</v>
      </c>
      <c r="F1430" s="10" t="s">
        <v>1334</v>
      </c>
      <c r="G1430" s="86">
        <v>15</v>
      </c>
      <c r="H1430" s="82"/>
    </row>
    <row r="1431" ht="16.5" spans="1:8">
      <c r="A1431" s="87">
        <v>46198</v>
      </c>
      <c r="B1431" s="82" t="s">
        <v>35</v>
      </c>
      <c r="C1431" s="10" t="s">
        <v>164</v>
      </c>
      <c r="D1431" s="83" t="s">
        <v>163</v>
      </c>
      <c r="E1431" s="82" t="s">
        <v>877</v>
      </c>
      <c r="F1431" s="10" t="s">
        <v>1566</v>
      </c>
      <c r="G1431" s="86">
        <v>2</v>
      </c>
      <c r="H1431" s="82"/>
    </row>
    <row r="1432" ht="16.5" spans="1:8">
      <c r="A1432" s="87">
        <v>46200</v>
      </c>
      <c r="B1432" s="82" t="s">
        <v>247</v>
      </c>
      <c r="C1432" s="10" t="s">
        <v>155</v>
      </c>
      <c r="D1432" s="83" t="s">
        <v>154</v>
      </c>
      <c r="E1432" s="82" t="s">
        <v>877</v>
      </c>
      <c r="F1432" s="10" t="s">
        <v>1567</v>
      </c>
      <c r="G1432" s="86">
        <v>950</v>
      </c>
      <c r="H1432" s="82" t="s">
        <v>1538</v>
      </c>
    </row>
    <row r="1433" ht="16.5" spans="1:8">
      <c r="A1433" s="87">
        <v>46200</v>
      </c>
      <c r="B1433" s="82" t="s">
        <v>29</v>
      </c>
      <c r="C1433" s="10" t="s">
        <v>158</v>
      </c>
      <c r="D1433" s="83" t="s">
        <v>338</v>
      </c>
      <c r="E1433" s="82" t="s">
        <v>877</v>
      </c>
      <c r="F1433" s="10" t="s">
        <v>1568</v>
      </c>
      <c r="G1433" s="86">
        <v>90</v>
      </c>
      <c r="H1433" s="82" t="s">
        <v>1538</v>
      </c>
    </row>
    <row r="1434" ht="16.5" spans="1:8">
      <c r="A1434" s="87">
        <v>46200</v>
      </c>
      <c r="B1434" s="82" t="s">
        <v>245</v>
      </c>
      <c r="C1434" s="10" t="s">
        <v>167</v>
      </c>
      <c r="D1434" s="83" t="s">
        <v>166</v>
      </c>
      <c r="E1434" s="82" t="s">
        <v>877</v>
      </c>
      <c r="F1434" s="10" t="s">
        <v>1569</v>
      </c>
      <c r="G1434" s="86">
        <v>81.97</v>
      </c>
      <c r="H1434" s="82"/>
    </row>
    <row r="1435" ht="16.5" spans="1:8">
      <c r="A1435" s="87">
        <v>46200</v>
      </c>
      <c r="B1435" s="82" t="s">
        <v>245</v>
      </c>
      <c r="C1435" s="10" t="s">
        <v>167</v>
      </c>
      <c r="D1435" s="83" t="s">
        <v>166</v>
      </c>
      <c r="E1435" s="82" t="s">
        <v>877</v>
      </c>
      <c r="F1435" s="10" t="s">
        <v>1570</v>
      </c>
      <c r="G1435" s="86">
        <v>16.79</v>
      </c>
      <c r="H1435" s="82"/>
    </row>
    <row r="1436" ht="16.5" spans="1:8">
      <c r="A1436" s="87">
        <v>46200</v>
      </c>
      <c r="B1436" s="82" t="s">
        <v>35</v>
      </c>
      <c r="C1436" s="10" t="s">
        <v>167</v>
      </c>
      <c r="D1436" s="83" t="s">
        <v>166</v>
      </c>
      <c r="E1436" s="82" t="s">
        <v>877</v>
      </c>
      <c r="F1436" s="10" t="s">
        <v>1571</v>
      </c>
      <c r="G1436" s="86">
        <v>25</v>
      </c>
      <c r="H1436" s="82"/>
    </row>
    <row r="1437" ht="16.5" spans="1:8">
      <c r="A1437" s="87">
        <v>46199</v>
      </c>
      <c r="B1437" s="82" t="s">
        <v>29</v>
      </c>
      <c r="C1437" s="10" t="s">
        <v>181</v>
      </c>
      <c r="D1437" s="83" t="s">
        <v>180</v>
      </c>
      <c r="E1437" s="82" t="s">
        <v>877</v>
      </c>
      <c r="F1437" s="10" t="s">
        <v>1572</v>
      </c>
      <c r="G1437" s="86">
        <v>70</v>
      </c>
      <c r="H1437" s="82"/>
    </row>
    <row r="1438" ht="16.5" spans="1:8">
      <c r="A1438" s="87">
        <v>46200</v>
      </c>
      <c r="B1438" s="82" t="s">
        <v>35</v>
      </c>
      <c r="C1438" s="10" t="s">
        <v>181</v>
      </c>
      <c r="D1438" s="83" t="s">
        <v>180</v>
      </c>
      <c r="E1438" s="82" t="s">
        <v>877</v>
      </c>
      <c r="F1438" s="10" t="s">
        <v>1364</v>
      </c>
      <c r="G1438" s="86">
        <v>15</v>
      </c>
      <c r="H1438" s="82"/>
    </row>
    <row r="1439" ht="16.5" spans="1:8">
      <c r="A1439" s="87">
        <v>46200</v>
      </c>
      <c r="B1439" s="82" t="s">
        <v>35</v>
      </c>
      <c r="C1439" s="10" t="s">
        <v>161</v>
      </c>
      <c r="D1439" s="83" t="s">
        <v>160</v>
      </c>
      <c r="E1439" s="82" t="s">
        <v>877</v>
      </c>
      <c r="F1439" s="10" t="s">
        <v>930</v>
      </c>
      <c r="G1439" s="86">
        <v>15</v>
      </c>
      <c r="H1439" s="82"/>
    </row>
    <row r="1440" ht="16.5" spans="1:8">
      <c r="A1440" s="87">
        <v>46198</v>
      </c>
      <c r="B1440" s="82" t="s">
        <v>35</v>
      </c>
      <c r="C1440" s="10" t="s">
        <v>161</v>
      </c>
      <c r="D1440" s="83" t="s">
        <v>160</v>
      </c>
      <c r="E1440" s="82" t="s">
        <v>877</v>
      </c>
      <c r="F1440" s="10" t="s">
        <v>1573</v>
      </c>
      <c r="G1440" s="86">
        <v>2</v>
      </c>
      <c r="H1440" s="82"/>
    </row>
    <row r="1441" ht="16.5" spans="1:8">
      <c r="A1441" s="87">
        <v>46201</v>
      </c>
      <c r="B1441" s="82" t="s">
        <v>29</v>
      </c>
      <c r="C1441" s="10" t="s">
        <v>155</v>
      </c>
      <c r="D1441" s="83" t="s">
        <v>154</v>
      </c>
      <c r="E1441" s="82" t="s">
        <v>877</v>
      </c>
      <c r="F1441" s="10" t="s">
        <v>1525</v>
      </c>
      <c r="G1441" s="86">
        <v>70</v>
      </c>
      <c r="H1441" s="82"/>
    </row>
    <row r="1442" ht="16.5" spans="1:8">
      <c r="A1442" s="87">
        <v>46201</v>
      </c>
      <c r="B1442" s="82" t="s">
        <v>35</v>
      </c>
      <c r="C1442" s="10" t="s">
        <v>155</v>
      </c>
      <c r="D1442" s="83" t="s">
        <v>154</v>
      </c>
      <c r="E1442" s="82" t="s">
        <v>877</v>
      </c>
      <c r="F1442" s="10" t="s">
        <v>1574</v>
      </c>
      <c r="G1442" s="86">
        <v>30</v>
      </c>
      <c r="H1442" s="82"/>
    </row>
    <row r="1443" ht="16.5" spans="1:8">
      <c r="A1443" s="87">
        <v>46200</v>
      </c>
      <c r="B1443" s="82" t="s">
        <v>35</v>
      </c>
      <c r="C1443" s="10" t="s">
        <v>155</v>
      </c>
      <c r="D1443" s="83" t="s">
        <v>154</v>
      </c>
      <c r="E1443" s="82" t="s">
        <v>877</v>
      </c>
      <c r="F1443" s="10" t="s">
        <v>911</v>
      </c>
      <c r="G1443" s="86">
        <v>10</v>
      </c>
      <c r="H1443" s="82"/>
    </row>
    <row r="1444" ht="16.5" spans="1:8">
      <c r="A1444" s="87">
        <v>46200</v>
      </c>
      <c r="B1444" s="82" t="s">
        <v>35</v>
      </c>
      <c r="C1444" s="10" t="s">
        <v>170</v>
      </c>
      <c r="D1444" s="83" t="s">
        <v>339</v>
      </c>
      <c r="E1444" s="82" t="s">
        <v>877</v>
      </c>
      <c r="F1444" s="10" t="s">
        <v>902</v>
      </c>
      <c r="G1444" s="86">
        <v>10</v>
      </c>
      <c r="H1444" s="82"/>
    </row>
    <row r="1445" ht="16.5" spans="1:8">
      <c r="A1445" s="87">
        <v>46198</v>
      </c>
      <c r="B1445" s="82" t="s">
        <v>35</v>
      </c>
      <c r="C1445" s="10" t="s">
        <v>170</v>
      </c>
      <c r="D1445" s="83" t="s">
        <v>339</v>
      </c>
      <c r="E1445" s="82" t="s">
        <v>877</v>
      </c>
      <c r="F1445" s="10" t="s">
        <v>902</v>
      </c>
      <c r="G1445" s="86">
        <v>10</v>
      </c>
      <c r="H1445" s="82"/>
    </row>
    <row r="1446" ht="16.5" spans="1:8">
      <c r="A1446" s="87">
        <v>46201</v>
      </c>
      <c r="B1446" s="82" t="s">
        <v>29</v>
      </c>
      <c r="C1446" s="10" t="s">
        <v>774</v>
      </c>
      <c r="D1446" s="83" t="s">
        <v>670</v>
      </c>
      <c r="E1446" s="82" t="s">
        <v>877</v>
      </c>
      <c r="F1446" s="10" t="s">
        <v>1575</v>
      </c>
      <c r="G1446" s="86">
        <v>90</v>
      </c>
      <c r="H1446" s="82"/>
    </row>
    <row r="1447" ht="16.5" spans="1:8">
      <c r="A1447" s="87">
        <v>46201</v>
      </c>
      <c r="B1447" s="82" t="s">
        <v>35</v>
      </c>
      <c r="C1447" s="10" t="s">
        <v>774</v>
      </c>
      <c r="D1447" s="83" t="s">
        <v>670</v>
      </c>
      <c r="E1447" s="82" t="s">
        <v>877</v>
      </c>
      <c r="F1447" s="10" t="s">
        <v>1576</v>
      </c>
      <c r="G1447" s="86">
        <v>20</v>
      </c>
      <c r="H1447" s="82"/>
    </row>
    <row r="1448" ht="16.5" spans="1:8">
      <c r="A1448" s="87">
        <v>46198</v>
      </c>
      <c r="B1448" s="82" t="s">
        <v>35</v>
      </c>
      <c r="C1448" s="10" t="s">
        <v>330</v>
      </c>
      <c r="D1448" s="83" t="s">
        <v>198</v>
      </c>
      <c r="E1448" s="82" t="s">
        <v>877</v>
      </c>
      <c r="F1448" s="10" t="s">
        <v>889</v>
      </c>
      <c r="G1448" s="86">
        <v>20</v>
      </c>
      <c r="H1448" s="82"/>
    </row>
    <row r="1449" ht="16.5" spans="1:8">
      <c r="A1449" s="87">
        <v>46199</v>
      </c>
      <c r="B1449" s="82" t="s">
        <v>35</v>
      </c>
      <c r="C1449" s="10" t="s">
        <v>330</v>
      </c>
      <c r="D1449" s="83" t="s">
        <v>198</v>
      </c>
      <c r="E1449" s="82" t="s">
        <v>877</v>
      </c>
      <c r="F1449" s="10" t="s">
        <v>882</v>
      </c>
      <c r="G1449" s="86">
        <v>5</v>
      </c>
      <c r="H1449" s="82"/>
    </row>
    <row r="1450" ht="16.5" spans="1:8">
      <c r="A1450" s="87">
        <v>46201</v>
      </c>
      <c r="B1450" s="82" t="s">
        <v>245</v>
      </c>
      <c r="C1450" s="10" t="s">
        <v>190</v>
      </c>
      <c r="D1450" s="83" t="s">
        <v>1577</v>
      </c>
      <c r="E1450" s="82" t="s">
        <v>877</v>
      </c>
      <c r="F1450" s="10" t="s">
        <v>1578</v>
      </c>
      <c r="G1450" s="86">
        <v>275.53</v>
      </c>
      <c r="H1450" s="82"/>
    </row>
    <row r="1451" ht="16.5" spans="1:8">
      <c r="A1451" s="87">
        <v>46201</v>
      </c>
      <c r="B1451" s="82" t="s">
        <v>245</v>
      </c>
      <c r="C1451" s="10" t="s">
        <v>190</v>
      </c>
      <c r="D1451" s="83" t="s">
        <v>1577</v>
      </c>
      <c r="E1451" s="82" t="s">
        <v>877</v>
      </c>
      <c r="F1451" s="10" t="s">
        <v>1579</v>
      </c>
      <c r="G1451" s="86">
        <v>5.18</v>
      </c>
      <c r="H1451" s="82"/>
    </row>
    <row r="1452" ht="16.5" spans="1:8">
      <c r="A1452" s="87">
        <v>46201</v>
      </c>
      <c r="B1452" s="82" t="s">
        <v>245</v>
      </c>
      <c r="C1452" s="10" t="s">
        <v>719</v>
      </c>
      <c r="D1452" s="83" t="s">
        <v>201</v>
      </c>
      <c r="E1452" s="82" t="s">
        <v>877</v>
      </c>
      <c r="F1452" s="10" t="s">
        <v>1580</v>
      </c>
      <c r="G1452" s="86">
        <v>147.01</v>
      </c>
      <c r="H1452" s="82"/>
    </row>
  </sheetData>
  <autoFilter xmlns:etc="http://www.wps.cn/officeDocument/2017/etCustomData" ref="A1:I1368" etc:filterBottomFollowUsedRange="0">
    <sortState ref="A1:I1368">
      <sortCondition ref="A1"/>
    </sortState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7"/>
  <sheetViews>
    <sheetView workbookViewId="0">
      <pane ySplit="1" topLeftCell="A83" activePane="bottomLeft" state="frozen"/>
      <selection/>
      <selection pane="bottomLeft" activeCell="L113" sqref="L113"/>
    </sheetView>
  </sheetViews>
  <sheetFormatPr defaultColWidth="8.89166666666667" defaultRowHeight="13.5"/>
  <cols>
    <col min="1" max="1" width="9.625" style="90" customWidth="1"/>
    <col min="2" max="2" width="10.875" style="90" customWidth="1"/>
    <col min="3" max="3" width="15" style="90" customWidth="1"/>
    <col min="4" max="4" width="7.375" style="90" customWidth="1"/>
    <col min="5" max="5" width="9.66666666666667" style="90"/>
    <col min="6" max="6" width="9.66666666666667" style="384"/>
    <col min="7" max="7" width="10.7583333333333" style="90" customWidth="1"/>
    <col min="8" max="8" width="8.625" style="90" customWidth="1"/>
    <col min="9" max="9" width="15.8916666666667" style="90" customWidth="1"/>
    <col min="10" max="10" width="15.5583333333333" style="90" customWidth="1"/>
    <col min="11" max="11" width="12.8916666666667" style="90"/>
    <col min="12" max="12" width="12.625" style="90"/>
    <col min="13" max="13" width="30" style="90" customWidth="1"/>
    <col min="14" max="14" width="8.89166666666667" style="90"/>
    <col min="15" max="15" width="11.8916666666667" style="90" customWidth="1"/>
    <col min="16" max="16" width="10.125" style="90" customWidth="1"/>
    <col min="17" max="17" width="21.125" style="90" customWidth="1"/>
    <col min="18" max="16384" width="8.89166666666667" style="90"/>
  </cols>
  <sheetData>
    <row r="1" ht="25" customHeight="1" spans="1:16">
      <c r="A1" s="385" t="s">
        <v>335</v>
      </c>
      <c r="B1" s="386" t="s">
        <v>3</v>
      </c>
      <c r="C1" s="386" t="s">
        <v>25</v>
      </c>
      <c r="D1" s="387" t="s">
        <v>1581</v>
      </c>
      <c r="E1" s="387" t="s">
        <v>1582</v>
      </c>
      <c r="F1" s="388" t="s">
        <v>1583</v>
      </c>
      <c r="G1" s="386" t="s">
        <v>1584</v>
      </c>
      <c r="H1" s="386" t="s">
        <v>1585</v>
      </c>
      <c r="I1" s="386" t="s">
        <v>1586</v>
      </c>
      <c r="J1" s="386" t="s">
        <v>1587</v>
      </c>
      <c r="K1" s="388" t="s">
        <v>1588</v>
      </c>
      <c r="L1" s="388" t="s">
        <v>1589</v>
      </c>
      <c r="M1" s="386" t="s">
        <v>1590</v>
      </c>
      <c r="N1" s="386" t="s">
        <v>875</v>
      </c>
      <c r="O1" s="386" t="s">
        <v>1591</v>
      </c>
      <c r="P1" s="386" t="s">
        <v>352</v>
      </c>
    </row>
    <row r="2" ht="16.5" spans="1:16">
      <c r="A2" s="389">
        <v>46175</v>
      </c>
      <c r="B2" s="90" t="s">
        <v>132</v>
      </c>
      <c r="C2" s="90" t="s">
        <v>133</v>
      </c>
      <c r="F2" s="384">
        <v>84.698</v>
      </c>
      <c r="L2" s="90">
        <v>59.29</v>
      </c>
    </row>
    <row r="3" ht="16.5" spans="1:16">
      <c r="A3" s="389">
        <v>46175</v>
      </c>
      <c r="B3" s="90" t="s">
        <v>132</v>
      </c>
      <c r="C3" s="90" t="s">
        <v>133</v>
      </c>
      <c r="F3" s="384">
        <v>284.049</v>
      </c>
      <c r="L3" s="90">
        <v>298.23</v>
      </c>
    </row>
    <row r="4" ht="16.5" spans="1:16">
      <c r="A4" s="389">
        <v>46175</v>
      </c>
      <c r="B4" s="90" t="s">
        <v>135</v>
      </c>
      <c r="C4" s="90" t="s">
        <v>136</v>
      </c>
      <c r="F4" s="384">
        <v>143.047</v>
      </c>
      <c r="L4" s="90">
        <v>100</v>
      </c>
    </row>
    <row r="5" ht="16.5" spans="1:16">
      <c r="A5" s="81">
        <v>46176</v>
      </c>
      <c r="B5" s="83" t="s">
        <v>148</v>
      </c>
      <c r="C5" s="39" t="s">
        <v>410</v>
      </c>
      <c r="F5" s="384">
        <v>123.843</v>
      </c>
      <c r="L5" s="90">
        <v>98.83</v>
      </c>
    </row>
    <row r="6" ht="16.5" spans="1:16">
      <c r="A6" s="81">
        <v>46176</v>
      </c>
      <c r="B6" s="83" t="s">
        <v>148</v>
      </c>
      <c r="C6" s="39" t="s">
        <v>410</v>
      </c>
      <c r="F6" s="384">
        <v>122.461</v>
      </c>
      <c r="L6" s="90">
        <v>97.72</v>
      </c>
    </row>
    <row r="7" ht="16.5" spans="1:16">
      <c r="A7" s="81">
        <v>46176</v>
      </c>
      <c r="B7" s="83" t="s">
        <v>151</v>
      </c>
      <c r="C7" s="39" t="s">
        <v>152</v>
      </c>
      <c r="F7" s="384">
        <v>124.005</v>
      </c>
      <c r="L7" s="90">
        <v>99.45</v>
      </c>
    </row>
    <row r="8" ht="16.5" spans="1:16">
      <c r="A8" s="81">
        <v>46176</v>
      </c>
      <c r="B8" s="83" t="s">
        <v>151</v>
      </c>
      <c r="C8" s="39" t="s">
        <v>152</v>
      </c>
      <c r="F8" s="384">
        <v>124.459</v>
      </c>
      <c r="L8" s="90">
        <v>99.32</v>
      </c>
    </row>
    <row r="9" ht="16.5" spans="1:16">
      <c r="A9" s="390">
        <v>46176</v>
      </c>
      <c r="B9" s="391" t="s">
        <v>338</v>
      </c>
      <c r="C9" s="39" t="s">
        <v>158</v>
      </c>
      <c r="F9" s="384">
        <v>364.235</v>
      </c>
      <c r="L9" s="90">
        <v>243.81</v>
      </c>
    </row>
    <row r="10" ht="16.5" spans="1:16">
      <c r="A10" s="390">
        <v>46176</v>
      </c>
      <c r="B10" s="391" t="s">
        <v>154</v>
      </c>
      <c r="C10" s="39" t="s">
        <v>155</v>
      </c>
      <c r="F10" s="384">
        <v>401.76</v>
      </c>
      <c r="L10" s="90">
        <v>282.91</v>
      </c>
    </row>
    <row r="11" ht="16.5" spans="1:16">
      <c r="A11" s="390">
        <v>46176</v>
      </c>
      <c r="B11" s="391" t="s">
        <v>163</v>
      </c>
      <c r="C11" s="39" t="s">
        <v>164</v>
      </c>
      <c r="F11" s="384">
        <v>342.796</v>
      </c>
      <c r="L11" s="90">
        <v>243.56</v>
      </c>
    </row>
    <row r="12" ht="16.5" spans="1:16">
      <c r="A12" s="390">
        <v>46176</v>
      </c>
      <c r="B12" s="391" t="s">
        <v>160</v>
      </c>
      <c r="C12" s="39" t="s">
        <v>161</v>
      </c>
      <c r="F12" s="384">
        <v>339.624</v>
      </c>
      <c r="L12" s="90">
        <v>242.37</v>
      </c>
    </row>
    <row r="13" ht="16.5" spans="1:16">
      <c r="A13" s="390">
        <v>46176</v>
      </c>
      <c r="B13" s="391" t="s">
        <v>130</v>
      </c>
      <c r="C13" s="39" t="s">
        <v>139</v>
      </c>
      <c r="L13" s="90">
        <v>50</v>
      </c>
    </row>
    <row r="14" ht="16.5" spans="1:16">
      <c r="A14" s="392">
        <v>46175</v>
      </c>
      <c r="B14" s="391" t="s">
        <v>144</v>
      </c>
      <c r="C14" s="39" t="s">
        <v>145</v>
      </c>
      <c r="F14" s="384">
        <v>387.042</v>
      </c>
      <c r="L14" s="90">
        <v>383.14</v>
      </c>
    </row>
    <row r="15" ht="16.5" spans="1:16">
      <c r="A15" s="390">
        <v>46175</v>
      </c>
      <c r="B15" s="391" t="s">
        <v>138</v>
      </c>
      <c r="C15" s="39" t="s">
        <v>419</v>
      </c>
      <c r="F15" s="384">
        <v>150.616</v>
      </c>
      <c r="L15" s="90">
        <v>149.1</v>
      </c>
    </row>
    <row r="16" ht="16.5" spans="1:16">
      <c r="A16" s="390">
        <v>46175</v>
      </c>
      <c r="B16" s="391" t="s">
        <v>138</v>
      </c>
      <c r="C16" s="39" t="s">
        <v>419</v>
      </c>
      <c r="F16" s="384">
        <v>151.128</v>
      </c>
      <c r="L16" s="90">
        <v>149.61</v>
      </c>
    </row>
    <row r="17" ht="16.5" spans="1:12">
      <c r="A17" s="390">
        <v>46175</v>
      </c>
      <c r="B17" s="391" t="s">
        <v>138</v>
      </c>
      <c r="C17" s="39" t="s">
        <v>419</v>
      </c>
      <c r="F17" s="384">
        <v>48.015</v>
      </c>
      <c r="L17" s="90">
        <v>47.52</v>
      </c>
    </row>
    <row r="18" ht="16.5" spans="1:12">
      <c r="A18" s="390">
        <v>46175</v>
      </c>
      <c r="B18" s="391" t="s">
        <v>138</v>
      </c>
      <c r="C18" s="39" t="s">
        <v>419</v>
      </c>
      <c r="F18" s="384">
        <v>48.235</v>
      </c>
      <c r="L18" s="90">
        <v>47.74</v>
      </c>
    </row>
    <row r="19" ht="16.5" spans="1:12">
      <c r="A19" s="390">
        <v>46176</v>
      </c>
      <c r="B19" s="391" t="s">
        <v>138</v>
      </c>
      <c r="C19" s="39" t="s">
        <v>419</v>
      </c>
      <c r="F19" s="384">
        <v>92.6579</v>
      </c>
      <c r="L19" s="90">
        <v>75.97</v>
      </c>
    </row>
    <row r="20" ht="16.5" spans="1:12">
      <c r="A20" s="81">
        <v>46178</v>
      </c>
      <c r="B20" s="83" t="s">
        <v>121</v>
      </c>
      <c r="C20" s="10" t="s">
        <v>122</v>
      </c>
      <c r="L20" s="90">
        <v>99.77</v>
      </c>
    </row>
    <row r="21" ht="16.5" spans="1:12">
      <c r="A21" s="81">
        <v>46176</v>
      </c>
      <c r="B21" s="83" t="s">
        <v>141</v>
      </c>
      <c r="C21" s="10" t="s">
        <v>142</v>
      </c>
      <c r="L21" s="90">
        <v>317.56</v>
      </c>
    </row>
    <row r="22" ht="16.5" spans="1:12">
      <c r="A22" s="81">
        <v>46178</v>
      </c>
      <c r="B22" s="83" t="s">
        <v>166</v>
      </c>
      <c r="C22" s="10" t="s">
        <v>167</v>
      </c>
      <c r="F22" s="384">
        <v>91</v>
      </c>
      <c r="L22" s="90">
        <v>98.28</v>
      </c>
    </row>
    <row r="23" ht="16.5" spans="1:12">
      <c r="A23" s="81">
        <v>46178</v>
      </c>
      <c r="B23" s="83" t="s">
        <v>174</v>
      </c>
      <c r="C23" s="10" t="s">
        <v>175</v>
      </c>
      <c r="F23" s="384">
        <v>249.986</v>
      </c>
      <c r="L23" s="393">
        <v>199.49</v>
      </c>
    </row>
    <row r="24" ht="16.5" spans="1:12">
      <c r="A24" s="81">
        <v>46178</v>
      </c>
      <c r="B24" s="83" t="s">
        <v>177</v>
      </c>
      <c r="C24" s="10" t="s">
        <v>178</v>
      </c>
      <c r="F24" s="384">
        <v>249.679</v>
      </c>
      <c r="L24" s="393">
        <v>199.25</v>
      </c>
    </row>
    <row r="25" ht="16.5" spans="1:12">
      <c r="A25" s="81">
        <v>46178</v>
      </c>
      <c r="B25" s="83" t="s">
        <v>339</v>
      </c>
      <c r="C25" s="10" t="s">
        <v>170</v>
      </c>
      <c r="F25" s="384">
        <v>101.515</v>
      </c>
      <c r="L25" s="393">
        <v>99.99</v>
      </c>
    </row>
    <row r="26" ht="16.5" spans="1:12">
      <c r="A26" s="81">
        <v>46177</v>
      </c>
      <c r="B26" s="83" t="s">
        <v>339</v>
      </c>
      <c r="C26" s="10" t="s">
        <v>170</v>
      </c>
      <c r="L26" s="393">
        <v>95.99</v>
      </c>
    </row>
    <row r="27" ht="16.5" spans="1:12">
      <c r="A27" s="81">
        <v>46180</v>
      </c>
      <c r="B27" s="83" t="s">
        <v>174</v>
      </c>
      <c r="C27" s="10" t="s">
        <v>175</v>
      </c>
      <c r="F27" s="384">
        <v>221.015</v>
      </c>
      <c r="L27" s="393">
        <v>199.37</v>
      </c>
    </row>
    <row r="28" ht="16.5" spans="1:12">
      <c r="A28" s="81">
        <v>46177</v>
      </c>
      <c r="B28" s="83" t="s">
        <v>117</v>
      </c>
      <c r="C28" s="10" t="s">
        <v>167</v>
      </c>
      <c r="F28" s="384">
        <v>226.3</v>
      </c>
      <c r="L28" s="393">
        <v>199.14</v>
      </c>
    </row>
    <row r="29" ht="16.5" spans="1:12">
      <c r="A29" s="81">
        <v>46177</v>
      </c>
      <c r="B29" s="83" t="s">
        <v>166</v>
      </c>
      <c r="C29" s="10" t="s">
        <v>167</v>
      </c>
      <c r="F29" s="384">
        <v>124.059</v>
      </c>
      <c r="L29" s="393">
        <v>99.5</v>
      </c>
    </row>
    <row r="30" ht="16.5" spans="1:12">
      <c r="A30" s="81">
        <v>46180</v>
      </c>
      <c r="B30" s="83" t="s">
        <v>81</v>
      </c>
      <c r="C30" s="10" t="s">
        <v>82</v>
      </c>
      <c r="F30" s="384">
        <v>221.023</v>
      </c>
      <c r="L30" s="86">
        <v>198.92</v>
      </c>
    </row>
    <row r="31" ht="16.5" spans="1:12">
      <c r="A31" s="81">
        <v>46180</v>
      </c>
      <c r="B31" s="83" t="s">
        <v>81</v>
      </c>
      <c r="C31" s="10" t="s">
        <v>82</v>
      </c>
      <c r="F31" s="384">
        <v>67.992</v>
      </c>
      <c r="L31" s="86">
        <v>61.19</v>
      </c>
    </row>
    <row r="32" ht="16.5" spans="1:12">
      <c r="A32" s="81">
        <v>46180</v>
      </c>
      <c r="B32" s="83" t="s">
        <v>177</v>
      </c>
      <c r="C32" s="10" t="s">
        <v>178</v>
      </c>
      <c r="F32" s="384">
        <v>79.67</v>
      </c>
      <c r="L32" s="90">
        <v>70.11</v>
      </c>
    </row>
    <row r="33" ht="16.5" spans="1:13">
      <c r="A33" s="81">
        <v>46180</v>
      </c>
      <c r="B33" s="83" t="s">
        <v>177</v>
      </c>
      <c r="C33" s="10" t="s">
        <v>178</v>
      </c>
      <c r="F33" s="384">
        <v>157.539</v>
      </c>
      <c r="L33" s="90">
        <v>147.32</v>
      </c>
    </row>
    <row r="34" ht="16.5" spans="1:13">
      <c r="A34" s="81">
        <v>46180</v>
      </c>
      <c r="B34" s="83" t="s">
        <v>180</v>
      </c>
      <c r="C34" s="10" t="s">
        <v>181</v>
      </c>
      <c r="F34" s="384">
        <v>249.339</v>
      </c>
      <c r="L34" s="90">
        <v>199.47</v>
      </c>
    </row>
    <row r="35" ht="16.5" spans="1:13">
      <c r="A35" s="81">
        <v>46181</v>
      </c>
      <c r="B35" s="83" t="s">
        <v>96</v>
      </c>
      <c r="C35" s="10" t="s">
        <v>97</v>
      </c>
      <c r="F35" s="384">
        <v>216.801</v>
      </c>
      <c r="L35" s="90">
        <v>162.6</v>
      </c>
    </row>
    <row r="36" ht="16.5" spans="1:13">
      <c r="A36" s="81">
        <v>46182</v>
      </c>
      <c r="B36" s="83" t="s">
        <v>130</v>
      </c>
      <c r="C36" s="10" t="s">
        <v>139</v>
      </c>
      <c r="L36" s="90">
        <v>50</v>
      </c>
    </row>
    <row r="37" ht="16.5" spans="1:13">
      <c r="A37" s="81">
        <v>46184</v>
      </c>
      <c r="B37" s="83" t="s">
        <v>186</v>
      </c>
      <c r="C37" s="10" t="s">
        <v>184</v>
      </c>
      <c r="F37" s="384">
        <v>32.745</v>
      </c>
      <c r="L37" s="86">
        <v>26.63</v>
      </c>
    </row>
    <row r="38" ht="16.5" spans="1:13">
      <c r="A38" s="81">
        <v>46184</v>
      </c>
      <c r="B38" s="83" t="s">
        <v>183</v>
      </c>
      <c r="C38" s="10" t="s">
        <v>184</v>
      </c>
      <c r="F38" s="384">
        <v>124.044</v>
      </c>
      <c r="L38" s="86">
        <v>99.48</v>
      </c>
    </row>
    <row r="39" ht="16.5" spans="1:13">
      <c r="A39" s="87">
        <v>46184</v>
      </c>
      <c r="B39" s="83" t="s">
        <v>81</v>
      </c>
      <c r="C39" s="10" t="s">
        <v>82</v>
      </c>
      <c r="F39" s="384">
        <v>76.394</v>
      </c>
      <c r="L39" s="86">
        <v>68.76</v>
      </c>
    </row>
    <row r="40" ht="16.5" spans="1:13">
      <c r="A40" s="87">
        <v>46185</v>
      </c>
      <c r="B40" s="83" t="s">
        <v>81</v>
      </c>
      <c r="C40" s="10" t="s">
        <v>82</v>
      </c>
      <c r="F40" s="384">
        <v>306.4</v>
      </c>
      <c r="L40" s="86">
        <v>260</v>
      </c>
    </row>
    <row r="41" ht="16.5" spans="1:13">
      <c r="A41" s="81">
        <v>46186</v>
      </c>
      <c r="B41" s="83" t="s">
        <v>189</v>
      </c>
      <c r="C41" s="10" t="s">
        <v>190</v>
      </c>
      <c r="F41" s="384">
        <v>122.414</v>
      </c>
      <c r="L41" s="90">
        <v>98.19</v>
      </c>
    </row>
    <row r="42" ht="16.5" spans="1:13">
      <c r="A42" s="87">
        <v>46187</v>
      </c>
      <c r="B42" s="83" t="s">
        <v>189</v>
      </c>
      <c r="C42" s="10" t="s">
        <v>190</v>
      </c>
      <c r="F42" s="384">
        <v>124.064</v>
      </c>
      <c r="L42" s="90">
        <v>99.26</v>
      </c>
    </row>
    <row r="43" ht="16.5" spans="1:13">
      <c r="A43" s="87">
        <v>46186</v>
      </c>
      <c r="B43" s="83" t="s">
        <v>132</v>
      </c>
      <c r="C43" s="10" t="s">
        <v>133</v>
      </c>
      <c r="L43" s="90">
        <v>39.14</v>
      </c>
    </row>
    <row r="44" ht="16.5" spans="1:13">
      <c r="A44" s="87">
        <v>46186</v>
      </c>
      <c r="B44" s="83" t="s">
        <v>132</v>
      </c>
      <c r="C44" s="10" t="s">
        <v>133</v>
      </c>
      <c r="L44" s="90">
        <v>8.04</v>
      </c>
    </row>
    <row r="45" ht="16.5" spans="1:13">
      <c r="A45" s="87">
        <v>46187</v>
      </c>
      <c r="B45" s="83" t="s">
        <v>201</v>
      </c>
      <c r="C45" s="10" t="s">
        <v>202</v>
      </c>
      <c r="F45" s="384">
        <v>124.533</v>
      </c>
      <c r="L45" s="90">
        <v>99.38</v>
      </c>
    </row>
    <row r="46" ht="16.5" spans="1:13">
      <c r="A46" s="87">
        <v>46187</v>
      </c>
      <c r="B46" s="83" t="s">
        <v>204</v>
      </c>
      <c r="C46" s="10" t="s">
        <v>205</v>
      </c>
      <c r="F46" s="384">
        <v>124.635</v>
      </c>
      <c r="L46" s="90">
        <v>99.46</v>
      </c>
    </row>
    <row r="47" ht="16.5" spans="1:13">
      <c r="A47" s="81">
        <v>46187</v>
      </c>
      <c r="B47" s="83" t="s">
        <v>189</v>
      </c>
      <c r="C47" s="10" t="s">
        <v>190</v>
      </c>
      <c r="L47" s="86">
        <v>99.26</v>
      </c>
      <c r="M47" s="90" t="s">
        <v>1592</v>
      </c>
    </row>
    <row r="48" ht="16.5" spans="1:13">
      <c r="A48" s="81">
        <v>46187</v>
      </c>
      <c r="B48" s="83" t="s">
        <v>189</v>
      </c>
      <c r="C48" s="10" t="s">
        <v>190</v>
      </c>
      <c r="F48" s="384">
        <v>102.88</v>
      </c>
      <c r="L48" s="86">
        <v>100.29</v>
      </c>
      <c r="M48" s="90" t="s">
        <v>1593</v>
      </c>
    </row>
    <row r="49" ht="16.5" spans="1:13">
      <c r="A49" s="81">
        <v>46188</v>
      </c>
      <c r="B49" s="83" t="s">
        <v>189</v>
      </c>
      <c r="C49" s="10" t="s">
        <v>190</v>
      </c>
      <c r="F49" s="384">
        <v>52.52</v>
      </c>
      <c r="L49" s="86">
        <v>50.48</v>
      </c>
      <c r="M49" s="90" t="s">
        <v>1593</v>
      </c>
    </row>
    <row r="50" ht="16.5" spans="1:13">
      <c r="A50" s="81">
        <v>46186</v>
      </c>
      <c r="B50" s="83" t="s">
        <v>189</v>
      </c>
      <c r="C50" s="10" t="s">
        <v>190</v>
      </c>
      <c r="F50" s="384">
        <v>122.414</v>
      </c>
      <c r="L50" s="86">
        <v>98.19</v>
      </c>
      <c r="M50" s="90" t="s">
        <v>1594</v>
      </c>
    </row>
    <row r="51" ht="16.5" spans="1:13">
      <c r="A51" s="81">
        <v>46187</v>
      </c>
      <c r="B51" s="83" t="s">
        <v>75</v>
      </c>
      <c r="C51" s="10" t="s">
        <v>76</v>
      </c>
      <c r="L51" s="86">
        <v>179.54</v>
      </c>
      <c r="M51" s="90" t="s">
        <v>1595</v>
      </c>
    </row>
    <row r="52" ht="16.5" spans="1:13">
      <c r="A52" s="81">
        <v>46187</v>
      </c>
      <c r="B52" s="83" t="s">
        <v>192</v>
      </c>
      <c r="C52" s="10" t="s">
        <v>193</v>
      </c>
      <c r="F52" s="384">
        <v>184.448</v>
      </c>
      <c r="L52" s="86">
        <v>147.56</v>
      </c>
    </row>
    <row r="53" ht="16.5" spans="1:13">
      <c r="A53" s="81">
        <v>46186</v>
      </c>
      <c r="B53" s="83" t="s">
        <v>192</v>
      </c>
      <c r="C53" s="10" t="s">
        <v>193</v>
      </c>
      <c r="F53" s="384">
        <v>26.999</v>
      </c>
      <c r="L53" s="86">
        <v>22.05</v>
      </c>
    </row>
    <row r="54" ht="16.5" spans="1:13">
      <c r="A54" s="81">
        <v>46186</v>
      </c>
      <c r="B54" s="83" t="s">
        <v>192</v>
      </c>
      <c r="C54" s="10" t="s">
        <v>193</v>
      </c>
      <c r="F54" s="384">
        <v>123.95</v>
      </c>
      <c r="L54" s="86">
        <v>99.41</v>
      </c>
    </row>
    <row r="55" ht="16.5" spans="1:13">
      <c r="A55" s="81">
        <v>46185</v>
      </c>
      <c r="B55" s="83" t="s">
        <v>192</v>
      </c>
      <c r="C55" s="10" t="s">
        <v>193</v>
      </c>
      <c r="L55" s="86">
        <v>48.05</v>
      </c>
    </row>
    <row r="56" ht="16.5" spans="1:13">
      <c r="A56" s="81">
        <v>46189</v>
      </c>
      <c r="B56" s="83" t="s">
        <v>96</v>
      </c>
      <c r="C56" s="10" t="s">
        <v>97</v>
      </c>
      <c r="F56" s="384">
        <v>340.195</v>
      </c>
      <c r="L56" s="86">
        <v>299.37</v>
      </c>
      <c r="M56" s="90" t="s">
        <v>1596</v>
      </c>
    </row>
    <row r="57" ht="16.5" spans="1:13">
      <c r="A57" s="81">
        <v>46187</v>
      </c>
      <c r="B57" s="83" t="s">
        <v>207</v>
      </c>
      <c r="C57" s="10" t="s">
        <v>208</v>
      </c>
      <c r="F57" s="384">
        <v>148.195</v>
      </c>
      <c r="L57" s="86">
        <v>99.5</v>
      </c>
    </row>
    <row r="58" ht="16.5" spans="1:13">
      <c r="A58" s="87">
        <v>46187</v>
      </c>
      <c r="B58" s="83" t="s">
        <v>195</v>
      </c>
      <c r="C58" s="10" t="s">
        <v>196</v>
      </c>
      <c r="F58" s="384">
        <v>123.911</v>
      </c>
      <c r="L58" s="86">
        <v>99.38</v>
      </c>
      <c r="M58" s="90" t="s">
        <v>1597</v>
      </c>
    </row>
    <row r="59" ht="16.5" spans="1:13">
      <c r="A59" s="87">
        <v>46187</v>
      </c>
      <c r="B59" s="83" t="s">
        <v>195</v>
      </c>
      <c r="C59" s="10" t="s">
        <v>196</v>
      </c>
      <c r="F59" s="384">
        <v>117.296</v>
      </c>
      <c r="L59" s="86">
        <v>93.83</v>
      </c>
      <c r="M59" s="90" t="s">
        <v>1592</v>
      </c>
    </row>
    <row r="60" ht="16.5" spans="1:13">
      <c r="A60" s="87">
        <v>46188</v>
      </c>
      <c r="B60" s="83" t="s">
        <v>198</v>
      </c>
      <c r="C60" s="10" t="s">
        <v>199</v>
      </c>
      <c r="F60" s="384">
        <v>122.48</v>
      </c>
      <c r="L60" s="86">
        <v>98.24</v>
      </c>
      <c r="M60" s="90" t="s">
        <v>1597</v>
      </c>
    </row>
    <row r="61" ht="16.5" spans="1:13">
      <c r="A61" s="81">
        <v>46189</v>
      </c>
      <c r="B61" s="83" t="s">
        <v>132</v>
      </c>
      <c r="C61" s="10" t="s">
        <v>133</v>
      </c>
      <c r="F61" s="384">
        <v>110.796</v>
      </c>
      <c r="L61" s="86">
        <v>116.32</v>
      </c>
      <c r="M61" s="90" t="s">
        <v>1598</v>
      </c>
    </row>
    <row r="62" ht="16.5" spans="1:13">
      <c r="A62" s="81">
        <v>46189</v>
      </c>
      <c r="B62" s="83" t="s">
        <v>207</v>
      </c>
      <c r="C62" s="10" t="s">
        <v>208</v>
      </c>
      <c r="F62" s="384">
        <v>124.384</v>
      </c>
      <c r="L62" s="86">
        <v>99.51</v>
      </c>
    </row>
    <row r="63" ht="16.5" spans="1:13">
      <c r="A63" s="87">
        <v>46189</v>
      </c>
      <c r="B63" s="83" t="s">
        <v>186</v>
      </c>
      <c r="C63" s="10" t="s">
        <v>187</v>
      </c>
      <c r="F63" s="384">
        <v>322.028</v>
      </c>
      <c r="L63" s="86">
        <v>257.48</v>
      </c>
    </row>
    <row r="64" ht="16.5" spans="1:13">
      <c r="A64" s="87">
        <v>46189</v>
      </c>
      <c r="B64" s="83" t="s">
        <v>210</v>
      </c>
      <c r="C64" s="10" t="s">
        <v>211</v>
      </c>
      <c r="F64" s="384">
        <v>123.936</v>
      </c>
      <c r="L64" s="86">
        <v>99.4</v>
      </c>
      <c r="M64" s="90" t="s">
        <v>1597</v>
      </c>
    </row>
    <row r="65" ht="16.5" spans="1:13">
      <c r="A65" s="87">
        <v>46188</v>
      </c>
      <c r="B65" s="83" t="s">
        <v>154</v>
      </c>
      <c r="C65" s="10" t="s">
        <v>155</v>
      </c>
      <c r="F65" s="90">
        <v>200.938</v>
      </c>
      <c r="L65" s="86">
        <v>217.52</v>
      </c>
    </row>
    <row r="66" ht="16.5" spans="1:13">
      <c r="A66" s="87">
        <v>46190</v>
      </c>
      <c r="B66" s="83" t="s">
        <v>213</v>
      </c>
      <c r="C66" s="10" t="s">
        <v>214</v>
      </c>
      <c r="F66" s="384">
        <v>251.756</v>
      </c>
      <c r="L66" s="86">
        <v>199.39</v>
      </c>
      <c r="M66" s="90" t="s">
        <v>1597</v>
      </c>
    </row>
    <row r="67" ht="16.5" spans="1:13">
      <c r="A67" s="87">
        <v>46190</v>
      </c>
      <c r="B67" s="83" t="s">
        <v>670</v>
      </c>
      <c r="C67" s="10" t="s">
        <v>217</v>
      </c>
      <c r="F67" s="384">
        <v>251.869</v>
      </c>
      <c r="L67" s="86">
        <v>200</v>
      </c>
      <c r="M67" s="90" t="s">
        <v>1597</v>
      </c>
    </row>
    <row r="68" ht="16.5" spans="1:13">
      <c r="A68" s="81">
        <v>46191</v>
      </c>
      <c r="B68" s="83" t="s">
        <v>223</v>
      </c>
      <c r="C68" s="10" t="s">
        <v>708</v>
      </c>
      <c r="F68" s="384">
        <v>150.806</v>
      </c>
      <c r="L68" s="90">
        <v>119.64</v>
      </c>
      <c r="M68" s="90" t="s">
        <v>1597</v>
      </c>
    </row>
    <row r="69" ht="16.5" spans="1:13">
      <c r="A69" s="81">
        <v>46191</v>
      </c>
      <c r="B69" s="83" t="s">
        <v>221</v>
      </c>
      <c r="C69" s="10" t="s">
        <v>704</v>
      </c>
      <c r="F69" s="384">
        <v>146.635</v>
      </c>
      <c r="L69" s="90">
        <v>116.35</v>
      </c>
      <c r="M69" s="90" t="s">
        <v>1597</v>
      </c>
    </row>
    <row r="70" ht="16.5" spans="1:13">
      <c r="A70" s="81">
        <v>46189</v>
      </c>
      <c r="B70" s="83" t="s">
        <v>198</v>
      </c>
      <c r="C70" s="10" t="s">
        <v>199</v>
      </c>
      <c r="F70" s="384">
        <v>196.48</v>
      </c>
      <c r="L70" s="90">
        <v>157.18</v>
      </c>
      <c r="M70" s="90" t="s">
        <v>1597</v>
      </c>
    </row>
    <row r="71" ht="16.5" spans="1:13">
      <c r="A71" s="87">
        <v>46194</v>
      </c>
      <c r="B71" s="83" t="s">
        <v>63</v>
      </c>
      <c r="C71" s="10" t="s">
        <v>327</v>
      </c>
      <c r="F71" s="384">
        <v>259.611</v>
      </c>
      <c r="L71" s="86">
        <v>199.9</v>
      </c>
      <c r="M71" s="90" t="s">
        <v>1599</v>
      </c>
    </row>
    <row r="72" ht="16.5" spans="1:13">
      <c r="A72" s="87">
        <v>46193</v>
      </c>
      <c r="B72" s="83" t="s">
        <v>57</v>
      </c>
      <c r="C72" s="10" t="s">
        <v>58</v>
      </c>
      <c r="L72" s="86">
        <v>298.11</v>
      </c>
      <c r="M72" s="90" t="s">
        <v>1600</v>
      </c>
    </row>
    <row r="73" ht="16.5" spans="1:13">
      <c r="A73" s="361">
        <v>46192</v>
      </c>
      <c r="B73" s="83" t="s">
        <v>670</v>
      </c>
      <c r="C73" s="10" t="s">
        <v>217</v>
      </c>
      <c r="L73" s="90">
        <v>200.02</v>
      </c>
      <c r="M73" s="90" t="s">
        <v>1593</v>
      </c>
    </row>
    <row r="74" ht="16.5" spans="1:13">
      <c r="A74" s="81">
        <v>46194</v>
      </c>
      <c r="B74" s="83" t="s">
        <v>132</v>
      </c>
      <c r="C74" s="10" t="s">
        <v>133</v>
      </c>
      <c r="F74" s="384">
        <v>67.734</v>
      </c>
      <c r="L74" s="86">
        <v>52.15</v>
      </c>
      <c r="M74" s="90" t="s">
        <v>1601</v>
      </c>
    </row>
    <row r="75" ht="16.5" spans="1:13">
      <c r="A75" s="81">
        <v>46195</v>
      </c>
      <c r="B75" s="83" t="s">
        <v>111</v>
      </c>
      <c r="C75" s="10" t="s">
        <v>112</v>
      </c>
      <c r="F75" s="384">
        <v>248.896</v>
      </c>
      <c r="L75" s="86">
        <v>199.11</v>
      </c>
      <c r="M75" s="90" t="s">
        <v>1592</v>
      </c>
    </row>
    <row r="76" ht="16.5" spans="1:13">
      <c r="A76" s="81">
        <v>46195</v>
      </c>
      <c r="B76" s="83" t="s">
        <v>166</v>
      </c>
      <c r="C76" s="10" t="s">
        <v>167</v>
      </c>
      <c r="F76" s="384">
        <v>375.1</v>
      </c>
      <c r="L76" s="86">
        <v>300.09</v>
      </c>
    </row>
    <row r="77" ht="16.5" spans="1:13">
      <c r="A77" s="87">
        <v>46194</v>
      </c>
      <c r="B77" s="83" t="s">
        <v>195</v>
      </c>
      <c r="C77" s="10" t="s">
        <v>196</v>
      </c>
      <c r="L77" s="86">
        <v>48.23</v>
      </c>
      <c r="M77" s="90" t="s">
        <v>1602</v>
      </c>
    </row>
    <row r="78" ht="16.5" spans="1:13">
      <c r="A78" s="81">
        <v>46194</v>
      </c>
      <c r="B78" s="105" t="s">
        <v>81</v>
      </c>
      <c r="C78" s="10" t="s">
        <v>82</v>
      </c>
      <c r="F78" s="384">
        <v>283.92</v>
      </c>
      <c r="L78" s="90">
        <v>298.11</v>
      </c>
    </row>
    <row r="79" ht="16.5" spans="1:13">
      <c r="A79" s="81">
        <v>46195</v>
      </c>
      <c r="B79" s="105" t="s">
        <v>81</v>
      </c>
      <c r="C79" s="10" t="s">
        <v>82</v>
      </c>
      <c r="F79" s="384">
        <v>350.43</v>
      </c>
      <c r="L79" s="90">
        <v>269.84</v>
      </c>
    </row>
    <row r="80" ht="16.5" spans="1:13">
      <c r="A80" s="81">
        <v>46195</v>
      </c>
      <c r="B80" s="105" t="s">
        <v>60</v>
      </c>
      <c r="C80" s="10" t="s">
        <v>61</v>
      </c>
      <c r="L80" s="90">
        <v>100</v>
      </c>
    </row>
    <row r="81" ht="16.5" spans="1:12">
      <c r="A81" s="87">
        <v>46194</v>
      </c>
      <c r="B81" s="105" t="s">
        <v>69</v>
      </c>
      <c r="C81" s="10" t="s">
        <v>70</v>
      </c>
      <c r="F81" s="384">
        <v>298.58</v>
      </c>
      <c r="L81" s="90">
        <v>298.58</v>
      </c>
    </row>
    <row r="82" ht="16.5" spans="1:12">
      <c r="A82" s="87">
        <v>46196</v>
      </c>
      <c r="B82" s="105" t="s">
        <v>75</v>
      </c>
      <c r="C82" s="10" t="s">
        <v>76</v>
      </c>
      <c r="F82" s="384">
        <v>120.43</v>
      </c>
      <c r="L82" s="90">
        <v>116.11</v>
      </c>
    </row>
    <row r="83" ht="16.5" spans="1:12">
      <c r="A83" s="87">
        <v>46195</v>
      </c>
      <c r="B83" s="105" t="s">
        <v>192</v>
      </c>
      <c r="C83" s="10" t="s">
        <v>193</v>
      </c>
      <c r="F83" s="384">
        <v>346.82</v>
      </c>
      <c r="L83" s="90">
        <v>277.45</v>
      </c>
    </row>
    <row r="84" ht="16.5" spans="1:12">
      <c r="A84" s="81">
        <v>46194</v>
      </c>
      <c r="B84" s="83" t="s">
        <v>78</v>
      </c>
      <c r="C84" s="10" t="s">
        <v>79</v>
      </c>
      <c r="L84" s="86">
        <v>50</v>
      </c>
    </row>
    <row r="85" ht="16.5" spans="1:12">
      <c r="A85" s="81">
        <v>46197</v>
      </c>
      <c r="B85" s="83" t="s">
        <v>127</v>
      </c>
      <c r="C85" s="10" t="s">
        <v>128</v>
      </c>
      <c r="L85" s="86">
        <v>100.26</v>
      </c>
    </row>
    <row r="86" ht="16.5" spans="1:12">
      <c r="A86" s="87">
        <v>46197</v>
      </c>
      <c r="B86" s="83" t="s">
        <v>108</v>
      </c>
      <c r="C86" s="10" t="s">
        <v>109</v>
      </c>
      <c r="L86" s="86">
        <v>156.67</v>
      </c>
    </row>
    <row r="87" ht="16.5" spans="1:12">
      <c r="A87" s="87">
        <v>46197</v>
      </c>
      <c r="B87" s="83" t="s">
        <v>108</v>
      </c>
      <c r="C87" s="10" t="s">
        <v>109</v>
      </c>
      <c r="L87" s="86">
        <v>112.42</v>
      </c>
    </row>
    <row r="88" ht="16.5" spans="1:12">
      <c r="A88" s="87">
        <v>46196</v>
      </c>
      <c r="B88" s="83" t="s">
        <v>198</v>
      </c>
      <c r="C88" s="10" t="s">
        <v>330</v>
      </c>
      <c r="L88" s="86">
        <v>257.44</v>
      </c>
    </row>
    <row r="89" ht="16.5" spans="1:12">
      <c r="A89" s="81">
        <v>46197</v>
      </c>
      <c r="B89" s="83" t="s">
        <v>69</v>
      </c>
      <c r="C89" s="10" t="s">
        <v>70</v>
      </c>
      <c r="F89" s="384">
        <v>247.81</v>
      </c>
      <c r="L89" s="86">
        <v>178.42</v>
      </c>
    </row>
    <row r="90" ht="16.5" spans="1:12">
      <c r="A90" s="81">
        <v>46197</v>
      </c>
      <c r="B90" s="83" t="s">
        <v>69</v>
      </c>
      <c r="C90" s="10" t="s">
        <v>70</v>
      </c>
      <c r="F90" s="384">
        <v>23.68</v>
      </c>
      <c r="L90" s="86">
        <v>17.05</v>
      </c>
    </row>
    <row r="91" ht="16.5" spans="1:12">
      <c r="A91" s="81">
        <v>46196</v>
      </c>
      <c r="B91" s="83" t="s">
        <v>81</v>
      </c>
      <c r="C91" s="10" t="s">
        <v>82</v>
      </c>
      <c r="F91" s="384">
        <v>230.08</v>
      </c>
      <c r="L91" s="86">
        <v>223.68</v>
      </c>
    </row>
    <row r="92" ht="16.5" spans="1:12">
      <c r="A92" s="81">
        <v>46196</v>
      </c>
      <c r="B92" s="83" t="s">
        <v>60</v>
      </c>
      <c r="C92" s="10" t="s">
        <v>61</v>
      </c>
      <c r="L92" s="86">
        <v>101.36</v>
      </c>
    </row>
    <row r="93" ht="16.5" spans="1:12">
      <c r="A93" s="81">
        <v>46196</v>
      </c>
      <c r="B93" s="83" t="s">
        <v>60</v>
      </c>
      <c r="C93" s="10" t="s">
        <v>61</v>
      </c>
      <c r="L93" s="86">
        <v>101.46</v>
      </c>
    </row>
    <row r="94" ht="16.5" spans="1:12">
      <c r="A94" s="87">
        <v>46196</v>
      </c>
      <c r="B94" s="83" t="s">
        <v>141</v>
      </c>
      <c r="C94" s="10" t="s">
        <v>142</v>
      </c>
      <c r="F94" s="384">
        <v>308.74</v>
      </c>
      <c r="L94" s="86">
        <v>299.98</v>
      </c>
    </row>
    <row r="95" ht="16.5" spans="1:12">
      <c r="A95" s="87">
        <v>46198</v>
      </c>
      <c r="B95" s="83" t="s">
        <v>221</v>
      </c>
      <c r="C95" s="10" t="s">
        <v>704</v>
      </c>
      <c r="L95" s="86">
        <v>133.33</v>
      </c>
    </row>
    <row r="96" ht="16.5" spans="1:12">
      <c r="A96" s="87">
        <v>46198</v>
      </c>
      <c r="B96" s="83" t="s">
        <v>219</v>
      </c>
      <c r="C96" s="10" t="s">
        <v>818</v>
      </c>
      <c r="L96" s="86">
        <v>113.48</v>
      </c>
    </row>
    <row r="97" ht="16.5" spans="1:12">
      <c r="A97" s="87">
        <v>46198</v>
      </c>
      <c r="B97" s="83" t="s">
        <v>219</v>
      </c>
      <c r="C97" s="10" t="s">
        <v>818</v>
      </c>
      <c r="L97" s="86">
        <v>8</v>
      </c>
    </row>
    <row r="98" ht="16.5" spans="1:12">
      <c r="A98" s="129">
        <v>46197</v>
      </c>
      <c r="B98" s="131" t="s">
        <v>174</v>
      </c>
      <c r="C98" s="130" t="s">
        <v>175</v>
      </c>
      <c r="F98" s="384">
        <v>64.86</v>
      </c>
      <c r="L98" s="133">
        <v>49.94</v>
      </c>
    </row>
    <row r="99" ht="16.5" spans="1:12">
      <c r="A99" s="361">
        <v>46199</v>
      </c>
      <c r="B99" s="83" t="s">
        <v>183</v>
      </c>
      <c r="C99" s="10" t="s">
        <v>184</v>
      </c>
      <c r="D99" s="105"/>
      <c r="E99" s="105"/>
      <c r="F99" s="211"/>
      <c r="G99" s="105"/>
      <c r="H99" s="105"/>
      <c r="I99" s="105"/>
      <c r="J99" s="105"/>
      <c r="K99" s="105"/>
      <c r="L99" s="105">
        <v>37.96</v>
      </c>
    </row>
    <row r="100" ht="16.5" spans="1:12">
      <c r="A100" s="87">
        <v>46200</v>
      </c>
      <c r="B100" s="83" t="s">
        <v>127</v>
      </c>
      <c r="C100" s="10" t="s">
        <v>128</v>
      </c>
      <c r="L100" s="86">
        <v>73.38</v>
      </c>
    </row>
    <row r="101" ht="16.5" spans="1:12">
      <c r="A101" s="87">
        <v>46201</v>
      </c>
      <c r="B101" s="83" t="s">
        <v>124</v>
      </c>
      <c r="C101" s="10" t="s">
        <v>125</v>
      </c>
      <c r="F101" s="384">
        <v>200.45</v>
      </c>
      <c r="L101" s="86">
        <v>154.35</v>
      </c>
    </row>
    <row r="102" ht="16.5" spans="1:12">
      <c r="A102" s="87">
        <v>46196</v>
      </c>
      <c r="B102" s="83" t="s">
        <v>124</v>
      </c>
      <c r="C102" s="10" t="s">
        <v>125</v>
      </c>
      <c r="F102" s="384">
        <v>72.96</v>
      </c>
      <c r="L102" s="86">
        <v>66.93</v>
      </c>
    </row>
    <row r="103" ht="16.5" spans="1:12">
      <c r="A103" s="87">
        <v>46200</v>
      </c>
      <c r="B103" s="83" t="s">
        <v>166</v>
      </c>
      <c r="C103" s="10" t="s">
        <v>167</v>
      </c>
      <c r="F103" s="384">
        <v>101.87</v>
      </c>
      <c r="L103" s="86">
        <v>81.97</v>
      </c>
    </row>
    <row r="104" ht="16.5" spans="1:12">
      <c r="A104" s="87">
        <v>46200</v>
      </c>
      <c r="B104" s="83" t="s">
        <v>166</v>
      </c>
      <c r="C104" s="10" t="s">
        <v>167</v>
      </c>
      <c r="F104" s="384">
        <v>20.719</v>
      </c>
      <c r="L104" s="86">
        <v>16.79</v>
      </c>
    </row>
    <row r="105" ht="16.5" spans="1:12">
      <c r="A105" s="87">
        <v>46201</v>
      </c>
      <c r="B105" s="83" t="s">
        <v>1577</v>
      </c>
      <c r="C105" s="10" t="s">
        <v>190</v>
      </c>
      <c r="L105" s="86">
        <v>275.53</v>
      </c>
    </row>
    <row r="106" ht="16.5" spans="1:12">
      <c r="A106" s="87">
        <v>46201</v>
      </c>
      <c r="B106" s="83" t="s">
        <v>1577</v>
      </c>
      <c r="C106" s="10" t="s">
        <v>190</v>
      </c>
      <c r="L106" s="86">
        <v>5.18</v>
      </c>
    </row>
    <row r="107" ht="16.5" spans="1:12">
      <c r="A107" s="87">
        <v>46201</v>
      </c>
      <c r="B107" s="83" t="s">
        <v>201</v>
      </c>
      <c r="C107" s="10" t="s">
        <v>719</v>
      </c>
      <c r="F107" s="384">
        <v>193.438</v>
      </c>
      <c r="L107" s="86">
        <v>147.01</v>
      </c>
    </row>
  </sheetData>
  <autoFilter xmlns:etc="http://www.wps.cn/officeDocument/2017/etCustomData" ref="A1:XEV99" etc:filterBottomFollowUsedRange="0">
    <sortState ref="A1:XEV99">
      <sortCondition ref="A1"/>
    </sortState>
    <extLst/>
  </autoFilter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98"/>
  <sheetViews>
    <sheetView workbookViewId="0">
      <pane ySplit="1" topLeftCell="A467" activePane="bottomLeft" state="frozen"/>
      <selection/>
      <selection pane="bottomLeft" activeCell="J493" sqref="J493"/>
    </sheetView>
  </sheetViews>
  <sheetFormatPr defaultColWidth="9" defaultRowHeight="13.5"/>
  <cols>
    <col min="1" max="1" width="9" style="144"/>
    <col min="2" max="2" width="10.875" style="144" customWidth="1"/>
    <col min="3" max="4" width="9" style="144"/>
    <col min="5" max="5" width="9.25" style="144" customWidth="1"/>
    <col min="6" max="6" width="9" style="144" customWidth="1"/>
    <col min="7" max="7" width="12.625" style="146" customWidth="1"/>
    <col min="8" max="8" width="9" style="144"/>
    <col min="9" max="9" width="10.75" style="144" customWidth="1"/>
    <col min="10" max="10" width="9" style="144"/>
    <col min="11" max="11" width="11.625" style="144"/>
    <col min="12" max="12" width="11.5" style="144"/>
    <col min="13" max="13" width="11.625" style="144"/>
    <col min="14" max="14" width="11.125" style="144" customWidth="1"/>
    <col min="15" max="15" width="27.75" style="144" customWidth="1"/>
    <col min="16" max="16" width="33.5" style="144" customWidth="1"/>
    <col min="17" max="17" width="13.625" style="144" customWidth="1"/>
    <col min="18" max="16384" width="9" style="144"/>
  </cols>
  <sheetData>
    <row r="1" ht="27" spans="1:16">
      <c r="A1" s="312" t="s">
        <v>335</v>
      </c>
      <c r="B1" s="139" t="s">
        <v>3</v>
      </c>
      <c r="C1" s="140" t="s">
        <v>1581</v>
      </c>
      <c r="D1" s="140" t="s">
        <v>1582</v>
      </c>
      <c r="E1" s="141" t="s">
        <v>1583</v>
      </c>
      <c r="F1" s="139" t="s">
        <v>1584</v>
      </c>
      <c r="G1" s="357" t="s">
        <v>1585</v>
      </c>
      <c r="H1" s="342" t="s">
        <v>1603</v>
      </c>
      <c r="I1" s="141" t="s">
        <v>1588</v>
      </c>
      <c r="J1" s="141" t="s">
        <v>1604</v>
      </c>
      <c r="K1" s="141" t="s">
        <v>1605</v>
      </c>
      <c r="L1" s="141" t="s">
        <v>1589</v>
      </c>
      <c r="M1" s="141" t="s">
        <v>1606</v>
      </c>
      <c r="N1" s="139" t="s">
        <v>1607</v>
      </c>
      <c r="O1" s="139" t="s">
        <v>1590</v>
      </c>
      <c r="P1" s="144" t="s">
        <v>1608</v>
      </c>
    </row>
    <row r="2" spans="1:16">
      <c r="A2" s="312">
        <v>46174</v>
      </c>
      <c r="B2" s="139"/>
      <c r="C2" s="140"/>
      <c r="D2" s="140"/>
      <c r="E2" s="141"/>
      <c r="F2" s="139"/>
      <c r="G2" s="357"/>
      <c r="H2" s="342"/>
      <c r="I2" s="141"/>
      <c r="J2" s="141"/>
      <c r="K2" s="141">
        <v>10000</v>
      </c>
      <c r="M2" s="141">
        <v>14878.42</v>
      </c>
      <c r="N2" s="139"/>
      <c r="O2" s="139"/>
    </row>
    <row r="3" spans="1:16">
      <c r="A3" s="358">
        <v>46174</v>
      </c>
      <c r="B3" s="359" t="s">
        <v>75</v>
      </c>
      <c r="C3" s="360">
        <v>0.17</v>
      </c>
      <c r="D3" s="360">
        <v>0.94</v>
      </c>
      <c r="E3" s="359">
        <v>377.156</v>
      </c>
      <c r="F3" s="105">
        <f t="shared" ref="F3:F66" si="0">(D3-C3)*430</f>
        <v>331.1</v>
      </c>
      <c r="G3" s="170">
        <f t="shared" ref="G3:G66" si="1">E3-F3</f>
        <v>46.056</v>
      </c>
      <c r="H3" s="105"/>
      <c r="I3" s="160">
        <f t="shared" ref="I3:I66" si="2">L3/E3</f>
        <v>0.779995545609774</v>
      </c>
      <c r="J3" s="359">
        <v>94.29</v>
      </c>
      <c r="K3" s="105"/>
      <c r="L3" s="359">
        <v>294.18</v>
      </c>
      <c r="M3" s="359">
        <f t="shared" ref="M3:M66" si="3">M2+K3-L3</f>
        <v>14584.24</v>
      </c>
      <c r="N3" s="105"/>
      <c r="O3" s="105" t="s">
        <v>1609</v>
      </c>
    </row>
    <row r="4" spans="1:16">
      <c r="A4" s="361">
        <v>46174</v>
      </c>
      <c r="B4" s="105" t="s">
        <v>96</v>
      </c>
      <c r="C4" s="360">
        <v>0.45</v>
      </c>
      <c r="D4" s="360">
        <v>0.98</v>
      </c>
      <c r="E4" s="105">
        <v>268.979</v>
      </c>
      <c r="F4" s="105">
        <f t="shared" si="0"/>
        <v>227.9</v>
      </c>
      <c r="G4" s="170">
        <f t="shared" si="1"/>
        <v>41.079</v>
      </c>
      <c r="H4" s="105"/>
      <c r="I4" s="160">
        <f t="shared" si="2"/>
        <v>0.779986541700281</v>
      </c>
      <c r="J4" s="105">
        <v>67.24</v>
      </c>
      <c r="K4" s="105"/>
      <c r="L4" s="105">
        <v>209.8</v>
      </c>
      <c r="M4" s="359">
        <f t="shared" si="3"/>
        <v>14374.44</v>
      </c>
      <c r="N4" s="105"/>
      <c r="O4" s="105" t="s">
        <v>1609</v>
      </c>
    </row>
    <row r="5" spans="1:16">
      <c r="A5" s="361">
        <v>46174</v>
      </c>
      <c r="B5" s="105" t="s">
        <v>130</v>
      </c>
      <c r="C5" s="360">
        <v>0.73</v>
      </c>
      <c r="D5" s="360">
        <v>0.98</v>
      </c>
      <c r="E5" s="105">
        <v>116.004</v>
      </c>
      <c r="F5" s="105">
        <f t="shared" si="0"/>
        <v>107.5</v>
      </c>
      <c r="G5" s="105">
        <f t="shared" si="1"/>
        <v>8.504</v>
      </c>
      <c r="H5" s="105"/>
      <c r="I5" s="160">
        <f t="shared" si="2"/>
        <v>0.779973104375711</v>
      </c>
      <c r="J5" s="105">
        <v>29</v>
      </c>
      <c r="K5" s="105"/>
      <c r="L5" s="105">
        <v>90.48</v>
      </c>
      <c r="M5" s="359">
        <f t="shared" si="3"/>
        <v>14283.96</v>
      </c>
      <c r="N5" s="105"/>
      <c r="O5" s="105" t="s">
        <v>1609</v>
      </c>
    </row>
    <row r="6" spans="1:16">
      <c r="A6" s="361">
        <v>46174</v>
      </c>
      <c r="B6" s="105" t="s">
        <v>54</v>
      </c>
      <c r="C6" s="360">
        <v>0.24</v>
      </c>
      <c r="D6" s="360">
        <v>0.95</v>
      </c>
      <c r="E6" s="105">
        <v>309.453</v>
      </c>
      <c r="F6" s="105">
        <f t="shared" si="0"/>
        <v>305.3</v>
      </c>
      <c r="G6" s="105">
        <f t="shared" si="1"/>
        <v>4.15299999999996</v>
      </c>
      <c r="H6" s="105"/>
      <c r="I6" s="160">
        <f t="shared" si="2"/>
        <v>0.779989206761608</v>
      </c>
      <c r="J6" s="105">
        <v>77.36</v>
      </c>
      <c r="K6" s="105"/>
      <c r="L6" s="105">
        <v>241.37</v>
      </c>
      <c r="M6" s="359">
        <f t="shared" si="3"/>
        <v>14042.59</v>
      </c>
      <c r="N6" s="105"/>
      <c r="O6" s="105" t="s">
        <v>1609</v>
      </c>
    </row>
    <row r="7" spans="1:16">
      <c r="A7" s="361">
        <v>46174</v>
      </c>
      <c r="B7" s="105" t="s">
        <v>87</v>
      </c>
      <c r="C7" s="360">
        <v>0.48</v>
      </c>
      <c r="D7" s="360">
        <v>0.96</v>
      </c>
      <c r="E7" s="105">
        <v>248.942</v>
      </c>
      <c r="F7" s="105">
        <f t="shared" si="0"/>
        <v>206.4</v>
      </c>
      <c r="G7" s="170">
        <f t="shared" si="1"/>
        <v>42.542</v>
      </c>
      <c r="H7" s="105"/>
      <c r="I7" s="160">
        <f t="shared" si="2"/>
        <v>0.780021049079705</v>
      </c>
      <c r="J7" s="105">
        <v>62.24</v>
      </c>
      <c r="K7" s="105"/>
      <c r="L7" s="105">
        <v>194.18</v>
      </c>
      <c r="M7" s="359">
        <f t="shared" si="3"/>
        <v>13848.41</v>
      </c>
      <c r="N7" s="105"/>
      <c r="O7" s="105" t="s">
        <v>1609</v>
      </c>
    </row>
    <row r="8" spans="1:16">
      <c r="A8" s="361">
        <v>46174</v>
      </c>
      <c r="B8" s="105" t="s">
        <v>117</v>
      </c>
      <c r="C8" s="360">
        <v>0.72</v>
      </c>
      <c r="D8" s="360">
        <v>0.98</v>
      </c>
      <c r="E8" s="105">
        <v>124.274</v>
      </c>
      <c r="F8" s="105">
        <f t="shared" si="0"/>
        <v>111.8</v>
      </c>
      <c r="G8" s="105">
        <f t="shared" si="1"/>
        <v>12.474</v>
      </c>
      <c r="H8" s="105"/>
      <c r="I8" s="160">
        <f t="shared" si="2"/>
        <v>0.78005053349856</v>
      </c>
      <c r="J8" s="105">
        <v>31.07</v>
      </c>
      <c r="K8" s="105"/>
      <c r="L8" s="105">
        <v>96.94</v>
      </c>
      <c r="M8" s="359">
        <f t="shared" si="3"/>
        <v>13751.47</v>
      </c>
      <c r="N8" s="105"/>
      <c r="O8" s="105" t="s">
        <v>1609</v>
      </c>
    </row>
    <row r="9" spans="1:16">
      <c r="A9" s="361">
        <v>46174</v>
      </c>
      <c r="B9" s="105" t="s">
        <v>78</v>
      </c>
      <c r="C9" s="360">
        <v>0.35</v>
      </c>
      <c r="D9" s="360">
        <v>0.82</v>
      </c>
      <c r="E9" s="105">
        <v>228.76</v>
      </c>
      <c r="F9" s="105">
        <f t="shared" si="0"/>
        <v>202.1</v>
      </c>
      <c r="G9" s="170">
        <f t="shared" si="1"/>
        <v>26.66</v>
      </c>
      <c r="H9" s="105"/>
      <c r="I9" s="160">
        <f t="shared" si="2"/>
        <v>0.779987760097919</v>
      </c>
      <c r="J9" s="105">
        <v>57.19</v>
      </c>
      <c r="K9" s="105"/>
      <c r="L9" s="105">
        <v>178.43</v>
      </c>
      <c r="M9" s="359">
        <f t="shared" si="3"/>
        <v>13573.04</v>
      </c>
      <c r="N9" s="105"/>
      <c r="O9" s="105" t="s">
        <v>1609</v>
      </c>
    </row>
    <row r="10" spans="1:16">
      <c r="A10" s="361">
        <v>46174</v>
      </c>
      <c r="B10" s="105" t="s">
        <v>72</v>
      </c>
      <c r="C10" s="360">
        <v>0.15</v>
      </c>
      <c r="D10" s="360">
        <v>0.98</v>
      </c>
      <c r="E10" s="105">
        <v>411.71</v>
      </c>
      <c r="F10" s="105">
        <f t="shared" si="0"/>
        <v>356.9</v>
      </c>
      <c r="G10" s="170">
        <f t="shared" si="1"/>
        <v>54.81</v>
      </c>
      <c r="H10" s="105"/>
      <c r="I10" s="160">
        <f t="shared" si="2"/>
        <v>0.780015059143572</v>
      </c>
      <c r="J10" s="105">
        <v>102.93</v>
      </c>
      <c r="K10" s="105"/>
      <c r="L10" s="105">
        <v>321.14</v>
      </c>
      <c r="M10" s="359">
        <f t="shared" si="3"/>
        <v>13251.9</v>
      </c>
      <c r="N10" s="105"/>
      <c r="O10" s="105" t="s">
        <v>1609</v>
      </c>
    </row>
    <row r="11" spans="1:16">
      <c r="A11" s="361">
        <v>46174</v>
      </c>
      <c r="B11" s="105" t="s">
        <v>90</v>
      </c>
      <c r="C11" s="360">
        <v>0.16</v>
      </c>
      <c r="D11" s="360">
        <v>0.98</v>
      </c>
      <c r="E11" s="105">
        <v>397.911</v>
      </c>
      <c r="F11" s="105">
        <f t="shared" si="0"/>
        <v>352.6</v>
      </c>
      <c r="G11" s="170">
        <f t="shared" si="1"/>
        <v>45.311</v>
      </c>
      <c r="H11" s="105"/>
      <c r="I11" s="160">
        <f t="shared" si="2"/>
        <v>0.779998542387619</v>
      </c>
      <c r="J11" s="105">
        <v>99.48</v>
      </c>
      <c r="K11" s="105"/>
      <c r="L11" s="105">
        <v>310.37</v>
      </c>
      <c r="M11" s="359">
        <f t="shared" si="3"/>
        <v>12941.53</v>
      </c>
      <c r="N11" s="105"/>
      <c r="O11" s="105" t="s">
        <v>1609</v>
      </c>
    </row>
    <row r="12" spans="1:16">
      <c r="A12" s="361">
        <v>46174</v>
      </c>
      <c r="B12" s="105" t="s">
        <v>111</v>
      </c>
      <c r="C12" s="360">
        <v>0.64</v>
      </c>
      <c r="D12" s="360">
        <v>0.98</v>
      </c>
      <c r="E12" s="105">
        <v>151.247</v>
      </c>
      <c r="F12" s="105">
        <f t="shared" si="0"/>
        <v>146.2</v>
      </c>
      <c r="G12" s="105">
        <f t="shared" si="1"/>
        <v>5.04700000000003</v>
      </c>
      <c r="H12" s="105"/>
      <c r="I12" s="160">
        <f t="shared" si="2"/>
        <v>0.779982412874305</v>
      </c>
      <c r="J12" s="105">
        <v>37.81</v>
      </c>
      <c r="K12" s="105"/>
      <c r="L12" s="105">
        <v>117.97</v>
      </c>
      <c r="M12" s="359">
        <f t="shared" si="3"/>
        <v>12823.56</v>
      </c>
      <c r="N12" s="105"/>
      <c r="O12" s="105" t="s">
        <v>1609</v>
      </c>
    </row>
    <row r="13" spans="1:16">
      <c r="A13" s="361">
        <v>46174</v>
      </c>
      <c r="B13" s="105" t="s">
        <v>93</v>
      </c>
      <c r="C13" s="360">
        <v>0.33</v>
      </c>
      <c r="D13" s="360">
        <v>0.98</v>
      </c>
      <c r="E13" s="105">
        <v>332.235</v>
      </c>
      <c r="F13" s="105">
        <f t="shared" si="0"/>
        <v>279.5</v>
      </c>
      <c r="G13" s="170">
        <f t="shared" si="1"/>
        <v>52.7350000000001</v>
      </c>
      <c r="H13" s="105"/>
      <c r="I13" s="160">
        <f t="shared" si="2"/>
        <v>0.77999006727166</v>
      </c>
      <c r="J13" s="105">
        <v>83.06</v>
      </c>
      <c r="K13" s="105"/>
      <c r="L13" s="105">
        <v>259.14</v>
      </c>
      <c r="M13" s="359">
        <f t="shared" si="3"/>
        <v>12564.42</v>
      </c>
      <c r="N13" s="105"/>
      <c r="O13" s="105" t="s">
        <v>1609</v>
      </c>
    </row>
    <row r="14" spans="1:16">
      <c r="A14" s="361">
        <v>46174</v>
      </c>
      <c r="B14" s="105" t="s">
        <v>66</v>
      </c>
      <c r="C14" s="360">
        <v>0.47</v>
      </c>
      <c r="D14" s="360">
        <v>0.98</v>
      </c>
      <c r="E14" s="105">
        <v>260.918</v>
      </c>
      <c r="F14" s="105">
        <f t="shared" si="0"/>
        <v>219.3</v>
      </c>
      <c r="G14" s="170">
        <f t="shared" si="1"/>
        <v>41.618</v>
      </c>
      <c r="H14" s="105"/>
      <c r="I14" s="160">
        <f t="shared" si="2"/>
        <v>0.780015177182103</v>
      </c>
      <c r="J14" s="105">
        <v>65.23</v>
      </c>
      <c r="K14" s="105"/>
      <c r="L14" s="105">
        <v>203.52</v>
      </c>
      <c r="M14" s="359">
        <f t="shared" si="3"/>
        <v>12360.9</v>
      </c>
      <c r="N14" s="105"/>
      <c r="O14" s="105" t="s">
        <v>1609</v>
      </c>
    </row>
    <row r="15" spans="1:16">
      <c r="A15" s="358">
        <v>46175</v>
      </c>
      <c r="B15" s="359" t="s">
        <v>54</v>
      </c>
      <c r="C15" s="360">
        <v>0.34</v>
      </c>
      <c r="D15" s="360">
        <v>0.98</v>
      </c>
      <c r="E15" s="359">
        <v>288.512</v>
      </c>
      <c r="F15" s="105">
        <f t="shared" si="0"/>
        <v>275.2</v>
      </c>
      <c r="G15" s="105">
        <f t="shared" si="1"/>
        <v>13.3120000000001</v>
      </c>
      <c r="H15" s="105"/>
      <c r="I15" s="160">
        <f t="shared" si="2"/>
        <v>0.780002218278616</v>
      </c>
      <c r="J15" s="359">
        <v>72.13</v>
      </c>
      <c r="K15" s="105"/>
      <c r="L15" s="359">
        <v>225.04</v>
      </c>
      <c r="M15" s="359">
        <f t="shared" si="3"/>
        <v>12135.86</v>
      </c>
      <c r="N15" s="105"/>
      <c r="O15" s="105" t="s">
        <v>1609</v>
      </c>
      <c r="P15" s="105"/>
    </row>
    <row r="16" spans="1:16">
      <c r="A16" s="361">
        <v>46175</v>
      </c>
      <c r="B16" s="105" t="s">
        <v>108</v>
      </c>
      <c r="C16" s="360">
        <v>0.34</v>
      </c>
      <c r="D16" s="360">
        <v>0.98</v>
      </c>
      <c r="E16" s="105">
        <v>312.538</v>
      </c>
      <c r="F16" s="105">
        <f t="shared" si="0"/>
        <v>275.2</v>
      </c>
      <c r="G16" s="170">
        <f t="shared" si="1"/>
        <v>37.3380000000001</v>
      </c>
      <c r="H16" s="105"/>
      <c r="I16" s="160">
        <f t="shared" si="2"/>
        <v>0.780001151859934</v>
      </c>
      <c r="J16" s="105">
        <v>78.13</v>
      </c>
      <c r="K16" s="105"/>
      <c r="L16" s="105">
        <v>243.78</v>
      </c>
      <c r="M16" s="359">
        <f t="shared" si="3"/>
        <v>11892.08</v>
      </c>
      <c r="N16" s="105"/>
      <c r="O16" s="105" t="s">
        <v>1609</v>
      </c>
      <c r="P16" s="105"/>
    </row>
    <row r="17" spans="1:16">
      <c r="A17" s="361">
        <v>46175</v>
      </c>
      <c r="B17" s="105" t="s">
        <v>57</v>
      </c>
      <c r="C17" s="360">
        <v>0.73</v>
      </c>
      <c r="D17" s="360">
        <v>0.97</v>
      </c>
      <c r="E17" s="105">
        <v>110.88</v>
      </c>
      <c r="F17" s="105">
        <f t="shared" si="0"/>
        <v>103.2</v>
      </c>
      <c r="G17" s="105">
        <f t="shared" si="1"/>
        <v>7.67999999999999</v>
      </c>
      <c r="H17" s="105"/>
      <c r="I17" s="160">
        <f t="shared" si="2"/>
        <v>0.780032467532467</v>
      </c>
      <c r="J17" s="105">
        <v>27.72</v>
      </c>
      <c r="K17" s="105"/>
      <c r="L17" s="105">
        <v>86.49</v>
      </c>
      <c r="M17" s="359">
        <f t="shared" si="3"/>
        <v>11805.59</v>
      </c>
      <c r="N17" s="105"/>
      <c r="O17" s="105" t="s">
        <v>1609</v>
      </c>
      <c r="P17" s="105"/>
    </row>
    <row r="18" spans="1:16">
      <c r="A18" s="361">
        <v>46175</v>
      </c>
      <c r="B18" s="105" t="s">
        <v>111</v>
      </c>
      <c r="C18" s="360">
        <v>0.27</v>
      </c>
      <c r="D18" s="360">
        <v>0.97</v>
      </c>
      <c r="E18" s="105">
        <v>305.025</v>
      </c>
      <c r="F18" s="105">
        <f t="shared" si="0"/>
        <v>301</v>
      </c>
      <c r="G18" s="105">
        <f t="shared" si="1"/>
        <v>4.02499999999998</v>
      </c>
      <c r="H18" s="105"/>
      <c r="I18" s="160">
        <f t="shared" si="2"/>
        <v>0.780001639209901</v>
      </c>
      <c r="J18" s="105">
        <v>76.26</v>
      </c>
      <c r="K18" s="105"/>
      <c r="L18" s="105">
        <v>237.92</v>
      </c>
      <c r="M18" s="359">
        <f t="shared" si="3"/>
        <v>11567.67</v>
      </c>
      <c r="N18" s="105"/>
      <c r="O18" s="105" t="s">
        <v>1609</v>
      </c>
      <c r="P18" s="105"/>
    </row>
    <row r="19" spans="1:16">
      <c r="A19" s="361">
        <v>46175</v>
      </c>
      <c r="B19" s="105" t="s">
        <v>99</v>
      </c>
      <c r="C19" s="360">
        <v>0.34</v>
      </c>
      <c r="D19" s="360">
        <v>0.92</v>
      </c>
      <c r="E19" s="105">
        <v>284.687</v>
      </c>
      <c r="F19" s="105">
        <f t="shared" si="0"/>
        <v>249.4</v>
      </c>
      <c r="G19" s="170">
        <f t="shared" si="1"/>
        <v>35.287</v>
      </c>
      <c r="H19" s="105"/>
      <c r="I19" s="160">
        <f t="shared" si="2"/>
        <v>0.779979415990193</v>
      </c>
      <c r="J19" s="105">
        <v>71.17</v>
      </c>
      <c r="K19" s="105"/>
      <c r="L19" s="105">
        <v>222.05</v>
      </c>
      <c r="M19" s="359">
        <f t="shared" si="3"/>
        <v>11345.62</v>
      </c>
      <c r="N19" s="105"/>
      <c r="O19" s="105" t="s">
        <v>1609</v>
      </c>
      <c r="P19" s="105"/>
    </row>
    <row r="20" spans="1:16">
      <c r="A20" s="361">
        <v>46175</v>
      </c>
      <c r="B20" s="105" t="s">
        <v>93</v>
      </c>
      <c r="C20" s="360">
        <v>0.42</v>
      </c>
      <c r="D20" s="360">
        <v>0.95</v>
      </c>
      <c r="E20" s="105">
        <v>260.231</v>
      </c>
      <c r="F20" s="105">
        <f t="shared" si="0"/>
        <v>227.9</v>
      </c>
      <c r="G20" s="170">
        <f t="shared" si="1"/>
        <v>32.331</v>
      </c>
      <c r="H20" s="105"/>
      <c r="I20" s="160">
        <f t="shared" si="2"/>
        <v>0.77999930830685</v>
      </c>
      <c r="J20" s="105">
        <v>65.06</v>
      </c>
      <c r="K20" s="105"/>
      <c r="L20" s="105">
        <v>202.98</v>
      </c>
      <c r="M20" s="359">
        <f t="shared" si="3"/>
        <v>11142.64</v>
      </c>
      <c r="N20" s="105"/>
      <c r="O20" s="105" t="s">
        <v>1609</v>
      </c>
      <c r="P20" s="105"/>
    </row>
    <row r="21" spans="1:16">
      <c r="A21" s="361">
        <v>46175</v>
      </c>
      <c r="B21" s="105" t="s">
        <v>90</v>
      </c>
      <c r="C21" s="360">
        <v>0.49</v>
      </c>
      <c r="D21" s="360">
        <v>0.93</v>
      </c>
      <c r="E21" s="105">
        <v>217.037</v>
      </c>
      <c r="F21" s="105">
        <f t="shared" si="0"/>
        <v>189.2</v>
      </c>
      <c r="G21" s="170">
        <f t="shared" si="1"/>
        <v>27.837</v>
      </c>
      <c r="H21" s="105"/>
      <c r="I21" s="160">
        <f t="shared" si="2"/>
        <v>0.780005252560623</v>
      </c>
      <c r="J21" s="105">
        <v>54.26</v>
      </c>
      <c r="K21" s="105"/>
      <c r="L21" s="105">
        <v>169.29</v>
      </c>
      <c r="M21" s="359">
        <f t="shared" si="3"/>
        <v>10973.35</v>
      </c>
      <c r="N21" s="105"/>
      <c r="O21" s="105" t="s">
        <v>1609</v>
      </c>
      <c r="P21" s="105"/>
    </row>
    <row r="22" spans="1:16">
      <c r="A22" s="361">
        <v>46175</v>
      </c>
      <c r="B22" s="105" t="s">
        <v>72</v>
      </c>
      <c r="C22" s="360">
        <v>0.44</v>
      </c>
      <c r="D22" s="360">
        <v>0.93</v>
      </c>
      <c r="E22" s="105">
        <v>237.158</v>
      </c>
      <c r="F22" s="105">
        <f t="shared" si="0"/>
        <v>210.7</v>
      </c>
      <c r="G22" s="170">
        <f t="shared" si="1"/>
        <v>26.458</v>
      </c>
      <c r="H22" s="105"/>
      <c r="I22" s="160">
        <f t="shared" si="2"/>
        <v>0.779986338221776</v>
      </c>
      <c r="J22" s="105">
        <v>59.29</v>
      </c>
      <c r="K22" s="105"/>
      <c r="L22" s="105">
        <v>184.98</v>
      </c>
      <c r="M22" s="359">
        <f t="shared" si="3"/>
        <v>10788.37</v>
      </c>
      <c r="N22" s="105"/>
      <c r="O22" s="105" t="s">
        <v>1609</v>
      </c>
      <c r="P22" s="105"/>
    </row>
    <row r="23" spans="1:16">
      <c r="A23" s="361">
        <v>46175</v>
      </c>
      <c r="B23" s="105" t="s">
        <v>69</v>
      </c>
      <c r="C23" s="360">
        <v>0.14</v>
      </c>
      <c r="D23" s="360">
        <v>0.81</v>
      </c>
      <c r="E23" s="105">
        <v>322.982</v>
      </c>
      <c r="F23" s="105">
        <f t="shared" si="0"/>
        <v>288.1</v>
      </c>
      <c r="G23" s="170">
        <f t="shared" si="1"/>
        <v>34.882</v>
      </c>
      <c r="H23" s="105"/>
      <c r="I23" s="160">
        <f t="shared" si="2"/>
        <v>0.780012508437003</v>
      </c>
      <c r="J23" s="105">
        <v>80.75</v>
      </c>
      <c r="K23" s="105"/>
      <c r="L23" s="105">
        <v>251.93</v>
      </c>
      <c r="M23" s="359">
        <f t="shared" si="3"/>
        <v>10536.44</v>
      </c>
      <c r="N23" s="105"/>
      <c r="O23" s="105" t="s">
        <v>1609</v>
      </c>
      <c r="P23" s="105"/>
    </row>
    <row r="24" spans="1:16">
      <c r="A24" s="361">
        <v>46175</v>
      </c>
      <c r="B24" s="105" t="s">
        <v>121</v>
      </c>
      <c r="C24" s="360">
        <v>0.71</v>
      </c>
      <c r="D24" s="360">
        <v>0.98</v>
      </c>
      <c r="E24" s="105">
        <v>125.528</v>
      </c>
      <c r="F24" s="105">
        <f t="shared" si="0"/>
        <v>116.1</v>
      </c>
      <c r="G24" s="105">
        <f t="shared" si="1"/>
        <v>9.428</v>
      </c>
      <c r="H24" s="105"/>
      <c r="I24" s="160">
        <f t="shared" si="2"/>
        <v>0.779985341915748</v>
      </c>
      <c r="J24" s="105">
        <v>31.38</v>
      </c>
      <c r="K24" s="105"/>
      <c r="L24" s="105">
        <v>97.91</v>
      </c>
      <c r="M24" s="359">
        <f t="shared" si="3"/>
        <v>10438.53</v>
      </c>
      <c r="N24" s="105"/>
      <c r="O24" s="105" t="s">
        <v>1609</v>
      </c>
      <c r="P24" s="105"/>
    </row>
    <row r="25" spans="1:16">
      <c r="A25" s="361">
        <v>46175</v>
      </c>
      <c r="B25" s="105" t="s">
        <v>132</v>
      </c>
      <c r="C25" s="360">
        <v>0.71</v>
      </c>
      <c r="D25" s="360">
        <v>0.85</v>
      </c>
      <c r="E25" s="105">
        <v>63.813</v>
      </c>
      <c r="F25" s="105">
        <f t="shared" si="0"/>
        <v>60.2</v>
      </c>
      <c r="G25" s="105">
        <f t="shared" si="1"/>
        <v>3.613</v>
      </c>
      <c r="H25" s="105"/>
      <c r="I25" s="160">
        <f t="shared" si="2"/>
        <v>0.779935122937333</v>
      </c>
      <c r="J25" s="105">
        <v>15.95</v>
      </c>
      <c r="K25" s="105"/>
      <c r="L25" s="105">
        <v>49.77</v>
      </c>
      <c r="M25" s="359">
        <f t="shared" si="3"/>
        <v>10388.76</v>
      </c>
      <c r="N25" s="105"/>
      <c r="O25" s="105" t="s">
        <v>1609</v>
      </c>
      <c r="P25" s="105"/>
    </row>
    <row r="26" spans="1:16">
      <c r="A26" s="361">
        <v>46175</v>
      </c>
      <c r="B26" s="105" t="s">
        <v>105</v>
      </c>
      <c r="C26" s="360">
        <v>0.18</v>
      </c>
      <c r="D26" s="360">
        <v>0.95</v>
      </c>
      <c r="E26" s="105">
        <v>388.6</v>
      </c>
      <c r="F26" s="105">
        <f t="shared" si="0"/>
        <v>331.1</v>
      </c>
      <c r="G26" s="170">
        <f t="shared" si="1"/>
        <v>57.5</v>
      </c>
      <c r="H26" s="105"/>
      <c r="I26" s="160">
        <f t="shared" si="2"/>
        <v>0.780005146680391</v>
      </c>
      <c r="J26" s="105">
        <v>97.15</v>
      </c>
      <c r="K26" s="105"/>
      <c r="L26" s="105">
        <v>303.11</v>
      </c>
      <c r="M26" s="359">
        <f t="shared" si="3"/>
        <v>10085.65</v>
      </c>
      <c r="N26" s="105"/>
      <c r="O26" s="105" t="s">
        <v>1609</v>
      </c>
      <c r="P26" s="105"/>
    </row>
    <row r="27" spans="1:16">
      <c r="A27" s="361">
        <v>46175</v>
      </c>
      <c r="B27" s="105" t="s">
        <v>124</v>
      </c>
      <c r="C27" s="360">
        <v>0.28</v>
      </c>
      <c r="D27" s="360">
        <v>0.95</v>
      </c>
      <c r="E27" s="105">
        <v>298.583</v>
      </c>
      <c r="F27" s="105">
        <f t="shared" si="0"/>
        <v>288.1</v>
      </c>
      <c r="G27" s="105">
        <f t="shared" si="1"/>
        <v>10.4830000000001</v>
      </c>
      <c r="H27" s="105"/>
      <c r="I27" s="160">
        <f t="shared" si="2"/>
        <v>0.780017616542134</v>
      </c>
      <c r="J27" s="105">
        <v>74.65</v>
      </c>
      <c r="K27" s="105"/>
      <c r="L27" s="105">
        <v>232.9</v>
      </c>
      <c r="M27" s="359">
        <f t="shared" si="3"/>
        <v>9852.75</v>
      </c>
      <c r="N27" s="105"/>
      <c r="O27" s="105" t="s">
        <v>1609</v>
      </c>
      <c r="P27" s="105"/>
    </row>
    <row r="28" spans="1:16">
      <c r="A28" s="361">
        <v>46175</v>
      </c>
      <c r="B28" s="105" t="s">
        <v>135</v>
      </c>
      <c r="C28" s="360">
        <v>0.72</v>
      </c>
      <c r="D28" s="360">
        <v>0.88</v>
      </c>
      <c r="E28" s="105">
        <v>69.782</v>
      </c>
      <c r="F28" s="105">
        <f t="shared" si="0"/>
        <v>68.8</v>
      </c>
      <c r="G28" s="105">
        <f t="shared" si="1"/>
        <v>0.981999999999985</v>
      </c>
      <c r="H28" s="105"/>
      <c r="I28" s="160">
        <f t="shared" si="2"/>
        <v>0.780000573213723</v>
      </c>
      <c r="J28" s="105">
        <v>17.45</v>
      </c>
      <c r="K28" s="105"/>
      <c r="L28" s="105">
        <v>54.43</v>
      </c>
      <c r="M28" s="359">
        <f t="shared" si="3"/>
        <v>9798.32</v>
      </c>
      <c r="N28" s="105"/>
      <c r="O28" s="105" t="s">
        <v>1609</v>
      </c>
      <c r="P28" s="105"/>
    </row>
    <row r="29" spans="1:16">
      <c r="A29" s="361">
        <v>46175</v>
      </c>
      <c r="B29" s="105" t="s">
        <v>51</v>
      </c>
      <c r="C29" s="360">
        <v>0.18</v>
      </c>
      <c r="D29" s="360">
        <v>0.98</v>
      </c>
      <c r="E29" s="105">
        <v>355.588</v>
      </c>
      <c r="F29" s="105">
        <f t="shared" si="0"/>
        <v>344</v>
      </c>
      <c r="G29" s="105">
        <f t="shared" si="1"/>
        <v>11.588</v>
      </c>
      <c r="H29" s="105"/>
      <c r="I29" s="160">
        <f t="shared" si="2"/>
        <v>0.780003824651001</v>
      </c>
      <c r="J29" s="105">
        <v>88.9</v>
      </c>
      <c r="K29" s="105"/>
      <c r="L29" s="105">
        <v>277.36</v>
      </c>
      <c r="M29" s="359">
        <f t="shared" si="3"/>
        <v>9520.96</v>
      </c>
      <c r="N29" s="105"/>
      <c r="O29" s="105" t="s">
        <v>1609</v>
      </c>
      <c r="P29" s="105"/>
    </row>
    <row r="30" spans="1:16">
      <c r="A30" s="361">
        <v>46175</v>
      </c>
      <c r="B30" s="105" t="s">
        <v>108</v>
      </c>
      <c r="C30" s="360">
        <v>0.48</v>
      </c>
      <c r="D30" s="360">
        <v>0.98</v>
      </c>
      <c r="E30" s="105">
        <v>247.442</v>
      </c>
      <c r="F30" s="105">
        <f t="shared" si="0"/>
        <v>215</v>
      </c>
      <c r="G30" s="170">
        <f t="shared" si="1"/>
        <v>32.442</v>
      </c>
      <c r="H30" s="105"/>
      <c r="I30" s="160">
        <f t="shared" si="2"/>
        <v>0.779980763168743</v>
      </c>
      <c r="J30" s="105">
        <v>61.86</v>
      </c>
      <c r="K30" s="105"/>
      <c r="L30" s="105">
        <v>193</v>
      </c>
      <c r="M30" s="359">
        <f t="shared" si="3"/>
        <v>9327.96</v>
      </c>
      <c r="N30" s="105"/>
      <c r="O30" s="105" t="s">
        <v>1609</v>
      </c>
      <c r="P30" s="105"/>
    </row>
    <row r="31" spans="1:16">
      <c r="A31" s="361">
        <v>46175</v>
      </c>
      <c r="B31" s="105" t="s">
        <v>96</v>
      </c>
      <c r="C31" s="360">
        <v>0.19</v>
      </c>
      <c r="D31" s="360">
        <v>0.98</v>
      </c>
      <c r="E31" s="105">
        <v>403.386</v>
      </c>
      <c r="F31" s="105">
        <f t="shared" si="0"/>
        <v>339.7</v>
      </c>
      <c r="G31" s="170">
        <f t="shared" si="1"/>
        <v>63.686</v>
      </c>
      <c r="H31" s="105"/>
      <c r="I31" s="160">
        <f t="shared" si="2"/>
        <v>0.779997322663652</v>
      </c>
      <c r="J31" s="105">
        <v>100.85</v>
      </c>
      <c r="K31" s="105"/>
      <c r="L31" s="105">
        <v>314.64</v>
      </c>
      <c r="M31" s="359">
        <f t="shared" si="3"/>
        <v>9013.32</v>
      </c>
      <c r="N31" s="105"/>
      <c r="O31" s="105" t="s">
        <v>1609</v>
      </c>
      <c r="P31" s="105"/>
    </row>
    <row r="32" spans="1:16">
      <c r="A32" s="358">
        <v>46176</v>
      </c>
      <c r="B32" s="359" t="s">
        <v>114</v>
      </c>
      <c r="C32" s="360">
        <v>0.22</v>
      </c>
      <c r="D32" s="360">
        <v>0.98</v>
      </c>
      <c r="E32" s="359">
        <v>331.738</v>
      </c>
      <c r="F32" s="105">
        <f t="shared" si="0"/>
        <v>326.8</v>
      </c>
      <c r="G32" s="105">
        <f t="shared" si="1"/>
        <v>4.93799999999999</v>
      </c>
      <c r="H32" s="105"/>
      <c r="I32" s="160">
        <f t="shared" si="2"/>
        <v>0.77998299863145</v>
      </c>
      <c r="J32" s="359">
        <v>82.93</v>
      </c>
      <c r="K32" s="105"/>
      <c r="L32" s="359">
        <v>258.75</v>
      </c>
      <c r="M32" s="359">
        <f t="shared" si="3"/>
        <v>8754.57</v>
      </c>
      <c r="N32" s="105"/>
      <c r="O32" s="105" t="s">
        <v>1609</v>
      </c>
      <c r="P32" s="105"/>
    </row>
    <row r="33" spans="1:16">
      <c r="A33" s="361">
        <v>46176</v>
      </c>
      <c r="B33" s="105" t="s">
        <v>69</v>
      </c>
      <c r="C33" s="360">
        <v>0.47</v>
      </c>
      <c r="D33" s="360">
        <v>0.98</v>
      </c>
      <c r="E33" s="105">
        <v>238.792</v>
      </c>
      <c r="F33" s="105">
        <f t="shared" si="0"/>
        <v>219.3</v>
      </c>
      <c r="G33" s="105">
        <f t="shared" si="1"/>
        <v>19.492</v>
      </c>
      <c r="H33" s="105"/>
      <c r="I33" s="160">
        <f t="shared" si="2"/>
        <v>0.780009380548762</v>
      </c>
      <c r="J33" s="105">
        <v>59.7</v>
      </c>
      <c r="K33" s="105"/>
      <c r="L33" s="105">
        <v>186.26</v>
      </c>
      <c r="M33" s="359">
        <f t="shared" si="3"/>
        <v>8568.31</v>
      </c>
      <c r="N33" s="105"/>
      <c r="O33" s="105" t="s">
        <v>1609</v>
      </c>
      <c r="P33" s="105"/>
    </row>
    <row r="34" spans="1:16">
      <c r="A34" s="361">
        <v>46176</v>
      </c>
      <c r="B34" s="105" t="s">
        <v>121</v>
      </c>
      <c r="C34" s="360">
        <v>0.41</v>
      </c>
      <c r="D34" s="360">
        <v>0.98</v>
      </c>
      <c r="E34" s="105">
        <v>253.178</v>
      </c>
      <c r="F34" s="105">
        <f t="shared" si="0"/>
        <v>245.1</v>
      </c>
      <c r="G34" s="105">
        <f t="shared" si="1"/>
        <v>8.07799999999997</v>
      </c>
      <c r="H34" s="105"/>
      <c r="I34" s="160">
        <f t="shared" si="2"/>
        <v>0.779965083854047</v>
      </c>
      <c r="J34" s="105">
        <v>63.29</v>
      </c>
      <c r="K34" s="105"/>
      <c r="L34" s="105">
        <v>197.47</v>
      </c>
      <c r="M34" s="359">
        <f t="shared" si="3"/>
        <v>8370.84</v>
      </c>
      <c r="N34" s="105"/>
      <c r="O34" s="105" t="s">
        <v>1609</v>
      </c>
      <c r="P34" s="105"/>
    </row>
    <row r="35" spans="1:16">
      <c r="A35" s="361">
        <v>46176</v>
      </c>
      <c r="B35" s="105" t="s">
        <v>105</v>
      </c>
      <c r="C35" s="360">
        <v>0.47</v>
      </c>
      <c r="D35" s="360">
        <v>0.94</v>
      </c>
      <c r="E35" s="105">
        <v>229.105</v>
      </c>
      <c r="F35" s="105">
        <f t="shared" si="0"/>
        <v>202.1</v>
      </c>
      <c r="G35" s="170">
        <f t="shared" si="1"/>
        <v>27.005</v>
      </c>
      <c r="H35" s="105"/>
      <c r="I35" s="160">
        <f t="shared" si="2"/>
        <v>0.780035354968246</v>
      </c>
      <c r="J35" s="105">
        <v>57.28</v>
      </c>
      <c r="K35" s="105"/>
      <c r="L35" s="105">
        <v>178.71</v>
      </c>
      <c r="M35" s="359">
        <f t="shared" si="3"/>
        <v>8192.13</v>
      </c>
      <c r="N35" s="105"/>
      <c r="O35" s="105" t="s">
        <v>1609</v>
      </c>
      <c r="P35" s="105"/>
    </row>
    <row r="36" spans="1:16">
      <c r="A36" s="361">
        <v>46176</v>
      </c>
      <c r="B36" s="105" t="s">
        <v>75</v>
      </c>
      <c r="C36" s="360">
        <v>0.19</v>
      </c>
      <c r="D36" s="360">
        <v>0.91</v>
      </c>
      <c r="E36" s="105">
        <v>348.323</v>
      </c>
      <c r="F36" s="105">
        <f t="shared" si="0"/>
        <v>309.6</v>
      </c>
      <c r="G36" s="170">
        <f t="shared" si="1"/>
        <v>38.723</v>
      </c>
      <c r="H36" s="105"/>
      <c r="I36" s="160">
        <f t="shared" si="2"/>
        <v>0.779994430456789</v>
      </c>
      <c r="J36" s="105">
        <v>87.08</v>
      </c>
      <c r="K36" s="105"/>
      <c r="L36" s="105">
        <v>271.69</v>
      </c>
      <c r="M36" s="359">
        <f t="shared" si="3"/>
        <v>7920.44</v>
      </c>
      <c r="N36" s="105"/>
      <c r="O36" s="105" t="s">
        <v>1609</v>
      </c>
      <c r="P36" s="105"/>
    </row>
    <row r="37" spans="1:16">
      <c r="A37" s="361">
        <v>46176</v>
      </c>
      <c r="B37" s="105" t="s">
        <v>124</v>
      </c>
      <c r="C37" s="360">
        <v>0.41</v>
      </c>
      <c r="D37" s="360">
        <v>0.98</v>
      </c>
      <c r="E37" s="105">
        <v>260.105</v>
      </c>
      <c r="F37" s="105">
        <f t="shared" si="0"/>
        <v>245.1</v>
      </c>
      <c r="G37" s="105">
        <f t="shared" si="1"/>
        <v>15.005</v>
      </c>
      <c r="H37" s="105"/>
      <c r="I37" s="160">
        <f t="shared" si="2"/>
        <v>0.780031141269872</v>
      </c>
      <c r="J37" s="105">
        <v>65.03</v>
      </c>
      <c r="K37" s="105"/>
      <c r="L37" s="105">
        <v>202.89</v>
      </c>
      <c r="M37" s="359">
        <f t="shared" si="3"/>
        <v>7717.55</v>
      </c>
      <c r="N37" s="105"/>
      <c r="O37" s="105" t="s">
        <v>1609</v>
      </c>
      <c r="P37" s="105"/>
    </row>
    <row r="38" spans="1:16">
      <c r="A38" s="361">
        <v>46176</v>
      </c>
      <c r="B38" s="105" t="s">
        <v>96</v>
      </c>
      <c r="C38" s="360">
        <v>0.45</v>
      </c>
      <c r="D38" s="360">
        <v>0.95</v>
      </c>
      <c r="E38" s="105">
        <v>255.829</v>
      </c>
      <c r="F38" s="105">
        <f t="shared" si="0"/>
        <v>215</v>
      </c>
      <c r="G38" s="170">
        <f t="shared" si="1"/>
        <v>40.829</v>
      </c>
      <c r="H38" s="105"/>
      <c r="I38" s="160">
        <f t="shared" si="2"/>
        <v>0.78001321195017</v>
      </c>
      <c r="J38" s="105">
        <v>63.96</v>
      </c>
      <c r="K38" s="105"/>
      <c r="L38" s="105">
        <v>199.55</v>
      </c>
      <c r="M38" s="359">
        <f t="shared" si="3"/>
        <v>7518</v>
      </c>
      <c r="N38" s="105"/>
      <c r="O38" s="105" t="s">
        <v>1609</v>
      </c>
      <c r="P38" s="105"/>
    </row>
    <row r="39" spans="1:16">
      <c r="A39" s="361">
        <v>46176</v>
      </c>
      <c r="B39" s="105" t="s">
        <v>132</v>
      </c>
      <c r="C39" s="360">
        <v>0.41</v>
      </c>
      <c r="D39" s="360">
        <v>0.88</v>
      </c>
      <c r="E39" s="105">
        <v>217.946</v>
      </c>
      <c r="F39" s="105">
        <f t="shared" si="0"/>
        <v>202.1</v>
      </c>
      <c r="G39" s="105">
        <f t="shared" si="1"/>
        <v>15.846</v>
      </c>
      <c r="H39" s="105"/>
      <c r="I39" s="160">
        <f t="shared" si="2"/>
        <v>0.780009727180127</v>
      </c>
      <c r="J39" s="105">
        <v>54.49</v>
      </c>
      <c r="K39" s="105"/>
      <c r="L39" s="105">
        <v>170</v>
      </c>
      <c r="M39" s="359">
        <f t="shared" si="3"/>
        <v>7348</v>
      </c>
      <c r="N39" s="105"/>
      <c r="O39" s="105" t="s">
        <v>1609</v>
      </c>
      <c r="P39" s="105"/>
    </row>
    <row r="40" spans="1:16">
      <c r="A40" s="361">
        <v>46176</v>
      </c>
      <c r="B40" s="105" t="s">
        <v>84</v>
      </c>
      <c r="C40" s="360">
        <v>0.52</v>
      </c>
      <c r="D40" s="360">
        <v>0.95</v>
      </c>
      <c r="E40" s="105">
        <v>213.681</v>
      </c>
      <c r="F40" s="105">
        <f t="shared" si="0"/>
        <v>184.9</v>
      </c>
      <c r="G40" s="170">
        <f t="shared" si="1"/>
        <v>28.781</v>
      </c>
      <c r="H40" s="105"/>
      <c r="I40" s="160">
        <f t="shared" si="2"/>
        <v>0.779994477749542</v>
      </c>
      <c r="J40" s="105">
        <v>53.42</v>
      </c>
      <c r="K40" s="105"/>
      <c r="L40" s="105">
        <v>166.67</v>
      </c>
      <c r="M40" s="359">
        <f t="shared" si="3"/>
        <v>7181.33</v>
      </c>
      <c r="N40" s="105"/>
      <c r="O40" s="105" t="s">
        <v>1609</v>
      </c>
      <c r="P40" s="105"/>
    </row>
    <row r="41" spans="1:16">
      <c r="A41" s="361">
        <v>46176</v>
      </c>
      <c r="B41" s="105" t="s">
        <v>127</v>
      </c>
      <c r="C41" s="360">
        <v>0.45</v>
      </c>
      <c r="D41" s="360">
        <v>0.98</v>
      </c>
      <c r="E41" s="105">
        <v>239.237</v>
      </c>
      <c r="F41" s="105">
        <f t="shared" si="0"/>
        <v>227.9</v>
      </c>
      <c r="G41" s="105">
        <f t="shared" si="1"/>
        <v>11.337</v>
      </c>
      <c r="H41" s="105"/>
      <c r="I41" s="160">
        <f t="shared" si="2"/>
        <v>0.78002148497097</v>
      </c>
      <c r="J41" s="105">
        <v>59.81</v>
      </c>
      <c r="K41" s="105"/>
      <c r="L41" s="105">
        <v>186.61</v>
      </c>
      <c r="M41" s="359">
        <f t="shared" si="3"/>
        <v>6994.72</v>
      </c>
      <c r="N41" s="105"/>
      <c r="O41" s="105" t="s">
        <v>1609</v>
      </c>
      <c r="P41" s="105"/>
    </row>
    <row r="42" spans="1:16">
      <c r="A42" s="361">
        <v>46176</v>
      </c>
      <c r="B42" s="105" t="s">
        <v>54</v>
      </c>
      <c r="C42" s="360">
        <v>0.43</v>
      </c>
      <c r="D42" s="360">
        <v>0.95</v>
      </c>
      <c r="E42" s="105">
        <v>230.204</v>
      </c>
      <c r="F42" s="105">
        <f t="shared" si="0"/>
        <v>223.6</v>
      </c>
      <c r="G42" s="105">
        <f t="shared" si="1"/>
        <v>6.60400000000001</v>
      </c>
      <c r="H42" s="105"/>
      <c r="I42" s="160">
        <f t="shared" si="2"/>
        <v>0.780003822696391</v>
      </c>
      <c r="J42" s="105">
        <v>57.55</v>
      </c>
      <c r="K42" s="105"/>
      <c r="L42" s="105">
        <v>179.56</v>
      </c>
      <c r="M42" s="359">
        <f t="shared" si="3"/>
        <v>6815.16</v>
      </c>
      <c r="N42" s="105"/>
      <c r="O42" s="105" t="s">
        <v>1609</v>
      </c>
      <c r="P42" s="105"/>
    </row>
    <row r="43" spans="1:16">
      <c r="A43" s="361">
        <v>46176</v>
      </c>
      <c r="B43" s="105" t="s">
        <v>130</v>
      </c>
      <c r="C43" s="360">
        <v>0.72</v>
      </c>
      <c r="D43" s="360">
        <v>0.98</v>
      </c>
      <c r="E43" s="105">
        <v>117.469</v>
      </c>
      <c r="F43" s="105">
        <f t="shared" si="0"/>
        <v>111.8</v>
      </c>
      <c r="G43" s="105">
        <f t="shared" si="1"/>
        <v>5.669</v>
      </c>
      <c r="H43" s="105"/>
      <c r="I43" s="160">
        <f t="shared" si="2"/>
        <v>0.780035583856166</v>
      </c>
      <c r="J43" s="105">
        <v>29.37</v>
      </c>
      <c r="K43" s="105"/>
      <c r="L43" s="105">
        <v>91.63</v>
      </c>
      <c r="M43" s="359">
        <f t="shared" si="3"/>
        <v>6723.53</v>
      </c>
      <c r="N43" s="105"/>
      <c r="O43" s="105" t="s">
        <v>1609</v>
      </c>
      <c r="P43" s="105"/>
    </row>
    <row r="44" spans="1:16">
      <c r="A44" s="361">
        <v>46176</v>
      </c>
      <c r="B44" s="105" t="s">
        <v>90</v>
      </c>
      <c r="C44" s="360">
        <v>0.19</v>
      </c>
      <c r="D44" s="360">
        <v>0.98</v>
      </c>
      <c r="E44" s="105">
        <v>392.912</v>
      </c>
      <c r="F44" s="105">
        <f t="shared" si="0"/>
        <v>339.7</v>
      </c>
      <c r="G44" s="170">
        <f t="shared" si="1"/>
        <v>53.212</v>
      </c>
      <c r="H44" s="105"/>
      <c r="I44" s="160">
        <f t="shared" si="2"/>
        <v>0.779996538665147</v>
      </c>
      <c r="J44" s="105">
        <v>98.23</v>
      </c>
      <c r="K44" s="105"/>
      <c r="L44" s="105">
        <v>306.47</v>
      </c>
      <c r="M44" s="359">
        <f t="shared" si="3"/>
        <v>6417.06</v>
      </c>
      <c r="N44" s="105"/>
      <c r="O44" s="105" t="s">
        <v>1609</v>
      </c>
      <c r="P44" s="105"/>
    </row>
    <row r="45" spans="1:16">
      <c r="A45" s="361">
        <v>46176</v>
      </c>
      <c r="B45" s="105" t="s">
        <v>93</v>
      </c>
      <c r="C45" s="360">
        <v>0.15</v>
      </c>
      <c r="D45" s="360">
        <v>0.98</v>
      </c>
      <c r="E45" s="105">
        <v>412.608</v>
      </c>
      <c r="F45" s="105">
        <f t="shared" si="0"/>
        <v>356.9</v>
      </c>
      <c r="G45" s="170">
        <f t="shared" si="1"/>
        <v>55.708</v>
      </c>
      <c r="H45" s="105"/>
      <c r="I45" s="160">
        <f t="shared" si="2"/>
        <v>0.77998972390259</v>
      </c>
      <c r="J45" s="105">
        <v>103.15</v>
      </c>
      <c r="K45" s="105"/>
      <c r="L45" s="105">
        <v>321.83</v>
      </c>
      <c r="M45" s="359">
        <f t="shared" si="3"/>
        <v>6095.23</v>
      </c>
      <c r="N45" s="105"/>
      <c r="O45" s="105" t="s">
        <v>1609</v>
      </c>
      <c r="P45" s="105"/>
    </row>
    <row r="46" spans="1:16">
      <c r="A46" s="361">
        <v>46176</v>
      </c>
      <c r="B46" s="105" t="s">
        <v>111</v>
      </c>
      <c r="C46" s="360">
        <v>0.66</v>
      </c>
      <c r="D46" s="360">
        <v>0.98</v>
      </c>
      <c r="E46" s="105">
        <v>144.07</v>
      </c>
      <c r="F46" s="105">
        <f t="shared" si="0"/>
        <v>137.6</v>
      </c>
      <c r="G46" s="105">
        <f t="shared" si="1"/>
        <v>6.47000000000003</v>
      </c>
      <c r="H46" s="105"/>
      <c r="I46" s="160">
        <f t="shared" si="2"/>
        <v>0.78003748177969</v>
      </c>
      <c r="J46" s="105">
        <v>36.02</v>
      </c>
      <c r="K46" s="105"/>
      <c r="L46" s="105">
        <v>112.38</v>
      </c>
      <c r="M46" s="359">
        <f t="shared" si="3"/>
        <v>5982.85</v>
      </c>
      <c r="N46" s="105"/>
      <c r="O46" s="105" t="s">
        <v>1609</v>
      </c>
      <c r="P46" s="105"/>
    </row>
    <row r="47" spans="1:16">
      <c r="A47" s="361">
        <v>46176</v>
      </c>
      <c r="B47" s="105" t="s">
        <v>72</v>
      </c>
      <c r="C47" s="360">
        <v>0.2</v>
      </c>
      <c r="D47" s="360">
        <v>0.78</v>
      </c>
      <c r="E47" s="105">
        <v>285.401</v>
      </c>
      <c r="F47" s="105">
        <f t="shared" si="0"/>
        <v>249.4</v>
      </c>
      <c r="G47" s="170">
        <f t="shared" si="1"/>
        <v>36.001</v>
      </c>
      <c r="H47" s="105"/>
      <c r="I47" s="160">
        <f t="shared" si="2"/>
        <v>0.779990259319344</v>
      </c>
      <c r="J47" s="105">
        <v>71.35</v>
      </c>
      <c r="K47" s="105"/>
      <c r="L47" s="105">
        <v>222.61</v>
      </c>
      <c r="M47" s="359">
        <f t="shared" si="3"/>
        <v>5760.24</v>
      </c>
      <c r="N47" s="105"/>
      <c r="O47" s="105" t="s">
        <v>1609</v>
      </c>
      <c r="P47" s="105"/>
    </row>
    <row r="48" spans="1:16">
      <c r="A48" s="361">
        <v>46176</v>
      </c>
      <c r="B48" s="105" t="s">
        <v>72</v>
      </c>
      <c r="C48" s="362">
        <v>0.78</v>
      </c>
      <c r="D48" s="362">
        <v>0.96</v>
      </c>
      <c r="E48" s="144">
        <v>100.502</v>
      </c>
      <c r="F48" s="105">
        <f t="shared" si="0"/>
        <v>77.4</v>
      </c>
      <c r="G48" s="170">
        <f t="shared" si="1"/>
        <v>23.102</v>
      </c>
      <c r="I48" s="160">
        <f t="shared" si="2"/>
        <v>0.78008397842829</v>
      </c>
      <c r="J48" s="144">
        <v>25.13</v>
      </c>
      <c r="L48" s="144">
        <v>78.4</v>
      </c>
      <c r="M48" s="359">
        <f t="shared" si="3"/>
        <v>5681.84</v>
      </c>
    </row>
    <row r="49" spans="1:16">
      <c r="A49" s="363">
        <v>46177</v>
      </c>
      <c r="B49" s="364" t="s">
        <v>127</v>
      </c>
      <c r="C49" s="365">
        <v>0.4</v>
      </c>
      <c r="D49" s="365">
        <v>0.98</v>
      </c>
      <c r="E49" s="364">
        <v>262.988</v>
      </c>
      <c r="F49" s="4">
        <f t="shared" si="0"/>
        <v>249.4</v>
      </c>
      <c r="G49" s="4">
        <f t="shared" si="1"/>
        <v>13.588</v>
      </c>
      <c r="H49" s="4"/>
      <c r="I49" s="160">
        <f t="shared" si="2"/>
        <v>0.779997566428887</v>
      </c>
      <c r="J49" s="364">
        <v>65.75</v>
      </c>
      <c r="K49" s="4">
        <v>10000</v>
      </c>
      <c r="L49" s="364">
        <v>205.13</v>
      </c>
      <c r="M49" s="4">
        <f t="shared" si="3"/>
        <v>15476.71</v>
      </c>
      <c r="N49" s="4"/>
      <c r="O49" s="4" t="s">
        <v>1609</v>
      </c>
    </row>
    <row r="50" spans="1:16">
      <c r="A50" s="366">
        <v>46177</v>
      </c>
      <c r="B50" s="4" t="s">
        <v>57</v>
      </c>
      <c r="C50" s="365">
        <v>0.41</v>
      </c>
      <c r="D50" s="365">
        <v>0.95</v>
      </c>
      <c r="E50" s="4">
        <v>229.746</v>
      </c>
      <c r="F50" s="4">
        <f t="shared" si="0"/>
        <v>232.2</v>
      </c>
      <c r="G50" s="4">
        <f t="shared" si="1"/>
        <v>-2.45400000000001</v>
      </c>
      <c r="H50" s="4"/>
      <c r="I50" s="160">
        <f t="shared" si="2"/>
        <v>0.78003534337921</v>
      </c>
      <c r="J50" s="4">
        <v>57.44</v>
      </c>
      <c r="K50" s="4"/>
      <c r="L50" s="4">
        <v>179.21</v>
      </c>
      <c r="M50" s="4">
        <f t="shared" si="3"/>
        <v>15297.5</v>
      </c>
      <c r="N50" s="4"/>
      <c r="O50" s="4" t="s">
        <v>1609</v>
      </c>
    </row>
    <row r="51" spans="1:16">
      <c r="A51" s="366">
        <v>46177</v>
      </c>
      <c r="B51" s="4" t="s">
        <v>144</v>
      </c>
      <c r="C51" s="365">
        <v>0.38</v>
      </c>
      <c r="D51" s="365">
        <v>0.98</v>
      </c>
      <c r="E51" s="4">
        <v>274.343</v>
      </c>
      <c r="F51" s="4">
        <f t="shared" si="0"/>
        <v>258</v>
      </c>
      <c r="G51" s="4">
        <f t="shared" si="1"/>
        <v>16.343</v>
      </c>
      <c r="H51" s="4"/>
      <c r="I51" s="160">
        <f t="shared" si="2"/>
        <v>0.78000896687723</v>
      </c>
      <c r="J51" s="4">
        <v>68.59</v>
      </c>
      <c r="K51" s="4"/>
      <c r="L51" s="4">
        <v>213.99</v>
      </c>
      <c r="M51" s="4">
        <f t="shared" si="3"/>
        <v>15083.51</v>
      </c>
      <c r="N51" s="4"/>
      <c r="O51" s="4" t="s">
        <v>1609</v>
      </c>
    </row>
    <row r="52" spans="1:16">
      <c r="A52" s="366">
        <v>46177</v>
      </c>
      <c r="B52" s="4" t="s">
        <v>69</v>
      </c>
      <c r="C52" s="365">
        <v>0.17</v>
      </c>
      <c r="D52" s="365">
        <v>0.89</v>
      </c>
      <c r="E52" s="4">
        <v>350.58</v>
      </c>
      <c r="F52" s="4">
        <f t="shared" si="0"/>
        <v>309.6</v>
      </c>
      <c r="G52" s="367">
        <f t="shared" si="1"/>
        <v>40.98</v>
      </c>
      <c r="H52" s="4"/>
      <c r="I52" s="160">
        <f t="shared" si="2"/>
        <v>0.780021678361572</v>
      </c>
      <c r="J52" s="4">
        <v>87.65</v>
      </c>
      <c r="K52" s="4"/>
      <c r="L52" s="4">
        <v>273.46</v>
      </c>
      <c r="M52" s="4">
        <f t="shared" si="3"/>
        <v>14810.05</v>
      </c>
      <c r="N52" s="4"/>
      <c r="O52" s="4" t="s">
        <v>1609</v>
      </c>
    </row>
    <row r="53" spans="1:16">
      <c r="A53" s="366">
        <v>46177</v>
      </c>
      <c r="B53" s="4" t="s">
        <v>60</v>
      </c>
      <c r="C53" s="365">
        <v>0.31</v>
      </c>
      <c r="D53" s="365">
        <v>0.98</v>
      </c>
      <c r="E53" s="4">
        <v>294.162</v>
      </c>
      <c r="F53" s="4">
        <f t="shared" si="0"/>
        <v>288.1</v>
      </c>
      <c r="G53" s="4">
        <f t="shared" si="1"/>
        <v>6.06200000000001</v>
      </c>
      <c r="H53" s="4"/>
      <c r="I53" s="160">
        <f t="shared" si="2"/>
        <v>0.780012374133981</v>
      </c>
      <c r="J53" s="4">
        <v>73.54</v>
      </c>
      <c r="K53" s="4"/>
      <c r="L53" s="4">
        <v>229.45</v>
      </c>
      <c r="M53" s="4">
        <f t="shared" si="3"/>
        <v>14580.6</v>
      </c>
      <c r="N53" s="4"/>
      <c r="O53" s="4" t="s">
        <v>1609</v>
      </c>
    </row>
    <row r="54" spans="1:16">
      <c r="A54" s="366">
        <v>46177</v>
      </c>
      <c r="B54" s="4" t="s">
        <v>111</v>
      </c>
      <c r="C54" s="365">
        <v>0.26</v>
      </c>
      <c r="D54" s="365">
        <v>0.96</v>
      </c>
      <c r="E54" s="4">
        <v>303.078</v>
      </c>
      <c r="F54" s="4">
        <f t="shared" si="0"/>
        <v>301</v>
      </c>
      <c r="G54" s="4">
        <f t="shared" si="1"/>
        <v>2.07799999999997</v>
      </c>
      <c r="H54" s="4"/>
      <c r="I54" s="160">
        <f t="shared" si="2"/>
        <v>0.779997228436244</v>
      </c>
      <c r="J54" s="4">
        <v>75.77</v>
      </c>
      <c r="K54" s="4"/>
      <c r="L54" s="4">
        <v>236.4</v>
      </c>
      <c r="M54" s="4">
        <f t="shared" si="3"/>
        <v>14344.2</v>
      </c>
      <c r="N54" s="4"/>
      <c r="O54" s="4" t="s">
        <v>1609</v>
      </c>
    </row>
    <row r="55" spans="1:16">
      <c r="A55" s="366">
        <v>46177</v>
      </c>
      <c r="B55" s="4" t="s">
        <v>105</v>
      </c>
      <c r="C55" s="365">
        <v>0.77</v>
      </c>
      <c r="D55" s="365">
        <v>1</v>
      </c>
      <c r="E55" s="4">
        <v>107.753</v>
      </c>
      <c r="F55" s="4">
        <f t="shared" si="0"/>
        <v>98.9</v>
      </c>
      <c r="G55" s="4">
        <f t="shared" si="1"/>
        <v>8.85300000000001</v>
      </c>
      <c r="H55" s="4"/>
      <c r="I55" s="160">
        <f t="shared" si="2"/>
        <v>0.780024686087626</v>
      </c>
      <c r="J55" s="4">
        <v>26.94</v>
      </c>
      <c r="K55" s="4"/>
      <c r="L55" s="4">
        <v>84.05</v>
      </c>
      <c r="M55" s="4">
        <f t="shared" si="3"/>
        <v>14260.15</v>
      </c>
      <c r="N55" s="4"/>
      <c r="O55" s="4" t="s">
        <v>1609</v>
      </c>
    </row>
    <row r="56" spans="1:16">
      <c r="A56" s="366">
        <v>46177</v>
      </c>
      <c r="B56" s="4" t="s">
        <v>99</v>
      </c>
      <c r="C56" s="365">
        <v>0.19</v>
      </c>
      <c r="D56" s="365">
        <v>0.9</v>
      </c>
      <c r="E56" s="4">
        <v>345.886</v>
      </c>
      <c r="F56" s="4">
        <f t="shared" si="0"/>
        <v>305.3</v>
      </c>
      <c r="G56" s="367">
        <f t="shared" si="1"/>
        <v>40.586</v>
      </c>
      <c r="H56" s="4"/>
      <c r="I56" s="160">
        <f t="shared" si="2"/>
        <v>0.779996877583944</v>
      </c>
      <c r="J56" s="4">
        <v>86.47</v>
      </c>
      <c r="K56" s="4"/>
      <c r="L56" s="4">
        <v>269.79</v>
      </c>
      <c r="M56" s="4">
        <f t="shared" si="3"/>
        <v>13990.36</v>
      </c>
      <c r="N56" s="4"/>
      <c r="O56" s="4" t="s">
        <v>1609</v>
      </c>
    </row>
    <row r="57" spans="1:16">
      <c r="A57" s="366">
        <v>46177</v>
      </c>
      <c r="B57" s="4" t="s">
        <v>66</v>
      </c>
      <c r="C57" s="365">
        <v>0.46</v>
      </c>
      <c r="D57" s="365">
        <v>0.95</v>
      </c>
      <c r="E57" s="4">
        <v>249.853</v>
      </c>
      <c r="F57" s="4">
        <f t="shared" si="0"/>
        <v>210.7</v>
      </c>
      <c r="G57" s="367">
        <f t="shared" si="1"/>
        <v>39.153</v>
      </c>
      <c r="H57" s="4"/>
      <c r="I57" s="160">
        <f t="shared" si="2"/>
        <v>0.779978627432931</v>
      </c>
      <c r="J57" s="4">
        <v>62.46</v>
      </c>
      <c r="K57" s="4"/>
      <c r="L57" s="4">
        <v>194.88</v>
      </c>
      <c r="M57" s="4">
        <f t="shared" si="3"/>
        <v>13795.48</v>
      </c>
      <c r="N57" s="4"/>
      <c r="O57" s="4" t="s">
        <v>1609</v>
      </c>
    </row>
    <row r="58" spans="1:16">
      <c r="A58" s="366">
        <v>46177</v>
      </c>
      <c r="B58" s="4" t="s">
        <v>90</v>
      </c>
      <c r="C58" s="365">
        <v>0.45</v>
      </c>
      <c r="D58" s="365">
        <v>0.91</v>
      </c>
      <c r="E58" s="4">
        <v>222.054</v>
      </c>
      <c r="F58" s="4">
        <f t="shared" si="0"/>
        <v>197.8</v>
      </c>
      <c r="G58" s="367">
        <f t="shared" si="1"/>
        <v>24.254</v>
      </c>
      <c r="H58" s="4"/>
      <c r="I58" s="160">
        <f t="shared" si="2"/>
        <v>0.779990452772749</v>
      </c>
      <c r="J58" s="4">
        <v>55.51</v>
      </c>
      <c r="K58" s="4"/>
      <c r="L58" s="4">
        <v>173.2</v>
      </c>
      <c r="M58" s="4">
        <f t="shared" si="3"/>
        <v>13622.28</v>
      </c>
      <c r="N58" s="4"/>
      <c r="O58" s="4" t="s">
        <v>1609</v>
      </c>
    </row>
    <row r="59" spans="1:16">
      <c r="A59" s="366">
        <v>46177</v>
      </c>
      <c r="B59" s="4" t="s">
        <v>108</v>
      </c>
      <c r="C59" s="365">
        <v>0.21</v>
      </c>
      <c r="D59" s="365">
        <v>0.98</v>
      </c>
      <c r="E59" s="4">
        <v>376.456</v>
      </c>
      <c r="F59" s="4">
        <f t="shared" si="0"/>
        <v>331.1</v>
      </c>
      <c r="G59" s="367">
        <f t="shared" si="1"/>
        <v>45.356</v>
      </c>
      <c r="H59" s="4"/>
      <c r="I59" s="160">
        <f t="shared" si="2"/>
        <v>0.779984911915337</v>
      </c>
      <c r="J59" s="4">
        <v>94.11</v>
      </c>
      <c r="K59" s="4"/>
      <c r="L59" s="4">
        <v>293.63</v>
      </c>
      <c r="M59" s="4">
        <f t="shared" si="3"/>
        <v>13328.65</v>
      </c>
      <c r="N59" s="4"/>
      <c r="O59" s="4" t="s">
        <v>1609</v>
      </c>
    </row>
    <row r="60" spans="1:16">
      <c r="A60" s="366">
        <v>46177</v>
      </c>
      <c r="B60" s="4" t="s">
        <v>138</v>
      </c>
      <c r="C60" s="365">
        <v>0.62</v>
      </c>
      <c r="D60" s="365">
        <v>0.95</v>
      </c>
      <c r="E60" s="4">
        <v>154.856</v>
      </c>
      <c r="F60" s="4">
        <f t="shared" si="0"/>
        <v>141.9</v>
      </c>
      <c r="G60" s="4">
        <f t="shared" si="1"/>
        <v>12.956</v>
      </c>
      <c r="H60" s="4"/>
      <c r="I60" s="160">
        <f t="shared" si="2"/>
        <v>0.779950405538048</v>
      </c>
      <c r="J60" s="4">
        <v>38.71</v>
      </c>
      <c r="K60" s="4"/>
      <c r="L60" s="4">
        <v>120.78</v>
      </c>
      <c r="M60" s="4">
        <f t="shared" si="3"/>
        <v>13207.87</v>
      </c>
      <c r="N60" s="4"/>
      <c r="O60" s="4" t="s">
        <v>1609</v>
      </c>
    </row>
    <row r="61" spans="1:16">
      <c r="A61" s="366">
        <v>46177</v>
      </c>
      <c r="B61" s="4" t="s">
        <v>96</v>
      </c>
      <c r="C61" s="365">
        <v>0.16</v>
      </c>
      <c r="D61" s="365">
        <v>0.98</v>
      </c>
      <c r="E61" s="4">
        <v>407.585</v>
      </c>
      <c r="F61" s="4">
        <f t="shared" si="0"/>
        <v>352.6</v>
      </c>
      <c r="G61" s="367">
        <f t="shared" si="1"/>
        <v>54.985</v>
      </c>
      <c r="H61" s="4"/>
      <c r="I61" s="160">
        <f t="shared" si="2"/>
        <v>0.78000907786106</v>
      </c>
      <c r="J61" s="4">
        <v>101.9</v>
      </c>
      <c r="K61" s="4"/>
      <c r="L61" s="4">
        <v>317.92</v>
      </c>
      <c r="M61" s="4">
        <f t="shared" si="3"/>
        <v>12889.95</v>
      </c>
      <c r="N61" s="4"/>
      <c r="O61" s="4" t="s">
        <v>1609</v>
      </c>
    </row>
    <row r="62" spans="1:16">
      <c r="A62" s="366">
        <v>46177</v>
      </c>
      <c r="B62" s="4" t="s">
        <v>124</v>
      </c>
      <c r="C62" s="365">
        <v>0.25</v>
      </c>
      <c r="D62" s="365">
        <v>0.98</v>
      </c>
      <c r="E62" s="4">
        <v>328.083</v>
      </c>
      <c r="F62" s="4">
        <f t="shared" si="0"/>
        <v>313.9</v>
      </c>
      <c r="G62" s="4">
        <f t="shared" si="1"/>
        <v>14.183</v>
      </c>
      <c r="H62" s="4"/>
      <c r="I62" s="160">
        <f t="shared" si="2"/>
        <v>0.779985552436426</v>
      </c>
      <c r="J62" s="4">
        <v>82.02</v>
      </c>
      <c r="K62" s="4"/>
      <c r="L62" s="4">
        <v>255.9</v>
      </c>
      <c r="M62" s="4">
        <f t="shared" si="3"/>
        <v>12634.05</v>
      </c>
      <c r="N62" s="4"/>
      <c r="O62" s="4" t="s">
        <v>1609</v>
      </c>
    </row>
    <row r="63" spans="1:16">
      <c r="A63" s="366">
        <v>46177</v>
      </c>
      <c r="B63" s="4" t="s">
        <v>141</v>
      </c>
      <c r="C63" s="365">
        <v>0.42</v>
      </c>
      <c r="D63" s="365">
        <v>0.98</v>
      </c>
      <c r="E63" s="4">
        <v>254.081</v>
      </c>
      <c r="F63" s="4">
        <f t="shared" si="0"/>
        <v>240.8</v>
      </c>
      <c r="G63" s="4">
        <f t="shared" si="1"/>
        <v>13.281</v>
      </c>
      <c r="H63" s="4"/>
      <c r="I63" s="160">
        <f t="shared" si="2"/>
        <v>0.779987484306186</v>
      </c>
      <c r="J63" s="4">
        <v>63.52</v>
      </c>
      <c r="K63" s="4"/>
      <c r="L63" s="4">
        <v>198.18</v>
      </c>
      <c r="M63" s="4">
        <f t="shared" si="3"/>
        <v>12435.87</v>
      </c>
      <c r="N63" s="4"/>
      <c r="O63" s="4" t="s">
        <v>1609</v>
      </c>
    </row>
    <row r="64" spans="1:16">
      <c r="A64" s="358">
        <v>46178</v>
      </c>
      <c r="B64" s="359" t="s">
        <v>114</v>
      </c>
      <c r="C64" s="360">
        <v>0.43</v>
      </c>
      <c r="D64" s="360">
        <v>0.98</v>
      </c>
      <c r="E64" s="359">
        <v>245.393</v>
      </c>
      <c r="F64" s="105">
        <f t="shared" si="0"/>
        <v>236.5</v>
      </c>
      <c r="G64" s="105">
        <f t="shared" si="1"/>
        <v>8.89299999999997</v>
      </c>
      <c r="H64" s="105"/>
      <c r="I64" s="160">
        <f t="shared" si="2"/>
        <v>0.780014099831699</v>
      </c>
      <c r="J64" s="359">
        <v>61.35</v>
      </c>
      <c r="K64" s="105"/>
      <c r="L64" s="359">
        <v>191.41</v>
      </c>
      <c r="M64" s="4">
        <f t="shared" si="3"/>
        <v>12244.46</v>
      </c>
      <c r="N64" s="105"/>
      <c r="O64" s="105" t="s">
        <v>1609</v>
      </c>
      <c r="P64" s="105"/>
    </row>
    <row r="65" spans="1:16">
      <c r="A65" s="361">
        <v>46178</v>
      </c>
      <c r="B65" s="105" t="s">
        <v>135</v>
      </c>
      <c r="C65" s="360">
        <v>0.46</v>
      </c>
      <c r="D65" s="360">
        <v>0.93</v>
      </c>
      <c r="E65" s="105">
        <v>216.816</v>
      </c>
      <c r="F65" s="105">
        <f t="shared" si="0"/>
        <v>202.1</v>
      </c>
      <c r="G65" s="105">
        <f t="shared" si="1"/>
        <v>14.716</v>
      </c>
      <c r="H65" s="105"/>
      <c r="I65" s="160">
        <f t="shared" si="2"/>
        <v>0.779970112906797</v>
      </c>
      <c r="J65" s="105">
        <v>54.2</v>
      </c>
      <c r="K65" s="105"/>
      <c r="L65" s="105">
        <v>169.11</v>
      </c>
      <c r="M65" s="4">
        <f t="shared" si="3"/>
        <v>12075.35</v>
      </c>
      <c r="N65" s="105"/>
      <c r="O65" s="105" t="s">
        <v>1609</v>
      </c>
      <c r="P65" s="105"/>
    </row>
    <row r="66" spans="1:16">
      <c r="A66" s="361">
        <v>46178</v>
      </c>
      <c r="B66" s="105" t="s">
        <v>132</v>
      </c>
      <c r="C66" s="360">
        <v>0.21</v>
      </c>
      <c r="D66" s="360">
        <v>0.92</v>
      </c>
      <c r="E66" s="105">
        <v>327.129</v>
      </c>
      <c r="F66" s="105">
        <f t="shared" si="0"/>
        <v>305.3</v>
      </c>
      <c r="G66" s="170">
        <f t="shared" si="1"/>
        <v>21.829</v>
      </c>
      <c r="H66" s="105"/>
      <c r="I66" s="160">
        <f t="shared" si="2"/>
        <v>0.779998104723213</v>
      </c>
      <c r="J66" s="105">
        <v>81.78</v>
      </c>
      <c r="K66" s="105"/>
      <c r="L66" s="105">
        <v>255.16</v>
      </c>
      <c r="M66" s="4">
        <f t="shared" si="3"/>
        <v>11820.19</v>
      </c>
      <c r="N66" s="105"/>
      <c r="O66" s="105" t="s">
        <v>1609</v>
      </c>
      <c r="P66" s="105"/>
    </row>
    <row r="67" spans="1:16">
      <c r="A67" s="361">
        <v>46178</v>
      </c>
      <c r="B67" s="105" t="s">
        <v>111</v>
      </c>
      <c r="C67" s="360">
        <v>0.45</v>
      </c>
      <c r="D67" s="360">
        <v>0.96</v>
      </c>
      <c r="E67" s="105">
        <v>226.233</v>
      </c>
      <c r="F67" s="105">
        <f t="shared" ref="F67:F130" si="4">(D67-C67)*430</f>
        <v>219.3</v>
      </c>
      <c r="G67" s="105">
        <f t="shared" ref="G67:G130" si="5">E67-F67</f>
        <v>6.93299999999999</v>
      </c>
      <c r="H67" s="105"/>
      <c r="I67" s="160">
        <f t="shared" ref="I67:I130" si="6">L67/E67</f>
        <v>0.779992308814364</v>
      </c>
      <c r="J67" s="105">
        <v>56.56</v>
      </c>
      <c r="K67" s="105"/>
      <c r="L67" s="105">
        <v>176.46</v>
      </c>
      <c r="M67" s="4">
        <f t="shared" ref="M67:M130" si="7">M66+K67-L67</f>
        <v>11643.73</v>
      </c>
      <c r="N67" s="105"/>
      <c r="O67" s="105" t="s">
        <v>1609</v>
      </c>
      <c r="P67" s="105"/>
    </row>
    <row r="68" spans="1:16">
      <c r="A68" s="361">
        <v>46178</v>
      </c>
      <c r="B68" s="105" t="s">
        <v>108</v>
      </c>
      <c r="C68" s="360">
        <v>0.42</v>
      </c>
      <c r="D68" s="360">
        <v>0.43</v>
      </c>
      <c r="E68" s="105">
        <v>0.921</v>
      </c>
      <c r="F68" s="105">
        <f t="shared" si="4"/>
        <v>4.3</v>
      </c>
      <c r="G68" s="105">
        <f t="shared" si="5"/>
        <v>-3.379</v>
      </c>
      <c r="H68" s="105"/>
      <c r="I68" s="160">
        <f t="shared" si="6"/>
        <v>0.781758957654723</v>
      </c>
      <c r="J68" s="105">
        <v>0.23</v>
      </c>
      <c r="K68" s="105"/>
      <c r="L68" s="105">
        <v>0.72</v>
      </c>
      <c r="M68" s="4">
        <f t="shared" si="7"/>
        <v>11643.01</v>
      </c>
      <c r="N68" s="105"/>
      <c r="O68" s="105" t="s">
        <v>1609</v>
      </c>
      <c r="P68" s="105"/>
    </row>
    <row r="69" spans="1:16">
      <c r="A69" s="361">
        <v>46178</v>
      </c>
      <c r="B69" s="105" t="s">
        <v>105</v>
      </c>
      <c r="C69" s="360">
        <v>0.46</v>
      </c>
      <c r="D69" s="360">
        <v>0.98</v>
      </c>
      <c r="E69" s="105">
        <v>252.726</v>
      </c>
      <c r="F69" s="105">
        <f t="shared" si="4"/>
        <v>223.6</v>
      </c>
      <c r="G69" s="170">
        <f t="shared" si="5"/>
        <v>29.126</v>
      </c>
      <c r="H69" s="105"/>
      <c r="I69" s="160">
        <f t="shared" si="6"/>
        <v>0.779975150953998</v>
      </c>
      <c r="J69" s="105">
        <v>63.18</v>
      </c>
      <c r="K69" s="105"/>
      <c r="L69" s="105">
        <v>197.12</v>
      </c>
      <c r="M69" s="4">
        <f t="shared" si="7"/>
        <v>11445.89</v>
      </c>
      <c r="N69" s="105"/>
      <c r="O69" s="105" t="s">
        <v>1609</v>
      </c>
      <c r="P69" s="105"/>
    </row>
    <row r="70" spans="1:16">
      <c r="A70" s="361">
        <v>46178</v>
      </c>
      <c r="B70" s="105" t="s">
        <v>60</v>
      </c>
      <c r="C70" s="360">
        <v>0.73</v>
      </c>
      <c r="D70" s="360">
        <v>0.98</v>
      </c>
      <c r="E70" s="105">
        <v>117.332</v>
      </c>
      <c r="F70" s="105">
        <f t="shared" si="4"/>
        <v>107.5</v>
      </c>
      <c r="G70" s="105">
        <f t="shared" si="5"/>
        <v>9.83199999999999</v>
      </c>
      <c r="H70" s="105"/>
      <c r="I70" s="160">
        <f t="shared" si="6"/>
        <v>0.780008863737088</v>
      </c>
      <c r="J70" s="105">
        <v>29.33</v>
      </c>
      <c r="K70" s="105"/>
      <c r="L70" s="105">
        <v>91.52</v>
      </c>
      <c r="M70" s="4">
        <f t="shared" si="7"/>
        <v>11354.37</v>
      </c>
      <c r="N70" s="105"/>
      <c r="O70" s="105" t="s">
        <v>1609</v>
      </c>
      <c r="P70" s="105"/>
    </row>
    <row r="71" spans="1:16">
      <c r="A71" s="361">
        <v>46178</v>
      </c>
      <c r="B71" s="105" t="s">
        <v>135</v>
      </c>
      <c r="C71" s="360">
        <v>0.37</v>
      </c>
      <c r="D71" s="360">
        <v>0.94</v>
      </c>
      <c r="E71" s="105">
        <v>260.722</v>
      </c>
      <c r="F71" s="105">
        <f t="shared" si="4"/>
        <v>245.1</v>
      </c>
      <c r="G71" s="105">
        <f t="shared" si="5"/>
        <v>15.622</v>
      </c>
      <c r="H71" s="105"/>
      <c r="I71" s="160">
        <f t="shared" si="6"/>
        <v>0.77998787981068</v>
      </c>
      <c r="J71" s="105">
        <v>65.18</v>
      </c>
      <c r="K71" s="105"/>
      <c r="L71" s="105">
        <v>203.36</v>
      </c>
      <c r="M71" s="4">
        <f t="shared" si="7"/>
        <v>11151.01</v>
      </c>
      <c r="N71" s="105"/>
      <c r="O71" s="105" t="s">
        <v>1609</v>
      </c>
      <c r="P71" s="105"/>
    </row>
    <row r="72" spans="1:16">
      <c r="A72" s="361">
        <v>46178</v>
      </c>
      <c r="B72" s="105" t="s">
        <v>72</v>
      </c>
      <c r="C72" s="360">
        <v>0.77</v>
      </c>
      <c r="D72" s="360">
        <v>1</v>
      </c>
      <c r="E72" s="105">
        <v>109.74</v>
      </c>
      <c r="F72" s="105">
        <f t="shared" si="4"/>
        <v>98.9</v>
      </c>
      <c r="G72" s="105">
        <f t="shared" si="5"/>
        <v>10.84</v>
      </c>
      <c r="H72" s="105"/>
      <c r="I72" s="160">
        <f t="shared" si="6"/>
        <v>0.78002551485329</v>
      </c>
      <c r="J72" s="105">
        <v>27.44</v>
      </c>
      <c r="K72" s="105"/>
      <c r="L72" s="105">
        <v>85.6</v>
      </c>
      <c r="M72" s="4">
        <f t="shared" si="7"/>
        <v>11065.41</v>
      </c>
      <c r="N72" s="105"/>
      <c r="O72" s="105" t="s">
        <v>1609</v>
      </c>
      <c r="P72" s="105"/>
    </row>
    <row r="73" spans="1:16">
      <c r="A73" s="361">
        <v>46178</v>
      </c>
      <c r="B73" s="105" t="s">
        <v>90</v>
      </c>
      <c r="C73" s="360">
        <v>0.16</v>
      </c>
      <c r="D73" s="360">
        <v>0.94</v>
      </c>
      <c r="E73" s="105">
        <v>380.024</v>
      </c>
      <c r="F73" s="105">
        <f t="shared" si="4"/>
        <v>335.4</v>
      </c>
      <c r="G73" s="170">
        <f t="shared" si="5"/>
        <v>44.624</v>
      </c>
      <c r="H73" s="105"/>
      <c r="I73" s="160">
        <f t="shared" si="6"/>
        <v>0.780003368208324</v>
      </c>
      <c r="J73" s="105">
        <v>95.01</v>
      </c>
      <c r="K73" s="105"/>
      <c r="L73" s="105">
        <v>296.42</v>
      </c>
      <c r="M73" s="4">
        <f t="shared" si="7"/>
        <v>10768.99</v>
      </c>
      <c r="N73" s="105"/>
      <c r="O73" s="105" t="s">
        <v>1609</v>
      </c>
      <c r="P73" s="105"/>
    </row>
    <row r="74" spans="1:16">
      <c r="A74" s="361">
        <v>46178</v>
      </c>
      <c r="B74" s="105" t="s">
        <v>151</v>
      </c>
      <c r="C74" s="360">
        <v>0.48</v>
      </c>
      <c r="D74" s="360">
        <v>0.98</v>
      </c>
      <c r="E74" s="105">
        <v>229.003</v>
      </c>
      <c r="F74" s="105">
        <f t="shared" si="4"/>
        <v>215</v>
      </c>
      <c r="G74" s="105">
        <f t="shared" si="5"/>
        <v>14.003</v>
      </c>
      <c r="H74" s="105"/>
      <c r="I74" s="160">
        <f t="shared" si="6"/>
        <v>0.779989781793252</v>
      </c>
      <c r="J74" s="105">
        <v>57.25</v>
      </c>
      <c r="K74" s="105"/>
      <c r="L74" s="105">
        <v>178.62</v>
      </c>
      <c r="M74" s="4">
        <f t="shared" si="7"/>
        <v>10590.37</v>
      </c>
      <c r="N74" s="105"/>
      <c r="O74" s="105" t="s">
        <v>1609</v>
      </c>
      <c r="P74" s="105"/>
    </row>
    <row r="75" spans="1:16">
      <c r="A75" s="361">
        <v>46178</v>
      </c>
      <c r="B75" s="105" t="s">
        <v>127</v>
      </c>
      <c r="C75" s="360">
        <v>0.47</v>
      </c>
      <c r="D75" s="360">
        <v>0.98</v>
      </c>
      <c r="E75" s="105">
        <v>228.108</v>
      </c>
      <c r="F75" s="105">
        <f t="shared" si="4"/>
        <v>219.3</v>
      </c>
      <c r="G75" s="105">
        <f t="shared" si="5"/>
        <v>8.80799999999999</v>
      </c>
      <c r="H75" s="105"/>
      <c r="I75" s="160">
        <f t="shared" si="6"/>
        <v>0.780025251196802</v>
      </c>
      <c r="J75" s="105">
        <v>57.03</v>
      </c>
      <c r="K75" s="105"/>
      <c r="L75" s="105">
        <v>177.93</v>
      </c>
      <c r="M75" s="4">
        <f t="shared" si="7"/>
        <v>10412.44</v>
      </c>
      <c r="N75" s="105"/>
      <c r="O75" s="105" t="s">
        <v>1609</v>
      </c>
      <c r="P75" s="105"/>
    </row>
    <row r="76" spans="1:16">
      <c r="A76" s="361">
        <v>46178</v>
      </c>
      <c r="B76" s="105" t="s">
        <v>151</v>
      </c>
      <c r="C76" s="360">
        <v>0.98</v>
      </c>
      <c r="D76" s="360">
        <v>0.98</v>
      </c>
      <c r="E76" s="105">
        <v>0</v>
      </c>
      <c r="F76" s="105">
        <f t="shared" si="4"/>
        <v>0</v>
      </c>
      <c r="G76" s="105">
        <f t="shared" si="5"/>
        <v>0</v>
      </c>
      <c r="H76" s="105"/>
      <c r="I76" s="160" t="e">
        <f t="shared" si="6"/>
        <v>#DIV/0!</v>
      </c>
      <c r="J76" s="105">
        <v>0</v>
      </c>
      <c r="K76" s="105"/>
      <c r="L76" s="105">
        <v>0</v>
      </c>
      <c r="M76" s="4">
        <f t="shared" si="7"/>
        <v>10412.44</v>
      </c>
      <c r="N76" s="105"/>
      <c r="O76" s="105" t="s">
        <v>1609</v>
      </c>
      <c r="P76" s="105"/>
    </row>
    <row r="77" spans="1:16">
      <c r="A77" s="361">
        <v>46178</v>
      </c>
      <c r="B77" s="105" t="s">
        <v>54</v>
      </c>
      <c r="C77" s="360">
        <v>0.44</v>
      </c>
      <c r="D77" s="360">
        <v>0.96</v>
      </c>
      <c r="E77" s="105">
        <v>223.847</v>
      </c>
      <c r="F77" s="105">
        <f t="shared" si="4"/>
        <v>223.6</v>
      </c>
      <c r="G77" s="105">
        <f t="shared" si="5"/>
        <v>0.247000000000014</v>
      </c>
      <c r="H77" s="105"/>
      <c r="I77" s="160">
        <f t="shared" si="6"/>
        <v>0.779997051557537</v>
      </c>
      <c r="J77" s="105">
        <v>55.96</v>
      </c>
      <c r="K77" s="105"/>
      <c r="L77" s="105">
        <v>174.6</v>
      </c>
      <c r="M77" s="4">
        <f t="shared" si="7"/>
        <v>10237.84</v>
      </c>
      <c r="N77" s="105"/>
      <c r="O77" s="105" t="s">
        <v>1609</v>
      </c>
      <c r="P77" s="105"/>
    </row>
    <row r="78" spans="1:16">
      <c r="A78" s="361">
        <v>46178</v>
      </c>
      <c r="B78" s="105" t="s">
        <v>148</v>
      </c>
      <c r="C78" s="360">
        <v>0.03</v>
      </c>
      <c r="D78" s="360">
        <v>0.98</v>
      </c>
      <c r="E78" s="105">
        <v>435</v>
      </c>
      <c r="F78" s="105">
        <f t="shared" si="4"/>
        <v>408.5</v>
      </c>
      <c r="G78" s="170">
        <f t="shared" si="5"/>
        <v>26.5</v>
      </c>
      <c r="H78" s="105"/>
      <c r="I78" s="160">
        <f t="shared" si="6"/>
        <v>0.78</v>
      </c>
      <c r="J78" s="105">
        <v>108.75</v>
      </c>
      <c r="K78" s="105"/>
      <c r="L78" s="105">
        <v>339.3</v>
      </c>
      <c r="M78" s="4">
        <f t="shared" si="7"/>
        <v>9898.54</v>
      </c>
      <c r="N78" s="105"/>
      <c r="O78" s="105" t="s">
        <v>1609</v>
      </c>
      <c r="P78" s="105"/>
    </row>
    <row r="79" spans="1:16">
      <c r="A79" s="361">
        <v>46178</v>
      </c>
      <c r="B79" s="105" t="s">
        <v>151</v>
      </c>
      <c r="C79" s="360">
        <v>0.86</v>
      </c>
      <c r="D79" s="360">
        <v>0.98</v>
      </c>
      <c r="E79" s="105">
        <v>53.465</v>
      </c>
      <c r="F79" s="105">
        <f t="shared" si="4"/>
        <v>51.6</v>
      </c>
      <c r="G79" s="105">
        <f t="shared" si="5"/>
        <v>1.865</v>
      </c>
      <c r="H79" s="105"/>
      <c r="I79" s="160">
        <f t="shared" si="6"/>
        <v>0.780136537922005</v>
      </c>
      <c r="J79" s="105">
        <v>13.37</v>
      </c>
      <c r="K79" s="105"/>
      <c r="L79" s="105">
        <v>41.71</v>
      </c>
      <c r="M79" s="4">
        <f t="shared" si="7"/>
        <v>9856.83</v>
      </c>
      <c r="N79" s="105"/>
      <c r="O79" s="105" t="s">
        <v>1609</v>
      </c>
      <c r="P79" s="105"/>
    </row>
    <row r="80" spans="1:16">
      <c r="A80" s="361">
        <v>46178</v>
      </c>
      <c r="B80" s="105" t="s">
        <v>151</v>
      </c>
      <c r="C80" s="360">
        <v>0.98</v>
      </c>
      <c r="D80" s="360">
        <v>0.98</v>
      </c>
      <c r="E80" s="105">
        <v>0</v>
      </c>
      <c r="F80" s="105">
        <f t="shared" si="4"/>
        <v>0</v>
      </c>
      <c r="G80" s="105">
        <f t="shared" si="5"/>
        <v>0</v>
      </c>
      <c r="H80" s="105"/>
      <c r="I80" s="160" t="e">
        <f t="shared" si="6"/>
        <v>#DIV/0!</v>
      </c>
      <c r="J80" s="105">
        <v>0</v>
      </c>
      <c r="K80" s="105"/>
      <c r="L80" s="105">
        <v>0</v>
      </c>
      <c r="M80" s="4">
        <f t="shared" si="7"/>
        <v>9856.83</v>
      </c>
      <c r="N80" s="105"/>
      <c r="O80" s="105" t="s">
        <v>1609</v>
      </c>
      <c r="P80" s="105"/>
    </row>
    <row r="81" spans="1:16">
      <c r="A81" s="361">
        <v>46178</v>
      </c>
      <c r="B81" s="105" t="s">
        <v>163</v>
      </c>
      <c r="C81" s="360">
        <v>0.43</v>
      </c>
      <c r="D81" s="360">
        <v>0.98</v>
      </c>
      <c r="E81" s="105">
        <v>253.002</v>
      </c>
      <c r="F81" s="105">
        <f t="shared" si="4"/>
        <v>236.5</v>
      </c>
      <c r="G81" s="105">
        <f t="shared" si="5"/>
        <v>16.502</v>
      </c>
      <c r="H81" s="105"/>
      <c r="I81" s="160">
        <f t="shared" si="6"/>
        <v>0.779993834040838</v>
      </c>
      <c r="J81" s="105">
        <v>63.25</v>
      </c>
      <c r="K81" s="105"/>
      <c r="L81" s="105">
        <v>197.34</v>
      </c>
      <c r="M81" s="4">
        <f t="shared" si="7"/>
        <v>9659.49</v>
      </c>
      <c r="N81" s="105"/>
      <c r="O81" s="105" t="s">
        <v>1609</v>
      </c>
      <c r="P81" s="105"/>
    </row>
    <row r="82" spans="1:16">
      <c r="A82" s="361">
        <v>46178</v>
      </c>
      <c r="B82" s="105" t="s">
        <v>160</v>
      </c>
      <c r="C82" s="360">
        <v>0.44</v>
      </c>
      <c r="D82" s="360">
        <v>0.98</v>
      </c>
      <c r="E82" s="105">
        <v>244.376</v>
      </c>
      <c r="F82" s="105">
        <f t="shared" si="4"/>
        <v>232.2</v>
      </c>
      <c r="G82" s="105">
        <f t="shared" si="5"/>
        <v>12.176</v>
      </c>
      <c r="H82" s="105"/>
      <c r="I82" s="160">
        <f t="shared" si="6"/>
        <v>0.779986578060039</v>
      </c>
      <c r="J82" s="105">
        <v>61.09</v>
      </c>
      <c r="K82" s="105"/>
      <c r="L82" s="105">
        <v>190.61</v>
      </c>
      <c r="M82" s="4">
        <f t="shared" si="7"/>
        <v>9468.88</v>
      </c>
      <c r="N82" s="105"/>
      <c r="O82" s="105" t="s">
        <v>1609</v>
      </c>
      <c r="P82" s="105"/>
    </row>
    <row r="83" spans="1:16">
      <c r="A83" s="361">
        <v>46178</v>
      </c>
      <c r="B83" s="105" t="s">
        <v>154</v>
      </c>
      <c r="C83" s="360">
        <v>0.28</v>
      </c>
      <c r="D83" s="360">
        <v>0.98</v>
      </c>
      <c r="E83" s="105">
        <v>319.596</v>
      </c>
      <c r="F83" s="105">
        <f t="shared" si="4"/>
        <v>301</v>
      </c>
      <c r="G83" s="105">
        <f t="shared" si="5"/>
        <v>18.596</v>
      </c>
      <c r="H83" s="105"/>
      <c r="I83" s="160">
        <f t="shared" si="6"/>
        <v>0.780016020225535</v>
      </c>
      <c r="J83" s="105">
        <v>79.9</v>
      </c>
      <c r="K83" s="105"/>
      <c r="L83" s="105">
        <v>249.29</v>
      </c>
      <c r="M83" s="4">
        <f t="shared" si="7"/>
        <v>9219.59</v>
      </c>
      <c r="N83" s="105"/>
      <c r="O83" s="105" t="s">
        <v>1609</v>
      </c>
      <c r="P83" s="105"/>
    </row>
    <row r="84" spans="1:16">
      <c r="A84" s="358">
        <v>46179</v>
      </c>
      <c r="B84" s="359" t="s">
        <v>338</v>
      </c>
      <c r="C84" s="360">
        <v>0.2</v>
      </c>
      <c r="D84" s="360">
        <v>0.98</v>
      </c>
      <c r="E84" s="359">
        <v>353.689</v>
      </c>
      <c r="F84" s="105">
        <f t="shared" si="4"/>
        <v>335.4</v>
      </c>
      <c r="G84" s="105">
        <f t="shared" si="5"/>
        <v>18.289</v>
      </c>
      <c r="H84" s="105"/>
      <c r="I84" s="160">
        <f t="shared" si="6"/>
        <v>0.780007294544077</v>
      </c>
      <c r="J84" s="359">
        <v>88.42</v>
      </c>
      <c r="K84" s="105"/>
      <c r="L84" s="359">
        <v>275.88</v>
      </c>
      <c r="M84" s="4">
        <f t="shared" si="7"/>
        <v>8943.71</v>
      </c>
      <c r="N84" s="105"/>
      <c r="O84" s="105" t="s">
        <v>1609</v>
      </c>
      <c r="P84" s="105"/>
    </row>
    <row r="85" spans="1:16">
      <c r="A85" s="361">
        <v>46179</v>
      </c>
      <c r="B85" s="105" t="s">
        <v>163</v>
      </c>
      <c r="C85" s="360">
        <v>0</v>
      </c>
      <c r="D85" s="360">
        <v>0</v>
      </c>
      <c r="E85" s="105">
        <v>0.041</v>
      </c>
      <c r="F85" s="105">
        <f t="shared" si="4"/>
        <v>0</v>
      </c>
      <c r="G85" s="105">
        <f t="shared" si="5"/>
        <v>0.041</v>
      </c>
      <c r="H85" s="105"/>
      <c r="I85" s="160">
        <f t="shared" si="6"/>
        <v>0.731707317073171</v>
      </c>
      <c r="J85" s="105">
        <v>0.01</v>
      </c>
      <c r="K85" s="105"/>
      <c r="L85" s="105">
        <v>0.03</v>
      </c>
      <c r="M85" s="4">
        <f t="shared" si="7"/>
        <v>8943.68</v>
      </c>
      <c r="N85" s="105"/>
      <c r="O85" s="105" t="s">
        <v>1609</v>
      </c>
      <c r="P85" s="105"/>
    </row>
    <row r="86" spans="1:16">
      <c r="A86" s="361">
        <v>46179</v>
      </c>
      <c r="B86" s="105" t="s">
        <v>141</v>
      </c>
      <c r="C86" s="360">
        <v>0.25</v>
      </c>
      <c r="D86" s="360">
        <v>0.98</v>
      </c>
      <c r="E86" s="105">
        <v>332.596</v>
      </c>
      <c r="F86" s="105">
        <f t="shared" si="4"/>
        <v>313.9</v>
      </c>
      <c r="G86" s="105">
        <f t="shared" si="5"/>
        <v>18.696</v>
      </c>
      <c r="H86" s="105"/>
      <c r="I86" s="160">
        <f t="shared" si="6"/>
        <v>0.780015394051642</v>
      </c>
      <c r="J86" s="105">
        <v>83.15</v>
      </c>
      <c r="K86" s="105"/>
      <c r="L86" s="105">
        <v>259.43</v>
      </c>
      <c r="M86" s="4">
        <f t="shared" si="7"/>
        <v>8684.25</v>
      </c>
      <c r="N86" s="105"/>
      <c r="O86" s="105" t="s">
        <v>1609</v>
      </c>
      <c r="P86" s="105"/>
    </row>
    <row r="87" spans="1:16">
      <c r="A87" s="361">
        <v>46179</v>
      </c>
      <c r="B87" s="105" t="s">
        <v>144</v>
      </c>
      <c r="C87" s="360">
        <v>0.23</v>
      </c>
      <c r="D87" s="360">
        <v>0.98</v>
      </c>
      <c r="E87" s="105">
        <v>345.13</v>
      </c>
      <c r="F87" s="105">
        <f t="shared" si="4"/>
        <v>322.5</v>
      </c>
      <c r="G87" s="170">
        <f t="shared" si="5"/>
        <v>22.63</v>
      </c>
      <c r="H87" s="105"/>
      <c r="I87" s="160">
        <f t="shared" si="6"/>
        <v>0.7799959435575</v>
      </c>
      <c r="J87" s="105">
        <v>86.28</v>
      </c>
      <c r="K87" s="105"/>
      <c r="L87" s="105">
        <v>269.2</v>
      </c>
      <c r="M87" s="4">
        <f t="shared" si="7"/>
        <v>8415.05</v>
      </c>
      <c r="N87" s="105"/>
      <c r="O87" s="105" t="s">
        <v>1609</v>
      </c>
      <c r="P87" s="105"/>
    </row>
    <row r="88" spans="1:16">
      <c r="A88" s="361">
        <v>46179</v>
      </c>
      <c r="B88" s="105" t="s">
        <v>124</v>
      </c>
      <c r="C88" s="360">
        <v>0.34</v>
      </c>
      <c r="D88" s="360">
        <v>0.96</v>
      </c>
      <c r="E88" s="105">
        <v>277.602</v>
      </c>
      <c r="F88" s="105">
        <f t="shared" si="4"/>
        <v>266.6</v>
      </c>
      <c r="G88" s="105">
        <f t="shared" si="5"/>
        <v>11.002</v>
      </c>
      <c r="H88" s="105"/>
      <c r="I88" s="160">
        <f t="shared" si="6"/>
        <v>0.78000158500299</v>
      </c>
      <c r="J88" s="105">
        <v>69.4</v>
      </c>
      <c r="K88" s="105"/>
      <c r="L88" s="105">
        <v>216.53</v>
      </c>
      <c r="M88" s="4">
        <f t="shared" si="7"/>
        <v>8198.52</v>
      </c>
      <c r="N88" s="105"/>
      <c r="O88" s="105" t="s">
        <v>1609</v>
      </c>
      <c r="P88" s="105"/>
    </row>
    <row r="89" spans="1:16">
      <c r="A89" s="361">
        <v>46179</v>
      </c>
      <c r="B89" s="105" t="s">
        <v>93</v>
      </c>
      <c r="C89" s="360">
        <v>0.14</v>
      </c>
      <c r="D89" s="360">
        <v>0.98</v>
      </c>
      <c r="E89" s="105">
        <v>414.309</v>
      </c>
      <c r="F89" s="105">
        <f t="shared" si="4"/>
        <v>361.2</v>
      </c>
      <c r="G89" s="170">
        <f t="shared" si="5"/>
        <v>53.109</v>
      </c>
      <c r="H89" s="105"/>
      <c r="I89" s="160">
        <f t="shared" si="6"/>
        <v>0.779997538069412</v>
      </c>
      <c r="J89" s="105">
        <v>103.58</v>
      </c>
      <c r="K89" s="105"/>
      <c r="L89" s="105">
        <v>323.16</v>
      </c>
      <c r="M89" s="4">
        <f t="shared" si="7"/>
        <v>7875.36</v>
      </c>
      <c r="N89" s="105"/>
      <c r="O89" s="105" t="s">
        <v>1609</v>
      </c>
      <c r="P89" s="105"/>
    </row>
    <row r="90" spans="1:16">
      <c r="A90" s="361">
        <v>46179</v>
      </c>
      <c r="B90" s="105" t="s">
        <v>111</v>
      </c>
      <c r="C90" s="360">
        <v>0.24</v>
      </c>
      <c r="D90" s="360">
        <v>0.98</v>
      </c>
      <c r="E90" s="105">
        <v>320.307</v>
      </c>
      <c r="F90" s="105">
        <f t="shared" si="4"/>
        <v>318.2</v>
      </c>
      <c r="G90" s="105">
        <f t="shared" si="5"/>
        <v>2.10700000000003</v>
      </c>
      <c r="H90" s="105"/>
      <c r="I90" s="160">
        <f t="shared" si="6"/>
        <v>0.780001685882606</v>
      </c>
      <c r="J90" s="105">
        <v>80.08</v>
      </c>
      <c r="K90" s="105"/>
      <c r="L90" s="105">
        <v>249.84</v>
      </c>
      <c r="M90" s="4">
        <f t="shared" si="7"/>
        <v>7625.52</v>
      </c>
      <c r="N90" s="105"/>
      <c r="O90" s="105" t="s">
        <v>1609</v>
      </c>
      <c r="P90" s="105"/>
    </row>
    <row r="91" spans="1:16">
      <c r="A91" s="361">
        <v>46179</v>
      </c>
      <c r="B91" s="105" t="s">
        <v>163</v>
      </c>
      <c r="C91" s="360">
        <v>0.39</v>
      </c>
      <c r="D91" s="360">
        <v>0.96</v>
      </c>
      <c r="E91" s="105">
        <v>268.202</v>
      </c>
      <c r="F91" s="105">
        <f t="shared" si="4"/>
        <v>245.1</v>
      </c>
      <c r="G91" s="170">
        <f t="shared" si="5"/>
        <v>23.102</v>
      </c>
      <c r="H91" s="105"/>
      <c r="I91" s="160">
        <f t="shared" si="6"/>
        <v>0.78000909762045</v>
      </c>
      <c r="J91" s="105">
        <v>67.05</v>
      </c>
      <c r="K91" s="105"/>
      <c r="L91" s="105">
        <v>209.2</v>
      </c>
      <c r="M91" s="4">
        <f t="shared" si="7"/>
        <v>7416.32</v>
      </c>
      <c r="N91" s="105"/>
      <c r="O91" s="105" t="s">
        <v>1609</v>
      </c>
      <c r="P91" s="105"/>
    </row>
    <row r="92" spans="1:16">
      <c r="A92" s="361">
        <v>46179</v>
      </c>
      <c r="B92" s="105" t="s">
        <v>154</v>
      </c>
      <c r="C92" s="360">
        <v>0.42</v>
      </c>
      <c r="D92" s="360">
        <v>0.98</v>
      </c>
      <c r="E92" s="105">
        <v>257.304</v>
      </c>
      <c r="F92" s="105">
        <f t="shared" si="4"/>
        <v>240.8</v>
      </c>
      <c r="G92" s="105">
        <f t="shared" si="5"/>
        <v>16.504</v>
      </c>
      <c r="H92" s="105"/>
      <c r="I92" s="160">
        <f t="shared" si="6"/>
        <v>0.780011192985729</v>
      </c>
      <c r="J92" s="105">
        <v>64.33</v>
      </c>
      <c r="K92" s="105"/>
      <c r="L92" s="105">
        <v>200.7</v>
      </c>
      <c r="M92" s="4">
        <f t="shared" si="7"/>
        <v>7215.62</v>
      </c>
      <c r="N92" s="105"/>
      <c r="O92" s="105" t="s">
        <v>1609</v>
      </c>
      <c r="P92" s="105"/>
    </row>
    <row r="93" spans="1:16">
      <c r="A93" s="361">
        <v>46179</v>
      </c>
      <c r="B93" s="105" t="s">
        <v>338</v>
      </c>
      <c r="C93" s="360">
        <v>0.38</v>
      </c>
      <c r="D93" s="360">
        <v>0.98</v>
      </c>
      <c r="E93" s="105">
        <v>273.078</v>
      </c>
      <c r="F93" s="105">
        <f t="shared" si="4"/>
        <v>258</v>
      </c>
      <c r="G93" s="105">
        <f t="shared" si="5"/>
        <v>15.078</v>
      </c>
      <c r="H93" s="105"/>
      <c r="I93" s="160">
        <f t="shared" si="6"/>
        <v>0.779996923955793</v>
      </c>
      <c r="J93" s="105">
        <v>68.27</v>
      </c>
      <c r="K93" s="105"/>
      <c r="L93" s="105">
        <v>213</v>
      </c>
      <c r="M93" s="4">
        <f t="shared" si="7"/>
        <v>7002.62</v>
      </c>
      <c r="N93" s="105"/>
      <c r="O93" s="105" t="s">
        <v>1609</v>
      </c>
      <c r="P93" s="105"/>
    </row>
    <row r="94" spans="1:16">
      <c r="A94" s="361">
        <v>46179</v>
      </c>
      <c r="B94" s="105" t="s">
        <v>160</v>
      </c>
      <c r="C94" s="360">
        <v>0.33</v>
      </c>
      <c r="D94" s="360">
        <v>0.98</v>
      </c>
      <c r="E94" s="105">
        <v>289.292</v>
      </c>
      <c r="F94" s="105">
        <f t="shared" si="4"/>
        <v>279.5</v>
      </c>
      <c r="G94" s="105">
        <f t="shared" si="5"/>
        <v>9.79200000000003</v>
      </c>
      <c r="H94" s="105"/>
      <c r="I94" s="160">
        <f t="shared" si="6"/>
        <v>0.779973175891487</v>
      </c>
      <c r="J94" s="105">
        <v>72.32</v>
      </c>
      <c r="K94" s="105"/>
      <c r="L94" s="105">
        <v>225.64</v>
      </c>
      <c r="M94" s="4">
        <f t="shared" si="7"/>
        <v>6776.98</v>
      </c>
      <c r="N94" s="105"/>
      <c r="O94" s="105" t="s">
        <v>1609</v>
      </c>
      <c r="P94" s="105"/>
    </row>
    <row r="95" spans="1:16">
      <c r="A95" s="361">
        <v>46179</v>
      </c>
      <c r="B95" s="105" t="s">
        <v>51</v>
      </c>
      <c r="C95" s="360">
        <v>0.34</v>
      </c>
      <c r="D95" s="360">
        <v>0.94</v>
      </c>
      <c r="E95" s="105">
        <v>255.635</v>
      </c>
      <c r="F95" s="105">
        <f t="shared" si="4"/>
        <v>258</v>
      </c>
      <c r="G95" s="105">
        <f t="shared" si="5"/>
        <v>-2.36499999999995</v>
      </c>
      <c r="H95" s="105"/>
      <c r="I95" s="160">
        <f t="shared" si="6"/>
        <v>0.780018385588828</v>
      </c>
      <c r="J95" s="105">
        <v>63.91</v>
      </c>
      <c r="K95" s="105"/>
      <c r="L95" s="105">
        <v>199.4</v>
      </c>
      <c r="M95" s="4">
        <f t="shared" si="7"/>
        <v>6577.58</v>
      </c>
      <c r="N95" s="105"/>
      <c r="O95" s="105" t="s">
        <v>1609</v>
      </c>
      <c r="P95" s="105"/>
    </row>
    <row r="96" spans="1:16">
      <c r="A96" s="361">
        <v>46179</v>
      </c>
      <c r="B96" s="105" t="s">
        <v>154</v>
      </c>
      <c r="C96" s="360">
        <v>0.98</v>
      </c>
      <c r="D96" s="360">
        <v>0.98</v>
      </c>
      <c r="E96" s="105">
        <v>0</v>
      </c>
      <c r="F96" s="105">
        <f t="shared" si="4"/>
        <v>0</v>
      </c>
      <c r="G96" s="105">
        <f t="shared" si="5"/>
        <v>0</v>
      </c>
      <c r="H96" s="105"/>
      <c r="I96" s="160" t="e">
        <f t="shared" si="6"/>
        <v>#DIV/0!</v>
      </c>
      <c r="J96" s="105">
        <v>0</v>
      </c>
      <c r="K96" s="105"/>
      <c r="L96" s="105">
        <v>0</v>
      </c>
      <c r="M96" s="4">
        <f t="shared" si="7"/>
        <v>6577.58</v>
      </c>
      <c r="N96" s="105"/>
      <c r="O96" s="105" t="s">
        <v>1609</v>
      </c>
      <c r="P96" s="105"/>
    </row>
    <row r="97" spans="1:16">
      <c r="A97" s="361">
        <v>46179</v>
      </c>
      <c r="B97" s="105" t="s">
        <v>72</v>
      </c>
      <c r="C97" s="360">
        <v>0.49</v>
      </c>
      <c r="D97" s="360">
        <v>0.98</v>
      </c>
      <c r="E97" s="105">
        <v>252.422</v>
      </c>
      <c r="F97" s="105">
        <f t="shared" si="4"/>
        <v>210.7</v>
      </c>
      <c r="G97" s="170">
        <f t="shared" si="5"/>
        <v>41.722</v>
      </c>
      <c r="H97" s="105"/>
      <c r="I97" s="160">
        <f t="shared" si="6"/>
        <v>0.780003327760655</v>
      </c>
      <c r="J97" s="105">
        <v>63.11</v>
      </c>
      <c r="K97" s="105"/>
      <c r="L97" s="105">
        <v>196.89</v>
      </c>
      <c r="M97" s="4">
        <f t="shared" si="7"/>
        <v>6380.69</v>
      </c>
      <c r="N97" s="105"/>
      <c r="O97" s="105" t="s">
        <v>1609</v>
      </c>
      <c r="P97" s="105"/>
    </row>
    <row r="98" spans="1:16">
      <c r="A98" s="361">
        <v>46179</v>
      </c>
      <c r="B98" s="105" t="s">
        <v>90</v>
      </c>
      <c r="C98" s="360">
        <v>0.43</v>
      </c>
      <c r="D98" s="360">
        <v>0.98</v>
      </c>
      <c r="E98" s="105">
        <v>280.643</v>
      </c>
      <c r="F98" s="105">
        <f t="shared" si="4"/>
        <v>236.5</v>
      </c>
      <c r="G98" s="170">
        <f t="shared" si="5"/>
        <v>44.1429999999999</v>
      </c>
      <c r="H98" s="105"/>
      <c r="I98" s="160">
        <f t="shared" si="6"/>
        <v>0.779994512601419</v>
      </c>
      <c r="J98" s="105">
        <v>70.16</v>
      </c>
      <c r="K98" s="105"/>
      <c r="L98" s="105">
        <v>218.9</v>
      </c>
      <c r="M98" s="4">
        <f t="shared" si="7"/>
        <v>6161.79</v>
      </c>
      <c r="N98" s="105"/>
      <c r="O98" s="105" t="s">
        <v>1609</v>
      </c>
      <c r="P98" s="105"/>
    </row>
    <row r="99" spans="1:16">
      <c r="A99" s="361">
        <v>46179</v>
      </c>
      <c r="B99" s="105" t="s">
        <v>99</v>
      </c>
      <c r="C99" s="360">
        <v>0.39</v>
      </c>
      <c r="D99" s="360">
        <v>0.92</v>
      </c>
      <c r="E99" s="105">
        <v>256.635</v>
      </c>
      <c r="F99" s="105">
        <f t="shared" si="4"/>
        <v>227.9</v>
      </c>
      <c r="G99" s="170">
        <f t="shared" si="5"/>
        <v>28.735</v>
      </c>
      <c r="H99" s="105"/>
      <c r="I99" s="160">
        <f t="shared" si="6"/>
        <v>0.780018313947825</v>
      </c>
      <c r="J99" s="105">
        <v>64.16</v>
      </c>
      <c r="K99" s="105"/>
      <c r="L99" s="105">
        <v>200.18</v>
      </c>
      <c r="M99" s="4">
        <f t="shared" si="7"/>
        <v>5961.61</v>
      </c>
      <c r="N99" s="105"/>
      <c r="O99" s="105" t="s">
        <v>1609</v>
      </c>
      <c r="P99" s="105"/>
    </row>
    <row r="100" spans="1:16">
      <c r="A100" s="361">
        <v>46179</v>
      </c>
      <c r="B100" s="105" t="s">
        <v>66</v>
      </c>
      <c r="C100" s="360">
        <v>0.46</v>
      </c>
      <c r="D100" s="360">
        <v>0.95</v>
      </c>
      <c r="E100" s="105">
        <v>240.253</v>
      </c>
      <c r="F100" s="105">
        <f t="shared" si="4"/>
        <v>210.7</v>
      </c>
      <c r="G100" s="170">
        <f t="shared" si="5"/>
        <v>29.553</v>
      </c>
      <c r="H100" s="105"/>
      <c r="I100" s="160">
        <f t="shared" si="6"/>
        <v>0.779969448872647</v>
      </c>
      <c r="J100" s="105">
        <v>60.06</v>
      </c>
      <c r="K100" s="105"/>
      <c r="L100" s="105">
        <v>187.39</v>
      </c>
      <c r="M100" s="4">
        <f t="shared" si="7"/>
        <v>5774.22</v>
      </c>
      <c r="N100" s="105"/>
      <c r="O100" s="105" t="s">
        <v>1609</v>
      </c>
      <c r="P100" s="105"/>
    </row>
    <row r="101" spans="1:16">
      <c r="A101" s="361">
        <v>46179</v>
      </c>
      <c r="B101" s="105" t="s">
        <v>54</v>
      </c>
      <c r="C101" s="360">
        <v>0.27</v>
      </c>
      <c r="D101" s="360">
        <v>0.98</v>
      </c>
      <c r="E101" s="105">
        <v>312.544</v>
      </c>
      <c r="F101" s="105">
        <f t="shared" si="4"/>
        <v>305.3</v>
      </c>
      <c r="G101" s="105">
        <f t="shared" si="5"/>
        <v>7.24399999999997</v>
      </c>
      <c r="H101" s="105"/>
      <c r="I101" s="160">
        <f t="shared" si="6"/>
        <v>0.78001817344118</v>
      </c>
      <c r="J101" s="105">
        <v>78.14</v>
      </c>
      <c r="K101" s="105"/>
      <c r="L101" s="105">
        <v>243.79</v>
      </c>
      <c r="M101" s="4">
        <f t="shared" si="7"/>
        <v>5530.43</v>
      </c>
      <c r="N101" s="105"/>
      <c r="O101" s="105" t="s">
        <v>1609</v>
      </c>
      <c r="P101" s="105"/>
    </row>
    <row r="102" spans="1:16">
      <c r="A102" s="361">
        <v>46180</v>
      </c>
      <c r="B102" s="105" t="s">
        <v>127</v>
      </c>
      <c r="C102" s="360">
        <v>0.39</v>
      </c>
      <c r="D102" s="360">
        <v>0.98</v>
      </c>
      <c r="E102" s="105">
        <v>264.704</v>
      </c>
      <c r="F102" s="105">
        <f t="shared" si="4"/>
        <v>253.7</v>
      </c>
      <c r="G102" s="105">
        <f t="shared" si="5"/>
        <v>11.004</v>
      </c>
      <c r="H102" s="105"/>
      <c r="I102" s="160">
        <f t="shared" si="6"/>
        <v>0.780003324468085</v>
      </c>
      <c r="J102" s="105">
        <v>66.18</v>
      </c>
      <c r="K102" s="105">
        <v>20000</v>
      </c>
      <c r="L102" s="105">
        <v>206.47</v>
      </c>
      <c r="M102" s="4">
        <f t="shared" si="7"/>
        <v>25323.96</v>
      </c>
      <c r="N102" s="105"/>
      <c r="O102" s="105" t="s">
        <v>1609</v>
      </c>
      <c r="P102" s="105"/>
    </row>
    <row r="103" spans="1:16">
      <c r="A103" s="361">
        <v>46180</v>
      </c>
      <c r="B103" s="105" t="s">
        <v>339</v>
      </c>
      <c r="C103" s="360">
        <v>0.39</v>
      </c>
      <c r="D103" s="360">
        <v>0.98</v>
      </c>
      <c r="E103" s="105">
        <v>270.107</v>
      </c>
      <c r="F103" s="105">
        <f t="shared" si="4"/>
        <v>253.7</v>
      </c>
      <c r="G103" s="105">
        <f t="shared" si="5"/>
        <v>16.407</v>
      </c>
      <c r="H103" s="105"/>
      <c r="I103" s="160">
        <f t="shared" si="6"/>
        <v>0.780024212626848</v>
      </c>
      <c r="J103" s="105">
        <v>67.53</v>
      </c>
      <c r="K103" s="105"/>
      <c r="L103" s="105">
        <v>210.69</v>
      </c>
      <c r="M103" s="4">
        <f t="shared" si="7"/>
        <v>25113.27</v>
      </c>
      <c r="N103" s="105"/>
      <c r="O103" s="105" t="s">
        <v>1609</v>
      </c>
      <c r="P103" s="105"/>
    </row>
    <row r="104" spans="1:16">
      <c r="A104" s="361">
        <v>46180</v>
      </c>
      <c r="B104" s="105" t="s">
        <v>78</v>
      </c>
      <c r="C104" s="360">
        <v>0.35</v>
      </c>
      <c r="D104" s="360">
        <v>0.98</v>
      </c>
      <c r="E104" s="105">
        <v>301.196</v>
      </c>
      <c r="F104" s="105">
        <f t="shared" si="4"/>
        <v>270.9</v>
      </c>
      <c r="G104" s="170">
        <f t="shared" si="5"/>
        <v>30.296</v>
      </c>
      <c r="H104" s="105"/>
      <c r="I104" s="160">
        <f t="shared" si="6"/>
        <v>0.779990438120028</v>
      </c>
      <c r="J104" s="105">
        <v>75.3</v>
      </c>
      <c r="K104" s="105"/>
      <c r="L104" s="105">
        <v>234.93</v>
      </c>
      <c r="M104" s="4">
        <f t="shared" si="7"/>
        <v>24878.34</v>
      </c>
      <c r="N104" s="105"/>
      <c r="O104" s="105" t="s">
        <v>1609</v>
      </c>
      <c r="P104" s="105"/>
    </row>
    <row r="105" spans="1:16">
      <c r="A105" s="361">
        <v>46180</v>
      </c>
      <c r="B105" s="105" t="s">
        <v>339</v>
      </c>
      <c r="C105" s="360">
        <v>0.98</v>
      </c>
      <c r="D105" s="360">
        <v>0.98</v>
      </c>
      <c r="E105" s="105">
        <v>0</v>
      </c>
      <c r="F105" s="105">
        <f t="shared" si="4"/>
        <v>0</v>
      </c>
      <c r="G105" s="105">
        <f t="shared" si="5"/>
        <v>0</v>
      </c>
      <c r="H105" s="105"/>
      <c r="I105" s="160" t="e">
        <f t="shared" si="6"/>
        <v>#DIV/0!</v>
      </c>
      <c r="J105" s="105">
        <v>0</v>
      </c>
      <c r="K105" s="105"/>
      <c r="L105" s="105">
        <v>0</v>
      </c>
      <c r="M105" s="4">
        <f t="shared" si="7"/>
        <v>24878.34</v>
      </c>
      <c r="N105" s="105"/>
      <c r="O105" s="105" t="s">
        <v>1609</v>
      </c>
      <c r="P105" s="105"/>
    </row>
    <row r="106" spans="1:16">
      <c r="A106" s="361">
        <v>46180</v>
      </c>
      <c r="B106" s="105" t="s">
        <v>87</v>
      </c>
      <c r="C106" s="360">
        <v>0.45</v>
      </c>
      <c r="D106" s="360">
        <v>0.98</v>
      </c>
      <c r="E106" s="105">
        <v>262.44</v>
      </c>
      <c r="F106" s="105">
        <f t="shared" si="4"/>
        <v>227.9</v>
      </c>
      <c r="G106" s="170">
        <f t="shared" si="5"/>
        <v>34.54</v>
      </c>
      <c r="H106" s="105"/>
      <c r="I106" s="160">
        <f t="shared" si="6"/>
        <v>0.779987806736778</v>
      </c>
      <c r="J106" s="105">
        <v>65.61</v>
      </c>
      <c r="K106" s="105"/>
      <c r="L106" s="105">
        <v>204.7</v>
      </c>
      <c r="M106" s="4">
        <f t="shared" si="7"/>
        <v>24673.64</v>
      </c>
      <c r="N106" s="105"/>
      <c r="O106" s="105" t="s">
        <v>1609</v>
      </c>
      <c r="P106" s="105"/>
    </row>
    <row r="107" spans="1:16">
      <c r="A107" s="361">
        <v>46180</v>
      </c>
      <c r="B107" s="105" t="s">
        <v>93</v>
      </c>
      <c r="C107" s="360">
        <v>0.47</v>
      </c>
      <c r="D107" s="360">
        <v>0.98</v>
      </c>
      <c r="E107" s="105">
        <v>258.524</v>
      </c>
      <c r="F107" s="105">
        <f t="shared" si="4"/>
        <v>219.3</v>
      </c>
      <c r="G107" s="170">
        <f t="shared" si="5"/>
        <v>39.224</v>
      </c>
      <c r="H107" s="105"/>
      <c r="I107" s="160">
        <f t="shared" si="6"/>
        <v>0.780004951184416</v>
      </c>
      <c r="J107" s="105">
        <v>64.63</v>
      </c>
      <c r="K107" s="105"/>
      <c r="L107" s="105">
        <v>201.65</v>
      </c>
      <c r="M107" s="4">
        <f t="shared" si="7"/>
        <v>24471.99</v>
      </c>
      <c r="N107" s="105"/>
      <c r="O107" s="105" t="s">
        <v>1609</v>
      </c>
      <c r="P107" s="105"/>
    </row>
    <row r="108" spans="1:16">
      <c r="A108" s="361">
        <v>46180</v>
      </c>
      <c r="B108" s="105" t="s">
        <v>69</v>
      </c>
      <c r="C108" s="360">
        <v>0.15</v>
      </c>
      <c r="D108" s="360">
        <v>0.83</v>
      </c>
      <c r="E108" s="105">
        <v>324.988</v>
      </c>
      <c r="F108" s="105">
        <f t="shared" si="4"/>
        <v>292.4</v>
      </c>
      <c r="G108" s="170">
        <f t="shared" si="5"/>
        <v>32.588</v>
      </c>
      <c r="H108" s="105"/>
      <c r="I108" s="160">
        <f t="shared" si="6"/>
        <v>0.779998030696518</v>
      </c>
      <c r="J108" s="105">
        <v>81.25</v>
      </c>
      <c r="K108" s="105"/>
      <c r="L108" s="105">
        <v>253.49</v>
      </c>
      <c r="M108" s="4">
        <f t="shared" si="7"/>
        <v>24218.5</v>
      </c>
      <c r="N108" s="105"/>
      <c r="O108" s="105" t="s">
        <v>1609</v>
      </c>
      <c r="P108" s="105"/>
    </row>
    <row r="109" spans="1:16">
      <c r="A109" s="361">
        <v>46180</v>
      </c>
      <c r="B109" s="105" t="s">
        <v>151</v>
      </c>
      <c r="C109" s="360">
        <v>0.34</v>
      </c>
      <c r="D109" s="360">
        <v>0.98</v>
      </c>
      <c r="E109" s="105">
        <v>290.963</v>
      </c>
      <c r="F109" s="105">
        <f t="shared" si="4"/>
        <v>275.2</v>
      </c>
      <c r="G109" s="105">
        <f t="shared" si="5"/>
        <v>15.7630000000001</v>
      </c>
      <c r="H109" s="105"/>
      <c r="I109" s="160">
        <f t="shared" si="6"/>
        <v>0.779996081976059</v>
      </c>
      <c r="J109" s="105">
        <v>72.74</v>
      </c>
      <c r="K109" s="105"/>
      <c r="L109" s="105">
        <v>226.95</v>
      </c>
      <c r="M109" s="4">
        <f t="shared" si="7"/>
        <v>23991.55</v>
      </c>
      <c r="N109" s="105"/>
      <c r="O109" s="105" t="s">
        <v>1609</v>
      </c>
      <c r="P109" s="105"/>
    </row>
    <row r="110" spans="1:16">
      <c r="A110" s="361">
        <v>46180</v>
      </c>
      <c r="B110" s="105" t="s">
        <v>108</v>
      </c>
      <c r="C110" s="360">
        <v>0.76</v>
      </c>
      <c r="D110" s="360">
        <v>0.92</v>
      </c>
      <c r="E110" s="105">
        <v>81.141</v>
      </c>
      <c r="F110" s="105">
        <f t="shared" si="4"/>
        <v>68.8</v>
      </c>
      <c r="G110" s="105">
        <f t="shared" si="5"/>
        <v>12.341</v>
      </c>
      <c r="H110" s="105"/>
      <c r="I110" s="160">
        <f t="shared" si="6"/>
        <v>0.780000246484515</v>
      </c>
      <c r="J110" s="105">
        <v>20.29</v>
      </c>
      <c r="K110" s="105"/>
      <c r="L110" s="105">
        <v>63.29</v>
      </c>
      <c r="M110" s="4">
        <f t="shared" si="7"/>
        <v>23928.26</v>
      </c>
      <c r="N110" s="105"/>
      <c r="O110" s="105" t="s">
        <v>1609</v>
      </c>
      <c r="P110" s="105"/>
    </row>
    <row r="111" spans="1:16">
      <c r="A111" s="361">
        <v>46180</v>
      </c>
      <c r="B111" s="105" t="s">
        <v>111</v>
      </c>
      <c r="C111" s="360">
        <v>0.64</v>
      </c>
      <c r="D111" s="360">
        <v>0.97</v>
      </c>
      <c r="E111" s="105">
        <v>150.786</v>
      </c>
      <c r="F111" s="105">
        <f t="shared" si="4"/>
        <v>141.9</v>
      </c>
      <c r="G111" s="105">
        <f t="shared" si="5"/>
        <v>8.88600000000002</v>
      </c>
      <c r="H111" s="105"/>
      <c r="I111" s="160">
        <f t="shared" si="6"/>
        <v>0.780045892854774</v>
      </c>
      <c r="J111" s="105">
        <v>37.7</v>
      </c>
      <c r="K111" s="105"/>
      <c r="L111" s="105">
        <v>117.62</v>
      </c>
      <c r="M111" s="4">
        <f t="shared" si="7"/>
        <v>23810.64</v>
      </c>
      <c r="N111" s="105"/>
      <c r="O111" s="105" t="s">
        <v>1609</v>
      </c>
      <c r="P111" s="105"/>
    </row>
    <row r="112" spans="1:16">
      <c r="A112" s="361">
        <v>46180</v>
      </c>
      <c r="B112" s="105" t="s">
        <v>57</v>
      </c>
      <c r="C112" s="360">
        <v>0.38</v>
      </c>
      <c r="D112" s="360">
        <v>0.94</v>
      </c>
      <c r="E112" s="105">
        <v>237.374</v>
      </c>
      <c r="F112" s="105">
        <f t="shared" si="4"/>
        <v>240.8</v>
      </c>
      <c r="G112" s="105">
        <f t="shared" si="5"/>
        <v>-3.42599999999999</v>
      </c>
      <c r="H112" s="105"/>
      <c r="I112" s="160">
        <f t="shared" si="6"/>
        <v>0.77999275405057</v>
      </c>
      <c r="J112" s="105">
        <v>59.34</v>
      </c>
      <c r="K112" s="105"/>
      <c r="L112" s="105">
        <v>185.15</v>
      </c>
      <c r="M112" s="4">
        <f t="shared" si="7"/>
        <v>23625.49</v>
      </c>
      <c r="N112" s="105"/>
      <c r="O112" s="105" t="s">
        <v>1609</v>
      </c>
      <c r="P112" s="105"/>
    </row>
    <row r="113" spans="1:16">
      <c r="A113" s="361">
        <v>46180</v>
      </c>
      <c r="B113" s="105" t="s">
        <v>102</v>
      </c>
      <c r="C113" s="360">
        <v>0.66</v>
      </c>
      <c r="D113" s="360">
        <v>0.98</v>
      </c>
      <c r="E113" s="105">
        <v>151.26</v>
      </c>
      <c r="F113" s="105">
        <f t="shared" si="4"/>
        <v>137.6</v>
      </c>
      <c r="G113" s="105">
        <f t="shared" si="5"/>
        <v>13.66</v>
      </c>
      <c r="H113" s="105"/>
      <c r="I113" s="160">
        <f t="shared" si="6"/>
        <v>0.780047600158667</v>
      </c>
      <c r="J113" s="105">
        <v>37.82</v>
      </c>
      <c r="K113" s="105"/>
      <c r="L113" s="105">
        <v>117.99</v>
      </c>
      <c r="M113" s="4">
        <f t="shared" si="7"/>
        <v>23507.5</v>
      </c>
      <c r="N113" s="105"/>
      <c r="O113" s="105" t="s">
        <v>1609</v>
      </c>
      <c r="P113" s="105"/>
    </row>
    <row r="114" spans="1:16">
      <c r="A114" s="361">
        <v>46180</v>
      </c>
      <c r="B114" s="105" t="s">
        <v>96</v>
      </c>
      <c r="C114" s="360">
        <v>0.29</v>
      </c>
      <c r="D114" s="360">
        <v>0.98</v>
      </c>
      <c r="E114" s="105">
        <v>365.048</v>
      </c>
      <c r="F114" s="105">
        <f t="shared" si="4"/>
        <v>296.7</v>
      </c>
      <c r="G114" s="170">
        <f t="shared" si="5"/>
        <v>68.348</v>
      </c>
      <c r="H114" s="105"/>
      <c r="I114" s="160">
        <f t="shared" si="6"/>
        <v>0.780007012776402</v>
      </c>
      <c r="J114" s="105">
        <v>91.26</v>
      </c>
      <c r="K114" s="105"/>
      <c r="L114" s="105">
        <v>284.74</v>
      </c>
      <c r="M114" s="4">
        <f t="shared" si="7"/>
        <v>23222.76</v>
      </c>
      <c r="N114" s="105"/>
      <c r="O114" s="105" t="s">
        <v>1609</v>
      </c>
      <c r="P114" s="105"/>
    </row>
    <row r="115" spans="1:16">
      <c r="A115" s="361">
        <v>46180</v>
      </c>
      <c r="B115" s="105" t="s">
        <v>114</v>
      </c>
      <c r="C115" s="360">
        <v>0.36</v>
      </c>
      <c r="D115" s="360">
        <v>0.92</v>
      </c>
      <c r="E115" s="105">
        <v>242.31</v>
      </c>
      <c r="F115" s="105">
        <f t="shared" si="4"/>
        <v>240.8</v>
      </c>
      <c r="G115" s="105">
        <f t="shared" si="5"/>
        <v>1.50999999999999</v>
      </c>
      <c r="H115" s="105"/>
      <c r="I115" s="160">
        <f t="shared" si="6"/>
        <v>0.779992571499319</v>
      </c>
      <c r="J115" s="105">
        <v>60.58</v>
      </c>
      <c r="K115" s="105"/>
      <c r="L115" s="105">
        <v>189</v>
      </c>
      <c r="M115" s="4">
        <f t="shared" si="7"/>
        <v>23033.76</v>
      </c>
      <c r="N115" s="105"/>
      <c r="O115" s="105" t="s">
        <v>1609</v>
      </c>
      <c r="P115" s="105"/>
    </row>
    <row r="116" spans="1:16">
      <c r="A116" s="361">
        <v>46180</v>
      </c>
      <c r="B116" s="105" t="s">
        <v>87</v>
      </c>
      <c r="C116" s="360">
        <v>0.47</v>
      </c>
      <c r="D116" s="360">
        <v>0.94</v>
      </c>
      <c r="E116" s="105">
        <v>231.046</v>
      </c>
      <c r="F116" s="105">
        <f t="shared" si="4"/>
        <v>202.1</v>
      </c>
      <c r="G116" s="170">
        <f t="shared" si="5"/>
        <v>28.946</v>
      </c>
      <c r="H116" s="105"/>
      <c r="I116" s="160">
        <f t="shared" si="6"/>
        <v>0.779974550522407</v>
      </c>
      <c r="J116" s="105">
        <v>57.76</v>
      </c>
      <c r="K116" s="105"/>
      <c r="L116" s="105">
        <v>180.21</v>
      </c>
      <c r="M116" s="4">
        <f t="shared" si="7"/>
        <v>22853.55</v>
      </c>
      <c r="N116" s="105"/>
      <c r="O116" s="105" t="s">
        <v>1609</v>
      </c>
      <c r="P116" s="105"/>
    </row>
    <row r="117" spans="1:16">
      <c r="A117" s="361">
        <v>46180</v>
      </c>
      <c r="B117" s="105" t="s">
        <v>135</v>
      </c>
      <c r="C117" s="360">
        <v>0.49</v>
      </c>
      <c r="D117" s="360">
        <v>0.98</v>
      </c>
      <c r="E117" s="105">
        <v>219.407</v>
      </c>
      <c r="F117" s="105">
        <f t="shared" si="4"/>
        <v>210.7</v>
      </c>
      <c r="G117" s="105">
        <f t="shared" si="5"/>
        <v>8.70700000000002</v>
      </c>
      <c r="H117" s="105"/>
      <c r="I117" s="160">
        <f t="shared" si="6"/>
        <v>0.780011576658903</v>
      </c>
      <c r="J117" s="105">
        <v>54.85</v>
      </c>
      <c r="K117" s="105"/>
      <c r="L117" s="105">
        <v>171.14</v>
      </c>
      <c r="M117" s="4">
        <f t="shared" si="7"/>
        <v>22682.41</v>
      </c>
      <c r="N117" s="105"/>
      <c r="O117" s="105" t="s">
        <v>1609</v>
      </c>
      <c r="P117" s="105"/>
    </row>
    <row r="118" spans="1:16">
      <c r="A118" s="358">
        <v>46181</v>
      </c>
      <c r="B118" s="359" t="s">
        <v>177</v>
      </c>
      <c r="C118" s="360">
        <v>0.42</v>
      </c>
      <c r="D118" s="360">
        <v>0.94</v>
      </c>
      <c r="E118" s="359">
        <v>238.723</v>
      </c>
      <c r="F118" s="105">
        <f t="shared" si="4"/>
        <v>223.6</v>
      </c>
      <c r="G118" s="105">
        <f t="shared" si="5"/>
        <v>15.123</v>
      </c>
      <c r="H118" s="105"/>
      <c r="I118" s="160">
        <f t="shared" si="6"/>
        <v>0.779983495515723</v>
      </c>
      <c r="J118" s="359">
        <v>59.68</v>
      </c>
      <c r="K118" s="105"/>
      <c r="L118" s="359">
        <v>186.2</v>
      </c>
      <c r="M118" s="4">
        <f t="shared" si="7"/>
        <v>22496.21</v>
      </c>
      <c r="N118" s="105"/>
      <c r="O118" s="105" t="s">
        <v>1609</v>
      </c>
      <c r="P118" s="105"/>
    </row>
    <row r="119" spans="1:16">
      <c r="A119" s="361">
        <v>46181</v>
      </c>
      <c r="B119" s="105" t="s">
        <v>60</v>
      </c>
      <c r="C119" s="360">
        <v>0.72</v>
      </c>
      <c r="D119" s="360">
        <v>0.98</v>
      </c>
      <c r="E119" s="105">
        <v>119.544</v>
      </c>
      <c r="F119" s="105">
        <f t="shared" si="4"/>
        <v>111.8</v>
      </c>
      <c r="G119" s="105">
        <f t="shared" si="5"/>
        <v>7.744</v>
      </c>
      <c r="H119" s="105"/>
      <c r="I119" s="160">
        <f t="shared" si="6"/>
        <v>0.7800475138861</v>
      </c>
      <c r="J119" s="105">
        <v>29.89</v>
      </c>
      <c r="K119" s="105"/>
      <c r="L119" s="105">
        <v>93.25</v>
      </c>
      <c r="M119" s="4">
        <f t="shared" si="7"/>
        <v>22402.96</v>
      </c>
      <c r="N119" s="105"/>
      <c r="O119" s="105" t="s">
        <v>1609</v>
      </c>
      <c r="P119" s="105"/>
    </row>
    <row r="120" spans="1:16">
      <c r="A120" s="361">
        <v>46181</v>
      </c>
      <c r="B120" s="105" t="s">
        <v>124</v>
      </c>
      <c r="C120" s="360">
        <v>0.15</v>
      </c>
      <c r="D120" s="360">
        <v>0.98</v>
      </c>
      <c r="E120" s="105">
        <v>378.211</v>
      </c>
      <c r="F120" s="105">
        <f t="shared" si="4"/>
        <v>356.9</v>
      </c>
      <c r="G120" s="170">
        <f t="shared" si="5"/>
        <v>21.311</v>
      </c>
      <c r="H120" s="105"/>
      <c r="I120" s="160">
        <f t="shared" si="6"/>
        <v>0.779987890357499</v>
      </c>
      <c r="J120" s="105">
        <v>94.55</v>
      </c>
      <c r="K120" s="105"/>
      <c r="L120" s="105">
        <v>295</v>
      </c>
      <c r="M120" s="4">
        <f t="shared" si="7"/>
        <v>22107.96</v>
      </c>
      <c r="N120" s="105"/>
      <c r="O120" s="105" t="s">
        <v>1609</v>
      </c>
      <c r="P120" s="105"/>
    </row>
    <row r="121" spans="1:16">
      <c r="A121" s="361">
        <v>46181</v>
      </c>
      <c r="B121" s="105" t="s">
        <v>54</v>
      </c>
      <c r="C121" s="360">
        <v>0.4</v>
      </c>
      <c r="D121" s="360">
        <v>0.97</v>
      </c>
      <c r="E121" s="105">
        <v>246.739</v>
      </c>
      <c r="F121" s="105">
        <f t="shared" si="4"/>
        <v>245.1</v>
      </c>
      <c r="G121" s="105">
        <f t="shared" si="5"/>
        <v>1.63900000000004</v>
      </c>
      <c r="H121" s="105"/>
      <c r="I121" s="160">
        <f t="shared" si="6"/>
        <v>0.779973980602985</v>
      </c>
      <c r="J121" s="105">
        <v>61.68</v>
      </c>
      <c r="K121" s="105"/>
      <c r="L121" s="105">
        <v>192.45</v>
      </c>
      <c r="M121" s="4">
        <f t="shared" si="7"/>
        <v>21915.51</v>
      </c>
      <c r="N121" s="105"/>
      <c r="O121" s="105" t="s">
        <v>1609</v>
      </c>
      <c r="P121" s="105"/>
    </row>
    <row r="122" spans="1:16">
      <c r="A122" s="361">
        <v>46181</v>
      </c>
      <c r="B122" s="105" t="s">
        <v>141</v>
      </c>
      <c r="C122" s="360">
        <v>0.08</v>
      </c>
      <c r="D122" s="360">
        <v>0.98</v>
      </c>
      <c r="E122" s="105">
        <v>408.917</v>
      </c>
      <c r="F122" s="105">
        <f t="shared" si="4"/>
        <v>387</v>
      </c>
      <c r="G122" s="170">
        <f t="shared" si="5"/>
        <v>21.917</v>
      </c>
      <c r="H122" s="105"/>
      <c r="I122" s="160">
        <f t="shared" si="6"/>
        <v>0.780011591594382</v>
      </c>
      <c r="J122" s="105">
        <v>102.23</v>
      </c>
      <c r="K122" s="105"/>
      <c r="L122" s="105">
        <v>318.96</v>
      </c>
      <c r="M122" s="4">
        <f t="shared" si="7"/>
        <v>21596.55</v>
      </c>
      <c r="N122" s="105"/>
      <c r="O122" s="105" t="s">
        <v>1609</v>
      </c>
      <c r="P122" s="105"/>
    </row>
    <row r="123" spans="1:16">
      <c r="A123" s="361">
        <v>46181</v>
      </c>
      <c r="B123" s="105" t="s">
        <v>99</v>
      </c>
      <c r="C123" s="360">
        <v>0.73</v>
      </c>
      <c r="D123" s="360">
        <v>0.94</v>
      </c>
      <c r="E123" s="105">
        <v>106.701</v>
      </c>
      <c r="F123" s="105">
        <f t="shared" si="4"/>
        <v>90.3</v>
      </c>
      <c r="G123" s="105">
        <f t="shared" si="5"/>
        <v>16.401</v>
      </c>
      <c r="H123" s="105"/>
      <c r="I123" s="160">
        <f t="shared" si="6"/>
        <v>0.780030177786525</v>
      </c>
      <c r="J123" s="105">
        <v>26.68</v>
      </c>
      <c r="K123" s="105"/>
      <c r="L123" s="105">
        <v>83.23</v>
      </c>
      <c r="M123" s="4">
        <f t="shared" si="7"/>
        <v>21513.32</v>
      </c>
      <c r="N123" s="105"/>
      <c r="O123" s="105" t="s">
        <v>1609</v>
      </c>
      <c r="P123" s="105"/>
    </row>
    <row r="124" spans="1:16">
      <c r="A124" s="361">
        <v>46181</v>
      </c>
      <c r="B124" s="105" t="s">
        <v>66</v>
      </c>
      <c r="C124" s="360">
        <v>0.76</v>
      </c>
      <c r="D124" s="360">
        <v>1</v>
      </c>
      <c r="E124" s="105">
        <v>113.764</v>
      </c>
      <c r="F124" s="105">
        <f t="shared" si="4"/>
        <v>103.2</v>
      </c>
      <c r="G124" s="105">
        <f t="shared" si="5"/>
        <v>10.564</v>
      </c>
      <c r="H124" s="105"/>
      <c r="I124" s="160">
        <f t="shared" si="6"/>
        <v>0.779947962448578</v>
      </c>
      <c r="J124" s="105">
        <v>28.44</v>
      </c>
      <c r="K124" s="105"/>
      <c r="L124" s="105">
        <v>88.73</v>
      </c>
      <c r="M124" s="4">
        <f t="shared" si="7"/>
        <v>21424.59</v>
      </c>
      <c r="N124" s="105"/>
      <c r="O124" s="105" t="s">
        <v>1609</v>
      </c>
      <c r="P124" s="105"/>
    </row>
    <row r="125" spans="1:16">
      <c r="A125" s="361">
        <v>46181</v>
      </c>
      <c r="B125" s="105" t="s">
        <v>144</v>
      </c>
      <c r="C125" s="360">
        <v>0.71</v>
      </c>
      <c r="D125" s="360">
        <v>0.93</v>
      </c>
      <c r="E125" s="105">
        <v>104.393</v>
      </c>
      <c r="F125" s="105">
        <f t="shared" si="4"/>
        <v>94.6</v>
      </c>
      <c r="G125" s="105">
        <f t="shared" si="5"/>
        <v>9.79299999999996</v>
      </c>
      <c r="H125" s="105"/>
      <c r="I125" s="160">
        <f t="shared" si="6"/>
        <v>0.78003314398475</v>
      </c>
      <c r="J125" s="105">
        <v>26.1</v>
      </c>
      <c r="K125" s="105"/>
      <c r="L125" s="105">
        <v>81.43</v>
      </c>
      <c r="M125" s="4">
        <f t="shared" si="7"/>
        <v>21343.16</v>
      </c>
      <c r="N125" s="105"/>
      <c r="O125" s="105" t="s">
        <v>1609</v>
      </c>
      <c r="P125" s="105"/>
    </row>
    <row r="126" spans="1:16">
      <c r="A126" s="361">
        <v>46181</v>
      </c>
      <c r="B126" s="105" t="s">
        <v>63</v>
      </c>
      <c r="C126" s="360">
        <v>0.4</v>
      </c>
      <c r="D126" s="360">
        <v>0.95</v>
      </c>
      <c r="E126" s="105">
        <v>271.49</v>
      </c>
      <c r="F126" s="105">
        <f t="shared" si="4"/>
        <v>236.5</v>
      </c>
      <c r="G126" s="170">
        <f t="shared" si="5"/>
        <v>34.99</v>
      </c>
      <c r="H126" s="105"/>
      <c r="I126" s="160">
        <f t="shared" si="6"/>
        <v>0.779991896570776</v>
      </c>
      <c r="J126" s="105">
        <v>67.87</v>
      </c>
      <c r="K126" s="105"/>
      <c r="L126" s="105">
        <v>211.76</v>
      </c>
      <c r="M126" s="4">
        <f t="shared" si="7"/>
        <v>21131.4</v>
      </c>
      <c r="N126" s="105"/>
      <c r="O126" s="105" t="s">
        <v>1609</v>
      </c>
      <c r="P126" s="105"/>
    </row>
    <row r="127" spans="1:16">
      <c r="A127" s="361">
        <v>46181</v>
      </c>
      <c r="B127" s="105" t="s">
        <v>96</v>
      </c>
      <c r="C127" s="360">
        <v>0.34</v>
      </c>
      <c r="D127" s="360">
        <v>0.98</v>
      </c>
      <c r="E127" s="105">
        <v>322.818</v>
      </c>
      <c r="F127" s="105">
        <f t="shared" si="4"/>
        <v>275.2</v>
      </c>
      <c r="G127" s="170">
        <f t="shared" si="5"/>
        <v>47.6180000000001</v>
      </c>
      <c r="H127" s="105"/>
      <c r="I127" s="160">
        <f t="shared" si="6"/>
        <v>0.779975094325595</v>
      </c>
      <c r="J127" s="105">
        <v>80.7</v>
      </c>
      <c r="K127" s="105"/>
      <c r="L127" s="105">
        <v>251.79</v>
      </c>
      <c r="M127" s="4">
        <f t="shared" si="7"/>
        <v>20879.61</v>
      </c>
      <c r="N127" s="105"/>
      <c r="O127" s="105" t="s">
        <v>1609</v>
      </c>
      <c r="P127" s="105"/>
    </row>
    <row r="128" spans="1:16">
      <c r="A128" s="361">
        <v>46181</v>
      </c>
      <c r="B128" s="105" t="s">
        <v>111</v>
      </c>
      <c r="C128" s="360">
        <v>0.27</v>
      </c>
      <c r="D128" s="360">
        <v>0.95</v>
      </c>
      <c r="E128" s="105">
        <v>277.599</v>
      </c>
      <c r="F128" s="105">
        <f t="shared" si="4"/>
        <v>292.4</v>
      </c>
      <c r="G128" s="105">
        <f t="shared" si="5"/>
        <v>-14.801</v>
      </c>
      <c r="H128" s="105"/>
      <c r="I128" s="160">
        <f t="shared" si="6"/>
        <v>0.780010014445297</v>
      </c>
      <c r="J128" s="105">
        <v>69.4</v>
      </c>
      <c r="K128" s="105"/>
      <c r="L128" s="105">
        <v>216.53</v>
      </c>
      <c r="M128" s="4">
        <f t="shared" si="7"/>
        <v>20663.08</v>
      </c>
      <c r="N128" s="105"/>
      <c r="O128" s="105" t="s">
        <v>1609</v>
      </c>
      <c r="P128" s="105"/>
    </row>
    <row r="129" spans="1:16">
      <c r="A129" s="361">
        <v>46181</v>
      </c>
      <c r="B129" s="105" t="s">
        <v>108</v>
      </c>
      <c r="C129" s="360">
        <v>0.34</v>
      </c>
      <c r="D129" s="360">
        <v>0.98</v>
      </c>
      <c r="E129" s="105">
        <v>313.148</v>
      </c>
      <c r="F129" s="105">
        <f t="shared" si="4"/>
        <v>275.2</v>
      </c>
      <c r="G129" s="170">
        <f t="shared" si="5"/>
        <v>37.9480000000001</v>
      </c>
      <c r="H129" s="105"/>
      <c r="I129" s="160">
        <f t="shared" si="6"/>
        <v>0.780014561804642</v>
      </c>
      <c r="J129" s="105">
        <v>78.29</v>
      </c>
      <c r="K129" s="105"/>
      <c r="L129" s="105">
        <v>244.26</v>
      </c>
      <c r="M129" s="4">
        <f t="shared" si="7"/>
        <v>20418.82</v>
      </c>
      <c r="N129" s="105"/>
      <c r="O129" s="105" t="s">
        <v>1609</v>
      </c>
      <c r="P129" s="105"/>
    </row>
    <row r="130" spans="1:16">
      <c r="A130" s="361">
        <v>46181</v>
      </c>
      <c r="B130" s="105" t="s">
        <v>84</v>
      </c>
      <c r="C130" s="360">
        <v>0.46</v>
      </c>
      <c r="D130" s="360">
        <v>0.96</v>
      </c>
      <c r="E130" s="105">
        <v>247.218</v>
      </c>
      <c r="F130" s="105">
        <f t="shared" si="4"/>
        <v>215</v>
      </c>
      <c r="G130" s="170">
        <f t="shared" si="5"/>
        <v>32.218</v>
      </c>
      <c r="H130" s="105"/>
      <c r="I130" s="160">
        <f t="shared" si="6"/>
        <v>0.779999838199484</v>
      </c>
      <c r="J130" s="105">
        <v>61.8</v>
      </c>
      <c r="K130" s="105"/>
      <c r="L130" s="105">
        <v>192.83</v>
      </c>
      <c r="M130" s="4">
        <f t="shared" si="7"/>
        <v>20225.99</v>
      </c>
      <c r="N130" s="105"/>
      <c r="O130" s="105" t="s">
        <v>1609</v>
      </c>
      <c r="P130" s="105"/>
    </row>
    <row r="131" spans="1:16">
      <c r="A131" s="361">
        <v>46181</v>
      </c>
      <c r="B131" s="105" t="s">
        <v>102</v>
      </c>
      <c r="C131" s="360">
        <v>0.19</v>
      </c>
      <c r="D131" s="360">
        <v>0.91</v>
      </c>
      <c r="E131" s="105">
        <v>349.246</v>
      </c>
      <c r="F131" s="105">
        <f t="shared" ref="F131:F194" si="8">(D131-C131)*430</f>
        <v>309.6</v>
      </c>
      <c r="G131" s="170">
        <f t="shared" ref="G131:G194" si="9">E131-F131</f>
        <v>39.646</v>
      </c>
      <c r="H131" s="105"/>
      <c r="I131" s="160">
        <f t="shared" ref="I131:I194" si="10">L131/E131</f>
        <v>0.779994616974855</v>
      </c>
      <c r="J131" s="105">
        <v>87.31</v>
      </c>
      <c r="K131" s="105"/>
      <c r="L131" s="105">
        <v>272.41</v>
      </c>
      <c r="M131" s="4">
        <f t="shared" ref="M131:M194" si="11">M130+K131-L131</f>
        <v>19953.58</v>
      </c>
      <c r="N131" s="105"/>
      <c r="O131" s="105" t="s">
        <v>1609</v>
      </c>
      <c r="P131" s="105"/>
    </row>
    <row r="132" spans="1:16">
      <c r="A132" s="361">
        <v>46181</v>
      </c>
      <c r="B132" s="105" t="s">
        <v>339</v>
      </c>
      <c r="C132" s="360">
        <v>0.35</v>
      </c>
      <c r="D132" s="360">
        <v>0.46</v>
      </c>
      <c r="E132" s="105">
        <v>53.617</v>
      </c>
      <c r="F132" s="105">
        <f t="shared" si="8"/>
        <v>47.3</v>
      </c>
      <c r="G132" s="105">
        <f t="shared" si="9"/>
        <v>6.31699999999998</v>
      </c>
      <c r="H132" s="105"/>
      <c r="I132" s="160">
        <f t="shared" si="10"/>
        <v>0.779976499990675</v>
      </c>
      <c r="J132" s="105">
        <v>13.4</v>
      </c>
      <c r="K132" s="105"/>
      <c r="L132" s="105">
        <v>41.82</v>
      </c>
      <c r="M132" s="4">
        <f t="shared" si="11"/>
        <v>19911.76</v>
      </c>
      <c r="N132" s="105"/>
      <c r="O132" s="105" t="s">
        <v>1609</v>
      </c>
      <c r="P132" s="105"/>
    </row>
    <row r="133" spans="1:16">
      <c r="A133" s="361">
        <v>46181</v>
      </c>
      <c r="B133" s="105" t="s">
        <v>127</v>
      </c>
      <c r="C133" s="360">
        <v>0.46</v>
      </c>
      <c r="D133" s="360">
        <v>0.98</v>
      </c>
      <c r="E133" s="105">
        <v>232.359</v>
      </c>
      <c r="F133" s="105">
        <f t="shared" si="8"/>
        <v>223.6</v>
      </c>
      <c r="G133" s="105">
        <f t="shared" si="9"/>
        <v>8.75900000000001</v>
      </c>
      <c r="H133" s="105"/>
      <c r="I133" s="160">
        <f t="shared" si="10"/>
        <v>0.779999913926295</v>
      </c>
      <c r="J133" s="105">
        <v>58.09</v>
      </c>
      <c r="K133" s="105"/>
      <c r="L133" s="105">
        <v>181.24</v>
      </c>
      <c r="M133" s="4">
        <f t="shared" si="11"/>
        <v>19730.52</v>
      </c>
      <c r="N133" s="105"/>
      <c r="O133" s="105" t="s">
        <v>1609</v>
      </c>
      <c r="P133" s="105"/>
    </row>
    <row r="134" spans="1:16">
      <c r="A134" s="361">
        <v>46181</v>
      </c>
      <c r="B134" s="105" t="s">
        <v>174</v>
      </c>
      <c r="C134" s="360">
        <v>0.18</v>
      </c>
      <c r="D134" s="360">
        <v>0.98</v>
      </c>
      <c r="E134" s="105">
        <v>363.055</v>
      </c>
      <c r="F134" s="105">
        <f t="shared" si="8"/>
        <v>344</v>
      </c>
      <c r="G134" s="105">
        <f t="shared" si="9"/>
        <v>19.055</v>
      </c>
      <c r="H134" s="105"/>
      <c r="I134" s="160">
        <f t="shared" si="10"/>
        <v>0.779992012229552</v>
      </c>
      <c r="J134" s="105">
        <v>90.76</v>
      </c>
      <c r="K134" s="105"/>
      <c r="L134" s="105">
        <v>283.18</v>
      </c>
      <c r="M134" s="4">
        <f t="shared" si="11"/>
        <v>19447.34</v>
      </c>
      <c r="N134" s="105"/>
      <c r="O134" s="105" t="s">
        <v>1609</v>
      </c>
      <c r="P134" s="105"/>
    </row>
    <row r="135" spans="1:16">
      <c r="A135" s="361">
        <v>46181</v>
      </c>
      <c r="B135" s="105" t="s">
        <v>339</v>
      </c>
      <c r="C135" s="360">
        <v>0.46</v>
      </c>
      <c r="D135" s="360">
        <v>0.98</v>
      </c>
      <c r="E135" s="105">
        <v>234.958</v>
      </c>
      <c r="F135" s="105">
        <f t="shared" si="8"/>
        <v>223.6</v>
      </c>
      <c r="G135" s="105">
        <f t="shared" si="9"/>
        <v>11.358</v>
      </c>
      <c r="H135" s="105"/>
      <c r="I135" s="160">
        <f t="shared" si="10"/>
        <v>0.780011746780276</v>
      </c>
      <c r="J135" s="105">
        <v>58.74</v>
      </c>
      <c r="K135" s="105"/>
      <c r="L135" s="105">
        <v>183.27</v>
      </c>
      <c r="M135" s="4">
        <f t="shared" si="11"/>
        <v>19264.07</v>
      </c>
      <c r="N135" s="105"/>
      <c r="O135" s="105" t="s">
        <v>1609</v>
      </c>
      <c r="P135" s="105"/>
    </row>
    <row r="136" spans="1:16">
      <c r="A136" s="361">
        <v>46181</v>
      </c>
      <c r="B136" s="105" t="s">
        <v>132</v>
      </c>
      <c r="C136" s="360">
        <v>0.37</v>
      </c>
      <c r="D136" s="360">
        <v>0.91</v>
      </c>
      <c r="E136" s="105">
        <v>247.288</v>
      </c>
      <c r="F136" s="105">
        <f t="shared" si="8"/>
        <v>232.2</v>
      </c>
      <c r="G136" s="105">
        <f t="shared" si="9"/>
        <v>15.088</v>
      </c>
      <c r="H136" s="105"/>
      <c r="I136" s="160">
        <f t="shared" si="10"/>
        <v>0.779981236453043</v>
      </c>
      <c r="J136" s="105">
        <v>61.82</v>
      </c>
      <c r="K136" s="105"/>
      <c r="L136" s="105">
        <v>192.88</v>
      </c>
      <c r="M136" s="4">
        <f t="shared" si="11"/>
        <v>19071.19</v>
      </c>
      <c r="N136" s="105"/>
      <c r="O136" s="105" t="s">
        <v>1609</v>
      </c>
      <c r="P136" s="105"/>
    </row>
    <row r="137" spans="1:16">
      <c r="A137" s="361">
        <v>46181</v>
      </c>
      <c r="B137" s="105" t="s">
        <v>163</v>
      </c>
      <c r="C137" s="360">
        <v>0.74</v>
      </c>
      <c r="D137" s="360">
        <v>0.98</v>
      </c>
      <c r="E137" s="105">
        <v>111.068</v>
      </c>
      <c r="F137" s="105">
        <f t="shared" si="8"/>
        <v>103.2</v>
      </c>
      <c r="G137" s="105">
        <f t="shared" si="9"/>
        <v>7.86799999999999</v>
      </c>
      <c r="H137" s="105"/>
      <c r="I137" s="160">
        <f t="shared" si="10"/>
        <v>0.780062664313754</v>
      </c>
      <c r="J137" s="105">
        <v>27.77</v>
      </c>
      <c r="K137" s="105"/>
      <c r="L137" s="105">
        <v>86.64</v>
      </c>
      <c r="M137" s="4">
        <f t="shared" si="11"/>
        <v>18984.55</v>
      </c>
      <c r="N137" s="105"/>
      <c r="O137" s="105" t="s">
        <v>1609</v>
      </c>
      <c r="P137" s="105"/>
    </row>
    <row r="138" spans="1:16">
      <c r="A138" s="361">
        <v>46181</v>
      </c>
      <c r="B138" s="105" t="s">
        <v>160</v>
      </c>
      <c r="C138" s="360">
        <v>0.73</v>
      </c>
      <c r="D138" s="360">
        <v>0.98</v>
      </c>
      <c r="E138" s="105">
        <v>115.23</v>
      </c>
      <c r="F138" s="105">
        <f t="shared" si="8"/>
        <v>107.5</v>
      </c>
      <c r="G138" s="105">
        <f t="shared" si="9"/>
        <v>7.73</v>
      </c>
      <c r="H138" s="105"/>
      <c r="I138" s="160">
        <f t="shared" si="10"/>
        <v>0.78000520697735</v>
      </c>
      <c r="J138" s="105">
        <v>28.81</v>
      </c>
      <c r="K138" s="105"/>
      <c r="L138" s="105">
        <v>89.88</v>
      </c>
      <c r="M138" s="4">
        <f t="shared" si="11"/>
        <v>18894.67</v>
      </c>
      <c r="N138" s="105"/>
      <c r="O138" s="105" t="s">
        <v>1609</v>
      </c>
      <c r="P138" s="105"/>
    </row>
    <row r="139" spans="1:16">
      <c r="A139" s="361">
        <v>46181</v>
      </c>
      <c r="B139" s="105" t="s">
        <v>338</v>
      </c>
      <c r="C139" s="360">
        <v>0.72</v>
      </c>
      <c r="D139" s="360">
        <v>0.98</v>
      </c>
      <c r="E139" s="105">
        <v>115.926</v>
      </c>
      <c r="F139" s="105">
        <f t="shared" si="8"/>
        <v>111.8</v>
      </c>
      <c r="G139" s="105">
        <f t="shared" si="9"/>
        <v>4.126</v>
      </c>
      <c r="H139" s="105"/>
      <c r="I139" s="160">
        <f t="shared" si="10"/>
        <v>0.779980332280938</v>
      </c>
      <c r="J139" s="105">
        <v>28.98</v>
      </c>
      <c r="K139" s="105"/>
      <c r="L139" s="105">
        <v>90.42</v>
      </c>
      <c r="M139" s="4">
        <f t="shared" si="11"/>
        <v>18804.25</v>
      </c>
      <c r="N139" s="105"/>
      <c r="O139" s="105" t="s">
        <v>1609</v>
      </c>
      <c r="P139" s="105"/>
    </row>
    <row r="140" spans="1:16">
      <c r="A140" s="361">
        <v>46181</v>
      </c>
      <c r="B140" s="105" t="s">
        <v>154</v>
      </c>
      <c r="C140" s="360">
        <v>0.64</v>
      </c>
      <c r="D140" s="360">
        <v>0.66</v>
      </c>
      <c r="E140" s="105">
        <v>6.817</v>
      </c>
      <c r="F140" s="105">
        <f t="shared" si="8"/>
        <v>8.60000000000001</v>
      </c>
      <c r="G140" s="105">
        <f t="shared" si="9"/>
        <v>-1.78300000000001</v>
      </c>
      <c r="H140" s="105"/>
      <c r="I140" s="160">
        <f t="shared" si="10"/>
        <v>0.77893501540267</v>
      </c>
      <c r="J140" s="105">
        <v>1.7</v>
      </c>
      <c r="K140" s="105"/>
      <c r="L140" s="105">
        <v>5.31</v>
      </c>
      <c r="M140" s="4">
        <f t="shared" si="11"/>
        <v>18798.94</v>
      </c>
      <c r="N140" s="105"/>
      <c r="O140" s="105" t="s">
        <v>1609</v>
      </c>
      <c r="P140" s="105"/>
    </row>
    <row r="141" spans="1:16">
      <c r="A141" s="361">
        <v>46181</v>
      </c>
      <c r="B141" s="105" t="s">
        <v>154</v>
      </c>
      <c r="C141" s="360">
        <v>0.66</v>
      </c>
      <c r="D141" s="360">
        <v>0.93</v>
      </c>
      <c r="E141" s="105">
        <v>126.795</v>
      </c>
      <c r="F141" s="105">
        <f t="shared" si="8"/>
        <v>116.1</v>
      </c>
      <c r="G141" s="105">
        <f t="shared" si="9"/>
        <v>10.695</v>
      </c>
      <c r="H141" s="105"/>
      <c r="I141" s="160">
        <f t="shared" si="10"/>
        <v>0.779999211325368</v>
      </c>
      <c r="J141" s="105">
        <v>31.7</v>
      </c>
      <c r="K141" s="105"/>
      <c r="L141" s="105">
        <v>98.9</v>
      </c>
      <c r="M141" s="4">
        <f t="shared" si="11"/>
        <v>18700.04</v>
      </c>
      <c r="N141" s="105"/>
      <c r="O141" s="105" t="s">
        <v>1609</v>
      </c>
      <c r="P141" s="105"/>
    </row>
    <row r="142" spans="1:16">
      <c r="A142" s="361">
        <v>46181</v>
      </c>
      <c r="B142" s="105" t="s">
        <v>180</v>
      </c>
      <c r="C142" s="360">
        <v>0.24</v>
      </c>
      <c r="D142" s="360">
        <v>0.98</v>
      </c>
      <c r="E142" s="105">
        <v>334.401</v>
      </c>
      <c r="F142" s="105">
        <f t="shared" si="8"/>
        <v>318.2</v>
      </c>
      <c r="G142" s="105">
        <f t="shared" si="9"/>
        <v>16.201</v>
      </c>
      <c r="H142" s="105"/>
      <c r="I142" s="160">
        <f t="shared" si="10"/>
        <v>0.779991686627731</v>
      </c>
      <c r="J142" s="105">
        <v>83.6</v>
      </c>
      <c r="K142" s="105"/>
      <c r="L142" s="105">
        <v>260.83</v>
      </c>
      <c r="M142" s="4">
        <f t="shared" si="11"/>
        <v>18439.21</v>
      </c>
      <c r="N142" s="105"/>
      <c r="O142" s="105" t="s">
        <v>1609</v>
      </c>
      <c r="P142" s="105"/>
    </row>
    <row r="143" spans="1:16">
      <c r="A143" s="358">
        <v>46182</v>
      </c>
      <c r="B143" s="359" t="s">
        <v>141</v>
      </c>
      <c r="C143" s="360">
        <v>0.29</v>
      </c>
      <c r="D143" s="360">
        <v>0.98</v>
      </c>
      <c r="E143" s="359">
        <v>313.454</v>
      </c>
      <c r="F143" s="105">
        <f t="shared" si="8"/>
        <v>296.7</v>
      </c>
      <c r="G143" s="105">
        <f t="shared" si="9"/>
        <v>16.754</v>
      </c>
      <c r="H143" s="105"/>
      <c r="I143" s="160">
        <f t="shared" si="10"/>
        <v>0.77998685612562</v>
      </c>
      <c r="J143" s="359">
        <v>78.36</v>
      </c>
      <c r="K143" s="105"/>
      <c r="L143" s="359">
        <v>244.49</v>
      </c>
      <c r="M143" s="4">
        <f t="shared" si="11"/>
        <v>18194.72</v>
      </c>
      <c r="N143" s="105"/>
      <c r="O143" s="105" t="s">
        <v>1609</v>
      </c>
    </row>
    <row r="144" spans="1:16">
      <c r="A144" s="361">
        <v>46182</v>
      </c>
      <c r="B144" s="105" t="s">
        <v>144</v>
      </c>
      <c r="C144" s="360">
        <v>0.3</v>
      </c>
      <c r="D144" s="360">
        <v>0.98</v>
      </c>
      <c r="E144" s="105">
        <v>311.385</v>
      </c>
      <c r="F144" s="105">
        <f t="shared" si="8"/>
        <v>292.4</v>
      </c>
      <c r="G144" s="105">
        <f t="shared" si="9"/>
        <v>18.985</v>
      </c>
      <c r="H144" s="105"/>
      <c r="I144" s="160">
        <f t="shared" si="10"/>
        <v>0.779999036562455</v>
      </c>
      <c r="J144" s="105">
        <v>77.85</v>
      </c>
      <c r="K144" s="105"/>
      <c r="L144" s="105">
        <v>242.88</v>
      </c>
      <c r="M144" s="4">
        <f t="shared" si="11"/>
        <v>17951.84</v>
      </c>
      <c r="N144" s="105"/>
      <c r="O144" s="105" t="s">
        <v>1609</v>
      </c>
    </row>
    <row r="145" spans="1:15">
      <c r="A145" s="361">
        <v>46182</v>
      </c>
      <c r="B145" s="105" t="s">
        <v>87</v>
      </c>
      <c r="C145" s="360">
        <v>0.51</v>
      </c>
      <c r="D145" s="360">
        <v>0.98</v>
      </c>
      <c r="E145" s="105">
        <v>229.453</v>
      </c>
      <c r="F145" s="105">
        <f t="shared" si="8"/>
        <v>202.1</v>
      </c>
      <c r="G145" s="170">
        <f t="shared" si="9"/>
        <v>27.353</v>
      </c>
      <c r="H145" s="105"/>
      <c r="I145" s="160">
        <f t="shared" si="10"/>
        <v>0.779985443642053</v>
      </c>
      <c r="J145" s="105">
        <v>57.36</v>
      </c>
      <c r="K145" s="105"/>
      <c r="L145" s="105">
        <v>178.97</v>
      </c>
      <c r="M145" s="4">
        <f t="shared" si="11"/>
        <v>17772.87</v>
      </c>
      <c r="N145" s="105"/>
      <c r="O145" s="105" t="s">
        <v>1609</v>
      </c>
    </row>
    <row r="146" spans="1:15">
      <c r="A146" s="361">
        <v>46182</v>
      </c>
      <c r="B146" s="105" t="s">
        <v>72</v>
      </c>
      <c r="C146" s="360">
        <v>0.51</v>
      </c>
      <c r="D146" s="360">
        <v>0.98</v>
      </c>
      <c r="E146" s="105">
        <v>236.892</v>
      </c>
      <c r="F146" s="105">
        <f t="shared" si="8"/>
        <v>202.1</v>
      </c>
      <c r="G146" s="170">
        <f t="shared" si="9"/>
        <v>34.792</v>
      </c>
      <c r="H146" s="105"/>
      <c r="I146" s="160">
        <f t="shared" si="10"/>
        <v>0.779975685122334</v>
      </c>
      <c r="J146" s="105">
        <v>59.22</v>
      </c>
      <c r="K146" s="105"/>
      <c r="L146" s="105">
        <v>184.77</v>
      </c>
      <c r="M146" s="4">
        <f t="shared" si="11"/>
        <v>17588.1</v>
      </c>
      <c r="N146" s="105"/>
      <c r="O146" s="105" t="s">
        <v>1609</v>
      </c>
    </row>
    <row r="147" spans="1:15">
      <c r="A147" s="361">
        <v>46182</v>
      </c>
      <c r="B147" s="105" t="s">
        <v>93</v>
      </c>
      <c r="C147" s="360">
        <v>0.42</v>
      </c>
      <c r="D147" s="360">
        <v>0.98</v>
      </c>
      <c r="E147" s="105">
        <v>283.534</v>
      </c>
      <c r="F147" s="105">
        <f t="shared" si="8"/>
        <v>240.8</v>
      </c>
      <c r="G147" s="170">
        <f t="shared" si="9"/>
        <v>42.734</v>
      </c>
      <c r="H147" s="105"/>
      <c r="I147" s="160">
        <f t="shared" si="10"/>
        <v>0.779977004521504</v>
      </c>
      <c r="J147" s="105">
        <v>70.88</v>
      </c>
      <c r="K147" s="105"/>
      <c r="L147" s="105">
        <v>221.15</v>
      </c>
      <c r="M147" s="4">
        <f t="shared" si="11"/>
        <v>17366.95</v>
      </c>
      <c r="N147" s="105"/>
      <c r="O147" s="105" t="s">
        <v>1609</v>
      </c>
    </row>
    <row r="148" spans="1:15">
      <c r="A148" s="361">
        <v>46182</v>
      </c>
      <c r="B148" s="105" t="s">
        <v>54</v>
      </c>
      <c r="C148" s="360">
        <v>0.3</v>
      </c>
      <c r="D148" s="360">
        <v>0.95</v>
      </c>
      <c r="E148" s="105">
        <v>278.366</v>
      </c>
      <c r="F148" s="105">
        <f t="shared" si="8"/>
        <v>279.5</v>
      </c>
      <c r="G148" s="105">
        <f t="shared" si="9"/>
        <v>-1.13399999999996</v>
      </c>
      <c r="H148" s="105"/>
      <c r="I148" s="160">
        <f t="shared" si="10"/>
        <v>0.779980313687735</v>
      </c>
      <c r="J148" s="105">
        <v>69.59</v>
      </c>
      <c r="K148" s="105"/>
      <c r="L148" s="105">
        <v>217.12</v>
      </c>
      <c r="M148" s="4">
        <f t="shared" si="11"/>
        <v>17149.83</v>
      </c>
      <c r="N148" s="105"/>
      <c r="O148" s="105" t="s">
        <v>1609</v>
      </c>
    </row>
    <row r="149" spans="1:15">
      <c r="A149" s="361">
        <v>46182</v>
      </c>
      <c r="B149" s="105" t="s">
        <v>66</v>
      </c>
      <c r="C149" s="360">
        <v>0.48</v>
      </c>
      <c r="D149" s="360">
        <v>0.95</v>
      </c>
      <c r="E149" s="105">
        <v>233.173</v>
      </c>
      <c r="F149" s="105">
        <f t="shared" si="8"/>
        <v>202.1</v>
      </c>
      <c r="G149" s="170">
        <f t="shared" si="9"/>
        <v>31.073</v>
      </c>
      <c r="H149" s="105"/>
      <c r="I149" s="160">
        <f t="shared" si="10"/>
        <v>0.779978814013629</v>
      </c>
      <c r="J149" s="105">
        <v>58.29</v>
      </c>
      <c r="K149" s="105"/>
      <c r="L149" s="105">
        <v>181.87</v>
      </c>
      <c r="M149" s="4">
        <f t="shared" si="11"/>
        <v>16967.96</v>
      </c>
      <c r="N149" s="105"/>
      <c r="O149" s="105" t="s">
        <v>1609</v>
      </c>
    </row>
    <row r="150" spans="1:15">
      <c r="A150" s="361">
        <v>46182</v>
      </c>
      <c r="B150" s="105" t="s">
        <v>51</v>
      </c>
      <c r="C150" s="360">
        <v>0.21</v>
      </c>
      <c r="D150" s="360">
        <v>0.98</v>
      </c>
      <c r="E150" s="105">
        <v>334.35</v>
      </c>
      <c r="F150" s="105">
        <f t="shared" si="8"/>
        <v>331.1</v>
      </c>
      <c r="G150" s="105">
        <f t="shared" si="9"/>
        <v>3.25</v>
      </c>
      <c r="H150" s="105"/>
      <c r="I150" s="160">
        <f t="shared" si="10"/>
        <v>0.780020936144758</v>
      </c>
      <c r="J150" s="105">
        <v>83.59</v>
      </c>
      <c r="K150" s="105"/>
      <c r="L150" s="105">
        <v>260.8</v>
      </c>
      <c r="M150" s="4">
        <f t="shared" si="11"/>
        <v>16707.16</v>
      </c>
      <c r="N150" s="105"/>
      <c r="O150" s="105" t="s">
        <v>1609</v>
      </c>
    </row>
    <row r="151" spans="1:15">
      <c r="A151" s="361">
        <v>46182</v>
      </c>
      <c r="B151" s="105" t="s">
        <v>57</v>
      </c>
      <c r="C151" s="360">
        <v>0.53</v>
      </c>
      <c r="D151" s="360">
        <v>0.96</v>
      </c>
      <c r="E151" s="105">
        <v>184.521</v>
      </c>
      <c r="F151" s="105">
        <f t="shared" si="8"/>
        <v>184.9</v>
      </c>
      <c r="G151" s="105">
        <f t="shared" si="9"/>
        <v>-0.378999999999991</v>
      </c>
      <c r="H151" s="105"/>
      <c r="I151" s="160">
        <f t="shared" si="10"/>
        <v>0.780019618363222</v>
      </c>
      <c r="J151" s="105">
        <v>46.13</v>
      </c>
      <c r="K151" s="105"/>
      <c r="L151" s="105">
        <v>143.93</v>
      </c>
      <c r="M151" s="4">
        <f t="shared" si="11"/>
        <v>16563.23</v>
      </c>
      <c r="N151" s="105"/>
      <c r="O151" s="105" t="s">
        <v>1609</v>
      </c>
    </row>
    <row r="152" spans="1:15">
      <c r="A152" s="361">
        <v>46182</v>
      </c>
      <c r="B152" s="105" t="s">
        <v>111</v>
      </c>
      <c r="C152" s="360">
        <v>0.52</v>
      </c>
      <c r="D152" s="360">
        <v>0.96</v>
      </c>
      <c r="E152" s="105">
        <v>197.428</v>
      </c>
      <c r="F152" s="105">
        <f t="shared" si="8"/>
        <v>189.2</v>
      </c>
      <c r="G152" s="105">
        <f t="shared" si="9"/>
        <v>8.22800000000001</v>
      </c>
      <c r="H152" s="105"/>
      <c r="I152" s="160">
        <f t="shared" si="10"/>
        <v>0.78003120124805</v>
      </c>
      <c r="J152" s="105">
        <v>49.36</v>
      </c>
      <c r="K152" s="105"/>
      <c r="L152" s="105">
        <v>154</v>
      </c>
      <c r="M152" s="4">
        <f t="shared" si="11"/>
        <v>16409.23</v>
      </c>
      <c r="N152" s="105"/>
      <c r="O152" s="105" t="s">
        <v>1609</v>
      </c>
    </row>
    <row r="153" spans="1:15">
      <c r="A153" s="361">
        <v>46182</v>
      </c>
      <c r="B153" s="105" t="s">
        <v>102</v>
      </c>
      <c r="C153" s="360">
        <v>0.6</v>
      </c>
      <c r="D153" s="360">
        <v>0.95</v>
      </c>
      <c r="E153" s="105">
        <v>179.216</v>
      </c>
      <c r="F153" s="105">
        <f t="shared" si="8"/>
        <v>150.5</v>
      </c>
      <c r="G153" s="170">
        <f t="shared" si="9"/>
        <v>28.716</v>
      </c>
      <c r="H153" s="105"/>
      <c r="I153" s="160">
        <f t="shared" si="10"/>
        <v>0.779952682796179</v>
      </c>
      <c r="J153" s="105">
        <v>44.8</v>
      </c>
      <c r="K153" s="105"/>
      <c r="L153" s="105">
        <v>139.78</v>
      </c>
      <c r="M153" s="4">
        <f t="shared" si="11"/>
        <v>16269.45</v>
      </c>
      <c r="N153" s="105"/>
      <c r="O153" s="105" t="s">
        <v>1609</v>
      </c>
    </row>
    <row r="154" spans="1:15">
      <c r="A154" s="361">
        <v>46182</v>
      </c>
      <c r="B154" s="105" t="s">
        <v>75</v>
      </c>
      <c r="C154" s="360">
        <v>0.22</v>
      </c>
      <c r="D154" s="360">
        <v>0.97</v>
      </c>
      <c r="E154" s="105">
        <v>359.651</v>
      </c>
      <c r="F154" s="105">
        <f t="shared" si="8"/>
        <v>322.5</v>
      </c>
      <c r="G154" s="170">
        <f t="shared" si="9"/>
        <v>37.151</v>
      </c>
      <c r="H154" s="105"/>
      <c r="I154" s="160">
        <f t="shared" si="10"/>
        <v>0.780006172650708</v>
      </c>
      <c r="J154" s="105">
        <v>89.91</v>
      </c>
      <c r="K154" s="105"/>
      <c r="L154" s="105">
        <v>280.53</v>
      </c>
      <c r="M154" s="4">
        <f t="shared" si="11"/>
        <v>15988.92</v>
      </c>
      <c r="N154" s="105"/>
      <c r="O154" s="105" t="s">
        <v>1609</v>
      </c>
    </row>
    <row r="155" spans="1:15">
      <c r="A155" s="361">
        <v>46182</v>
      </c>
      <c r="B155" s="105" t="s">
        <v>96</v>
      </c>
      <c r="C155" s="360">
        <v>0.15</v>
      </c>
      <c r="D155" s="360">
        <v>0.98</v>
      </c>
      <c r="E155" s="105">
        <v>402.785</v>
      </c>
      <c r="F155" s="105">
        <f t="shared" si="8"/>
        <v>356.9</v>
      </c>
      <c r="G155" s="170">
        <f t="shared" si="9"/>
        <v>45.885</v>
      </c>
      <c r="H155" s="105"/>
      <c r="I155" s="160">
        <f t="shared" si="10"/>
        <v>0.780019116898593</v>
      </c>
      <c r="J155" s="105">
        <v>100.7</v>
      </c>
      <c r="K155" s="105"/>
      <c r="L155" s="105">
        <v>314.18</v>
      </c>
      <c r="M155" s="4">
        <f t="shared" si="11"/>
        <v>15674.74</v>
      </c>
      <c r="N155" s="105"/>
      <c r="O155" s="105" t="s">
        <v>1609</v>
      </c>
    </row>
    <row r="156" spans="1:15">
      <c r="A156" s="361">
        <v>46182</v>
      </c>
      <c r="B156" s="105" t="s">
        <v>135</v>
      </c>
      <c r="C156" s="360">
        <v>0.43</v>
      </c>
      <c r="D156" s="360">
        <v>0.97</v>
      </c>
      <c r="E156" s="105">
        <v>252.162</v>
      </c>
      <c r="F156" s="105">
        <f t="shared" si="8"/>
        <v>232.2</v>
      </c>
      <c r="G156" s="105">
        <f t="shared" si="9"/>
        <v>19.962</v>
      </c>
      <c r="H156" s="105"/>
      <c r="I156" s="160">
        <f t="shared" si="10"/>
        <v>0.780014435164696</v>
      </c>
      <c r="J156" s="105">
        <v>63.04</v>
      </c>
      <c r="K156" s="105"/>
      <c r="L156" s="105">
        <v>196.69</v>
      </c>
      <c r="M156" s="4">
        <f t="shared" si="11"/>
        <v>15478.05</v>
      </c>
      <c r="N156" s="105"/>
      <c r="O156" s="105" t="s">
        <v>1609</v>
      </c>
    </row>
    <row r="157" spans="1:15">
      <c r="A157" s="361">
        <v>46182</v>
      </c>
      <c r="B157" s="105" t="s">
        <v>151</v>
      </c>
      <c r="C157" s="360">
        <v>0.37</v>
      </c>
      <c r="D157" s="360">
        <v>0.98</v>
      </c>
      <c r="E157" s="105">
        <v>277.826</v>
      </c>
      <c r="F157" s="105">
        <f t="shared" si="8"/>
        <v>262.3</v>
      </c>
      <c r="G157" s="105">
        <f t="shared" si="9"/>
        <v>15.526</v>
      </c>
      <c r="H157" s="105"/>
      <c r="I157" s="160">
        <f t="shared" si="10"/>
        <v>0.780020588425849</v>
      </c>
      <c r="J157" s="105">
        <v>69.46</v>
      </c>
      <c r="K157" s="105"/>
      <c r="L157" s="105">
        <v>216.71</v>
      </c>
      <c r="M157" s="4">
        <f t="shared" si="11"/>
        <v>15261.34</v>
      </c>
      <c r="N157" s="105"/>
      <c r="O157" s="105" t="s">
        <v>1609</v>
      </c>
    </row>
    <row r="158" spans="1:15">
      <c r="A158" s="361">
        <v>46182</v>
      </c>
      <c r="B158" s="105" t="s">
        <v>180</v>
      </c>
      <c r="C158" s="360">
        <v>0.29</v>
      </c>
      <c r="D158" s="360">
        <v>0.7</v>
      </c>
      <c r="E158" s="105">
        <v>188.336</v>
      </c>
      <c r="F158" s="105">
        <f t="shared" si="8"/>
        <v>176.3</v>
      </c>
      <c r="G158" s="105">
        <f t="shared" si="9"/>
        <v>12.036</v>
      </c>
      <c r="H158" s="105"/>
      <c r="I158" s="160">
        <f t="shared" si="10"/>
        <v>0.779988955908589</v>
      </c>
      <c r="J158" s="105">
        <v>47.08</v>
      </c>
      <c r="K158" s="105"/>
      <c r="L158" s="105">
        <v>146.9</v>
      </c>
      <c r="M158" s="4">
        <f t="shared" si="11"/>
        <v>15114.44</v>
      </c>
      <c r="N158" s="105"/>
      <c r="O158" s="105" t="s">
        <v>1609</v>
      </c>
    </row>
    <row r="159" spans="1:15">
      <c r="A159" s="361">
        <v>46182</v>
      </c>
      <c r="B159" s="105" t="s">
        <v>63</v>
      </c>
      <c r="C159" s="360">
        <v>0.45</v>
      </c>
      <c r="D159" s="360">
        <v>0.98</v>
      </c>
      <c r="E159" s="105">
        <v>254.452</v>
      </c>
      <c r="F159" s="105">
        <f t="shared" si="8"/>
        <v>227.9</v>
      </c>
      <c r="G159" s="170">
        <f t="shared" si="9"/>
        <v>26.552</v>
      </c>
      <c r="H159" s="105"/>
      <c r="I159" s="160">
        <f t="shared" si="10"/>
        <v>0.779989939163379</v>
      </c>
      <c r="J159" s="105">
        <v>63.61</v>
      </c>
      <c r="K159" s="105"/>
      <c r="L159" s="105">
        <v>198.47</v>
      </c>
      <c r="M159" s="4">
        <f t="shared" si="11"/>
        <v>14915.97</v>
      </c>
      <c r="N159" s="105"/>
      <c r="O159" s="105" t="s">
        <v>1609</v>
      </c>
    </row>
    <row r="160" spans="1:15">
      <c r="A160" s="358">
        <v>46183</v>
      </c>
      <c r="B160" s="359" t="s">
        <v>108</v>
      </c>
      <c r="C160" s="360">
        <v>0.72</v>
      </c>
      <c r="D160" s="360">
        <v>0.9</v>
      </c>
      <c r="E160" s="359">
        <v>83.237</v>
      </c>
      <c r="F160" s="105">
        <f t="shared" si="8"/>
        <v>77.4</v>
      </c>
      <c r="G160" s="105">
        <f t="shared" si="9"/>
        <v>5.83699999999997</v>
      </c>
      <c r="H160" s="105"/>
      <c r="I160" s="160">
        <f t="shared" si="10"/>
        <v>0.780061751384601</v>
      </c>
      <c r="J160" s="359">
        <v>20.81</v>
      </c>
      <c r="K160" s="105"/>
      <c r="L160" s="359">
        <v>64.93</v>
      </c>
      <c r="M160" s="4">
        <f t="shared" si="11"/>
        <v>14851.04</v>
      </c>
      <c r="N160" s="105"/>
      <c r="O160" s="105" t="s">
        <v>1609</v>
      </c>
    </row>
    <row r="161" spans="1:15">
      <c r="A161" s="361">
        <v>46183</v>
      </c>
      <c r="B161" s="105" t="s">
        <v>132</v>
      </c>
      <c r="C161" s="360">
        <v>0.5</v>
      </c>
      <c r="D161" s="360">
        <v>0.92</v>
      </c>
      <c r="E161" s="105">
        <v>195.857</v>
      </c>
      <c r="F161" s="105">
        <f t="shared" si="8"/>
        <v>180.6</v>
      </c>
      <c r="G161" s="105">
        <f t="shared" si="9"/>
        <v>15.257</v>
      </c>
      <c r="H161" s="105"/>
      <c r="I161" s="160">
        <f t="shared" si="10"/>
        <v>0.779956805220135</v>
      </c>
      <c r="J161" s="105">
        <v>48.96</v>
      </c>
      <c r="K161" s="105"/>
      <c r="L161" s="105">
        <v>152.76</v>
      </c>
      <c r="M161" s="4">
        <f t="shared" si="11"/>
        <v>14698.28</v>
      </c>
      <c r="N161" s="105"/>
      <c r="O161" s="105" t="s">
        <v>1609</v>
      </c>
    </row>
    <row r="162" spans="1:15">
      <c r="A162" s="361">
        <v>46183</v>
      </c>
      <c r="B162" s="105" t="s">
        <v>141</v>
      </c>
      <c r="C162" s="360">
        <v>0.2</v>
      </c>
      <c r="D162" s="360">
        <v>0.98</v>
      </c>
      <c r="E162" s="105">
        <v>356.742</v>
      </c>
      <c r="F162" s="105">
        <f t="shared" si="8"/>
        <v>335.4</v>
      </c>
      <c r="G162" s="170">
        <f t="shared" si="9"/>
        <v>21.342</v>
      </c>
      <c r="H162" s="105"/>
      <c r="I162" s="160">
        <f t="shared" si="10"/>
        <v>0.780003475901352</v>
      </c>
      <c r="J162" s="105">
        <v>89.19</v>
      </c>
      <c r="K162" s="105"/>
      <c r="L162" s="105">
        <v>278.26</v>
      </c>
      <c r="M162" s="4">
        <f t="shared" si="11"/>
        <v>14420.02</v>
      </c>
      <c r="N162" s="105"/>
      <c r="O162" s="105" t="s">
        <v>1609</v>
      </c>
    </row>
    <row r="163" spans="1:15">
      <c r="A163" s="361">
        <v>46183</v>
      </c>
      <c r="B163" s="105" t="s">
        <v>144</v>
      </c>
      <c r="C163" s="360">
        <v>0.21</v>
      </c>
      <c r="D163" s="360">
        <v>0.98</v>
      </c>
      <c r="E163" s="105">
        <v>348.846</v>
      </c>
      <c r="F163" s="105">
        <f t="shared" si="8"/>
        <v>331.1</v>
      </c>
      <c r="G163" s="105">
        <f t="shared" si="9"/>
        <v>17.746</v>
      </c>
      <c r="H163" s="105"/>
      <c r="I163" s="160">
        <f t="shared" si="10"/>
        <v>0.780000343991331</v>
      </c>
      <c r="J163" s="105">
        <v>87.21</v>
      </c>
      <c r="K163" s="105"/>
      <c r="L163" s="105">
        <v>272.1</v>
      </c>
      <c r="M163" s="4">
        <f t="shared" si="11"/>
        <v>14147.92</v>
      </c>
      <c r="N163" s="105"/>
      <c r="O163" s="105" t="s">
        <v>1609</v>
      </c>
    </row>
    <row r="164" spans="1:15">
      <c r="A164" s="361">
        <v>46183</v>
      </c>
      <c r="B164" s="105" t="s">
        <v>96</v>
      </c>
      <c r="C164" s="360">
        <v>0.44</v>
      </c>
      <c r="D164" s="360">
        <v>0.98</v>
      </c>
      <c r="E164" s="105">
        <v>273.941</v>
      </c>
      <c r="F164" s="105">
        <f t="shared" si="8"/>
        <v>232.2</v>
      </c>
      <c r="G164" s="170">
        <f t="shared" si="9"/>
        <v>41.741</v>
      </c>
      <c r="H164" s="105"/>
      <c r="I164" s="160">
        <f t="shared" si="10"/>
        <v>0.780021975534878</v>
      </c>
      <c r="J164" s="105">
        <v>68.49</v>
      </c>
      <c r="K164" s="105"/>
      <c r="L164" s="105">
        <v>213.68</v>
      </c>
      <c r="M164" s="4">
        <f t="shared" si="11"/>
        <v>13934.24</v>
      </c>
      <c r="N164" s="105"/>
      <c r="O164" s="105" t="s">
        <v>1609</v>
      </c>
    </row>
    <row r="165" spans="1:15">
      <c r="A165" s="361">
        <v>46183</v>
      </c>
      <c r="B165" s="105" t="s">
        <v>124</v>
      </c>
      <c r="C165" s="360">
        <v>0.32</v>
      </c>
      <c r="D165" s="360">
        <v>0.96</v>
      </c>
      <c r="E165" s="105">
        <v>282.903</v>
      </c>
      <c r="F165" s="105">
        <f t="shared" si="8"/>
        <v>275.2</v>
      </c>
      <c r="G165" s="105">
        <f t="shared" si="9"/>
        <v>7.70300000000009</v>
      </c>
      <c r="H165" s="105"/>
      <c r="I165" s="160">
        <f t="shared" si="10"/>
        <v>0.780020006857474</v>
      </c>
      <c r="J165" s="105">
        <v>70.73</v>
      </c>
      <c r="K165" s="105"/>
      <c r="L165" s="105">
        <v>220.67</v>
      </c>
      <c r="M165" s="4">
        <f t="shared" si="11"/>
        <v>13713.57</v>
      </c>
      <c r="N165" s="105"/>
      <c r="O165" s="105" t="s">
        <v>1609</v>
      </c>
    </row>
    <row r="166" spans="1:15">
      <c r="A166" s="361">
        <v>46183</v>
      </c>
      <c r="B166" s="105" t="s">
        <v>172</v>
      </c>
      <c r="C166" s="360">
        <v>0.46</v>
      </c>
      <c r="D166" s="360">
        <v>0.46</v>
      </c>
      <c r="E166" s="105">
        <v>1.762</v>
      </c>
      <c r="F166" s="105">
        <f t="shared" si="8"/>
        <v>0</v>
      </c>
      <c r="G166" s="105">
        <f t="shared" si="9"/>
        <v>1.762</v>
      </c>
      <c r="H166" s="105"/>
      <c r="I166" s="160">
        <f t="shared" si="10"/>
        <v>0.777525539160045</v>
      </c>
      <c r="J166" s="105">
        <v>0.44</v>
      </c>
      <c r="K166" s="105"/>
      <c r="L166" s="105">
        <v>1.37</v>
      </c>
      <c r="M166" s="4">
        <f t="shared" si="11"/>
        <v>13712.2</v>
      </c>
      <c r="N166" s="105"/>
      <c r="O166" s="105" t="s">
        <v>1609</v>
      </c>
    </row>
    <row r="167" spans="1:15">
      <c r="A167" s="361">
        <v>46183</v>
      </c>
      <c r="B167" s="105" t="s">
        <v>172</v>
      </c>
      <c r="C167" s="360">
        <v>0.47</v>
      </c>
      <c r="D167" s="360">
        <v>0.98</v>
      </c>
      <c r="E167" s="105">
        <v>211.073</v>
      </c>
      <c r="F167" s="105">
        <f t="shared" si="8"/>
        <v>219.3</v>
      </c>
      <c r="G167" s="105">
        <f t="shared" si="9"/>
        <v>-8.227</v>
      </c>
      <c r="H167" s="105"/>
      <c r="I167" s="160">
        <f t="shared" si="10"/>
        <v>0.780014497353996</v>
      </c>
      <c r="J167" s="105">
        <v>52.77</v>
      </c>
      <c r="K167" s="105"/>
      <c r="L167" s="105">
        <v>164.64</v>
      </c>
      <c r="M167" s="4">
        <f t="shared" si="11"/>
        <v>13547.56</v>
      </c>
      <c r="N167" s="105"/>
      <c r="O167" s="105" t="s">
        <v>1609</v>
      </c>
    </row>
    <row r="168" spans="1:15">
      <c r="A168" s="361">
        <v>46183</v>
      </c>
      <c r="B168" s="105" t="s">
        <v>102</v>
      </c>
      <c r="C168" s="360">
        <v>0.38</v>
      </c>
      <c r="D168" s="360">
        <v>0.97</v>
      </c>
      <c r="E168" s="105">
        <v>290.694</v>
      </c>
      <c r="F168" s="105">
        <f t="shared" si="8"/>
        <v>253.7</v>
      </c>
      <c r="G168" s="170">
        <f t="shared" si="9"/>
        <v>36.994</v>
      </c>
      <c r="H168" s="105"/>
      <c r="I168" s="160">
        <f t="shared" si="10"/>
        <v>0.779995459142604</v>
      </c>
      <c r="J168" s="105">
        <v>72.67</v>
      </c>
      <c r="K168" s="105"/>
      <c r="L168" s="105">
        <v>226.74</v>
      </c>
      <c r="M168" s="4">
        <f t="shared" si="11"/>
        <v>13320.82</v>
      </c>
      <c r="N168" s="105"/>
      <c r="O168" s="105" t="s">
        <v>1609</v>
      </c>
    </row>
    <row r="169" spans="1:15">
      <c r="A169" s="361">
        <v>46183</v>
      </c>
      <c r="B169" s="105" t="s">
        <v>57</v>
      </c>
      <c r="C169" s="360">
        <v>0.32</v>
      </c>
      <c r="D169" s="360">
        <v>0.34</v>
      </c>
      <c r="E169" s="105">
        <v>8.944</v>
      </c>
      <c r="F169" s="105">
        <f t="shared" si="8"/>
        <v>8.60000000000001</v>
      </c>
      <c r="G169" s="105">
        <f t="shared" si="9"/>
        <v>0.343999999999992</v>
      </c>
      <c r="H169" s="105"/>
      <c r="I169" s="160">
        <f t="shared" si="10"/>
        <v>0.7804114490161</v>
      </c>
      <c r="J169" s="105">
        <v>2.24</v>
      </c>
      <c r="K169" s="105"/>
      <c r="L169" s="105">
        <v>6.98</v>
      </c>
      <c r="M169" s="4">
        <f t="shared" si="11"/>
        <v>13313.84</v>
      </c>
      <c r="N169" s="105"/>
      <c r="O169" s="105" t="s">
        <v>1609</v>
      </c>
    </row>
    <row r="170" spans="1:15">
      <c r="A170" s="361">
        <v>46183</v>
      </c>
      <c r="B170" s="105" t="s">
        <v>57</v>
      </c>
      <c r="C170" s="360">
        <v>0.34</v>
      </c>
      <c r="D170" s="360">
        <v>0.97</v>
      </c>
      <c r="E170" s="105">
        <v>276.132</v>
      </c>
      <c r="F170" s="105">
        <f t="shared" si="8"/>
        <v>270.9</v>
      </c>
      <c r="G170" s="105">
        <f t="shared" si="9"/>
        <v>5.23200000000003</v>
      </c>
      <c r="H170" s="105"/>
      <c r="I170" s="160">
        <f t="shared" si="10"/>
        <v>0.779989280489041</v>
      </c>
      <c r="J170" s="105">
        <v>69.03</v>
      </c>
      <c r="K170" s="105"/>
      <c r="L170" s="105">
        <v>215.38</v>
      </c>
      <c r="M170" s="4">
        <f t="shared" si="11"/>
        <v>13098.46</v>
      </c>
      <c r="N170" s="105"/>
      <c r="O170" s="105" t="s">
        <v>1609</v>
      </c>
    </row>
    <row r="171" spans="1:15">
      <c r="A171" s="361">
        <v>46183</v>
      </c>
      <c r="B171" s="105" t="s">
        <v>135</v>
      </c>
      <c r="C171" s="360">
        <v>0.42</v>
      </c>
      <c r="D171" s="360">
        <v>0.93</v>
      </c>
      <c r="E171" s="105">
        <v>235.694</v>
      </c>
      <c r="F171" s="105">
        <f t="shared" si="8"/>
        <v>219.3</v>
      </c>
      <c r="G171" s="105">
        <f t="shared" si="9"/>
        <v>16.394</v>
      </c>
      <c r="H171" s="105"/>
      <c r="I171" s="160">
        <f t="shared" si="10"/>
        <v>0.779994399518019</v>
      </c>
      <c r="J171" s="105">
        <v>58.92</v>
      </c>
      <c r="K171" s="105"/>
      <c r="L171" s="105">
        <v>183.84</v>
      </c>
      <c r="M171" s="4">
        <f t="shared" si="11"/>
        <v>12914.62</v>
      </c>
      <c r="N171" s="105"/>
      <c r="O171" s="105" t="s">
        <v>1609</v>
      </c>
    </row>
    <row r="172" spans="1:15">
      <c r="A172" s="361">
        <v>46183</v>
      </c>
      <c r="B172" s="105" t="s">
        <v>177</v>
      </c>
      <c r="C172" s="360">
        <v>0.13</v>
      </c>
      <c r="D172" s="360">
        <v>0.98</v>
      </c>
      <c r="E172" s="105">
        <v>387.487</v>
      </c>
      <c r="F172" s="105">
        <f t="shared" si="8"/>
        <v>365.5</v>
      </c>
      <c r="G172" s="170">
        <f t="shared" si="9"/>
        <v>21.987</v>
      </c>
      <c r="H172" s="105"/>
      <c r="I172" s="160">
        <f t="shared" si="10"/>
        <v>0.780000361302444</v>
      </c>
      <c r="J172" s="105">
        <v>96.87</v>
      </c>
      <c r="K172" s="105"/>
      <c r="L172" s="105">
        <v>302.24</v>
      </c>
      <c r="M172" s="4">
        <f t="shared" si="11"/>
        <v>12612.38</v>
      </c>
      <c r="N172" s="105"/>
      <c r="O172" s="105" t="s">
        <v>1609</v>
      </c>
    </row>
    <row r="173" spans="1:15">
      <c r="A173" s="361">
        <v>46183</v>
      </c>
      <c r="B173" s="105" t="s">
        <v>54</v>
      </c>
      <c r="C173" s="360">
        <v>0.35</v>
      </c>
      <c r="D173" s="360">
        <v>0.98</v>
      </c>
      <c r="E173" s="105">
        <v>274.719</v>
      </c>
      <c r="F173" s="105">
        <f t="shared" si="8"/>
        <v>270.9</v>
      </c>
      <c r="G173" s="105">
        <f t="shared" si="9"/>
        <v>3.81900000000002</v>
      </c>
      <c r="H173" s="105"/>
      <c r="I173" s="160">
        <f t="shared" si="10"/>
        <v>0.779997015131826</v>
      </c>
      <c r="J173" s="105">
        <v>68.68</v>
      </c>
      <c r="K173" s="105"/>
      <c r="L173" s="105">
        <v>214.28</v>
      </c>
      <c r="M173" s="4">
        <f t="shared" si="11"/>
        <v>12398.1</v>
      </c>
      <c r="N173" s="105"/>
      <c r="O173" s="105" t="s">
        <v>1609</v>
      </c>
    </row>
    <row r="174" spans="1:15">
      <c r="A174" s="361">
        <v>46183</v>
      </c>
      <c r="B174" s="105" t="s">
        <v>127</v>
      </c>
      <c r="C174" s="360">
        <v>0.45</v>
      </c>
      <c r="D174" s="360">
        <v>0.98</v>
      </c>
      <c r="E174" s="105">
        <v>236.065</v>
      </c>
      <c r="F174" s="105">
        <f t="shared" si="8"/>
        <v>227.9</v>
      </c>
      <c r="G174" s="105">
        <f t="shared" si="9"/>
        <v>8.16499999999999</v>
      </c>
      <c r="H174" s="105"/>
      <c r="I174" s="160">
        <f t="shared" si="10"/>
        <v>0.779997034715015</v>
      </c>
      <c r="J174" s="105">
        <v>59.02</v>
      </c>
      <c r="K174" s="105"/>
      <c r="L174" s="105">
        <v>184.13</v>
      </c>
      <c r="M174" s="4">
        <f t="shared" si="11"/>
        <v>12213.97</v>
      </c>
      <c r="N174" s="105"/>
      <c r="O174" s="105" t="s">
        <v>1609</v>
      </c>
    </row>
    <row r="175" spans="1:15">
      <c r="A175" s="361">
        <v>46183</v>
      </c>
      <c r="B175" s="105" t="s">
        <v>72</v>
      </c>
      <c r="C175" s="360">
        <v>0.19</v>
      </c>
      <c r="D175" s="360">
        <v>0.98</v>
      </c>
      <c r="E175" s="105">
        <v>385.993</v>
      </c>
      <c r="F175" s="105">
        <f t="shared" si="8"/>
        <v>339.7</v>
      </c>
      <c r="G175" s="170">
        <f t="shared" si="9"/>
        <v>46.293</v>
      </c>
      <c r="H175" s="105"/>
      <c r="I175" s="160">
        <f t="shared" si="10"/>
        <v>0.780014145334242</v>
      </c>
      <c r="J175" s="105">
        <v>96.5</v>
      </c>
      <c r="K175" s="105"/>
      <c r="L175" s="105">
        <v>301.08</v>
      </c>
      <c r="M175" s="4">
        <f t="shared" si="11"/>
        <v>11912.89</v>
      </c>
      <c r="N175" s="105"/>
      <c r="O175" s="105" t="s">
        <v>1609</v>
      </c>
    </row>
    <row r="176" spans="1:15">
      <c r="A176" s="361">
        <v>46183</v>
      </c>
      <c r="B176" s="105" t="s">
        <v>93</v>
      </c>
      <c r="C176" s="360">
        <v>0.15</v>
      </c>
      <c r="D176" s="360">
        <v>0.98</v>
      </c>
      <c r="E176" s="105">
        <v>427.247</v>
      </c>
      <c r="F176" s="105">
        <f t="shared" si="8"/>
        <v>356.9</v>
      </c>
      <c r="G176" s="170">
        <f t="shared" si="9"/>
        <v>70.347</v>
      </c>
      <c r="H176" s="105"/>
      <c r="I176" s="160">
        <f t="shared" si="10"/>
        <v>0.779993774093206</v>
      </c>
      <c r="J176" s="105">
        <v>106.81</v>
      </c>
      <c r="K176" s="105"/>
      <c r="L176" s="105">
        <v>333.25</v>
      </c>
      <c r="M176" s="4">
        <f t="shared" si="11"/>
        <v>11579.64</v>
      </c>
      <c r="N176" s="105"/>
      <c r="O176" s="105" t="s">
        <v>1609</v>
      </c>
    </row>
    <row r="177" spans="1:15">
      <c r="A177" s="361">
        <v>46183</v>
      </c>
      <c r="B177" s="105" t="s">
        <v>63</v>
      </c>
      <c r="C177" s="360">
        <v>0.47</v>
      </c>
      <c r="D177" s="360">
        <v>0.92</v>
      </c>
      <c r="E177" s="105">
        <v>214.667</v>
      </c>
      <c r="F177" s="105">
        <f t="shared" si="8"/>
        <v>193.5</v>
      </c>
      <c r="G177" s="170">
        <f t="shared" si="9"/>
        <v>21.167</v>
      </c>
      <c r="H177" s="105"/>
      <c r="I177" s="160">
        <f t="shared" si="10"/>
        <v>0.779998788821756</v>
      </c>
      <c r="J177" s="105">
        <v>53.67</v>
      </c>
      <c r="K177" s="105"/>
      <c r="L177" s="105">
        <v>167.44</v>
      </c>
      <c r="M177" s="4">
        <f t="shared" si="11"/>
        <v>11412.2</v>
      </c>
      <c r="N177" s="105"/>
      <c r="O177" s="105" t="s">
        <v>1609</v>
      </c>
    </row>
    <row r="178" spans="1:15">
      <c r="A178" s="361">
        <v>46183</v>
      </c>
      <c r="B178" s="105" t="s">
        <v>117</v>
      </c>
      <c r="C178" s="360">
        <v>0.46</v>
      </c>
      <c r="D178" s="360">
        <v>0.92</v>
      </c>
      <c r="E178" s="105">
        <v>203.36</v>
      </c>
      <c r="F178" s="105">
        <f t="shared" si="8"/>
        <v>197.8</v>
      </c>
      <c r="G178" s="105">
        <f t="shared" si="9"/>
        <v>5.56</v>
      </c>
      <c r="H178" s="105"/>
      <c r="I178" s="160">
        <f t="shared" si="10"/>
        <v>0.779996066089693</v>
      </c>
      <c r="J178" s="105">
        <v>50.84</v>
      </c>
      <c r="K178" s="105"/>
      <c r="L178" s="105">
        <v>158.62</v>
      </c>
      <c r="M178" s="4">
        <f t="shared" si="11"/>
        <v>11253.58</v>
      </c>
      <c r="N178" s="105"/>
      <c r="O178" s="105" t="s">
        <v>1609</v>
      </c>
    </row>
    <row r="179" spans="1:15">
      <c r="A179" s="361">
        <v>46183</v>
      </c>
      <c r="B179" s="105" t="s">
        <v>151</v>
      </c>
      <c r="C179" s="360">
        <v>0.39</v>
      </c>
      <c r="D179" s="360">
        <v>0.98</v>
      </c>
      <c r="E179" s="105">
        <v>270.598</v>
      </c>
      <c r="F179" s="105">
        <f t="shared" si="8"/>
        <v>253.7</v>
      </c>
      <c r="G179" s="105">
        <f t="shared" si="9"/>
        <v>16.898</v>
      </c>
      <c r="H179" s="105"/>
      <c r="I179" s="160">
        <f t="shared" si="10"/>
        <v>0.780013156046977</v>
      </c>
      <c r="J179" s="105">
        <v>67.65</v>
      </c>
      <c r="K179" s="105"/>
      <c r="L179" s="105">
        <v>211.07</v>
      </c>
      <c r="M179" s="4">
        <f t="shared" si="11"/>
        <v>11042.51</v>
      </c>
      <c r="N179" s="105"/>
      <c r="O179" s="105" t="s">
        <v>1609</v>
      </c>
    </row>
    <row r="180" spans="1:15">
      <c r="A180" s="361">
        <v>46183</v>
      </c>
      <c r="B180" s="105" t="s">
        <v>174</v>
      </c>
      <c r="C180" s="360">
        <v>0.37</v>
      </c>
      <c r="D180" s="360">
        <v>0.98</v>
      </c>
      <c r="E180" s="105">
        <v>279.16</v>
      </c>
      <c r="F180" s="105">
        <f t="shared" si="8"/>
        <v>262.3</v>
      </c>
      <c r="G180" s="105">
        <f t="shared" si="9"/>
        <v>16.86</v>
      </c>
      <c r="H180" s="105"/>
      <c r="I180" s="160">
        <f t="shared" si="10"/>
        <v>0.779982805559536</v>
      </c>
      <c r="J180" s="105">
        <v>69.79</v>
      </c>
      <c r="K180" s="105"/>
      <c r="L180" s="105">
        <v>217.74</v>
      </c>
      <c r="M180" s="4">
        <f t="shared" si="11"/>
        <v>10824.77</v>
      </c>
      <c r="N180" s="105"/>
      <c r="O180" s="105" t="s">
        <v>1609</v>
      </c>
    </row>
    <row r="181" spans="1:15">
      <c r="A181" s="358">
        <v>46184</v>
      </c>
      <c r="B181" s="359" t="s">
        <v>141</v>
      </c>
      <c r="C181" s="360">
        <v>0.28</v>
      </c>
      <c r="D181" s="360">
        <v>0.97</v>
      </c>
      <c r="E181" s="359">
        <v>321.948</v>
      </c>
      <c r="F181" s="105">
        <f t="shared" si="8"/>
        <v>296.7</v>
      </c>
      <c r="G181" s="170">
        <f t="shared" si="9"/>
        <v>25.248</v>
      </c>
      <c r="H181" s="105"/>
      <c r="I181" s="160">
        <f t="shared" si="10"/>
        <v>0.780001739411334</v>
      </c>
      <c r="J181" s="359">
        <v>80.49</v>
      </c>
      <c r="K181" s="105"/>
      <c r="L181" s="359">
        <v>251.12</v>
      </c>
      <c r="M181" s="4">
        <f t="shared" si="11"/>
        <v>10573.65</v>
      </c>
      <c r="N181" s="105"/>
      <c r="O181" s="105" t="s">
        <v>1609</v>
      </c>
    </row>
    <row r="182" spans="1:15">
      <c r="A182" s="361">
        <v>46184</v>
      </c>
      <c r="B182" s="105" t="s">
        <v>144</v>
      </c>
      <c r="C182" s="360">
        <v>0.3</v>
      </c>
      <c r="D182" s="360">
        <v>0.98</v>
      </c>
      <c r="E182" s="105">
        <v>310.982</v>
      </c>
      <c r="F182" s="105">
        <f t="shared" si="8"/>
        <v>292.4</v>
      </c>
      <c r="G182" s="105">
        <f t="shared" si="9"/>
        <v>18.5820000000001</v>
      </c>
      <c r="H182" s="105"/>
      <c r="I182" s="160">
        <f t="shared" si="10"/>
        <v>0.780012991105594</v>
      </c>
      <c r="J182" s="105">
        <v>77.75</v>
      </c>
      <c r="K182" s="105"/>
      <c r="L182" s="105">
        <v>242.57</v>
      </c>
      <c r="M182" s="4">
        <f t="shared" si="11"/>
        <v>10331.08</v>
      </c>
      <c r="N182" s="105"/>
      <c r="O182" s="105" t="s">
        <v>1609</v>
      </c>
    </row>
    <row r="183" spans="1:15">
      <c r="A183" s="361">
        <v>46184</v>
      </c>
      <c r="B183" s="105" t="s">
        <v>108</v>
      </c>
      <c r="C183" s="360">
        <v>0.44</v>
      </c>
      <c r="D183" s="360">
        <v>0.98</v>
      </c>
      <c r="E183" s="105">
        <v>265.447</v>
      </c>
      <c r="F183" s="105">
        <f t="shared" si="8"/>
        <v>232.2</v>
      </c>
      <c r="G183" s="170">
        <f t="shared" si="9"/>
        <v>33.247</v>
      </c>
      <c r="H183" s="105"/>
      <c r="I183" s="160">
        <f t="shared" si="10"/>
        <v>0.780005048088696</v>
      </c>
      <c r="J183" s="105">
        <v>66.36</v>
      </c>
      <c r="K183" s="105"/>
      <c r="L183" s="105">
        <v>207.05</v>
      </c>
      <c r="M183" s="4">
        <f t="shared" si="11"/>
        <v>10124.03</v>
      </c>
      <c r="N183" s="105"/>
      <c r="O183" s="105" t="s">
        <v>1609</v>
      </c>
    </row>
    <row r="184" spans="1:15">
      <c r="A184" s="361">
        <v>46184</v>
      </c>
      <c r="B184" s="105" t="s">
        <v>132</v>
      </c>
      <c r="C184" s="360">
        <v>0.36</v>
      </c>
      <c r="D184" s="360">
        <v>0.9</v>
      </c>
      <c r="E184" s="105">
        <v>247.72</v>
      </c>
      <c r="F184" s="105">
        <f t="shared" si="8"/>
        <v>232.2</v>
      </c>
      <c r="G184" s="105">
        <f t="shared" si="9"/>
        <v>15.52</v>
      </c>
      <c r="H184" s="105"/>
      <c r="I184" s="160">
        <f t="shared" si="10"/>
        <v>0.779993541094784</v>
      </c>
      <c r="J184" s="105">
        <v>61.93</v>
      </c>
      <c r="K184" s="105"/>
      <c r="L184" s="105">
        <v>193.22</v>
      </c>
      <c r="M184" s="4">
        <f t="shared" si="11"/>
        <v>9930.81</v>
      </c>
      <c r="N184" s="105"/>
      <c r="O184" s="105" t="s">
        <v>1609</v>
      </c>
    </row>
    <row r="185" spans="1:15">
      <c r="A185" s="361">
        <v>46184</v>
      </c>
      <c r="B185" s="105" t="s">
        <v>172</v>
      </c>
      <c r="C185" s="360">
        <v>0.43</v>
      </c>
      <c r="D185" s="360">
        <v>0.98</v>
      </c>
      <c r="E185" s="105">
        <v>241.386</v>
      </c>
      <c r="F185" s="105">
        <f t="shared" si="8"/>
        <v>236.5</v>
      </c>
      <c r="G185" s="105">
        <f t="shared" si="9"/>
        <v>4.88599999999997</v>
      </c>
      <c r="H185" s="105"/>
      <c r="I185" s="160">
        <f t="shared" si="10"/>
        <v>0.779995525838284</v>
      </c>
      <c r="J185" s="105">
        <v>60.35</v>
      </c>
      <c r="K185" s="105"/>
      <c r="L185" s="105">
        <v>188.28</v>
      </c>
      <c r="M185" s="4">
        <f t="shared" si="11"/>
        <v>9742.53</v>
      </c>
      <c r="N185" s="105"/>
      <c r="O185" s="105" t="s">
        <v>1609</v>
      </c>
    </row>
    <row r="186" spans="1:15">
      <c r="A186" s="361">
        <v>46184</v>
      </c>
      <c r="B186" s="105" t="s">
        <v>72</v>
      </c>
      <c r="C186" s="360">
        <v>0.52</v>
      </c>
      <c r="D186" s="360">
        <v>0.98</v>
      </c>
      <c r="E186" s="105">
        <v>232.922</v>
      </c>
      <c r="F186" s="105">
        <f t="shared" si="8"/>
        <v>197.8</v>
      </c>
      <c r="G186" s="170">
        <f t="shared" si="9"/>
        <v>35.122</v>
      </c>
      <c r="H186" s="105"/>
      <c r="I186" s="160">
        <f t="shared" si="10"/>
        <v>0.780003606357493</v>
      </c>
      <c r="J186" s="105">
        <v>58.23</v>
      </c>
      <c r="K186" s="105"/>
      <c r="L186" s="105">
        <v>181.68</v>
      </c>
      <c r="M186" s="4">
        <f t="shared" si="11"/>
        <v>9560.85</v>
      </c>
      <c r="N186" s="105"/>
      <c r="O186" s="105" t="s">
        <v>1609</v>
      </c>
    </row>
    <row r="187" spans="1:15">
      <c r="A187" s="361">
        <v>46184</v>
      </c>
      <c r="B187" s="105" t="s">
        <v>177</v>
      </c>
      <c r="C187" s="360">
        <v>0.42</v>
      </c>
      <c r="D187" s="360">
        <v>0.92</v>
      </c>
      <c r="E187" s="105">
        <v>228.706</v>
      </c>
      <c r="F187" s="105">
        <f t="shared" si="8"/>
        <v>215</v>
      </c>
      <c r="G187" s="105">
        <f t="shared" si="9"/>
        <v>13.706</v>
      </c>
      <c r="H187" s="105"/>
      <c r="I187" s="160">
        <f t="shared" si="10"/>
        <v>0.779997026750501</v>
      </c>
      <c r="J187" s="105">
        <v>57.18</v>
      </c>
      <c r="K187" s="105"/>
      <c r="L187" s="105">
        <v>178.39</v>
      </c>
      <c r="M187" s="4">
        <f t="shared" si="11"/>
        <v>9382.46</v>
      </c>
      <c r="N187" s="105"/>
      <c r="O187" s="105" t="s">
        <v>1609</v>
      </c>
    </row>
    <row r="188" spans="1:15">
      <c r="A188" s="361">
        <v>46184</v>
      </c>
      <c r="B188" s="105" t="s">
        <v>102</v>
      </c>
      <c r="C188" s="360">
        <v>0.3</v>
      </c>
      <c r="D188" s="360">
        <v>0.98</v>
      </c>
      <c r="E188" s="105">
        <v>328.499</v>
      </c>
      <c r="F188" s="105">
        <f t="shared" si="8"/>
        <v>292.4</v>
      </c>
      <c r="G188" s="170">
        <f t="shared" si="9"/>
        <v>36.099</v>
      </c>
      <c r="H188" s="105"/>
      <c r="I188" s="160">
        <f t="shared" si="10"/>
        <v>0.779971932943479</v>
      </c>
      <c r="J188" s="105">
        <v>82.12</v>
      </c>
      <c r="K188" s="105"/>
      <c r="L188" s="105">
        <v>256.22</v>
      </c>
      <c r="M188" s="4">
        <f t="shared" si="11"/>
        <v>9126.24</v>
      </c>
      <c r="N188" s="105"/>
      <c r="O188" s="105" t="s">
        <v>1609</v>
      </c>
    </row>
    <row r="189" spans="1:15">
      <c r="A189" s="361">
        <v>46184</v>
      </c>
      <c r="B189" s="105" t="s">
        <v>93</v>
      </c>
      <c r="C189" s="360">
        <v>0.43</v>
      </c>
      <c r="D189" s="360">
        <v>0.98</v>
      </c>
      <c r="E189" s="105">
        <v>284.75</v>
      </c>
      <c r="F189" s="105">
        <f t="shared" si="8"/>
        <v>236.5</v>
      </c>
      <c r="G189" s="170">
        <f t="shared" si="9"/>
        <v>48.25</v>
      </c>
      <c r="H189" s="105"/>
      <c r="I189" s="160">
        <f t="shared" si="10"/>
        <v>0.780017559262511</v>
      </c>
      <c r="J189" s="105">
        <v>71.19</v>
      </c>
      <c r="K189" s="105"/>
      <c r="L189" s="105">
        <v>222.11</v>
      </c>
      <c r="M189" s="4">
        <f t="shared" si="11"/>
        <v>8904.13</v>
      </c>
      <c r="N189" s="105"/>
      <c r="O189" s="105" t="s">
        <v>1609</v>
      </c>
    </row>
    <row r="190" spans="1:15">
      <c r="A190" s="361">
        <v>46184</v>
      </c>
      <c r="B190" s="105" t="s">
        <v>57</v>
      </c>
      <c r="C190" s="360">
        <v>0.72</v>
      </c>
      <c r="D190" s="360">
        <v>0.96</v>
      </c>
      <c r="E190" s="105">
        <v>104.993</v>
      </c>
      <c r="F190" s="105">
        <f t="shared" si="8"/>
        <v>103.2</v>
      </c>
      <c r="G190" s="105">
        <f t="shared" si="9"/>
        <v>1.79299999999999</v>
      </c>
      <c r="H190" s="105"/>
      <c r="I190" s="160">
        <f t="shared" si="10"/>
        <v>0.780052003466898</v>
      </c>
      <c r="J190" s="105">
        <v>26.25</v>
      </c>
      <c r="K190" s="105"/>
      <c r="L190" s="105">
        <v>81.9</v>
      </c>
      <c r="M190" s="4">
        <f t="shared" si="11"/>
        <v>8822.23</v>
      </c>
      <c r="N190" s="105"/>
      <c r="O190" s="105" t="s">
        <v>1609</v>
      </c>
    </row>
    <row r="191" spans="1:15">
      <c r="A191" s="361">
        <v>46184</v>
      </c>
      <c r="B191" s="105" t="s">
        <v>84</v>
      </c>
      <c r="C191" s="360">
        <v>0.52</v>
      </c>
      <c r="D191" s="360">
        <v>0.91</v>
      </c>
      <c r="E191" s="105">
        <v>190.518</v>
      </c>
      <c r="F191" s="105">
        <f t="shared" si="8"/>
        <v>167.7</v>
      </c>
      <c r="G191" s="170">
        <f t="shared" si="9"/>
        <v>22.818</v>
      </c>
      <c r="H191" s="105"/>
      <c r="I191" s="160">
        <f t="shared" si="10"/>
        <v>0.779978794654573</v>
      </c>
      <c r="J191" s="105">
        <v>47.63</v>
      </c>
      <c r="K191" s="105"/>
      <c r="L191" s="105">
        <v>148.6</v>
      </c>
      <c r="M191" s="4">
        <f t="shared" si="11"/>
        <v>8673.63</v>
      </c>
      <c r="N191" s="105"/>
      <c r="O191" s="105" t="s">
        <v>1609</v>
      </c>
    </row>
    <row r="192" spans="1:15">
      <c r="A192" s="361">
        <v>46184</v>
      </c>
      <c r="B192" s="105" t="s">
        <v>54</v>
      </c>
      <c r="C192" s="360">
        <v>0.27</v>
      </c>
      <c r="D192" s="360">
        <v>0.96</v>
      </c>
      <c r="E192" s="105">
        <v>301.704</v>
      </c>
      <c r="F192" s="105">
        <f t="shared" si="8"/>
        <v>296.7</v>
      </c>
      <c r="G192" s="105">
        <f t="shared" si="9"/>
        <v>5.00400000000002</v>
      </c>
      <c r="H192" s="105"/>
      <c r="I192" s="160">
        <f t="shared" si="10"/>
        <v>0.780002916766102</v>
      </c>
      <c r="J192" s="105">
        <v>75.43</v>
      </c>
      <c r="K192" s="105"/>
      <c r="L192" s="105">
        <v>235.33</v>
      </c>
      <c r="M192" s="4">
        <f t="shared" si="11"/>
        <v>8438.3</v>
      </c>
      <c r="N192" s="105"/>
      <c r="O192" s="105" t="s">
        <v>1609</v>
      </c>
    </row>
    <row r="193" spans="1:15">
      <c r="A193" s="361">
        <v>46184</v>
      </c>
      <c r="B193" s="105" t="s">
        <v>99</v>
      </c>
      <c r="C193" s="360">
        <v>0.35</v>
      </c>
      <c r="D193" s="360">
        <v>0.92</v>
      </c>
      <c r="E193" s="105">
        <v>278.319</v>
      </c>
      <c r="F193" s="105">
        <f t="shared" si="8"/>
        <v>245.1</v>
      </c>
      <c r="G193" s="170">
        <f t="shared" si="9"/>
        <v>33.219</v>
      </c>
      <c r="H193" s="105"/>
      <c r="I193" s="160">
        <f t="shared" si="10"/>
        <v>0.780004239739292</v>
      </c>
      <c r="J193" s="105">
        <v>69.58</v>
      </c>
      <c r="K193" s="105"/>
      <c r="L193" s="105">
        <v>217.09</v>
      </c>
      <c r="M193" s="4">
        <f t="shared" si="11"/>
        <v>8221.21</v>
      </c>
      <c r="N193" s="105"/>
      <c r="O193" s="105" t="s">
        <v>1609</v>
      </c>
    </row>
    <row r="194" spans="1:15">
      <c r="A194" s="361">
        <v>46184</v>
      </c>
      <c r="B194" s="105" t="s">
        <v>66</v>
      </c>
      <c r="C194" s="360">
        <v>0.48</v>
      </c>
      <c r="D194" s="360">
        <v>0.98</v>
      </c>
      <c r="E194" s="105">
        <v>247.858</v>
      </c>
      <c r="F194" s="105">
        <f t="shared" si="8"/>
        <v>215</v>
      </c>
      <c r="G194" s="170">
        <f t="shared" si="9"/>
        <v>32.858</v>
      </c>
      <c r="H194" s="105"/>
      <c r="I194" s="160">
        <f t="shared" si="10"/>
        <v>0.779962720590015</v>
      </c>
      <c r="J194" s="105">
        <v>61.96</v>
      </c>
      <c r="K194" s="105"/>
      <c r="L194" s="105">
        <v>193.32</v>
      </c>
      <c r="M194" s="4">
        <f t="shared" si="11"/>
        <v>8027.89</v>
      </c>
      <c r="N194" s="105"/>
      <c r="O194" s="105" t="s">
        <v>1609</v>
      </c>
    </row>
    <row r="195" spans="1:15">
      <c r="A195" s="361">
        <v>46184</v>
      </c>
      <c r="B195" s="105" t="s">
        <v>111</v>
      </c>
      <c r="C195" s="360">
        <v>0.52</v>
      </c>
      <c r="D195" s="360">
        <v>0.98</v>
      </c>
      <c r="E195" s="105">
        <v>204.023</v>
      </c>
      <c r="F195" s="105">
        <f t="shared" ref="F195:F258" si="12">(D195-C195)*430</f>
        <v>197.8</v>
      </c>
      <c r="G195" s="105">
        <f t="shared" ref="G195:G258" si="13">E195-F195</f>
        <v>6.22300000000001</v>
      </c>
      <c r="H195" s="105"/>
      <c r="I195" s="160">
        <f t="shared" ref="I195:I258" si="14">L195/E195</f>
        <v>0.78001009690084</v>
      </c>
      <c r="J195" s="105">
        <v>51.01</v>
      </c>
      <c r="K195" s="105"/>
      <c r="L195" s="105">
        <v>159.14</v>
      </c>
      <c r="M195" s="4">
        <f t="shared" ref="M195:M258" si="15">M194+K195-L195</f>
        <v>7868.75</v>
      </c>
      <c r="N195" s="105"/>
      <c r="O195" s="105" t="s">
        <v>1609</v>
      </c>
    </row>
    <row r="196" spans="1:15">
      <c r="A196" s="361">
        <v>46184</v>
      </c>
      <c r="B196" s="105" t="s">
        <v>180</v>
      </c>
      <c r="C196" s="360">
        <v>0.25</v>
      </c>
      <c r="D196" s="360">
        <v>0.98</v>
      </c>
      <c r="E196" s="105">
        <v>331.249</v>
      </c>
      <c r="F196" s="105">
        <f t="shared" si="12"/>
        <v>313.9</v>
      </c>
      <c r="G196" s="105">
        <f t="shared" si="13"/>
        <v>17.349</v>
      </c>
      <c r="H196" s="105"/>
      <c r="I196" s="160">
        <f t="shared" si="14"/>
        <v>0.779987260338899</v>
      </c>
      <c r="J196" s="105">
        <v>82.81</v>
      </c>
      <c r="K196" s="105"/>
      <c r="L196" s="105">
        <v>258.37</v>
      </c>
      <c r="M196" s="4">
        <f t="shared" si="15"/>
        <v>7610.38</v>
      </c>
      <c r="N196" s="105"/>
      <c r="O196" s="105" t="s">
        <v>1609</v>
      </c>
    </row>
    <row r="197" spans="1:15">
      <c r="A197" s="368">
        <v>46185</v>
      </c>
      <c r="B197" s="369" t="s">
        <v>114</v>
      </c>
      <c r="C197" s="370">
        <v>0.29</v>
      </c>
      <c r="D197" s="370">
        <v>0.91</v>
      </c>
      <c r="E197" s="369">
        <v>263.475</v>
      </c>
      <c r="F197" s="105">
        <f t="shared" si="12"/>
        <v>266.6</v>
      </c>
      <c r="G197" s="105">
        <f t="shared" si="13"/>
        <v>-3.125</v>
      </c>
      <c r="H197" s="105"/>
      <c r="I197" s="160">
        <f t="shared" si="14"/>
        <v>0.779998102286744</v>
      </c>
      <c r="J197" s="369">
        <v>65.87</v>
      </c>
      <c r="K197" s="105">
        <v>20000</v>
      </c>
      <c r="L197" s="369">
        <v>205.51</v>
      </c>
      <c r="M197" s="4">
        <f t="shared" si="15"/>
        <v>27404.87</v>
      </c>
      <c r="N197" s="105"/>
      <c r="O197" s="105" t="s">
        <v>1609</v>
      </c>
    </row>
    <row r="198" spans="1:15">
      <c r="A198" s="371">
        <v>46185</v>
      </c>
      <c r="B198" s="106" t="s">
        <v>160</v>
      </c>
      <c r="C198" s="370">
        <v>0.25</v>
      </c>
      <c r="D198" s="370">
        <v>0.98</v>
      </c>
      <c r="E198" s="106">
        <v>336.631</v>
      </c>
      <c r="F198" s="105">
        <f t="shared" si="12"/>
        <v>313.9</v>
      </c>
      <c r="G198" s="170">
        <f t="shared" si="13"/>
        <v>22.731</v>
      </c>
      <c r="H198" s="105"/>
      <c r="I198" s="160">
        <f t="shared" si="14"/>
        <v>0.779993524066411</v>
      </c>
      <c r="J198" s="106">
        <v>84.16</v>
      </c>
      <c r="K198" s="105"/>
      <c r="L198" s="106">
        <v>262.57</v>
      </c>
      <c r="M198" s="4">
        <f t="shared" si="15"/>
        <v>27142.3</v>
      </c>
      <c r="N198" s="105"/>
      <c r="O198" s="105" t="s">
        <v>1609</v>
      </c>
    </row>
    <row r="199" spans="1:15">
      <c r="A199" s="371">
        <v>46185</v>
      </c>
      <c r="B199" s="106" t="s">
        <v>87</v>
      </c>
      <c r="C199" s="370">
        <v>0.45</v>
      </c>
      <c r="D199" s="370">
        <v>0.92</v>
      </c>
      <c r="E199" s="106">
        <v>225.424</v>
      </c>
      <c r="F199" s="105">
        <f t="shared" si="12"/>
        <v>202.1</v>
      </c>
      <c r="G199" s="170">
        <f t="shared" si="13"/>
        <v>23.324</v>
      </c>
      <c r="H199" s="105"/>
      <c r="I199" s="160">
        <f t="shared" si="14"/>
        <v>0.77999680601888</v>
      </c>
      <c r="J199" s="106">
        <v>56.36</v>
      </c>
      <c r="K199" s="105"/>
      <c r="L199" s="106">
        <v>175.83</v>
      </c>
      <c r="M199" s="4">
        <f t="shared" si="15"/>
        <v>26966.47</v>
      </c>
      <c r="N199" s="105"/>
      <c r="O199" s="105" t="s">
        <v>1609</v>
      </c>
    </row>
    <row r="200" spans="1:15">
      <c r="A200" s="371">
        <v>46185</v>
      </c>
      <c r="B200" s="106" t="s">
        <v>96</v>
      </c>
      <c r="C200" s="370">
        <v>0.5</v>
      </c>
      <c r="D200" s="370">
        <v>0.97</v>
      </c>
      <c r="E200" s="106">
        <v>245.236</v>
      </c>
      <c r="F200" s="105">
        <f t="shared" si="12"/>
        <v>202.1</v>
      </c>
      <c r="G200" s="170">
        <f t="shared" si="13"/>
        <v>43.136</v>
      </c>
      <c r="H200" s="105"/>
      <c r="I200" s="160">
        <f t="shared" si="14"/>
        <v>0.78002414001207</v>
      </c>
      <c r="J200" s="106">
        <v>61.31</v>
      </c>
      <c r="K200" s="105"/>
      <c r="L200" s="106">
        <v>191.29</v>
      </c>
      <c r="M200" s="4">
        <f t="shared" si="15"/>
        <v>26775.18</v>
      </c>
      <c r="N200" s="105"/>
      <c r="O200" s="105" t="s">
        <v>1609</v>
      </c>
    </row>
    <row r="201" spans="1:15">
      <c r="A201" s="371">
        <v>46185</v>
      </c>
      <c r="B201" s="106" t="s">
        <v>338</v>
      </c>
      <c r="C201" s="370">
        <v>0.71</v>
      </c>
      <c r="D201" s="370">
        <v>0.95</v>
      </c>
      <c r="E201" s="106">
        <v>111.831</v>
      </c>
      <c r="F201" s="105">
        <f t="shared" si="12"/>
        <v>103.2</v>
      </c>
      <c r="G201" s="105">
        <f t="shared" si="13"/>
        <v>8.631</v>
      </c>
      <c r="H201" s="105"/>
      <c r="I201" s="160">
        <f t="shared" si="14"/>
        <v>0.780016274557144</v>
      </c>
      <c r="J201" s="106">
        <v>27.96</v>
      </c>
      <c r="K201" s="105"/>
      <c r="L201" s="106">
        <v>87.23</v>
      </c>
      <c r="M201" s="4">
        <f t="shared" si="15"/>
        <v>26687.95</v>
      </c>
      <c r="N201" s="105"/>
      <c r="O201" s="105" t="s">
        <v>1609</v>
      </c>
    </row>
    <row r="202" spans="1:15">
      <c r="A202" s="371">
        <v>46185</v>
      </c>
      <c r="B202" s="106" t="s">
        <v>102</v>
      </c>
      <c r="C202" s="370">
        <v>0.29</v>
      </c>
      <c r="D202" s="370">
        <v>0.98</v>
      </c>
      <c r="E202" s="106">
        <v>342.929</v>
      </c>
      <c r="F202" s="105">
        <f t="shared" si="12"/>
        <v>296.7</v>
      </c>
      <c r="G202" s="170">
        <f t="shared" si="13"/>
        <v>46.229</v>
      </c>
      <c r="H202" s="105"/>
      <c r="I202" s="160">
        <f t="shared" si="14"/>
        <v>0.779986527823544</v>
      </c>
      <c r="J202" s="106">
        <v>85.73</v>
      </c>
      <c r="K202" s="105"/>
      <c r="L202" s="106">
        <v>267.48</v>
      </c>
      <c r="M202" s="4">
        <f t="shared" si="15"/>
        <v>26420.47</v>
      </c>
      <c r="N202" s="105"/>
      <c r="O202" s="105" t="s">
        <v>1609</v>
      </c>
    </row>
    <row r="203" spans="1:15">
      <c r="A203" s="371">
        <v>46185</v>
      </c>
      <c r="B203" s="106" t="s">
        <v>174</v>
      </c>
      <c r="C203" s="370">
        <v>0.26</v>
      </c>
      <c r="D203" s="370">
        <v>0.98</v>
      </c>
      <c r="E203" s="106">
        <v>328.959</v>
      </c>
      <c r="F203" s="105">
        <f t="shared" si="12"/>
        <v>309.6</v>
      </c>
      <c r="G203" s="105">
        <f t="shared" si="13"/>
        <v>19.359</v>
      </c>
      <c r="H203" s="105"/>
      <c r="I203" s="160">
        <f t="shared" si="14"/>
        <v>0.780006018987168</v>
      </c>
      <c r="J203" s="106">
        <v>82.24</v>
      </c>
      <c r="K203" s="105"/>
      <c r="L203" s="106">
        <v>256.59</v>
      </c>
      <c r="M203" s="4">
        <f t="shared" si="15"/>
        <v>26163.88</v>
      </c>
      <c r="N203" s="105"/>
      <c r="O203" s="105" t="s">
        <v>1609</v>
      </c>
    </row>
    <row r="204" spans="1:15">
      <c r="A204" s="371">
        <v>46185</v>
      </c>
      <c r="B204" s="106" t="s">
        <v>154</v>
      </c>
      <c r="C204" s="370">
        <v>0.44</v>
      </c>
      <c r="D204" s="370">
        <v>0.94</v>
      </c>
      <c r="E204" s="106">
        <v>229.474</v>
      </c>
      <c r="F204" s="105">
        <f t="shared" si="12"/>
        <v>215</v>
      </c>
      <c r="G204" s="105">
        <f t="shared" si="13"/>
        <v>14.474</v>
      </c>
      <c r="H204" s="105"/>
      <c r="I204" s="160">
        <f t="shared" si="14"/>
        <v>0.780001220181807</v>
      </c>
      <c r="J204" s="106">
        <v>57.37</v>
      </c>
      <c r="K204" s="105"/>
      <c r="L204" s="106">
        <v>178.99</v>
      </c>
      <c r="M204" s="4">
        <f t="shared" si="15"/>
        <v>25984.89</v>
      </c>
      <c r="N204" s="105"/>
      <c r="O204" s="105" t="s">
        <v>1609</v>
      </c>
    </row>
    <row r="205" spans="1:15">
      <c r="A205" s="371">
        <v>46185</v>
      </c>
      <c r="B205" s="106" t="s">
        <v>124</v>
      </c>
      <c r="C205" s="370">
        <v>0.19</v>
      </c>
      <c r="D205" s="370">
        <v>0.98</v>
      </c>
      <c r="E205" s="106">
        <v>353.842</v>
      </c>
      <c r="F205" s="105">
        <f t="shared" si="12"/>
        <v>339.7</v>
      </c>
      <c r="G205" s="105">
        <f t="shared" si="13"/>
        <v>14.142</v>
      </c>
      <c r="H205" s="105"/>
      <c r="I205" s="160">
        <f t="shared" si="14"/>
        <v>0.78000915662923</v>
      </c>
      <c r="J205" s="106">
        <v>88.46</v>
      </c>
      <c r="K205" s="105"/>
      <c r="L205" s="106">
        <v>276</v>
      </c>
      <c r="M205" s="4">
        <f t="shared" si="15"/>
        <v>25708.89</v>
      </c>
      <c r="N205" s="105"/>
      <c r="O205" s="105" t="s">
        <v>1609</v>
      </c>
    </row>
    <row r="206" spans="1:15">
      <c r="A206" s="371">
        <v>46185</v>
      </c>
      <c r="B206" s="106" t="s">
        <v>163</v>
      </c>
      <c r="C206" s="370">
        <v>0.67</v>
      </c>
      <c r="D206" s="370">
        <v>0.96</v>
      </c>
      <c r="E206" s="106">
        <v>131.539</v>
      </c>
      <c r="F206" s="105">
        <f t="shared" si="12"/>
        <v>124.7</v>
      </c>
      <c r="G206" s="105">
        <f t="shared" si="13"/>
        <v>6.83900000000001</v>
      </c>
      <c r="H206" s="105"/>
      <c r="I206" s="160">
        <f t="shared" si="14"/>
        <v>0.779996807030615</v>
      </c>
      <c r="J206" s="106">
        <v>32.88</v>
      </c>
      <c r="K206" s="105"/>
      <c r="L206" s="106">
        <v>102.6</v>
      </c>
      <c r="M206" s="4">
        <f t="shared" si="15"/>
        <v>25606.29</v>
      </c>
      <c r="N206" s="105"/>
      <c r="O206" s="105" t="s">
        <v>1609</v>
      </c>
    </row>
    <row r="207" spans="1:15">
      <c r="A207" s="371">
        <v>46185</v>
      </c>
      <c r="B207" s="106" t="s">
        <v>63</v>
      </c>
      <c r="C207" s="370">
        <v>0.5</v>
      </c>
      <c r="D207" s="370">
        <v>0.96</v>
      </c>
      <c r="E207" s="106">
        <v>233.146</v>
      </c>
      <c r="F207" s="105">
        <f t="shared" si="12"/>
        <v>197.8</v>
      </c>
      <c r="G207" s="170">
        <f t="shared" si="13"/>
        <v>35.346</v>
      </c>
      <c r="H207" s="105"/>
      <c r="I207" s="160">
        <f t="shared" si="14"/>
        <v>0.780026249646145</v>
      </c>
      <c r="J207" s="106">
        <v>58.29</v>
      </c>
      <c r="K207" s="105"/>
      <c r="L207" s="106">
        <v>181.86</v>
      </c>
      <c r="M207" s="4">
        <f t="shared" si="15"/>
        <v>25424.43</v>
      </c>
      <c r="N207" s="105"/>
      <c r="O207" s="105" t="s">
        <v>1609</v>
      </c>
    </row>
    <row r="208" spans="1:15">
      <c r="A208" s="371">
        <v>46185</v>
      </c>
      <c r="B208" s="106" t="s">
        <v>132</v>
      </c>
      <c r="C208" s="370">
        <v>0.13</v>
      </c>
      <c r="D208" s="370">
        <v>0.95</v>
      </c>
      <c r="E208" s="106">
        <v>374.688</v>
      </c>
      <c r="F208" s="105">
        <f t="shared" si="12"/>
        <v>352.6</v>
      </c>
      <c r="G208" s="170">
        <f t="shared" si="13"/>
        <v>22.088</v>
      </c>
      <c r="H208" s="105"/>
      <c r="I208" s="160">
        <f t="shared" si="14"/>
        <v>0.77998227858912</v>
      </c>
      <c r="J208" s="106">
        <v>93.67</v>
      </c>
      <c r="K208" s="105"/>
      <c r="L208" s="106">
        <v>292.25</v>
      </c>
      <c r="M208" s="4">
        <f t="shared" si="15"/>
        <v>25132.18</v>
      </c>
      <c r="N208" s="105"/>
      <c r="O208" s="105" t="s">
        <v>1609</v>
      </c>
    </row>
    <row r="209" spans="1:15">
      <c r="A209" s="371">
        <v>46185</v>
      </c>
      <c r="B209" s="106" t="s">
        <v>144</v>
      </c>
      <c r="C209" s="370">
        <v>0.72</v>
      </c>
      <c r="D209" s="370">
        <v>0.98</v>
      </c>
      <c r="E209" s="106">
        <v>116.576</v>
      </c>
      <c r="F209" s="105">
        <f t="shared" si="12"/>
        <v>111.8</v>
      </c>
      <c r="G209" s="105">
        <f t="shared" si="13"/>
        <v>4.776</v>
      </c>
      <c r="H209" s="105"/>
      <c r="I209" s="160">
        <f t="shared" si="14"/>
        <v>0.780006176228383</v>
      </c>
      <c r="J209" s="106">
        <v>29.14</v>
      </c>
      <c r="K209" s="105"/>
      <c r="L209" s="106">
        <v>90.93</v>
      </c>
      <c r="M209" s="4">
        <f t="shared" si="15"/>
        <v>25041.25</v>
      </c>
      <c r="N209" s="105"/>
      <c r="O209" s="105" t="s">
        <v>1609</v>
      </c>
    </row>
    <row r="210" spans="1:15">
      <c r="A210" s="371">
        <v>46185</v>
      </c>
      <c r="B210" s="106" t="s">
        <v>141</v>
      </c>
      <c r="C210" s="370">
        <v>0.72</v>
      </c>
      <c r="D210" s="370">
        <v>0.98</v>
      </c>
      <c r="E210" s="106">
        <v>119.254</v>
      </c>
      <c r="F210" s="105">
        <f t="shared" si="12"/>
        <v>111.8</v>
      </c>
      <c r="G210" s="105">
        <f t="shared" si="13"/>
        <v>7.45400000000001</v>
      </c>
      <c r="H210" s="105"/>
      <c r="I210" s="160">
        <f t="shared" si="14"/>
        <v>0.779931910040753</v>
      </c>
      <c r="J210" s="106">
        <v>29.81</v>
      </c>
      <c r="K210" s="105"/>
      <c r="L210" s="106">
        <v>93.01</v>
      </c>
      <c r="M210" s="4">
        <f t="shared" si="15"/>
        <v>24948.24</v>
      </c>
      <c r="N210" s="105"/>
      <c r="O210" s="105" t="s">
        <v>1609</v>
      </c>
    </row>
    <row r="211" spans="1:15">
      <c r="A211" s="371">
        <v>46185</v>
      </c>
      <c r="B211" s="106" t="s">
        <v>339</v>
      </c>
      <c r="C211" s="370">
        <v>0.33</v>
      </c>
      <c r="D211" s="370">
        <v>0.98</v>
      </c>
      <c r="E211" s="106">
        <v>295.113</v>
      </c>
      <c r="F211" s="105">
        <f t="shared" si="12"/>
        <v>279.5</v>
      </c>
      <c r="G211" s="105">
        <f t="shared" si="13"/>
        <v>15.6130000000001</v>
      </c>
      <c r="H211" s="105"/>
      <c r="I211" s="160">
        <f t="shared" si="14"/>
        <v>0.780006302670503</v>
      </c>
      <c r="J211" s="106">
        <v>73.78</v>
      </c>
      <c r="K211" s="105"/>
      <c r="L211" s="106">
        <v>230.19</v>
      </c>
      <c r="M211" s="4">
        <f t="shared" si="15"/>
        <v>24718.05</v>
      </c>
      <c r="N211" s="105"/>
      <c r="O211" s="105" t="s">
        <v>1609</v>
      </c>
    </row>
    <row r="212" spans="1:15">
      <c r="A212" s="371">
        <v>46185</v>
      </c>
      <c r="B212" s="106" t="s">
        <v>151</v>
      </c>
      <c r="C212" s="370">
        <v>0.27</v>
      </c>
      <c r="D212" s="370">
        <v>0.93</v>
      </c>
      <c r="E212" s="106">
        <v>302.733</v>
      </c>
      <c r="F212" s="105">
        <f t="shared" si="12"/>
        <v>283.8</v>
      </c>
      <c r="G212" s="105">
        <f t="shared" si="13"/>
        <v>18.933</v>
      </c>
      <c r="H212" s="105"/>
      <c r="I212" s="160">
        <f t="shared" si="14"/>
        <v>0.779994252360991</v>
      </c>
      <c r="J212" s="106">
        <v>75.68</v>
      </c>
      <c r="K212" s="105"/>
      <c r="L212" s="106">
        <v>236.13</v>
      </c>
      <c r="M212" s="4">
        <f t="shared" si="15"/>
        <v>24481.92</v>
      </c>
      <c r="N212" s="105"/>
      <c r="O212" s="105" t="s">
        <v>1609</v>
      </c>
    </row>
    <row r="213" spans="1:15">
      <c r="A213" s="371">
        <v>46185</v>
      </c>
      <c r="B213" s="106" t="s">
        <v>45</v>
      </c>
      <c r="C213" s="370">
        <v>0.25</v>
      </c>
      <c r="D213" s="370">
        <v>0.98</v>
      </c>
      <c r="E213" s="106">
        <v>315.326</v>
      </c>
      <c r="F213" s="105">
        <f t="shared" si="12"/>
        <v>313.9</v>
      </c>
      <c r="G213" s="105">
        <f t="shared" si="13"/>
        <v>1.42600000000004</v>
      </c>
      <c r="H213" s="105"/>
      <c r="I213" s="160">
        <f t="shared" si="14"/>
        <v>0.779986426745654</v>
      </c>
      <c r="J213" s="106">
        <v>78.83</v>
      </c>
      <c r="K213" s="105"/>
      <c r="L213" s="106">
        <v>245.95</v>
      </c>
      <c r="M213" s="4">
        <f t="shared" si="15"/>
        <v>24235.97</v>
      </c>
      <c r="N213" s="105"/>
      <c r="O213" s="105" t="s">
        <v>1609</v>
      </c>
    </row>
    <row r="214" spans="1:15">
      <c r="A214" s="371">
        <v>46185</v>
      </c>
      <c r="B214" s="106" t="s">
        <v>172</v>
      </c>
      <c r="C214" s="370">
        <v>0.74</v>
      </c>
      <c r="D214" s="370">
        <v>0.98</v>
      </c>
      <c r="E214" s="106">
        <v>109.576</v>
      </c>
      <c r="F214" s="105">
        <f t="shared" si="12"/>
        <v>103.2</v>
      </c>
      <c r="G214" s="105">
        <f t="shared" si="13"/>
        <v>6.37599999999999</v>
      </c>
      <c r="H214" s="105"/>
      <c r="I214" s="160">
        <f t="shared" si="14"/>
        <v>0.780006570781923</v>
      </c>
      <c r="J214" s="106">
        <v>27.39</v>
      </c>
      <c r="K214" s="105"/>
      <c r="L214" s="106">
        <v>85.47</v>
      </c>
      <c r="M214" s="4">
        <f t="shared" si="15"/>
        <v>24150.5</v>
      </c>
      <c r="N214" s="105"/>
      <c r="O214" s="105" t="s">
        <v>1609</v>
      </c>
    </row>
    <row r="215" spans="1:15">
      <c r="A215" s="371">
        <v>46185</v>
      </c>
      <c r="B215" s="106" t="s">
        <v>72</v>
      </c>
      <c r="C215" s="370">
        <v>0.16</v>
      </c>
      <c r="D215" s="370">
        <v>1</v>
      </c>
      <c r="E215" s="106">
        <v>397.415</v>
      </c>
      <c r="F215" s="105">
        <f t="shared" si="12"/>
        <v>361.2</v>
      </c>
      <c r="G215" s="170">
        <f t="shared" si="13"/>
        <v>36.215</v>
      </c>
      <c r="H215" s="105"/>
      <c r="I215" s="160">
        <f t="shared" si="14"/>
        <v>0.779990689833046</v>
      </c>
      <c r="J215" s="106">
        <v>99.35</v>
      </c>
      <c r="K215" s="105"/>
      <c r="L215" s="106">
        <v>309.98</v>
      </c>
      <c r="M215" s="4">
        <f t="shared" si="15"/>
        <v>23840.52</v>
      </c>
      <c r="N215" s="105"/>
      <c r="O215" s="105" t="s">
        <v>1609</v>
      </c>
    </row>
    <row r="216" spans="1:15">
      <c r="A216" s="371">
        <v>46185</v>
      </c>
      <c r="B216" s="106" t="s">
        <v>96</v>
      </c>
      <c r="C216" s="370">
        <v>0.47</v>
      </c>
      <c r="D216" s="370">
        <v>0.98</v>
      </c>
      <c r="E216" s="106">
        <v>258.565</v>
      </c>
      <c r="F216" s="105">
        <f t="shared" si="12"/>
        <v>219.3</v>
      </c>
      <c r="G216" s="170">
        <f t="shared" si="13"/>
        <v>39.265</v>
      </c>
      <c r="H216" s="105"/>
      <c r="I216" s="160">
        <f t="shared" si="14"/>
        <v>0.779997292750372</v>
      </c>
      <c r="J216" s="106">
        <v>64.64</v>
      </c>
      <c r="K216" s="105"/>
      <c r="L216" s="106">
        <v>201.68</v>
      </c>
      <c r="M216" s="4">
        <f t="shared" si="15"/>
        <v>23638.84</v>
      </c>
      <c r="N216" s="105"/>
      <c r="O216" s="105" t="s">
        <v>1609</v>
      </c>
    </row>
    <row r="217" spans="1:15">
      <c r="A217" s="368">
        <v>46186</v>
      </c>
      <c r="B217" s="369" t="s">
        <v>108</v>
      </c>
      <c r="C217" s="370">
        <v>0.37</v>
      </c>
      <c r="D217" s="370">
        <v>0.98</v>
      </c>
      <c r="E217" s="369">
        <v>294.49</v>
      </c>
      <c r="F217" s="105">
        <f t="shared" si="12"/>
        <v>262.3</v>
      </c>
      <c r="G217" s="170">
        <f t="shared" si="13"/>
        <v>32.19</v>
      </c>
      <c r="H217" s="105"/>
      <c r="I217" s="160">
        <f t="shared" si="14"/>
        <v>0.779992529457706</v>
      </c>
      <c r="J217" s="369">
        <v>73.62</v>
      </c>
      <c r="K217" s="105"/>
      <c r="L217" s="369">
        <v>229.7</v>
      </c>
      <c r="M217" s="4">
        <f t="shared" si="15"/>
        <v>23409.14</v>
      </c>
      <c r="N217" s="105"/>
      <c r="O217" s="105" t="s">
        <v>1609</v>
      </c>
    </row>
    <row r="218" spans="1:15">
      <c r="A218" s="371">
        <v>46186</v>
      </c>
      <c r="B218" s="106" t="s">
        <v>135</v>
      </c>
      <c r="C218" s="370">
        <v>0.35</v>
      </c>
      <c r="D218" s="370">
        <v>0.98</v>
      </c>
      <c r="E218" s="106">
        <v>285.67</v>
      </c>
      <c r="F218" s="105">
        <f t="shared" si="12"/>
        <v>270.9</v>
      </c>
      <c r="G218" s="105">
        <f t="shared" si="13"/>
        <v>14.77</v>
      </c>
      <c r="H218" s="105"/>
      <c r="I218" s="160">
        <f t="shared" si="14"/>
        <v>0.780025904015122</v>
      </c>
      <c r="J218" s="106">
        <v>71.42</v>
      </c>
      <c r="K218" s="105"/>
      <c r="L218" s="106">
        <v>222.83</v>
      </c>
      <c r="M218" s="4">
        <f t="shared" si="15"/>
        <v>23186.31</v>
      </c>
      <c r="N218" s="105"/>
      <c r="O218" s="105" t="s">
        <v>1609</v>
      </c>
    </row>
    <row r="219" spans="1:15">
      <c r="A219" s="371">
        <v>46186</v>
      </c>
      <c r="B219" s="106" t="s">
        <v>160</v>
      </c>
      <c r="C219" s="370">
        <v>0.28</v>
      </c>
      <c r="D219" s="370">
        <v>0.98</v>
      </c>
      <c r="E219" s="106">
        <v>315.519</v>
      </c>
      <c r="F219" s="105">
        <f t="shared" si="12"/>
        <v>301</v>
      </c>
      <c r="G219" s="105">
        <f t="shared" si="13"/>
        <v>14.519</v>
      </c>
      <c r="H219" s="105"/>
      <c r="I219" s="160">
        <f t="shared" si="14"/>
        <v>0.780016417394832</v>
      </c>
      <c r="J219" s="106">
        <v>78.88</v>
      </c>
      <c r="K219" s="105"/>
      <c r="L219" s="106">
        <v>246.11</v>
      </c>
      <c r="M219" s="4">
        <f t="shared" si="15"/>
        <v>22940.2</v>
      </c>
      <c r="N219" s="105"/>
      <c r="O219" s="105" t="s">
        <v>1609</v>
      </c>
    </row>
    <row r="220" spans="1:15">
      <c r="A220" s="371">
        <v>46186</v>
      </c>
      <c r="B220" s="106" t="s">
        <v>154</v>
      </c>
      <c r="C220" s="370">
        <v>0.32</v>
      </c>
      <c r="D220" s="370">
        <v>0.95</v>
      </c>
      <c r="E220" s="106">
        <v>286.996</v>
      </c>
      <c r="F220" s="105">
        <f t="shared" si="12"/>
        <v>270.9</v>
      </c>
      <c r="G220" s="105">
        <f t="shared" si="13"/>
        <v>16.096</v>
      </c>
      <c r="H220" s="105"/>
      <c r="I220" s="160">
        <f t="shared" si="14"/>
        <v>0.780010871231655</v>
      </c>
      <c r="J220" s="106">
        <v>71.75</v>
      </c>
      <c r="K220" s="105"/>
      <c r="L220" s="106">
        <v>223.86</v>
      </c>
      <c r="M220" s="4">
        <f t="shared" si="15"/>
        <v>22716.34</v>
      </c>
      <c r="N220" s="105"/>
      <c r="O220" s="105" t="s">
        <v>1609</v>
      </c>
    </row>
    <row r="221" spans="1:15">
      <c r="A221" s="371">
        <v>46186</v>
      </c>
      <c r="B221" s="106" t="s">
        <v>63</v>
      </c>
      <c r="C221" s="370">
        <v>0.38</v>
      </c>
      <c r="D221" s="370">
        <v>0.98</v>
      </c>
      <c r="E221" s="106">
        <v>298.505</v>
      </c>
      <c r="F221" s="105">
        <f t="shared" si="12"/>
        <v>258</v>
      </c>
      <c r="G221" s="170">
        <f t="shared" si="13"/>
        <v>40.505</v>
      </c>
      <c r="H221" s="105"/>
      <c r="I221" s="160">
        <f t="shared" si="14"/>
        <v>0.78002043516859</v>
      </c>
      <c r="J221" s="106">
        <v>74.63</v>
      </c>
      <c r="K221" s="105"/>
      <c r="L221" s="106">
        <v>232.84</v>
      </c>
      <c r="M221" s="4">
        <f t="shared" si="15"/>
        <v>22483.5</v>
      </c>
      <c r="N221" s="105"/>
      <c r="O221" s="105" t="s">
        <v>1609</v>
      </c>
    </row>
    <row r="222" spans="1:15">
      <c r="A222" s="371">
        <v>46186</v>
      </c>
      <c r="B222" s="106" t="s">
        <v>144</v>
      </c>
      <c r="C222" s="370">
        <v>0.36</v>
      </c>
      <c r="D222" s="370">
        <v>0.98</v>
      </c>
      <c r="E222" s="106">
        <v>282.987</v>
      </c>
      <c r="F222" s="105">
        <f t="shared" si="12"/>
        <v>266.6</v>
      </c>
      <c r="G222" s="105">
        <f t="shared" si="13"/>
        <v>16.387</v>
      </c>
      <c r="H222" s="105"/>
      <c r="I222" s="160">
        <f t="shared" si="14"/>
        <v>0.780000494722372</v>
      </c>
      <c r="J222" s="106">
        <v>70.75</v>
      </c>
      <c r="K222" s="105"/>
      <c r="L222" s="106">
        <v>220.73</v>
      </c>
      <c r="M222" s="4">
        <f t="shared" si="15"/>
        <v>22262.77</v>
      </c>
      <c r="N222" s="105"/>
      <c r="O222" s="105" t="s">
        <v>1609</v>
      </c>
    </row>
    <row r="223" spans="1:15">
      <c r="A223" s="371">
        <v>46186</v>
      </c>
      <c r="B223" s="106" t="s">
        <v>124</v>
      </c>
      <c r="C223" s="370">
        <v>0.33</v>
      </c>
      <c r="D223" s="370">
        <v>0.98</v>
      </c>
      <c r="E223" s="106">
        <v>293.189</v>
      </c>
      <c r="F223" s="105">
        <f t="shared" si="12"/>
        <v>279.5</v>
      </c>
      <c r="G223" s="105">
        <f t="shared" si="13"/>
        <v>13.6890000000001</v>
      </c>
      <c r="H223" s="105"/>
      <c r="I223" s="160">
        <f t="shared" si="14"/>
        <v>0.780008799784439</v>
      </c>
      <c r="J223" s="106">
        <v>73.3</v>
      </c>
      <c r="K223" s="105"/>
      <c r="L223" s="106">
        <v>228.69</v>
      </c>
      <c r="M223" s="4">
        <f t="shared" si="15"/>
        <v>22034.08</v>
      </c>
      <c r="N223" s="105"/>
      <c r="O223" s="105" t="s">
        <v>1609</v>
      </c>
    </row>
    <row r="224" spans="1:15">
      <c r="A224" s="371">
        <v>46186</v>
      </c>
      <c r="B224" s="106" t="s">
        <v>132</v>
      </c>
      <c r="C224" s="370">
        <v>0.4</v>
      </c>
      <c r="D224" s="370">
        <v>0.9</v>
      </c>
      <c r="E224" s="106">
        <v>230.372</v>
      </c>
      <c r="F224" s="105">
        <f t="shared" si="12"/>
        <v>215</v>
      </c>
      <c r="G224" s="105">
        <f t="shared" si="13"/>
        <v>15.372</v>
      </c>
      <c r="H224" s="105"/>
      <c r="I224" s="160">
        <f t="shared" si="14"/>
        <v>0.779999305471151</v>
      </c>
      <c r="J224" s="106">
        <v>57.59</v>
      </c>
      <c r="K224" s="105"/>
      <c r="L224" s="106">
        <v>179.69</v>
      </c>
      <c r="M224" s="4">
        <f t="shared" si="15"/>
        <v>21854.39</v>
      </c>
      <c r="N224" s="105"/>
      <c r="O224" s="105" t="s">
        <v>1609</v>
      </c>
    </row>
    <row r="225" spans="1:15">
      <c r="A225" s="371">
        <v>46186</v>
      </c>
      <c r="B225" s="106" t="s">
        <v>141</v>
      </c>
      <c r="C225" s="370">
        <v>0.26</v>
      </c>
      <c r="D225" s="370">
        <v>0.98</v>
      </c>
      <c r="E225" s="106">
        <v>326.488</v>
      </c>
      <c r="F225" s="105">
        <f t="shared" si="12"/>
        <v>309.6</v>
      </c>
      <c r="G225" s="105">
        <f t="shared" si="13"/>
        <v>16.888</v>
      </c>
      <c r="H225" s="105"/>
      <c r="I225" s="160">
        <f t="shared" si="14"/>
        <v>0.779998039744187</v>
      </c>
      <c r="J225" s="106">
        <v>81.62</v>
      </c>
      <c r="K225" s="105"/>
      <c r="L225" s="106">
        <v>254.66</v>
      </c>
      <c r="M225" s="4">
        <f t="shared" si="15"/>
        <v>21599.73</v>
      </c>
      <c r="N225" s="105"/>
      <c r="O225" s="105" t="s">
        <v>1609</v>
      </c>
    </row>
    <row r="226" spans="1:15">
      <c r="A226" s="371">
        <v>46186</v>
      </c>
      <c r="B226" s="106" t="s">
        <v>172</v>
      </c>
      <c r="C226" s="370">
        <v>0.44</v>
      </c>
      <c r="D226" s="370">
        <v>0.98</v>
      </c>
      <c r="E226" s="106">
        <v>240.376</v>
      </c>
      <c r="F226" s="105">
        <f t="shared" si="12"/>
        <v>232.2</v>
      </c>
      <c r="G226" s="105">
        <f t="shared" si="13"/>
        <v>8.17599999999999</v>
      </c>
      <c r="H226" s="105"/>
      <c r="I226" s="160">
        <f t="shared" si="14"/>
        <v>0.779986354710953</v>
      </c>
      <c r="J226" s="106">
        <v>60.09</v>
      </c>
      <c r="K226" s="105"/>
      <c r="L226" s="106">
        <v>187.49</v>
      </c>
      <c r="M226" s="4">
        <f t="shared" si="15"/>
        <v>21412.24</v>
      </c>
      <c r="N226" s="105"/>
      <c r="O226" s="105" t="s">
        <v>1609</v>
      </c>
    </row>
    <row r="227" spans="1:15">
      <c r="A227" s="371">
        <v>46186</v>
      </c>
      <c r="B227" s="106" t="s">
        <v>93</v>
      </c>
      <c r="C227" s="370">
        <v>0.14</v>
      </c>
      <c r="D227" s="370">
        <v>0.98</v>
      </c>
      <c r="E227" s="106">
        <v>420.996</v>
      </c>
      <c r="F227" s="105">
        <f t="shared" si="12"/>
        <v>361.2</v>
      </c>
      <c r="G227" s="170">
        <f t="shared" si="13"/>
        <v>59.796</v>
      </c>
      <c r="H227" s="105"/>
      <c r="I227" s="160">
        <f t="shared" si="14"/>
        <v>0.780007410996779</v>
      </c>
      <c r="J227" s="106">
        <v>105.25</v>
      </c>
      <c r="K227" s="105"/>
      <c r="L227" s="106">
        <v>328.38</v>
      </c>
      <c r="M227" s="4">
        <f t="shared" si="15"/>
        <v>21083.86</v>
      </c>
      <c r="N227" s="105"/>
      <c r="O227" s="105" t="s">
        <v>1609</v>
      </c>
    </row>
    <row r="228" spans="1:15">
      <c r="A228" s="371">
        <v>46186</v>
      </c>
      <c r="B228" s="106" t="s">
        <v>105</v>
      </c>
      <c r="C228" s="370">
        <v>0.47</v>
      </c>
      <c r="D228" s="370">
        <v>0.98</v>
      </c>
      <c r="E228" s="106">
        <v>252.206</v>
      </c>
      <c r="F228" s="105">
        <f t="shared" si="12"/>
        <v>219.3</v>
      </c>
      <c r="G228" s="170">
        <f t="shared" si="13"/>
        <v>32.906</v>
      </c>
      <c r="H228" s="105"/>
      <c r="I228" s="160">
        <f t="shared" si="14"/>
        <v>0.779997303791345</v>
      </c>
      <c r="J228" s="106">
        <v>63.05</v>
      </c>
      <c r="K228" s="105"/>
      <c r="L228" s="106">
        <v>196.72</v>
      </c>
      <c r="M228" s="4">
        <f t="shared" si="15"/>
        <v>20887.14</v>
      </c>
      <c r="N228" s="105"/>
      <c r="O228" s="105" t="s">
        <v>1609</v>
      </c>
    </row>
    <row r="229" spans="1:15">
      <c r="A229" s="371">
        <v>46186</v>
      </c>
      <c r="B229" s="106" t="s">
        <v>75</v>
      </c>
      <c r="C229" s="370">
        <v>0.27</v>
      </c>
      <c r="D229" s="370">
        <v>0.98</v>
      </c>
      <c r="E229" s="106">
        <v>348.154</v>
      </c>
      <c r="F229" s="105">
        <f t="shared" si="12"/>
        <v>305.3</v>
      </c>
      <c r="G229" s="170">
        <f t="shared" si="13"/>
        <v>42.854</v>
      </c>
      <c r="H229" s="105"/>
      <c r="I229" s="160">
        <f t="shared" si="14"/>
        <v>0.779999655324942</v>
      </c>
      <c r="J229" s="106">
        <v>87.04</v>
      </c>
      <c r="K229" s="105"/>
      <c r="L229" s="106">
        <v>271.56</v>
      </c>
      <c r="M229" s="4">
        <f t="shared" si="15"/>
        <v>20615.58</v>
      </c>
      <c r="N229" s="105"/>
      <c r="O229" s="105" t="s">
        <v>1609</v>
      </c>
    </row>
    <row r="230" spans="1:15">
      <c r="A230" s="371">
        <v>46186</v>
      </c>
      <c r="B230" s="106" t="s">
        <v>72</v>
      </c>
      <c r="C230" s="370">
        <v>0.62</v>
      </c>
      <c r="D230" s="370">
        <v>0.98</v>
      </c>
      <c r="E230" s="106">
        <v>174.631</v>
      </c>
      <c r="F230" s="105">
        <f t="shared" si="12"/>
        <v>154.8</v>
      </c>
      <c r="G230" s="105">
        <f t="shared" si="13"/>
        <v>19.831</v>
      </c>
      <c r="H230" s="105"/>
      <c r="I230" s="160">
        <f t="shared" si="14"/>
        <v>0.779987516534865</v>
      </c>
      <c r="J230" s="106">
        <v>43.66</v>
      </c>
      <c r="K230" s="105"/>
      <c r="L230" s="106">
        <v>136.21</v>
      </c>
      <c r="M230" s="4">
        <f t="shared" si="15"/>
        <v>20479.37</v>
      </c>
      <c r="N230" s="105"/>
      <c r="O230" s="105" t="s">
        <v>1609</v>
      </c>
    </row>
    <row r="231" spans="1:15">
      <c r="A231" s="371">
        <v>46186</v>
      </c>
      <c r="B231" s="106" t="s">
        <v>54</v>
      </c>
      <c r="C231" s="370">
        <v>0.39</v>
      </c>
      <c r="D231" s="370">
        <v>0.95</v>
      </c>
      <c r="E231" s="106">
        <v>241.728</v>
      </c>
      <c r="F231" s="105">
        <f t="shared" si="12"/>
        <v>240.8</v>
      </c>
      <c r="G231" s="105">
        <f t="shared" si="13"/>
        <v>0.928000000000026</v>
      </c>
      <c r="H231" s="105"/>
      <c r="I231" s="160">
        <f t="shared" si="14"/>
        <v>0.780008935663225</v>
      </c>
      <c r="J231" s="106">
        <v>60.43</v>
      </c>
      <c r="K231" s="105"/>
      <c r="L231" s="106">
        <v>188.55</v>
      </c>
      <c r="M231" s="4">
        <f t="shared" si="15"/>
        <v>20290.82</v>
      </c>
      <c r="N231" s="105"/>
      <c r="O231" s="105" t="s">
        <v>1609</v>
      </c>
    </row>
    <row r="232" spans="1:15">
      <c r="A232" s="371">
        <v>46186</v>
      </c>
      <c r="B232" s="106" t="s">
        <v>69</v>
      </c>
      <c r="C232" s="370">
        <v>0.18</v>
      </c>
      <c r="D232" s="370">
        <v>0.98</v>
      </c>
      <c r="E232" s="106">
        <v>403.384</v>
      </c>
      <c r="F232" s="105">
        <f t="shared" si="12"/>
        <v>344</v>
      </c>
      <c r="G232" s="170">
        <f t="shared" si="13"/>
        <v>59.384</v>
      </c>
      <c r="H232" s="105"/>
      <c r="I232" s="160">
        <f t="shared" si="14"/>
        <v>0.780001189933165</v>
      </c>
      <c r="J232" s="106">
        <v>100.85</v>
      </c>
      <c r="K232" s="105"/>
      <c r="L232" s="106">
        <v>314.64</v>
      </c>
      <c r="M232" s="4">
        <f t="shared" si="15"/>
        <v>19976.18</v>
      </c>
      <c r="N232" s="105"/>
      <c r="O232" s="105" t="s">
        <v>1609</v>
      </c>
    </row>
    <row r="233" spans="1:15">
      <c r="A233" s="371">
        <v>46186</v>
      </c>
      <c r="B233" s="106" t="s">
        <v>183</v>
      </c>
      <c r="C233" s="370">
        <v>0.39</v>
      </c>
      <c r="D233" s="370">
        <v>0.98</v>
      </c>
      <c r="E233" s="106">
        <v>271.138</v>
      </c>
      <c r="F233" s="105">
        <f t="shared" si="12"/>
        <v>253.7</v>
      </c>
      <c r="G233" s="105">
        <f t="shared" si="13"/>
        <v>17.438</v>
      </c>
      <c r="H233" s="105"/>
      <c r="I233" s="160">
        <f t="shared" si="14"/>
        <v>0.779971822466788</v>
      </c>
      <c r="J233" s="106">
        <v>67.78</v>
      </c>
      <c r="K233" s="105"/>
      <c r="L233" s="106">
        <v>211.48</v>
      </c>
      <c r="M233" s="4">
        <f t="shared" si="15"/>
        <v>19764.7</v>
      </c>
      <c r="N233" s="105"/>
      <c r="O233" s="105" t="s">
        <v>1609</v>
      </c>
    </row>
    <row r="234" spans="1:15">
      <c r="A234" s="371">
        <v>46186</v>
      </c>
      <c r="B234" s="106" t="s">
        <v>102</v>
      </c>
      <c r="C234" s="370">
        <v>0.09</v>
      </c>
      <c r="D234" s="370">
        <v>0.98</v>
      </c>
      <c r="E234" s="106">
        <v>424.615</v>
      </c>
      <c r="F234" s="105">
        <f t="shared" si="12"/>
        <v>382.7</v>
      </c>
      <c r="G234" s="170">
        <f t="shared" si="13"/>
        <v>41.915</v>
      </c>
      <c r="H234" s="105"/>
      <c r="I234" s="160">
        <f t="shared" si="14"/>
        <v>0.780000706522379</v>
      </c>
      <c r="J234" s="106">
        <v>106.15</v>
      </c>
      <c r="K234" s="105"/>
      <c r="L234" s="106">
        <v>331.2</v>
      </c>
      <c r="M234" s="4">
        <f t="shared" si="15"/>
        <v>19433.5</v>
      </c>
      <c r="N234" s="105"/>
      <c r="O234" s="105" t="s">
        <v>1609</v>
      </c>
    </row>
    <row r="235" spans="1:15">
      <c r="A235" s="371">
        <v>46186</v>
      </c>
      <c r="B235" s="106" t="s">
        <v>57</v>
      </c>
      <c r="C235" s="370">
        <v>0.72</v>
      </c>
      <c r="D235" s="370">
        <v>0.96</v>
      </c>
      <c r="E235" s="106">
        <v>105.25</v>
      </c>
      <c r="F235" s="105">
        <f t="shared" si="12"/>
        <v>103.2</v>
      </c>
      <c r="G235" s="105">
        <f t="shared" si="13"/>
        <v>2.05</v>
      </c>
      <c r="H235" s="105"/>
      <c r="I235" s="160">
        <f t="shared" si="14"/>
        <v>0.779952494061758</v>
      </c>
      <c r="J235" s="106">
        <v>26.31</v>
      </c>
      <c r="K235" s="105"/>
      <c r="L235" s="106">
        <v>82.09</v>
      </c>
      <c r="M235" s="4">
        <f t="shared" si="15"/>
        <v>19351.41</v>
      </c>
      <c r="N235" s="105"/>
      <c r="O235" s="105" t="s">
        <v>1609</v>
      </c>
    </row>
    <row r="236" spans="1:15">
      <c r="A236" s="371">
        <v>46186</v>
      </c>
      <c r="B236" s="106" t="s">
        <v>148</v>
      </c>
      <c r="C236" s="370">
        <v>0.44</v>
      </c>
      <c r="D236" s="370">
        <v>0.98</v>
      </c>
      <c r="E236" s="106">
        <v>245.442</v>
      </c>
      <c r="F236" s="105">
        <f t="shared" si="12"/>
        <v>232.2</v>
      </c>
      <c r="G236" s="105">
        <f t="shared" si="13"/>
        <v>13.242</v>
      </c>
      <c r="H236" s="105"/>
      <c r="I236" s="160">
        <f t="shared" si="14"/>
        <v>0.77998060641618</v>
      </c>
      <c r="J236" s="106">
        <v>61.36</v>
      </c>
      <c r="K236" s="105"/>
      <c r="L236" s="106">
        <v>191.44</v>
      </c>
      <c r="M236" s="4">
        <f t="shared" si="15"/>
        <v>19159.97</v>
      </c>
      <c r="N236" s="105"/>
      <c r="O236" s="105" t="s">
        <v>1609</v>
      </c>
    </row>
    <row r="237" spans="1:15">
      <c r="A237" s="371">
        <v>46187</v>
      </c>
      <c r="B237" s="106" t="s">
        <v>114</v>
      </c>
      <c r="C237" s="370">
        <v>0</v>
      </c>
      <c r="D237" s="370">
        <v>0</v>
      </c>
      <c r="E237" s="106">
        <v>0</v>
      </c>
      <c r="F237" s="105">
        <f t="shared" si="12"/>
        <v>0</v>
      </c>
      <c r="G237" s="105">
        <f t="shared" si="13"/>
        <v>0</v>
      </c>
      <c r="H237" s="105"/>
      <c r="I237" s="160" t="e">
        <f t="shared" si="14"/>
        <v>#DIV/0!</v>
      </c>
      <c r="J237" s="106"/>
      <c r="K237" s="105"/>
      <c r="L237" s="106">
        <v>0</v>
      </c>
      <c r="M237" s="4">
        <f t="shared" si="15"/>
        <v>19159.97</v>
      </c>
      <c r="N237" s="105"/>
      <c r="O237" s="105" t="s">
        <v>1609</v>
      </c>
    </row>
    <row r="238" spans="1:15">
      <c r="A238" s="371">
        <v>46187</v>
      </c>
      <c r="B238" s="106" t="s">
        <v>339</v>
      </c>
      <c r="C238" s="370">
        <v>0.44</v>
      </c>
      <c r="D238" s="370">
        <v>0.98</v>
      </c>
      <c r="E238" s="106">
        <v>246.573</v>
      </c>
      <c r="F238" s="105">
        <f t="shared" si="12"/>
        <v>232.2</v>
      </c>
      <c r="G238" s="105">
        <f t="shared" si="13"/>
        <v>14.373</v>
      </c>
      <c r="H238" s="105"/>
      <c r="I238" s="160">
        <f t="shared" si="14"/>
        <v>0.779971854177059</v>
      </c>
      <c r="J238" s="106">
        <v>61.64</v>
      </c>
      <c r="K238" s="105"/>
      <c r="L238" s="106">
        <v>192.32</v>
      </c>
      <c r="M238" s="4">
        <f t="shared" si="15"/>
        <v>18967.65</v>
      </c>
      <c r="N238" s="105"/>
      <c r="O238" s="105" t="s">
        <v>1609</v>
      </c>
    </row>
    <row r="239" spans="1:15">
      <c r="A239" s="371">
        <v>46187</v>
      </c>
      <c r="B239" s="106" t="s">
        <v>87</v>
      </c>
      <c r="C239" s="370">
        <v>0.35</v>
      </c>
      <c r="D239" s="370">
        <v>0.98</v>
      </c>
      <c r="E239" s="106">
        <v>311.033</v>
      </c>
      <c r="F239" s="105">
        <f t="shared" si="12"/>
        <v>270.9</v>
      </c>
      <c r="G239" s="170">
        <f t="shared" si="13"/>
        <v>40.133</v>
      </c>
      <c r="H239" s="105"/>
      <c r="I239" s="160">
        <f t="shared" si="14"/>
        <v>0.780013696295891</v>
      </c>
      <c r="J239" s="106">
        <v>77.76</v>
      </c>
      <c r="K239" s="105"/>
      <c r="L239" s="106">
        <v>242.61</v>
      </c>
      <c r="M239" s="4">
        <f t="shared" si="15"/>
        <v>18725.04</v>
      </c>
      <c r="N239" s="105"/>
      <c r="O239" s="105" t="s">
        <v>1609</v>
      </c>
    </row>
    <row r="240" spans="1:15">
      <c r="A240" s="371">
        <v>46187</v>
      </c>
      <c r="B240" s="106" t="s">
        <v>114</v>
      </c>
      <c r="C240" s="370">
        <v>0.32</v>
      </c>
      <c r="D240" s="370">
        <v>0.95</v>
      </c>
      <c r="E240" s="106">
        <v>270.308</v>
      </c>
      <c r="F240" s="105">
        <f t="shared" si="12"/>
        <v>270.9</v>
      </c>
      <c r="G240" s="105">
        <f t="shared" si="13"/>
        <v>-0.591999999999985</v>
      </c>
      <c r="H240" s="105"/>
      <c r="I240" s="160">
        <f t="shared" si="14"/>
        <v>0.779999112123948</v>
      </c>
      <c r="J240" s="106">
        <v>67.58</v>
      </c>
      <c r="K240" s="105"/>
      <c r="L240" s="106">
        <v>210.84</v>
      </c>
      <c r="M240" s="4">
        <f t="shared" si="15"/>
        <v>18514.2</v>
      </c>
      <c r="N240" s="105"/>
      <c r="O240" s="105" t="s">
        <v>1609</v>
      </c>
    </row>
    <row r="241" spans="1:15">
      <c r="A241" s="371">
        <v>46187</v>
      </c>
      <c r="B241" s="106" t="s">
        <v>111</v>
      </c>
      <c r="C241" s="370">
        <v>0.36</v>
      </c>
      <c r="D241" s="370">
        <v>0.98</v>
      </c>
      <c r="E241" s="106">
        <v>271.64</v>
      </c>
      <c r="F241" s="105">
        <f t="shared" si="12"/>
        <v>266.6</v>
      </c>
      <c r="G241" s="105">
        <f t="shared" si="13"/>
        <v>5.03999999999996</v>
      </c>
      <c r="H241" s="105"/>
      <c r="I241" s="160">
        <f t="shared" si="14"/>
        <v>0.780002945074363</v>
      </c>
      <c r="J241" s="106">
        <v>67.91</v>
      </c>
      <c r="K241" s="105"/>
      <c r="L241" s="106">
        <v>211.88</v>
      </c>
      <c r="M241" s="4">
        <f t="shared" si="15"/>
        <v>18302.32</v>
      </c>
      <c r="N241" s="105"/>
      <c r="O241" s="105" t="s">
        <v>1609</v>
      </c>
    </row>
    <row r="242" spans="1:15">
      <c r="A242" s="371">
        <v>46187</v>
      </c>
      <c r="B242" s="106" t="s">
        <v>93</v>
      </c>
      <c r="C242" s="370">
        <v>0.47</v>
      </c>
      <c r="D242" s="370">
        <v>0.94</v>
      </c>
      <c r="E242" s="106">
        <v>229.275</v>
      </c>
      <c r="F242" s="105">
        <f t="shared" si="12"/>
        <v>202.1</v>
      </c>
      <c r="G242" s="170">
        <f t="shared" si="13"/>
        <v>27.175</v>
      </c>
      <c r="H242" s="105"/>
      <c r="I242" s="160">
        <f t="shared" si="14"/>
        <v>0.780023988659906</v>
      </c>
      <c r="J242" s="106">
        <v>57.32</v>
      </c>
      <c r="K242" s="105"/>
      <c r="L242" s="106">
        <v>178.84</v>
      </c>
      <c r="M242" s="4">
        <f t="shared" si="15"/>
        <v>18123.48</v>
      </c>
      <c r="N242" s="105"/>
      <c r="O242" s="105" t="s">
        <v>1609</v>
      </c>
    </row>
    <row r="243" spans="1:15">
      <c r="A243" s="371">
        <v>46187</v>
      </c>
      <c r="B243" s="106" t="s">
        <v>84</v>
      </c>
      <c r="C243" s="370">
        <v>0.47</v>
      </c>
      <c r="D243" s="370">
        <v>0.88</v>
      </c>
      <c r="E243" s="106">
        <v>200.739</v>
      </c>
      <c r="F243" s="105">
        <f t="shared" si="12"/>
        <v>176.3</v>
      </c>
      <c r="G243" s="170">
        <f t="shared" si="13"/>
        <v>24.439</v>
      </c>
      <c r="H243" s="105"/>
      <c r="I243" s="160">
        <f t="shared" si="14"/>
        <v>0.779968018172851</v>
      </c>
      <c r="J243" s="106">
        <v>50.18</v>
      </c>
      <c r="K243" s="105"/>
      <c r="L243" s="106">
        <v>156.57</v>
      </c>
      <c r="M243" s="4">
        <f t="shared" si="15"/>
        <v>17966.91</v>
      </c>
      <c r="N243" s="105"/>
      <c r="O243" s="105" t="s">
        <v>1609</v>
      </c>
    </row>
    <row r="244" spans="1:15">
      <c r="A244" s="371">
        <v>46187</v>
      </c>
      <c r="B244" s="106" t="s">
        <v>54</v>
      </c>
      <c r="C244" s="370">
        <v>0.32</v>
      </c>
      <c r="D244" s="370">
        <v>0.98</v>
      </c>
      <c r="E244" s="106">
        <v>293.986</v>
      </c>
      <c r="F244" s="105">
        <f t="shared" si="12"/>
        <v>283.8</v>
      </c>
      <c r="G244" s="105">
        <f t="shared" si="13"/>
        <v>10.186</v>
      </c>
      <c r="H244" s="105"/>
      <c r="I244" s="160">
        <f t="shared" si="14"/>
        <v>0.78000312940072</v>
      </c>
      <c r="J244" s="106">
        <v>73.5</v>
      </c>
      <c r="K244" s="105"/>
      <c r="L244" s="106">
        <v>229.31</v>
      </c>
      <c r="M244" s="4">
        <f t="shared" si="15"/>
        <v>17737.6</v>
      </c>
      <c r="N244" s="105"/>
      <c r="O244" s="105" t="s">
        <v>1609</v>
      </c>
    </row>
    <row r="245" spans="1:15">
      <c r="A245" s="371">
        <v>46187</v>
      </c>
      <c r="B245" s="106" t="s">
        <v>96</v>
      </c>
      <c r="C245" s="370">
        <v>0.15</v>
      </c>
      <c r="D245" s="370">
        <v>0.98</v>
      </c>
      <c r="E245" s="106">
        <v>416.517</v>
      </c>
      <c r="F245" s="105">
        <f t="shared" si="12"/>
        <v>356.9</v>
      </c>
      <c r="G245" s="170">
        <f t="shared" si="13"/>
        <v>59.617</v>
      </c>
      <c r="H245" s="105"/>
      <c r="I245" s="160">
        <f t="shared" si="14"/>
        <v>0.779992173188609</v>
      </c>
      <c r="J245" s="106">
        <v>104.13</v>
      </c>
      <c r="K245" s="105"/>
      <c r="L245" s="106">
        <v>324.88</v>
      </c>
      <c r="M245" s="4">
        <f t="shared" si="15"/>
        <v>17412.72</v>
      </c>
      <c r="N245" s="105"/>
      <c r="O245" s="105" t="s">
        <v>1609</v>
      </c>
    </row>
    <row r="246" spans="1:15">
      <c r="A246" s="371">
        <v>46187</v>
      </c>
      <c r="B246" s="106" t="s">
        <v>117</v>
      </c>
      <c r="C246" s="370">
        <v>0.41</v>
      </c>
      <c r="D246" s="370">
        <v>0.96</v>
      </c>
      <c r="E246" s="106">
        <v>246.959</v>
      </c>
      <c r="F246" s="105">
        <f t="shared" si="12"/>
        <v>236.5</v>
      </c>
      <c r="G246" s="105">
        <f t="shared" si="13"/>
        <v>10.459</v>
      </c>
      <c r="H246" s="105"/>
      <c r="I246" s="160">
        <f t="shared" si="14"/>
        <v>0.780008017525176</v>
      </c>
      <c r="J246" s="106">
        <v>61.74</v>
      </c>
      <c r="K246" s="105"/>
      <c r="L246" s="106">
        <v>192.63</v>
      </c>
      <c r="M246" s="4">
        <f t="shared" si="15"/>
        <v>17220.09</v>
      </c>
      <c r="N246" s="105"/>
      <c r="O246" s="105" t="s">
        <v>1609</v>
      </c>
    </row>
    <row r="247" spans="1:15">
      <c r="A247" s="371">
        <v>46187</v>
      </c>
      <c r="B247" s="106" t="s">
        <v>90</v>
      </c>
      <c r="C247" s="370">
        <v>0.31</v>
      </c>
      <c r="D247" s="370">
        <v>0.58</v>
      </c>
      <c r="E247" s="106">
        <v>130.029</v>
      </c>
      <c r="F247" s="105">
        <f t="shared" si="12"/>
        <v>116.1</v>
      </c>
      <c r="G247" s="105">
        <f t="shared" si="13"/>
        <v>13.929</v>
      </c>
      <c r="H247" s="105"/>
      <c r="I247" s="160">
        <f t="shared" si="14"/>
        <v>0.780056756569688</v>
      </c>
      <c r="J247" s="106">
        <v>32.51</v>
      </c>
      <c r="K247" s="105"/>
      <c r="L247" s="106">
        <v>101.43</v>
      </c>
      <c r="M247" s="4">
        <f t="shared" si="15"/>
        <v>17118.66</v>
      </c>
      <c r="N247" s="105"/>
      <c r="O247" s="105" t="s">
        <v>1609</v>
      </c>
    </row>
    <row r="248" spans="1:15">
      <c r="A248" s="371">
        <v>46187</v>
      </c>
      <c r="B248" s="106" t="s">
        <v>90</v>
      </c>
      <c r="C248" s="370">
        <v>0.58</v>
      </c>
      <c r="D248" s="370">
        <v>0.58</v>
      </c>
      <c r="E248" s="106">
        <v>0</v>
      </c>
      <c r="F248" s="105">
        <f t="shared" si="12"/>
        <v>0</v>
      </c>
      <c r="G248" s="105">
        <f t="shared" si="13"/>
        <v>0</v>
      </c>
      <c r="H248" s="105"/>
      <c r="I248" s="160" t="e">
        <f t="shared" si="14"/>
        <v>#DIV/0!</v>
      </c>
      <c r="J248" s="106">
        <v>0</v>
      </c>
      <c r="K248" s="105"/>
      <c r="L248" s="106">
        <v>0</v>
      </c>
      <c r="M248" s="4">
        <f t="shared" si="15"/>
        <v>17118.66</v>
      </c>
      <c r="N248" s="105"/>
      <c r="O248" s="105" t="s">
        <v>1609</v>
      </c>
    </row>
    <row r="249" spans="1:15">
      <c r="A249" s="371">
        <v>46187</v>
      </c>
      <c r="B249" s="106" t="s">
        <v>90</v>
      </c>
      <c r="C249" s="370">
        <v>0.58</v>
      </c>
      <c r="D249" s="370">
        <v>0.68</v>
      </c>
      <c r="E249" s="106">
        <v>46.281</v>
      </c>
      <c r="F249" s="105">
        <f t="shared" si="12"/>
        <v>43</v>
      </c>
      <c r="G249" s="105">
        <f t="shared" si="13"/>
        <v>3.28099999999996</v>
      </c>
      <c r="H249" s="105"/>
      <c r="I249" s="160">
        <f t="shared" si="14"/>
        <v>0.780017717853979</v>
      </c>
      <c r="J249" s="106">
        <v>11.57</v>
      </c>
      <c r="K249" s="105"/>
      <c r="L249" s="106">
        <v>36.1</v>
      </c>
      <c r="M249" s="4">
        <f t="shared" si="15"/>
        <v>17082.56</v>
      </c>
      <c r="N249" s="105"/>
      <c r="O249" s="105" t="s">
        <v>1609</v>
      </c>
    </row>
    <row r="250" spans="1:15">
      <c r="A250" s="371">
        <v>46187</v>
      </c>
      <c r="B250" s="106" t="s">
        <v>90</v>
      </c>
      <c r="C250" s="370">
        <v>0.68</v>
      </c>
      <c r="D250" s="370">
        <v>0.93</v>
      </c>
      <c r="E250" s="106">
        <v>123.48</v>
      </c>
      <c r="F250" s="105">
        <f t="shared" si="12"/>
        <v>107.5</v>
      </c>
      <c r="G250" s="105">
        <f t="shared" si="13"/>
        <v>15.98</v>
      </c>
      <c r="H250" s="105"/>
      <c r="I250" s="160">
        <f t="shared" si="14"/>
        <v>0.779964366699061</v>
      </c>
      <c r="J250" s="106">
        <v>30.87</v>
      </c>
      <c r="K250" s="105"/>
      <c r="L250" s="106">
        <v>96.31</v>
      </c>
      <c r="M250" s="4">
        <f t="shared" si="15"/>
        <v>16986.25</v>
      </c>
      <c r="N250" s="105"/>
      <c r="O250" s="105" t="s">
        <v>1609</v>
      </c>
    </row>
    <row r="251" spans="1:15">
      <c r="A251" s="371">
        <v>46187</v>
      </c>
      <c r="B251" s="106" t="s">
        <v>144</v>
      </c>
      <c r="C251" s="370">
        <v>0.71</v>
      </c>
      <c r="D251" s="370">
        <v>0.98</v>
      </c>
      <c r="E251" s="106">
        <v>119.553</v>
      </c>
      <c r="F251" s="105">
        <f t="shared" si="12"/>
        <v>116.1</v>
      </c>
      <c r="G251" s="105">
        <f t="shared" si="13"/>
        <v>3.45299999999999</v>
      </c>
      <c r="H251" s="105"/>
      <c r="I251" s="160">
        <f t="shared" si="14"/>
        <v>0.779988791581976</v>
      </c>
      <c r="J251" s="106">
        <v>29.89</v>
      </c>
      <c r="K251" s="105"/>
      <c r="L251" s="106">
        <v>93.25</v>
      </c>
      <c r="M251" s="4">
        <f t="shared" si="15"/>
        <v>16893</v>
      </c>
      <c r="N251" s="105"/>
      <c r="O251" s="105" t="s">
        <v>1609</v>
      </c>
    </row>
    <row r="252" spans="1:15">
      <c r="A252" s="371">
        <v>46187</v>
      </c>
      <c r="B252" s="106" t="s">
        <v>132</v>
      </c>
      <c r="C252" s="370">
        <v>0.16</v>
      </c>
      <c r="D252" s="370">
        <v>0.94</v>
      </c>
      <c r="E252" s="106">
        <v>358.869</v>
      </c>
      <c r="F252" s="105">
        <f t="shared" si="12"/>
        <v>335.4</v>
      </c>
      <c r="G252" s="170">
        <f t="shared" si="13"/>
        <v>23.4690000000001</v>
      </c>
      <c r="H252" s="105"/>
      <c r="I252" s="160">
        <f t="shared" si="14"/>
        <v>0.78000607464005</v>
      </c>
      <c r="J252" s="106">
        <v>89.72</v>
      </c>
      <c r="K252" s="105"/>
      <c r="L252" s="106">
        <v>279.92</v>
      </c>
      <c r="M252" s="4">
        <f t="shared" si="15"/>
        <v>16613.08</v>
      </c>
      <c r="N252" s="105"/>
      <c r="O252" s="105" t="s">
        <v>1609</v>
      </c>
    </row>
    <row r="253" spans="1:15">
      <c r="A253" s="371">
        <v>46187</v>
      </c>
      <c r="B253" s="106" t="s">
        <v>177</v>
      </c>
      <c r="C253" s="370">
        <v>0.13</v>
      </c>
      <c r="D253" s="370">
        <v>0.98</v>
      </c>
      <c r="E253" s="106">
        <v>386.414</v>
      </c>
      <c r="F253" s="105">
        <f t="shared" si="12"/>
        <v>365.5</v>
      </c>
      <c r="G253" s="170">
        <f t="shared" si="13"/>
        <v>20.914</v>
      </c>
      <c r="H253" s="105"/>
      <c r="I253" s="160">
        <f t="shared" si="14"/>
        <v>0.779992443337974</v>
      </c>
      <c r="J253" s="106">
        <v>96.6</v>
      </c>
      <c r="K253" s="105"/>
      <c r="L253" s="106">
        <v>301.4</v>
      </c>
      <c r="M253" s="4">
        <f t="shared" si="15"/>
        <v>16311.68</v>
      </c>
      <c r="N253" s="105"/>
      <c r="O253" s="105" t="s">
        <v>1609</v>
      </c>
    </row>
    <row r="254" spans="1:15">
      <c r="A254" s="371">
        <v>46187</v>
      </c>
      <c r="B254" s="106" t="s">
        <v>183</v>
      </c>
      <c r="C254" s="370">
        <v>0.34</v>
      </c>
      <c r="D254" s="370">
        <v>0.98</v>
      </c>
      <c r="E254" s="106">
        <v>290.95</v>
      </c>
      <c r="F254" s="105">
        <f t="shared" si="12"/>
        <v>275.2</v>
      </c>
      <c r="G254" s="105">
        <f t="shared" si="13"/>
        <v>15.7500000000001</v>
      </c>
      <c r="H254" s="105"/>
      <c r="I254" s="160">
        <f t="shared" si="14"/>
        <v>0.779996562983331</v>
      </c>
      <c r="J254" s="106">
        <v>72.74</v>
      </c>
      <c r="K254" s="105"/>
      <c r="L254" s="106">
        <v>226.94</v>
      </c>
      <c r="M254" s="4">
        <f t="shared" si="15"/>
        <v>16084.74</v>
      </c>
      <c r="N254" s="105"/>
      <c r="O254" s="105" t="s">
        <v>1609</v>
      </c>
    </row>
    <row r="255" spans="1:15">
      <c r="A255" s="371">
        <v>46187</v>
      </c>
      <c r="B255" s="106" t="s">
        <v>127</v>
      </c>
      <c r="C255" s="370">
        <v>0.42</v>
      </c>
      <c r="D255" s="370">
        <v>0.98</v>
      </c>
      <c r="E255" s="106">
        <v>254.495</v>
      </c>
      <c r="F255" s="105">
        <f t="shared" si="12"/>
        <v>240.8</v>
      </c>
      <c r="G255" s="105">
        <f t="shared" si="13"/>
        <v>13.695</v>
      </c>
      <c r="H255" s="105"/>
      <c r="I255" s="160">
        <f t="shared" si="14"/>
        <v>0.77997603096328</v>
      </c>
      <c r="J255" s="106">
        <v>63.62</v>
      </c>
      <c r="K255" s="105"/>
      <c r="L255" s="106">
        <v>198.5</v>
      </c>
      <c r="M255" s="4">
        <f t="shared" si="15"/>
        <v>15886.24</v>
      </c>
      <c r="N255" s="105"/>
      <c r="O255" s="105" t="s">
        <v>1609</v>
      </c>
    </row>
    <row r="256" spans="1:15">
      <c r="A256" s="371">
        <v>46187</v>
      </c>
      <c r="B256" s="106" t="s">
        <v>63</v>
      </c>
      <c r="C256" s="370">
        <v>0.48</v>
      </c>
      <c r="D256" s="370">
        <v>0.95</v>
      </c>
      <c r="E256" s="106">
        <v>241.046</v>
      </c>
      <c r="F256" s="105">
        <f t="shared" si="12"/>
        <v>202.1</v>
      </c>
      <c r="G256" s="170">
        <f t="shared" si="13"/>
        <v>38.946</v>
      </c>
      <c r="H256" s="105"/>
      <c r="I256" s="160">
        <f t="shared" si="14"/>
        <v>0.779975606315807</v>
      </c>
      <c r="J256" s="106">
        <v>60.26</v>
      </c>
      <c r="K256" s="105"/>
      <c r="L256" s="106">
        <v>188.01</v>
      </c>
      <c r="M256" s="4">
        <f t="shared" si="15"/>
        <v>15698.23</v>
      </c>
      <c r="N256" s="105"/>
      <c r="O256" s="105" t="s">
        <v>1609</v>
      </c>
    </row>
    <row r="257" spans="1:15">
      <c r="A257" s="371">
        <v>46187</v>
      </c>
      <c r="B257" s="106" t="s">
        <v>180</v>
      </c>
      <c r="C257" s="370">
        <v>0.11</v>
      </c>
      <c r="D257" s="370">
        <v>0.98</v>
      </c>
      <c r="E257" s="106">
        <v>379.488</v>
      </c>
      <c r="F257" s="105">
        <f t="shared" si="12"/>
        <v>374.1</v>
      </c>
      <c r="G257" s="105">
        <f t="shared" si="13"/>
        <v>5.38799999999998</v>
      </c>
      <c r="H257" s="105"/>
      <c r="I257" s="160">
        <f t="shared" si="14"/>
        <v>0.77999831351716</v>
      </c>
      <c r="J257" s="106">
        <v>94.87</v>
      </c>
      <c r="K257" s="105"/>
      <c r="L257" s="106">
        <v>296</v>
      </c>
      <c r="M257" s="4">
        <f t="shared" si="15"/>
        <v>15402.23</v>
      </c>
      <c r="N257" s="105"/>
      <c r="O257" s="105" t="s">
        <v>1609</v>
      </c>
    </row>
    <row r="258" spans="1:15">
      <c r="A258" s="371">
        <v>46187</v>
      </c>
      <c r="B258" s="106" t="s">
        <v>105</v>
      </c>
      <c r="C258" s="370">
        <v>0.76</v>
      </c>
      <c r="D258" s="370">
        <v>1</v>
      </c>
      <c r="E258" s="106">
        <v>110.298</v>
      </c>
      <c r="F258" s="105">
        <f t="shared" si="12"/>
        <v>103.2</v>
      </c>
      <c r="G258" s="105">
        <f t="shared" si="13"/>
        <v>7.098</v>
      </c>
      <c r="H258" s="105"/>
      <c r="I258" s="160">
        <f t="shared" si="14"/>
        <v>0.779977878112024</v>
      </c>
      <c r="J258" s="106">
        <v>27.57</v>
      </c>
      <c r="K258" s="105"/>
      <c r="L258" s="106">
        <v>86.03</v>
      </c>
      <c r="M258" s="4">
        <f t="shared" si="15"/>
        <v>15316.2</v>
      </c>
      <c r="N258" s="105"/>
      <c r="O258" s="105" t="s">
        <v>1609</v>
      </c>
    </row>
    <row r="259" spans="1:15">
      <c r="A259" s="371">
        <v>46187</v>
      </c>
      <c r="B259" s="106" t="s">
        <v>174</v>
      </c>
      <c r="C259" s="370">
        <v>0.38</v>
      </c>
      <c r="D259" s="370">
        <v>0.98</v>
      </c>
      <c r="E259" s="106">
        <v>273.656</v>
      </c>
      <c r="F259" s="105">
        <f t="shared" ref="F259:F322" si="16">(D259-C259)*430</f>
        <v>258</v>
      </c>
      <c r="G259" s="105">
        <f t="shared" ref="G259:G322" si="17">E259-F259</f>
        <v>15.656</v>
      </c>
      <c r="H259" s="105"/>
      <c r="I259" s="160">
        <f t="shared" ref="I259:I271" si="18">L259/E259</f>
        <v>0.779993860905662</v>
      </c>
      <c r="J259" s="106">
        <v>68.41</v>
      </c>
      <c r="K259" s="105"/>
      <c r="L259" s="106">
        <v>213.45</v>
      </c>
      <c r="M259" s="4">
        <f t="shared" ref="M259:M322" si="19">M258+K259-L259</f>
        <v>15102.75</v>
      </c>
      <c r="N259" s="105"/>
      <c r="O259" s="105" t="s">
        <v>1609</v>
      </c>
    </row>
    <row r="260" spans="1:15">
      <c r="A260" s="372">
        <v>46188</v>
      </c>
      <c r="B260" s="373" t="s">
        <v>96</v>
      </c>
      <c r="C260" s="374">
        <v>0.45</v>
      </c>
      <c r="D260" s="374">
        <v>0.98</v>
      </c>
      <c r="E260" s="373">
        <v>268.516</v>
      </c>
      <c r="F260" s="105">
        <f t="shared" si="16"/>
        <v>227.9</v>
      </c>
      <c r="G260" s="170">
        <f t="shared" si="17"/>
        <v>40.616</v>
      </c>
      <c r="H260" s="105"/>
      <c r="I260" s="160">
        <f t="shared" si="18"/>
        <v>0.779990764051304</v>
      </c>
      <c r="J260" s="373">
        <v>67.13</v>
      </c>
      <c r="K260" s="105"/>
      <c r="L260" s="373">
        <v>209.44</v>
      </c>
      <c r="M260" s="4">
        <f t="shared" si="19"/>
        <v>14893.31</v>
      </c>
      <c r="N260" s="105"/>
      <c r="O260" s="105" t="s">
        <v>1609</v>
      </c>
    </row>
    <row r="261" spans="1:15">
      <c r="A261" s="375">
        <v>46188</v>
      </c>
      <c r="B261" s="376" t="s">
        <v>51</v>
      </c>
      <c r="C261" s="374">
        <v>0.3</v>
      </c>
      <c r="D261" s="374">
        <v>0.98</v>
      </c>
      <c r="E261" s="376">
        <v>296.524</v>
      </c>
      <c r="F261" s="105">
        <f t="shared" si="16"/>
        <v>292.4</v>
      </c>
      <c r="G261" s="105">
        <f t="shared" si="17"/>
        <v>4.12400000000002</v>
      </c>
      <c r="H261" s="105"/>
      <c r="I261" s="160">
        <f t="shared" si="18"/>
        <v>0.780004316682629</v>
      </c>
      <c r="J261" s="376">
        <v>74.13</v>
      </c>
      <c r="K261" s="105"/>
      <c r="L261" s="376">
        <v>231.29</v>
      </c>
      <c r="M261" s="4">
        <f t="shared" si="19"/>
        <v>14662.02</v>
      </c>
      <c r="N261" s="105"/>
      <c r="O261" s="105" t="s">
        <v>1609</v>
      </c>
    </row>
    <row r="262" spans="1:15">
      <c r="A262" s="375">
        <v>46188</v>
      </c>
      <c r="B262" s="376" t="s">
        <v>66</v>
      </c>
      <c r="C262" s="374">
        <v>0.46</v>
      </c>
      <c r="D262" s="374">
        <v>0.98</v>
      </c>
      <c r="E262" s="376">
        <v>276.41</v>
      </c>
      <c r="F262" s="105">
        <f t="shared" si="16"/>
        <v>223.6</v>
      </c>
      <c r="G262" s="170">
        <f t="shared" si="17"/>
        <v>52.81</v>
      </c>
      <c r="H262" s="105"/>
      <c r="I262" s="160">
        <f t="shared" si="18"/>
        <v>0.780000723562823</v>
      </c>
      <c r="J262" s="376">
        <v>69.1</v>
      </c>
      <c r="K262" s="105"/>
      <c r="L262" s="376">
        <v>215.6</v>
      </c>
      <c r="M262" s="4">
        <f t="shared" si="19"/>
        <v>14446.42</v>
      </c>
      <c r="N262" s="105"/>
      <c r="O262" s="105" t="s">
        <v>1609</v>
      </c>
    </row>
    <row r="263" spans="1:15">
      <c r="A263" s="375">
        <v>46188</v>
      </c>
      <c r="B263" s="376" t="s">
        <v>141</v>
      </c>
      <c r="C263" s="374">
        <v>0.3</v>
      </c>
      <c r="D263" s="374">
        <v>0.98</v>
      </c>
      <c r="E263" s="376">
        <v>309.903</v>
      </c>
      <c r="F263" s="105">
        <f t="shared" si="16"/>
        <v>292.4</v>
      </c>
      <c r="G263" s="105">
        <f t="shared" si="17"/>
        <v>17.503</v>
      </c>
      <c r="H263" s="105"/>
      <c r="I263" s="160">
        <f t="shared" si="18"/>
        <v>0.780018263779311</v>
      </c>
      <c r="J263" s="376">
        <v>77.48</v>
      </c>
      <c r="K263" s="105"/>
      <c r="L263" s="376">
        <v>241.73</v>
      </c>
      <c r="M263" s="4">
        <f t="shared" si="19"/>
        <v>14204.69</v>
      </c>
      <c r="N263" s="105"/>
      <c r="O263" s="105" t="s">
        <v>1609</v>
      </c>
    </row>
    <row r="264" spans="1:15">
      <c r="A264" s="375">
        <v>46188</v>
      </c>
      <c r="B264" s="376" t="s">
        <v>57</v>
      </c>
      <c r="C264" s="374">
        <v>0.37</v>
      </c>
      <c r="D264" s="374">
        <v>0.98</v>
      </c>
      <c r="E264" s="376">
        <v>261.475</v>
      </c>
      <c r="F264" s="105">
        <f t="shared" si="16"/>
        <v>262.3</v>
      </c>
      <c r="G264" s="105">
        <f t="shared" si="17"/>
        <v>-0.824999999999989</v>
      </c>
      <c r="H264" s="105"/>
      <c r="I264" s="160">
        <f t="shared" si="18"/>
        <v>0.779998087771297</v>
      </c>
      <c r="J264" s="376">
        <v>65.37</v>
      </c>
      <c r="K264" s="105"/>
      <c r="L264" s="376">
        <v>203.95</v>
      </c>
      <c r="M264" s="4">
        <f t="shared" si="19"/>
        <v>14000.74</v>
      </c>
      <c r="N264" s="105"/>
      <c r="O264" s="105" t="s">
        <v>1609</v>
      </c>
    </row>
    <row r="265" spans="1:15">
      <c r="A265" s="375">
        <v>46188</v>
      </c>
      <c r="B265" s="376" t="s">
        <v>111</v>
      </c>
      <c r="C265" s="374">
        <v>0.27</v>
      </c>
      <c r="D265" s="374">
        <v>0.95</v>
      </c>
      <c r="E265" s="376">
        <v>289.541</v>
      </c>
      <c r="F265" s="105">
        <f t="shared" si="16"/>
        <v>292.4</v>
      </c>
      <c r="G265" s="105">
        <f t="shared" si="17"/>
        <v>-2.85899999999998</v>
      </c>
      <c r="H265" s="105"/>
      <c r="I265" s="160">
        <f t="shared" si="18"/>
        <v>0.780027699013266</v>
      </c>
      <c r="J265" s="376">
        <v>72.39</v>
      </c>
      <c r="K265" s="105"/>
      <c r="L265" s="376">
        <v>225.85</v>
      </c>
      <c r="M265" s="4">
        <f t="shared" si="19"/>
        <v>13774.89</v>
      </c>
      <c r="N265" s="105"/>
      <c r="O265" s="105" t="s">
        <v>1609</v>
      </c>
    </row>
    <row r="266" spans="1:15">
      <c r="A266" s="375">
        <v>46188</v>
      </c>
      <c r="B266" s="376" t="s">
        <v>102</v>
      </c>
      <c r="C266" s="374">
        <v>0.3</v>
      </c>
      <c r="D266" s="374">
        <v>0.95</v>
      </c>
      <c r="E266" s="376">
        <v>321.449</v>
      </c>
      <c r="F266" s="105">
        <f t="shared" si="16"/>
        <v>279.5</v>
      </c>
      <c r="G266" s="170">
        <f t="shared" si="17"/>
        <v>41.949</v>
      </c>
      <c r="H266" s="105"/>
      <c r="I266" s="160">
        <f t="shared" si="18"/>
        <v>0.779999315599053</v>
      </c>
      <c r="J266" s="376">
        <v>80.36</v>
      </c>
      <c r="K266" s="105"/>
      <c r="L266" s="376">
        <v>250.73</v>
      </c>
      <c r="M266" s="4">
        <f t="shared" si="19"/>
        <v>13524.16</v>
      </c>
      <c r="N266" s="105"/>
      <c r="O266" s="105" t="s">
        <v>1609</v>
      </c>
    </row>
    <row r="267" spans="1:15">
      <c r="A267" s="375">
        <v>46188</v>
      </c>
      <c r="B267" s="376" t="s">
        <v>87</v>
      </c>
      <c r="C267" s="374">
        <v>0.44</v>
      </c>
      <c r="D267" s="374">
        <v>0.93</v>
      </c>
      <c r="E267" s="376">
        <v>234.751</v>
      </c>
      <c r="F267" s="105">
        <f t="shared" si="16"/>
        <v>210.7</v>
      </c>
      <c r="G267" s="170">
        <f t="shared" si="17"/>
        <v>24.051</v>
      </c>
      <c r="H267" s="105"/>
      <c r="I267" s="160">
        <f t="shared" si="18"/>
        <v>0.780017976494243</v>
      </c>
      <c r="J267" s="376">
        <v>58.69</v>
      </c>
      <c r="K267" s="105"/>
      <c r="L267" s="376">
        <v>183.11</v>
      </c>
      <c r="M267" s="4">
        <f t="shared" si="19"/>
        <v>13341.05</v>
      </c>
      <c r="N267" s="105"/>
      <c r="O267" s="105" t="s">
        <v>1609</v>
      </c>
    </row>
    <row r="268" spans="1:15">
      <c r="A268" s="375">
        <v>46188</v>
      </c>
      <c r="B268" s="376" t="s">
        <v>127</v>
      </c>
      <c r="C268" s="374">
        <v>0.34</v>
      </c>
      <c r="D268" s="374">
        <v>0.96</v>
      </c>
      <c r="E268" s="376">
        <v>276.395</v>
      </c>
      <c r="F268" s="105">
        <f t="shared" si="16"/>
        <v>266.6</v>
      </c>
      <c r="G268" s="105">
        <f t="shared" si="17"/>
        <v>9.79499999999996</v>
      </c>
      <c r="H268" s="105"/>
      <c r="I268" s="160">
        <f t="shared" si="18"/>
        <v>0.780006874219867</v>
      </c>
      <c r="J268" s="376">
        <v>69.1</v>
      </c>
      <c r="K268" s="105"/>
      <c r="L268" s="376">
        <v>215.59</v>
      </c>
      <c r="M268" s="4">
        <f t="shared" si="19"/>
        <v>13125.46</v>
      </c>
      <c r="N268" s="105"/>
      <c r="O268" s="105" t="s">
        <v>1609</v>
      </c>
    </row>
    <row r="269" spans="1:15">
      <c r="A269" s="375">
        <v>46188</v>
      </c>
      <c r="B269" s="376" t="s">
        <v>117</v>
      </c>
      <c r="C269" s="374">
        <v>0.23</v>
      </c>
      <c r="D269" s="374">
        <v>0.95</v>
      </c>
      <c r="E269" s="376">
        <v>313.57</v>
      </c>
      <c r="F269" s="105">
        <f t="shared" si="16"/>
        <v>309.6</v>
      </c>
      <c r="G269" s="105">
        <f t="shared" si="17"/>
        <v>3.96999999999997</v>
      </c>
      <c r="H269" s="105"/>
      <c r="I269" s="160">
        <f t="shared" si="18"/>
        <v>0.779985330229295</v>
      </c>
      <c r="J269" s="376">
        <v>78.39</v>
      </c>
      <c r="K269" s="105"/>
      <c r="L269" s="376">
        <v>244.58</v>
      </c>
      <c r="M269" s="4">
        <f t="shared" si="19"/>
        <v>12880.88</v>
      </c>
      <c r="N269" s="105"/>
      <c r="O269" s="105" t="s">
        <v>1609</v>
      </c>
    </row>
    <row r="270" spans="1:15">
      <c r="A270" s="375">
        <v>46188</v>
      </c>
      <c r="B270" s="376" t="s">
        <v>195</v>
      </c>
      <c r="C270" s="374">
        <v>0.66</v>
      </c>
      <c r="D270" s="374">
        <v>0.98</v>
      </c>
      <c r="E270" s="376">
        <v>145.833</v>
      </c>
      <c r="F270" s="105">
        <f t="shared" si="16"/>
        <v>137.6</v>
      </c>
      <c r="G270" s="105">
        <f t="shared" si="17"/>
        <v>8.233</v>
      </c>
      <c r="H270" s="105"/>
      <c r="I270" s="160">
        <f t="shared" si="18"/>
        <v>0.780001782861218</v>
      </c>
      <c r="J270" s="376">
        <v>36.46</v>
      </c>
      <c r="K270" s="105"/>
      <c r="L270" s="376">
        <v>113.75</v>
      </c>
      <c r="M270" s="4">
        <f t="shared" si="19"/>
        <v>12767.13</v>
      </c>
      <c r="N270" s="105"/>
      <c r="O270" s="105" t="s">
        <v>1609</v>
      </c>
    </row>
    <row r="271" spans="1:15">
      <c r="A271" s="375">
        <v>46188</v>
      </c>
      <c r="B271" s="376" t="s">
        <v>189</v>
      </c>
      <c r="C271" s="374">
        <v>0.7</v>
      </c>
      <c r="D271" s="374">
        <v>0.96</v>
      </c>
      <c r="E271" s="376">
        <v>121.521</v>
      </c>
      <c r="F271" s="105">
        <f t="shared" si="16"/>
        <v>111.8</v>
      </c>
      <c r="G271" s="105">
        <f t="shared" si="17"/>
        <v>9.721</v>
      </c>
      <c r="H271" s="105"/>
      <c r="I271" s="160">
        <f t="shared" si="18"/>
        <v>0.780029789089952</v>
      </c>
      <c r="J271" s="376">
        <v>30.38</v>
      </c>
      <c r="K271" s="105"/>
      <c r="L271" s="376">
        <v>94.79</v>
      </c>
      <c r="M271" s="4">
        <f t="shared" si="19"/>
        <v>12672.34</v>
      </c>
      <c r="N271" s="105"/>
      <c r="O271" s="105" t="s">
        <v>1609</v>
      </c>
    </row>
    <row r="272" spans="1:15">
      <c r="A272" s="375">
        <v>46188</v>
      </c>
      <c r="B272" s="376" t="s">
        <v>192</v>
      </c>
      <c r="C272" s="374">
        <v>0.44</v>
      </c>
      <c r="D272" s="374">
        <v>0.98</v>
      </c>
      <c r="E272" s="376">
        <v>249.318</v>
      </c>
      <c r="F272" s="105">
        <f t="shared" si="16"/>
        <v>232.2</v>
      </c>
      <c r="G272" s="105">
        <f t="shared" si="17"/>
        <v>17.118</v>
      </c>
      <c r="H272" s="105"/>
      <c r="I272" s="160">
        <f>IFERROR(L272/E272,"0")</f>
        <v>0.780007861446025</v>
      </c>
      <c r="J272" s="376">
        <v>62.33</v>
      </c>
      <c r="K272" s="105"/>
      <c r="L272" s="376">
        <v>194.47</v>
      </c>
      <c r="M272" s="4">
        <f t="shared" si="19"/>
        <v>12477.87</v>
      </c>
      <c r="N272" s="105"/>
      <c r="O272" s="105" t="s">
        <v>1609</v>
      </c>
    </row>
    <row r="273" spans="1:16">
      <c r="A273" s="375">
        <v>46188</v>
      </c>
      <c r="B273" s="376" t="s">
        <v>72</v>
      </c>
      <c r="C273" s="374">
        <v>0.53</v>
      </c>
      <c r="D273" s="374">
        <v>0.98</v>
      </c>
      <c r="E273" s="376">
        <v>228.387</v>
      </c>
      <c r="F273" s="105">
        <f t="shared" si="16"/>
        <v>193.5</v>
      </c>
      <c r="G273" s="170">
        <f t="shared" si="17"/>
        <v>34.887</v>
      </c>
      <c r="H273" s="105"/>
      <c r="I273" s="160">
        <f t="shared" ref="I273:I301" si="20">L273/E273</f>
        <v>0.78003564125804</v>
      </c>
      <c r="J273" s="376">
        <v>57.1</v>
      </c>
      <c r="K273" s="105"/>
      <c r="L273" s="376">
        <v>178.15</v>
      </c>
      <c r="M273" s="4">
        <f t="shared" si="19"/>
        <v>12299.72</v>
      </c>
      <c r="N273" s="105"/>
      <c r="O273" s="105" t="s">
        <v>1609</v>
      </c>
    </row>
    <row r="274" spans="1:16">
      <c r="A274" s="375">
        <v>46188</v>
      </c>
      <c r="B274" s="376" t="s">
        <v>54</v>
      </c>
      <c r="C274" s="374">
        <v>0.44</v>
      </c>
      <c r="D274" s="374">
        <v>0.96</v>
      </c>
      <c r="E274" s="376">
        <v>224.554</v>
      </c>
      <c r="F274" s="105">
        <f t="shared" si="16"/>
        <v>223.6</v>
      </c>
      <c r="G274" s="105">
        <f t="shared" si="17"/>
        <v>0.954000000000008</v>
      </c>
      <c r="H274" s="105"/>
      <c r="I274" s="160">
        <f t="shared" si="20"/>
        <v>0.779990559063744</v>
      </c>
      <c r="J274" s="376">
        <v>56.14</v>
      </c>
      <c r="K274" s="105"/>
      <c r="L274" s="376">
        <v>175.15</v>
      </c>
      <c r="M274" s="4">
        <f t="shared" si="19"/>
        <v>12124.57</v>
      </c>
      <c r="N274" s="105"/>
      <c r="O274" s="105" t="s">
        <v>1609</v>
      </c>
    </row>
    <row r="275" spans="1:16">
      <c r="A275" s="375">
        <v>46188</v>
      </c>
      <c r="B275" s="376" t="s">
        <v>124</v>
      </c>
      <c r="C275" s="374">
        <v>0.34</v>
      </c>
      <c r="D275" s="374">
        <v>0.97</v>
      </c>
      <c r="E275" s="376">
        <v>285.695</v>
      </c>
      <c r="F275" s="105">
        <f t="shared" si="16"/>
        <v>270.9</v>
      </c>
      <c r="G275" s="105">
        <f t="shared" si="17"/>
        <v>14.795</v>
      </c>
      <c r="H275" s="105"/>
      <c r="I275" s="160">
        <f t="shared" si="20"/>
        <v>0.779992649503842</v>
      </c>
      <c r="J275" s="376">
        <v>71.42</v>
      </c>
      <c r="K275" s="105"/>
      <c r="L275" s="376">
        <v>222.84</v>
      </c>
      <c r="M275" s="4">
        <f t="shared" si="19"/>
        <v>11901.73</v>
      </c>
      <c r="N275" s="105"/>
      <c r="O275" s="105" t="s">
        <v>1609</v>
      </c>
    </row>
    <row r="276" spans="1:16">
      <c r="A276" s="375">
        <v>46188</v>
      </c>
      <c r="B276" s="376" t="s">
        <v>174</v>
      </c>
      <c r="C276" s="374">
        <v>0.26</v>
      </c>
      <c r="D276" s="374">
        <v>0.98</v>
      </c>
      <c r="E276" s="376">
        <v>325.403</v>
      </c>
      <c r="F276" s="105">
        <f t="shared" si="16"/>
        <v>309.6</v>
      </c>
      <c r="G276" s="105">
        <f t="shared" si="17"/>
        <v>15.803</v>
      </c>
      <c r="H276" s="105"/>
      <c r="I276" s="160">
        <f t="shared" si="20"/>
        <v>0.779986662692108</v>
      </c>
      <c r="J276" s="376">
        <v>81.35</v>
      </c>
      <c r="K276" s="105"/>
      <c r="L276" s="376">
        <v>253.81</v>
      </c>
      <c r="M276" s="4">
        <f t="shared" si="19"/>
        <v>11647.92</v>
      </c>
      <c r="N276" s="105"/>
      <c r="O276" s="105" t="s">
        <v>1609</v>
      </c>
    </row>
    <row r="277" spans="1:16">
      <c r="A277" s="375">
        <v>46188</v>
      </c>
      <c r="B277" s="376" t="s">
        <v>151</v>
      </c>
      <c r="C277" s="374">
        <v>0.34</v>
      </c>
      <c r="D277" s="374">
        <v>0.98</v>
      </c>
      <c r="E277" s="376">
        <v>291.886</v>
      </c>
      <c r="F277" s="105">
        <f t="shared" si="16"/>
        <v>275.2</v>
      </c>
      <c r="G277" s="105">
        <f t="shared" si="17"/>
        <v>16.686</v>
      </c>
      <c r="H277" s="105"/>
      <c r="I277" s="160">
        <f t="shared" si="20"/>
        <v>0.779996299925313</v>
      </c>
      <c r="J277" s="376">
        <v>72.97</v>
      </c>
      <c r="K277" s="105"/>
      <c r="L277" s="376">
        <v>227.67</v>
      </c>
      <c r="M277" s="4">
        <f t="shared" si="19"/>
        <v>11420.25</v>
      </c>
      <c r="N277" s="105"/>
      <c r="O277" s="105" t="s">
        <v>1609</v>
      </c>
    </row>
    <row r="278" spans="1:16">
      <c r="A278" s="375">
        <v>46188</v>
      </c>
      <c r="B278" s="376" t="s">
        <v>90</v>
      </c>
      <c r="C278" s="377">
        <v>0.17</v>
      </c>
      <c r="D278" s="377">
        <v>0.98</v>
      </c>
      <c r="E278" s="376">
        <v>409.588</v>
      </c>
      <c r="F278" s="105">
        <f t="shared" si="16"/>
        <v>348.3</v>
      </c>
      <c r="G278" s="170">
        <f t="shared" si="17"/>
        <v>61.288</v>
      </c>
      <c r="H278" s="105"/>
      <c r="I278" s="160">
        <f t="shared" si="20"/>
        <v>0.780003320409778</v>
      </c>
      <c r="J278" s="376">
        <v>102.4</v>
      </c>
      <c r="K278" s="105"/>
      <c r="L278" s="376">
        <v>319.48</v>
      </c>
      <c r="M278" s="4">
        <f t="shared" si="19"/>
        <v>11100.77</v>
      </c>
      <c r="N278" s="105"/>
      <c r="O278" s="105" t="s">
        <v>1609</v>
      </c>
    </row>
    <row r="279" spans="1:16">
      <c r="A279" s="358">
        <v>46189</v>
      </c>
      <c r="B279" s="359" t="s">
        <v>154</v>
      </c>
      <c r="C279" s="360">
        <v>0.37</v>
      </c>
      <c r="D279" s="360">
        <v>0.98</v>
      </c>
      <c r="E279" s="359">
        <v>278.645</v>
      </c>
      <c r="F279" s="105">
        <f t="shared" si="16"/>
        <v>262.3</v>
      </c>
      <c r="G279" s="105">
        <f t="shared" si="17"/>
        <v>16.345</v>
      </c>
      <c r="H279" s="105"/>
      <c r="I279" s="160">
        <f t="shared" si="20"/>
        <v>0.779988874733083</v>
      </c>
      <c r="J279" s="359">
        <v>69.66</v>
      </c>
      <c r="K279" s="105"/>
      <c r="L279" s="359">
        <v>217.34</v>
      </c>
      <c r="M279" s="4">
        <f t="shared" si="19"/>
        <v>10883.43</v>
      </c>
      <c r="N279" s="105"/>
      <c r="O279" s="105" t="s">
        <v>1609</v>
      </c>
      <c r="P279" s="105"/>
    </row>
    <row r="280" spans="1:16">
      <c r="A280" s="361">
        <v>46189</v>
      </c>
      <c r="B280" s="105" t="s">
        <v>338</v>
      </c>
      <c r="C280" s="360">
        <v>0.18</v>
      </c>
      <c r="D280" s="360">
        <v>0.98</v>
      </c>
      <c r="E280" s="105">
        <v>365.519</v>
      </c>
      <c r="F280" s="105">
        <f t="shared" si="16"/>
        <v>344</v>
      </c>
      <c r="G280" s="105">
        <f t="shared" si="17"/>
        <v>21.519</v>
      </c>
      <c r="H280" s="105"/>
      <c r="I280" s="160">
        <f t="shared" si="20"/>
        <v>0.780014171629929</v>
      </c>
      <c r="J280" s="105">
        <v>91.38</v>
      </c>
      <c r="K280" s="105"/>
      <c r="L280" s="105">
        <v>285.11</v>
      </c>
      <c r="M280" s="4">
        <f t="shared" si="19"/>
        <v>10598.32</v>
      </c>
      <c r="N280" s="105"/>
      <c r="O280" s="105" t="s">
        <v>1609</v>
      </c>
      <c r="P280" s="105"/>
    </row>
    <row r="281" spans="1:16">
      <c r="A281" s="361">
        <v>46189</v>
      </c>
      <c r="B281" s="105" t="s">
        <v>75</v>
      </c>
      <c r="C281" s="360">
        <v>0.26</v>
      </c>
      <c r="D281" s="360">
        <v>0.92</v>
      </c>
      <c r="E281" s="105">
        <v>322.838</v>
      </c>
      <c r="F281" s="105">
        <f t="shared" si="16"/>
        <v>283.8</v>
      </c>
      <c r="G281" s="105">
        <f t="shared" si="17"/>
        <v>39.038</v>
      </c>
      <c r="H281" s="105"/>
      <c r="I281" s="160">
        <f t="shared" si="20"/>
        <v>0.779988724995199</v>
      </c>
      <c r="J281" s="105">
        <v>80.71</v>
      </c>
      <c r="K281" s="105"/>
      <c r="L281" s="105">
        <v>251.81</v>
      </c>
      <c r="M281" s="4">
        <f t="shared" si="19"/>
        <v>10346.51</v>
      </c>
      <c r="N281" s="105"/>
      <c r="O281" s="105" t="s">
        <v>1609</v>
      </c>
      <c r="P281" s="105"/>
    </row>
    <row r="282" spans="1:16">
      <c r="A282" s="361">
        <v>46189</v>
      </c>
      <c r="B282" s="105" t="s">
        <v>93</v>
      </c>
      <c r="C282" s="360">
        <v>0.76</v>
      </c>
      <c r="D282" s="360">
        <v>1</v>
      </c>
      <c r="E282" s="105">
        <v>111.685</v>
      </c>
      <c r="F282" s="105">
        <f t="shared" si="16"/>
        <v>103.2</v>
      </c>
      <c r="G282" s="105">
        <f t="shared" si="17"/>
        <v>8.485</v>
      </c>
      <c r="H282" s="105"/>
      <c r="I282" s="160">
        <f t="shared" si="20"/>
        <v>0.779961498858396</v>
      </c>
      <c r="J282" s="105">
        <v>27.92</v>
      </c>
      <c r="K282" s="105"/>
      <c r="L282" s="105">
        <v>87.11</v>
      </c>
      <c r="M282" s="4">
        <f t="shared" si="19"/>
        <v>10259.4</v>
      </c>
      <c r="N282" s="105"/>
      <c r="O282" s="105" t="s">
        <v>1609</v>
      </c>
      <c r="P282" s="105"/>
    </row>
    <row r="283" spans="1:16">
      <c r="A283" s="361">
        <v>46189</v>
      </c>
      <c r="B283" s="105" t="s">
        <v>84</v>
      </c>
      <c r="C283" s="360">
        <v>0.77</v>
      </c>
      <c r="D283" s="360">
        <v>1</v>
      </c>
      <c r="E283" s="105">
        <v>108.88</v>
      </c>
      <c r="F283" s="105">
        <f t="shared" si="16"/>
        <v>98.9</v>
      </c>
      <c r="G283" s="105">
        <f t="shared" si="17"/>
        <v>9.97999999999999</v>
      </c>
      <c r="H283" s="105"/>
      <c r="I283" s="160">
        <f t="shared" si="20"/>
        <v>0.780033063923586</v>
      </c>
      <c r="J283" s="105">
        <v>27.22</v>
      </c>
      <c r="K283" s="105"/>
      <c r="L283" s="105">
        <v>84.93</v>
      </c>
      <c r="M283" s="4">
        <f t="shared" si="19"/>
        <v>10174.47</v>
      </c>
      <c r="N283" s="105"/>
      <c r="O283" s="105" t="s">
        <v>1609</v>
      </c>
      <c r="P283" s="105"/>
    </row>
    <row r="284" spans="1:16">
      <c r="A284" s="361">
        <v>46189</v>
      </c>
      <c r="B284" s="105" t="s">
        <v>163</v>
      </c>
      <c r="C284" s="360">
        <v>0.39</v>
      </c>
      <c r="D284" s="360">
        <v>0.95</v>
      </c>
      <c r="E284" s="105">
        <v>262.502</v>
      </c>
      <c r="F284" s="105">
        <f t="shared" si="16"/>
        <v>240.8</v>
      </c>
      <c r="G284" s="105">
        <f t="shared" si="17"/>
        <v>21.702</v>
      </c>
      <c r="H284" s="105"/>
      <c r="I284" s="160">
        <f t="shared" si="20"/>
        <v>0.780032152135984</v>
      </c>
      <c r="J284" s="105">
        <v>65.63</v>
      </c>
      <c r="K284" s="105"/>
      <c r="L284" s="105">
        <v>204.76</v>
      </c>
      <c r="M284" s="4">
        <f t="shared" si="19"/>
        <v>9969.71</v>
      </c>
      <c r="N284" s="105"/>
      <c r="O284" s="105" t="s">
        <v>1609</v>
      </c>
      <c r="P284" s="105"/>
    </row>
    <row r="285" spans="1:16">
      <c r="A285" s="361">
        <v>46189</v>
      </c>
      <c r="B285" s="105" t="s">
        <v>192</v>
      </c>
      <c r="C285" s="360">
        <v>0.35</v>
      </c>
      <c r="D285" s="360">
        <v>0.98</v>
      </c>
      <c r="E285" s="105">
        <v>288.242</v>
      </c>
      <c r="F285" s="105">
        <f t="shared" si="16"/>
        <v>270.9</v>
      </c>
      <c r="G285" s="105">
        <f t="shared" si="17"/>
        <v>17.342</v>
      </c>
      <c r="H285" s="105"/>
      <c r="I285" s="160">
        <f t="shared" si="20"/>
        <v>0.78000430194073</v>
      </c>
      <c r="J285" s="105">
        <v>72.06</v>
      </c>
      <c r="K285" s="105"/>
      <c r="L285" s="105">
        <v>224.83</v>
      </c>
      <c r="M285" s="4">
        <f t="shared" si="19"/>
        <v>9744.88</v>
      </c>
      <c r="N285" s="105"/>
      <c r="O285" s="105" t="s">
        <v>1609</v>
      </c>
      <c r="P285" s="105"/>
    </row>
    <row r="286" spans="1:16">
      <c r="A286" s="361">
        <v>46189</v>
      </c>
      <c r="B286" s="105" t="s">
        <v>105</v>
      </c>
      <c r="C286" s="360">
        <v>0.46</v>
      </c>
      <c r="D286" s="360">
        <v>0.98</v>
      </c>
      <c r="E286" s="105">
        <v>265.631</v>
      </c>
      <c r="F286" s="105">
        <f t="shared" si="16"/>
        <v>223.6</v>
      </c>
      <c r="G286" s="105">
        <f t="shared" si="17"/>
        <v>42.031</v>
      </c>
      <c r="H286" s="105"/>
      <c r="I286" s="160">
        <f t="shared" si="20"/>
        <v>0.779991793126555</v>
      </c>
      <c r="J286" s="105">
        <v>66.41</v>
      </c>
      <c r="K286" s="105"/>
      <c r="L286" s="105">
        <v>207.19</v>
      </c>
      <c r="M286" s="4">
        <f t="shared" si="19"/>
        <v>9537.69</v>
      </c>
      <c r="N286" s="105"/>
      <c r="O286" s="105" t="s">
        <v>1609</v>
      </c>
      <c r="P286" s="105"/>
    </row>
    <row r="287" spans="1:16">
      <c r="A287" s="361">
        <v>46189</v>
      </c>
      <c r="B287" s="105" t="s">
        <v>160</v>
      </c>
      <c r="C287" s="360">
        <v>0.71</v>
      </c>
      <c r="D287" s="360">
        <v>0.94</v>
      </c>
      <c r="E287" s="105">
        <v>105.165</v>
      </c>
      <c r="F287" s="105">
        <f t="shared" si="16"/>
        <v>98.9</v>
      </c>
      <c r="G287" s="105">
        <f t="shared" si="17"/>
        <v>6.265</v>
      </c>
      <c r="H287" s="105"/>
      <c r="I287" s="160">
        <f t="shared" si="20"/>
        <v>0.780012361527124</v>
      </c>
      <c r="J287" s="105">
        <v>26.29</v>
      </c>
      <c r="K287" s="105"/>
      <c r="L287" s="105">
        <v>82.03</v>
      </c>
      <c r="M287" s="4">
        <f t="shared" si="19"/>
        <v>9455.66</v>
      </c>
      <c r="N287" s="105"/>
      <c r="O287" s="105" t="s">
        <v>1609</v>
      </c>
      <c r="P287" s="105"/>
    </row>
    <row r="288" spans="1:16">
      <c r="A288" s="361">
        <v>46189</v>
      </c>
      <c r="B288" s="105" t="s">
        <v>102</v>
      </c>
      <c r="C288" s="360">
        <v>0.16</v>
      </c>
      <c r="D288" s="360">
        <v>0.98</v>
      </c>
      <c r="E288" s="105">
        <v>401.306</v>
      </c>
      <c r="F288" s="105">
        <f t="shared" si="16"/>
        <v>352.6</v>
      </c>
      <c r="G288" s="105">
        <f t="shared" si="17"/>
        <v>48.706</v>
      </c>
      <c r="H288" s="105"/>
      <c r="I288" s="160">
        <f t="shared" si="20"/>
        <v>0.780003289260564</v>
      </c>
      <c r="J288" s="105">
        <v>100.33</v>
      </c>
      <c r="K288" s="105"/>
      <c r="L288" s="105">
        <v>313.02</v>
      </c>
      <c r="M288" s="4">
        <f t="shared" si="19"/>
        <v>9142.64</v>
      </c>
      <c r="N288" s="105"/>
      <c r="O288" s="105" t="s">
        <v>1609</v>
      </c>
      <c r="P288" s="105"/>
    </row>
    <row r="289" spans="1:16">
      <c r="A289" s="361">
        <v>46189</v>
      </c>
      <c r="B289" s="105" t="s">
        <v>111</v>
      </c>
      <c r="C289" s="360">
        <v>0.7</v>
      </c>
      <c r="D289" s="360">
        <v>0.96</v>
      </c>
      <c r="E289" s="105">
        <v>117.653</v>
      </c>
      <c r="F289" s="105">
        <f t="shared" si="16"/>
        <v>111.8</v>
      </c>
      <c r="G289" s="105">
        <f t="shared" si="17"/>
        <v>5.85300000000001</v>
      </c>
      <c r="H289" s="105"/>
      <c r="I289" s="160">
        <f t="shared" si="20"/>
        <v>0.780005609716709</v>
      </c>
      <c r="J289" s="105">
        <v>29.41</v>
      </c>
      <c r="K289" s="105"/>
      <c r="L289" s="105">
        <v>91.77</v>
      </c>
      <c r="M289" s="4">
        <f t="shared" si="19"/>
        <v>9050.87</v>
      </c>
      <c r="N289" s="105"/>
      <c r="O289" s="105" t="s">
        <v>1609</v>
      </c>
      <c r="P289" s="105"/>
    </row>
    <row r="290" spans="1:16">
      <c r="A290" s="361">
        <v>46189</v>
      </c>
      <c r="B290" s="105" t="s">
        <v>201</v>
      </c>
      <c r="C290" s="360">
        <v>0.4</v>
      </c>
      <c r="D290" s="360">
        <v>0.98</v>
      </c>
      <c r="E290" s="105">
        <v>260.01</v>
      </c>
      <c r="F290" s="105">
        <f t="shared" si="16"/>
        <v>249.4</v>
      </c>
      <c r="G290" s="105">
        <f t="shared" si="17"/>
        <v>10.61</v>
      </c>
      <c r="H290" s="105"/>
      <c r="I290" s="160">
        <f t="shared" si="20"/>
        <v>0.78000846121303</v>
      </c>
      <c r="J290" s="105">
        <v>65</v>
      </c>
      <c r="K290" s="105"/>
      <c r="L290" s="105">
        <v>202.81</v>
      </c>
      <c r="M290" s="4">
        <f t="shared" si="19"/>
        <v>8848.06</v>
      </c>
      <c r="N290" s="105"/>
      <c r="O290" s="105" t="s">
        <v>1609</v>
      </c>
      <c r="P290" s="105"/>
    </row>
    <row r="291" spans="1:16">
      <c r="A291" s="361">
        <v>46189</v>
      </c>
      <c r="B291" s="105" t="s">
        <v>204</v>
      </c>
      <c r="C291" s="360">
        <v>0.44</v>
      </c>
      <c r="D291" s="360">
        <v>0.98</v>
      </c>
      <c r="E291" s="105">
        <v>255.44</v>
      </c>
      <c r="F291" s="105">
        <f t="shared" si="16"/>
        <v>232.2</v>
      </c>
      <c r="G291" s="105">
        <f t="shared" si="17"/>
        <v>23.24</v>
      </c>
      <c r="H291" s="105"/>
      <c r="I291" s="160">
        <f t="shared" si="20"/>
        <v>0.779987472596304</v>
      </c>
      <c r="J291" s="105">
        <v>63.86</v>
      </c>
      <c r="K291" s="105"/>
      <c r="L291" s="105">
        <v>199.24</v>
      </c>
      <c r="M291" s="4">
        <f t="shared" si="19"/>
        <v>8648.82</v>
      </c>
      <c r="N291" s="105"/>
      <c r="O291" s="105" t="s">
        <v>1609</v>
      </c>
      <c r="P291" s="105"/>
    </row>
    <row r="292" spans="1:16">
      <c r="A292" s="361">
        <v>46189</v>
      </c>
      <c r="B292" s="105" t="s">
        <v>189</v>
      </c>
      <c r="C292" s="360">
        <v>0.35</v>
      </c>
      <c r="D292" s="360">
        <v>0.98</v>
      </c>
      <c r="E292" s="105">
        <v>297.19</v>
      </c>
      <c r="F292" s="105">
        <f t="shared" si="16"/>
        <v>270.9</v>
      </c>
      <c r="G292" s="105">
        <f t="shared" si="17"/>
        <v>26.29</v>
      </c>
      <c r="H292" s="105"/>
      <c r="I292" s="160">
        <f t="shared" si="20"/>
        <v>0.780006056731384</v>
      </c>
      <c r="J292" s="105">
        <v>74.3</v>
      </c>
      <c r="K292" s="105"/>
      <c r="L292" s="105">
        <v>231.81</v>
      </c>
      <c r="M292" s="4">
        <f t="shared" si="19"/>
        <v>8417.01</v>
      </c>
      <c r="N292" s="105"/>
      <c r="O292" s="105" t="s">
        <v>1609</v>
      </c>
      <c r="P292" s="105"/>
    </row>
    <row r="293" spans="1:16">
      <c r="A293" s="361">
        <v>46189</v>
      </c>
      <c r="B293" s="105" t="s">
        <v>195</v>
      </c>
      <c r="C293" s="360">
        <v>0.29</v>
      </c>
      <c r="D293" s="360">
        <v>0.98</v>
      </c>
      <c r="E293" s="105">
        <v>316.178</v>
      </c>
      <c r="F293" s="105">
        <f t="shared" si="16"/>
        <v>296.7</v>
      </c>
      <c r="G293" s="105">
        <f t="shared" si="17"/>
        <v>19.478</v>
      </c>
      <c r="H293" s="105"/>
      <c r="I293" s="160">
        <f t="shared" si="20"/>
        <v>0.779972041065476</v>
      </c>
      <c r="J293" s="105">
        <v>79.04</v>
      </c>
      <c r="K293" s="105"/>
      <c r="L293" s="105">
        <v>246.61</v>
      </c>
      <c r="M293" s="4">
        <f t="shared" si="19"/>
        <v>8170.4</v>
      </c>
      <c r="N293" s="105"/>
      <c r="O293" s="105" t="s">
        <v>1609</v>
      </c>
      <c r="P293" s="105"/>
    </row>
    <row r="294" spans="1:16">
      <c r="A294" s="361">
        <v>46189</v>
      </c>
      <c r="B294" s="105" t="s">
        <v>54</v>
      </c>
      <c r="C294" s="360">
        <v>0.29</v>
      </c>
      <c r="D294" s="360">
        <v>0.95</v>
      </c>
      <c r="E294" s="105">
        <v>286.778</v>
      </c>
      <c r="F294" s="105">
        <f t="shared" si="16"/>
        <v>283.8</v>
      </c>
      <c r="G294" s="105">
        <f t="shared" si="17"/>
        <v>2.97800000000001</v>
      </c>
      <c r="H294" s="105"/>
      <c r="I294" s="160">
        <f t="shared" si="20"/>
        <v>0.779976148798025</v>
      </c>
      <c r="J294" s="105">
        <v>71.69</v>
      </c>
      <c r="K294" s="105"/>
      <c r="L294" s="105">
        <v>223.68</v>
      </c>
      <c r="M294" s="4">
        <f t="shared" si="19"/>
        <v>7946.72</v>
      </c>
      <c r="N294" s="105"/>
      <c r="O294" s="105" t="s">
        <v>1609</v>
      </c>
      <c r="P294" s="105"/>
    </row>
    <row r="295" spans="1:16">
      <c r="A295" s="361">
        <v>46189</v>
      </c>
      <c r="B295" s="105" t="s">
        <v>124</v>
      </c>
      <c r="C295" s="360">
        <v>0.37</v>
      </c>
      <c r="D295" s="360">
        <v>0.98</v>
      </c>
      <c r="E295" s="105">
        <v>276.87</v>
      </c>
      <c r="F295" s="105">
        <f t="shared" si="16"/>
        <v>262.3</v>
      </c>
      <c r="G295" s="105">
        <f t="shared" si="17"/>
        <v>14.57</v>
      </c>
      <c r="H295" s="105"/>
      <c r="I295" s="160">
        <f t="shared" si="20"/>
        <v>0.780005056524723</v>
      </c>
      <c r="J295" s="105">
        <v>69.22</v>
      </c>
      <c r="K295" s="105"/>
      <c r="L295" s="105">
        <v>215.96</v>
      </c>
      <c r="M295" s="4">
        <f t="shared" si="19"/>
        <v>7730.76</v>
      </c>
      <c r="N295" s="105"/>
      <c r="O295" s="105" t="s">
        <v>1609</v>
      </c>
      <c r="P295" s="105"/>
    </row>
    <row r="296" spans="1:16">
      <c r="A296" s="361">
        <v>46189</v>
      </c>
      <c r="B296" s="105" t="s">
        <v>84</v>
      </c>
      <c r="C296" s="360">
        <v>0.49</v>
      </c>
      <c r="D296" s="360">
        <v>0.98</v>
      </c>
      <c r="E296" s="105">
        <v>235.09</v>
      </c>
      <c r="F296" s="105">
        <f t="shared" si="16"/>
        <v>210.7</v>
      </c>
      <c r="G296" s="105">
        <f t="shared" si="17"/>
        <v>24.39</v>
      </c>
      <c r="H296" s="105"/>
      <c r="I296" s="160">
        <f t="shared" si="20"/>
        <v>0.779999149261985</v>
      </c>
      <c r="J296" s="105">
        <v>58.77</v>
      </c>
      <c r="K296" s="105"/>
      <c r="L296" s="105">
        <v>183.37</v>
      </c>
      <c r="M296" s="4">
        <f t="shared" si="19"/>
        <v>7547.39</v>
      </c>
      <c r="N296" s="105"/>
      <c r="O296" s="105" t="s">
        <v>1609</v>
      </c>
      <c r="P296" s="105"/>
    </row>
    <row r="297" spans="1:16">
      <c r="A297" s="361">
        <v>46189</v>
      </c>
      <c r="B297" s="105" t="s">
        <v>57</v>
      </c>
      <c r="C297" s="360">
        <v>0.74</v>
      </c>
      <c r="D297" s="360">
        <v>0.96</v>
      </c>
      <c r="E297" s="105">
        <v>93.5</v>
      </c>
      <c r="F297" s="105">
        <f t="shared" si="16"/>
        <v>94.6</v>
      </c>
      <c r="G297" s="105">
        <f t="shared" si="17"/>
        <v>-1.09999999999999</v>
      </c>
      <c r="H297" s="105"/>
      <c r="I297" s="160">
        <f t="shared" si="20"/>
        <v>0.780106951871658</v>
      </c>
      <c r="J297" s="105">
        <v>23.38</v>
      </c>
      <c r="K297" s="105"/>
      <c r="L297" s="105">
        <v>72.94</v>
      </c>
      <c r="M297" s="4">
        <f t="shared" si="19"/>
        <v>7474.45</v>
      </c>
      <c r="N297" s="105"/>
      <c r="O297" s="105" t="s">
        <v>1609</v>
      </c>
      <c r="P297" s="105"/>
    </row>
    <row r="298" spans="1:16">
      <c r="A298" s="358">
        <v>46190</v>
      </c>
      <c r="B298" s="359" t="s">
        <v>132</v>
      </c>
      <c r="C298" s="360">
        <v>0.26</v>
      </c>
      <c r="D298" s="360">
        <v>0.98</v>
      </c>
      <c r="E298" s="359">
        <v>329.531</v>
      </c>
      <c r="F298" s="105">
        <f t="shared" si="16"/>
        <v>309.6</v>
      </c>
      <c r="G298" s="105">
        <f t="shared" si="17"/>
        <v>19.931</v>
      </c>
      <c r="H298" s="105"/>
      <c r="I298" s="160">
        <f t="shared" si="20"/>
        <v>0.779987315305692</v>
      </c>
      <c r="J298" s="359">
        <v>82.38</v>
      </c>
      <c r="K298" s="105"/>
      <c r="L298" s="359">
        <v>257.03</v>
      </c>
      <c r="M298" s="4">
        <f t="shared" si="19"/>
        <v>7217.42</v>
      </c>
      <c r="N298" s="105"/>
      <c r="O298" s="105" t="s">
        <v>1609</v>
      </c>
      <c r="P298" s="105"/>
    </row>
    <row r="299" spans="1:16">
      <c r="A299" s="361">
        <v>46190</v>
      </c>
      <c r="B299" s="105" t="s">
        <v>339</v>
      </c>
      <c r="C299" s="360">
        <v>0.47</v>
      </c>
      <c r="D299" s="360">
        <v>0.98</v>
      </c>
      <c r="E299" s="105">
        <v>232.061</v>
      </c>
      <c r="F299" s="105">
        <f t="shared" si="16"/>
        <v>219.3</v>
      </c>
      <c r="G299" s="105">
        <f t="shared" si="17"/>
        <v>12.761</v>
      </c>
      <c r="H299" s="105"/>
      <c r="I299" s="160">
        <f t="shared" si="20"/>
        <v>0.780010428292561</v>
      </c>
      <c r="J299" s="105">
        <v>58.02</v>
      </c>
      <c r="K299" s="105"/>
      <c r="L299" s="105">
        <v>181.01</v>
      </c>
      <c r="M299" s="4">
        <f t="shared" si="19"/>
        <v>7036.41</v>
      </c>
      <c r="N299" s="105"/>
      <c r="O299" s="105" t="s">
        <v>1609</v>
      </c>
      <c r="P299" s="105"/>
    </row>
    <row r="300" spans="1:16">
      <c r="A300" s="361">
        <v>46190</v>
      </c>
      <c r="B300" s="105" t="s">
        <v>154</v>
      </c>
      <c r="C300" s="360">
        <v>0.38</v>
      </c>
      <c r="D300" s="360">
        <v>0.98</v>
      </c>
      <c r="E300" s="105">
        <v>272.084</v>
      </c>
      <c r="F300" s="105">
        <f t="shared" si="16"/>
        <v>258</v>
      </c>
      <c r="G300" s="105">
        <f t="shared" si="17"/>
        <v>14.084</v>
      </c>
      <c r="H300" s="105"/>
      <c r="I300" s="160">
        <f t="shared" si="20"/>
        <v>0.779979712147719</v>
      </c>
      <c r="J300" s="105">
        <v>68.02</v>
      </c>
      <c r="K300" s="105"/>
      <c r="L300" s="105">
        <v>212.22</v>
      </c>
      <c r="M300" s="4">
        <f t="shared" si="19"/>
        <v>6824.19</v>
      </c>
      <c r="N300" s="105"/>
      <c r="O300" s="105" t="s">
        <v>1609</v>
      </c>
      <c r="P300" s="105"/>
    </row>
    <row r="301" spans="1:16">
      <c r="A301" s="361">
        <v>46190</v>
      </c>
      <c r="B301" s="105" t="s">
        <v>108</v>
      </c>
      <c r="C301" s="360">
        <v>0.43</v>
      </c>
      <c r="D301" s="360">
        <v>0.98</v>
      </c>
      <c r="E301" s="105">
        <v>267.681</v>
      </c>
      <c r="F301" s="105">
        <f t="shared" si="16"/>
        <v>236.5</v>
      </c>
      <c r="G301" s="105">
        <f t="shared" si="17"/>
        <v>31.181</v>
      </c>
      <c r="H301" s="105"/>
      <c r="I301" s="160">
        <f t="shared" si="20"/>
        <v>0.779995591767813</v>
      </c>
      <c r="J301" s="105">
        <v>66.92</v>
      </c>
      <c r="K301" s="105"/>
      <c r="L301" s="105">
        <v>208.79</v>
      </c>
      <c r="M301" s="4">
        <f t="shared" si="19"/>
        <v>6615.4</v>
      </c>
      <c r="N301" s="105"/>
      <c r="O301" s="105" t="s">
        <v>1609</v>
      </c>
      <c r="P301" s="105"/>
    </row>
    <row r="302" spans="1:16">
      <c r="A302" s="361">
        <v>46190</v>
      </c>
      <c r="B302" s="105" t="s">
        <v>160</v>
      </c>
      <c r="C302" s="360">
        <v>0.39</v>
      </c>
      <c r="D302" s="360">
        <v>0.97</v>
      </c>
      <c r="E302" s="105">
        <v>271.403</v>
      </c>
      <c r="F302" s="105">
        <f t="shared" si="16"/>
        <v>249.4</v>
      </c>
      <c r="G302" s="105">
        <f t="shared" si="17"/>
        <v>22.003</v>
      </c>
      <c r="H302" s="105"/>
      <c r="I302" s="160"/>
      <c r="J302" s="105">
        <v>67.85</v>
      </c>
      <c r="K302" s="105"/>
      <c r="L302" s="105">
        <v>211.69</v>
      </c>
      <c r="M302" s="4">
        <f t="shared" si="19"/>
        <v>6403.71</v>
      </c>
      <c r="N302" s="105"/>
      <c r="O302" s="105" t="s">
        <v>1609</v>
      </c>
      <c r="P302" s="105"/>
    </row>
    <row r="303" spans="1:16">
      <c r="A303" s="361">
        <v>46190</v>
      </c>
      <c r="B303" s="105" t="s">
        <v>66</v>
      </c>
      <c r="C303" s="360">
        <v>0.49</v>
      </c>
      <c r="D303" s="360">
        <v>0.96</v>
      </c>
      <c r="E303" s="105">
        <v>230.936</v>
      </c>
      <c r="F303" s="105">
        <f t="shared" si="16"/>
        <v>202.1</v>
      </c>
      <c r="G303" s="105">
        <f t="shared" si="17"/>
        <v>28.836</v>
      </c>
      <c r="H303" s="105"/>
      <c r="I303" s="160">
        <f t="shared" ref="I303:I366" si="21">L303/E303</f>
        <v>0.779999653583677</v>
      </c>
      <c r="J303" s="105">
        <v>57.73</v>
      </c>
      <c r="K303" s="105"/>
      <c r="L303" s="105">
        <v>180.13</v>
      </c>
      <c r="M303" s="4">
        <f t="shared" si="19"/>
        <v>6223.58</v>
      </c>
      <c r="N303" s="105"/>
      <c r="O303" s="105" t="s">
        <v>1609</v>
      </c>
      <c r="P303" s="105"/>
    </row>
    <row r="304" spans="1:16">
      <c r="A304" s="361">
        <v>46190</v>
      </c>
      <c r="B304" s="105" t="s">
        <v>99</v>
      </c>
      <c r="C304" s="360">
        <v>0.42</v>
      </c>
      <c r="D304" s="360">
        <v>0.94</v>
      </c>
      <c r="E304" s="105">
        <v>252.6</v>
      </c>
      <c r="F304" s="105">
        <f t="shared" si="16"/>
        <v>223.6</v>
      </c>
      <c r="G304" s="105">
        <f t="shared" si="17"/>
        <v>29</v>
      </c>
      <c r="H304" s="105"/>
      <c r="I304" s="160">
        <f t="shared" si="21"/>
        <v>0.780007917656374</v>
      </c>
      <c r="J304" s="105">
        <v>63.15</v>
      </c>
      <c r="K304" s="105"/>
      <c r="L304" s="105">
        <v>197.03</v>
      </c>
      <c r="M304" s="4">
        <f t="shared" si="19"/>
        <v>6026.55</v>
      </c>
      <c r="N304" s="105"/>
      <c r="O304" s="105" t="s">
        <v>1609</v>
      </c>
      <c r="P304" s="105"/>
    </row>
    <row r="305" spans="1:16">
      <c r="A305" s="361">
        <v>46190</v>
      </c>
      <c r="B305" s="105" t="s">
        <v>198</v>
      </c>
      <c r="C305" s="360">
        <v>0.37</v>
      </c>
      <c r="D305" s="360">
        <v>0.98</v>
      </c>
      <c r="E305" s="105">
        <v>277.704</v>
      </c>
      <c r="F305" s="105">
        <f t="shared" si="16"/>
        <v>262.3</v>
      </c>
      <c r="G305" s="105">
        <f t="shared" si="17"/>
        <v>15.404</v>
      </c>
      <c r="H305" s="105"/>
      <c r="I305" s="160">
        <f t="shared" si="21"/>
        <v>0.780003168841644</v>
      </c>
      <c r="J305" s="105">
        <v>69.43</v>
      </c>
      <c r="K305" s="105"/>
      <c r="L305" s="105">
        <v>216.61</v>
      </c>
      <c r="M305" s="4">
        <f t="shared" si="19"/>
        <v>5809.94</v>
      </c>
      <c r="N305" s="105"/>
      <c r="O305" s="105" t="s">
        <v>1609</v>
      </c>
      <c r="P305" s="105"/>
    </row>
    <row r="306" spans="1:16">
      <c r="A306" s="361">
        <v>46190</v>
      </c>
      <c r="B306" s="105" t="s">
        <v>207</v>
      </c>
      <c r="C306" s="360">
        <v>0.42</v>
      </c>
      <c r="D306" s="360">
        <v>0.98</v>
      </c>
      <c r="E306" s="105">
        <v>256.625</v>
      </c>
      <c r="F306" s="105">
        <f t="shared" si="16"/>
        <v>240.8</v>
      </c>
      <c r="G306" s="105">
        <f t="shared" si="17"/>
        <v>15.825</v>
      </c>
      <c r="H306" s="105"/>
      <c r="I306" s="160">
        <f t="shared" si="21"/>
        <v>0.780009741841208</v>
      </c>
      <c r="J306" s="105">
        <v>64.16</v>
      </c>
      <c r="K306" s="105"/>
      <c r="L306" s="105">
        <v>200.17</v>
      </c>
      <c r="M306" s="4">
        <f t="shared" si="19"/>
        <v>5609.77</v>
      </c>
      <c r="N306" s="105"/>
      <c r="O306" s="105" t="s">
        <v>1609</v>
      </c>
      <c r="P306" s="105"/>
    </row>
    <row r="307" spans="1:16">
      <c r="A307" s="361">
        <v>46190</v>
      </c>
      <c r="B307" s="105" t="s">
        <v>127</v>
      </c>
      <c r="C307" s="360">
        <v>0.43</v>
      </c>
      <c r="D307" s="360">
        <v>0.98</v>
      </c>
      <c r="E307" s="105">
        <v>249.003</v>
      </c>
      <c r="F307" s="105">
        <f t="shared" si="16"/>
        <v>236.5</v>
      </c>
      <c r="G307" s="105">
        <f t="shared" si="17"/>
        <v>12.503</v>
      </c>
      <c r="H307" s="105"/>
      <c r="I307" s="160">
        <f t="shared" si="21"/>
        <v>0.779990602522861</v>
      </c>
      <c r="J307" s="105">
        <v>62.25</v>
      </c>
      <c r="K307" s="105"/>
      <c r="L307" s="105">
        <v>194.22</v>
      </c>
      <c r="M307" s="4">
        <f t="shared" si="19"/>
        <v>5415.55</v>
      </c>
      <c r="N307" s="105"/>
      <c r="O307" s="105" t="s">
        <v>1609</v>
      </c>
      <c r="P307" s="105"/>
    </row>
    <row r="308" spans="1:16">
      <c r="A308" s="361">
        <v>46190</v>
      </c>
      <c r="B308" s="105" t="s">
        <v>130</v>
      </c>
      <c r="C308" s="360">
        <v>0.73</v>
      </c>
      <c r="D308" s="360">
        <v>0.98</v>
      </c>
      <c r="E308" s="105">
        <v>114.008</v>
      </c>
      <c r="F308" s="105">
        <f t="shared" si="16"/>
        <v>107.5</v>
      </c>
      <c r="G308" s="105">
        <f t="shared" si="17"/>
        <v>6.508</v>
      </c>
      <c r="H308" s="105"/>
      <c r="I308" s="160">
        <f t="shared" si="21"/>
        <v>0.779945266998807</v>
      </c>
      <c r="J308" s="105">
        <v>28.5</v>
      </c>
      <c r="K308" s="105"/>
      <c r="L308" s="105">
        <v>88.92</v>
      </c>
      <c r="M308" s="4">
        <f t="shared" si="19"/>
        <v>5326.63</v>
      </c>
      <c r="N308" s="105"/>
      <c r="O308" s="105" t="s">
        <v>1609</v>
      </c>
      <c r="P308" s="105"/>
    </row>
    <row r="309" spans="1:16">
      <c r="A309" s="361">
        <v>46190</v>
      </c>
      <c r="B309" s="105" t="s">
        <v>141</v>
      </c>
      <c r="C309" s="360">
        <v>0.16</v>
      </c>
      <c r="D309" s="360">
        <v>0.98</v>
      </c>
      <c r="E309" s="105">
        <v>376.448</v>
      </c>
      <c r="F309" s="105">
        <f t="shared" si="16"/>
        <v>352.6</v>
      </c>
      <c r="G309" s="105">
        <f t="shared" si="17"/>
        <v>23.848</v>
      </c>
      <c r="H309" s="105"/>
      <c r="I309" s="160">
        <f t="shared" si="21"/>
        <v>0.780001487589255</v>
      </c>
      <c r="J309" s="105">
        <v>94.11</v>
      </c>
      <c r="K309" s="105"/>
      <c r="L309" s="105">
        <v>293.63</v>
      </c>
      <c r="M309" s="4">
        <f t="shared" si="19"/>
        <v>5033</v>
      </c>
      <c r="N309" s="105"/>
      <c r="O309" s="105" t="s">
        <v>1609</v>
      </c>
      <c r="P309" s="105"/>
    </row>
    <row r="310" spans="1:16">
      <c r="A310" s="361">
        <v>46190</v>
      </c>
      <c r="B310" s="105" t="s">
        <v>57</v>
      </c>
      <c r="C310" s="360">
        <v>0.29</v>
      </c>
      <c r="D310" s="360">
        <v>0.96</v>
      </c>
      <c r="E310" s="105">
        <v>287.804</v>
      </c>
      <c r="F310" s="105">
        <f t="shared" si="16"/>
        <v>288.1</v>
      </c>
      <c r="G310" s="105">
        <f t="shared" si="17"/>
        <v>-0.296000000000049</v>
      </c>
      <c r="H310" s="105"/>
      <c r="I310" s="160">
        <f t="shared" si="21"/>
        <v>0.78001000681019</v>
      </c>
      <c r="J310" s="105">
        <v>71.95</v>
      </c>
      <c r="K310" s="105"/>
      <c r="L310" s="105">
        <v>224.49</v>
      </c>
      <c r="M310" s="4">
        <f t="shared" si="19"/>
        <v>4808.51</v>
      </c>
      <c r="N310" s="105"/>
      <c r="O310" s="105" t="s">
        <v>1609</v>
      </c>
      <c r="P310" s="105"/>
    </row>
    <row r="311" spans="1:16">
      <c r="A311" s="361">
        <v>46190</v>
      </c>
      <c r="B311" s="105" t="s">
        <v>87</v>
      </c>
      <c r="C311" s="360">
        <v>0.47</v>
      </c>
      <c r="D311" s="360">
        <v>0.95</v>
      </c>
      <c r="E311" s="105">
        <v>236.127</v>
      </c>
      <c r="F311" s="105">
        <f t="shared" si="16"/>
        <v>206.4</v>
      </c>
      <c r="G311" s="105">
        <f t="shared" si="17"/>
        <v>29.727</v>
      </c>
      <c r="H311" s="105"/>
      <c r="I311" s="160">
        <f t="shared" si="21"/>
        <v>0.780003980908579</v>
      </c>
      <c r="J311" s="105">
        <v>59.03</v>
      </c>
      <c r="K311" s="105"/>
      <c r="L311" s="105">
        <v>184.18</v>
      </c>
      <c r="M311" s="4">
        <f t="shared" si="19"/>
        <v>4624.33</v>
      </c>
      <c r="N311" s="105"/>
      <c r="O311" s="105" t="s">
        <v>1609</v>
      </c>
      <c r="P311" s="105"/>
    </row>
    <row r="312" spans="1:16">
      <c r="A312" s="361">
        <v>46190</v>
      </c>
      <c r="B312" s="105" t="s">
        <v>63</v>
      </c>
      <c r="C312" s="360">
        <v>0.49</v>
      </c>
      <c r="D312" s="360">
        <v>0.96</v>
      </c>
      <c r="E312" s="105">
        <v>238.753</v>
      </c>
      <c r="F312" s="105">
        <f t="shared" si="16"/>
        <v>202.1</v>
      </c>
      <c r="G312" s="105">
        <f t="shared" si="17"/>
        <v>36.653</v>
      </c>
      <c r="H312" s="105"/>
      <c r="I312" s="160">
        <f t="shared" si="21"/>
        <v>0.780011141221262</v>
      </c>
      <c r="J312" s="105">
        <v>59.69</v>
      </c>
      <c r="K312" s="105"/>
      <c r="L312" s="105">
        <v>186.23</v>
      </c>
      <c r="M312" s="4">
        <f t="shared" si="19"/>
        <v>4438.1</v>
      </c>
      <c r="N312" s="105"/>
      <c r="O312" s="105" t="s">
        <v>1609</v>
      </c>
      <c r="P312" s="105"/>
    </row>
    <row r="313" spans="1:16">
      <c r="A313" s="361">
        <v>46190</v>
      </c>
      <c r="B313" s="105" t="s">
        <v>183</v>
      </c>
      <c r="C313" s="360">
        <v>0.44</v>
      </c>
      <c r="D313" s="360">
        <v>0.98</v>
      </c>
      <c r="E313" s="105">
        <v>247.875</v>
      </c>
      <c r="F313" s="105">
        <f t="shared" si="16"/>
        <v>232.2</v>
      </c>
      <c r="G313" s="105">
        <f t="shared" si="17"/>
        <v>15.675</v>
      </c>
      <c r="H313" s="105"/>
      <c r="I313" s="160">
        <f t="shared" si="21"/>
        <v>0.779989914271306</v>
      </c>
      <c r="J313" s="105">
        <v>61.97</v>
      </c>
      <c r="K313" s="105"/>
      <c r="L313" s="105">
        <v>193.34</v>
      </c>
      <c r="M313" s="4">
        <f t="shared" si="19"/>
        <v>4244.76</v>
      </c>
      <c r="N313" s="105"/>
      <c r="O313" s="105" t="s">
        <v>1609</v>
      </c>
      <c r="P313" s="105"/>
    </row>
    <row r="314" spans="1:16">
      <c r="A314" s="361">
        <v>46190</v>
      </c>
      <c r="B314" s="105" t="s">
        <v>180</v>
      </c>
      <c r="C314" s="360">
        <v>0.2</v>
      </c>
      <c r="D314" s="360">
        <v>0.37</v>
      </c>
      <c r="E314" s="105">
        <v>80.995</v>
      </c>
      <c r="F314" s="105">
        <f t="shared" si="16"/>
        <v>73.1</v>
      </c>
      <c r="G314" s="105">
        <f t="shared" si="17"/>
        <v>7.89500000000001</v>
      </c>
      <c r="H314" s="105"/>
      <c r="I314" s="160">
        <f t="shared" si="21"/>
        <v>0.780048151120439</v>
      </c>
      <c r="J314" s="105">
        <v>20.25</v>
      </c>
      <c r="K314" s="105"/>
      <c r="L314" s="105">
        <v>63.18</v>
      </c>
      <c r="M314" s="4">
        <f t="shared" si="19"/>
        <v>4181.58</v>
      </c>
      <c r="N314" s="105"/>
      <c r="O314" s="105" t="s">
        <v>1609</v>
      </c>
      <c r="P314" s="105"/>
    </row>
    <row r="315" spans="1:16">
      <c r="A315" s="361">
        <v>46190</v>
      </c>
      <c r="B315" s="105" t="s">
        <v>148</v>
      </c>
      <c r="C315" s="360">
        <v>0.4</v>
      </c>
      <c r="D315" s="360">
        <v>0.98</v>
      </c>
      <c r="E315" s="105">
        <v>267.379</v>
      </c>
      <c r="F315" s="105">
        <f t="shared" si="16"/>
        <v>249.4</v>
      </c>
      <c r="G315" s="105">
        <f t="shared" si="17"/>
        <v>17.979</v>
      </c>
      <c r="H315" s="105"/>
      <c r="I315" s="160">
        <f t="shared" si="21"/>
        <v>0.779978981146612</v>
      </c>
      <c r="J315" s="105">
        <v>66.84</v>
      </c>
      <c r="K315" s="105"/>
      <c r="L315" s="105">
        <v>208.55</v>
      </c>
      <c r="M315" s="4">
        <f t="shared" si="19"/>
        <v>3973.03</v>
      </c>
      <c r="N315" s="105"/>
      <c r="O315" s="105" t="s">
        <v>1609</v>
      </c>
      <c r="P315" s="105"/>
    </row>
    <row r="316" spans="1:16">
      <c r="A316" s="361">
        <v>46190</v>
      </c>
      <c r="B316" s="105" t="s">
        <v>180</v>
      </c>
      <c r="C316" s="360">
        <v>0.37</v>
      </c>
      <c r="D316" s="360">
        <v>0.98</v>
      </c>
      <c r="E316" s="105">
        <v>269.756</v>
      </c>
      <c r="F316" s="105">
        <f t="shared" si="16"/>
        <v>262.3</v>
      </c>
      <c r="G316" s="105">
        <f t="shared" si="17"/>
        <v>7.45599999999996</v>
      </c>
      <c r="H316" s="105"/>
      <c r="I316" s="160">
        <f t="shared" si="21"/>
        <v>0.78000118625721</v>
      </c>
      <c r="J316" s="105">
        <v>67.44</v>
      </c>
      <c r="K316" s="105"/>
      <c r="L316" s="105">
        <v>210.41</v>
      </c>
      <c r="M316" s="4">
        <f t="shared" si="19"/>
        <v>3762.62</v>
      </c>
      <c r="N316" s="105"/>
      <c r="O316" s="105" t="s">
        <v>1609</v>
      </c>
      <c r="P316" s="105"/>
    </row>
    <row r="317" spans="1:16">
      <c r="A317" s="361">
        <v>46190</v>
      </c>
      <c r="B317" s="105" t="s">
        <v>135</v>
      </c>
      <c r="C317" s="360">
        <v>0.52</v>
      </c>
      <c r="D317" s="360">
        <v>0.98</v>
      </c>
      <c r="E317" s="105">
        <v>209.252</v>
      </c>
      <c r="F317" s="105">
        <f t="shared" si="16"/>
        <v>197.8</v>
      </c>
      <c r="G317" s="105">
        <f t="shared" si="17"/>
        <v>11.452</v>
      </c>
      <c r="H317" s="105"/>
      <c r="I317" s="160">
        <f t="shared" si="21"/>
        <v>0.779968650239902</v>
      </c>
      <c r="J317" s="105">
        <v>52.31</v>
      </c>
      <c r="K317" s="105">
        <v>10000</v>
      </c>
      <c r="L317" s="105">
        <v>163.21</v>
      </c>
      <c r="M317" s="4">
        <f t="shared" si="19"/>
        <v>13599.41</v>
      </c>
      <c r="N317" s="105"/>
      <c r="O317" s="105" t="s">
        <v>1609</v>
      </c>
      <c r="P317" s="105"/>
    </row>
    <row r="318" spans="1:16">
      <c r="A318" s="361">
        <v>46191</v>
      </c>
      <c r="B318" s="106" t="s">
        <v>339</v>
      </c>
      <c r="C318" s="191">
        <v>0.42</v>
      </c>
      <c r="D318" s="191">
        <v>0.98</v>
      </c>
      <c r="E318" s="144">
        <v>255.322</v>
      </c>
      <c r="F318" s="105">
        <f t="shared" si="16"/>
        <v>240.8</v>
      </c>
      <c r="G318" s="105">
        <f t="shared" si="17"/>
        <v>14.522</v>
      </c>
      <c r="H318" s="146"/>
      <c r="I318" s="160">
        <f t="shared" si="21"/>
        <v>0.7799954567174</v>
      </c>
      <c r="L318" s="144">
        <v>199.15</v>
      </c>
      <c r="M318" s="4">
        <f t="shared" si="19"/>
        <v>13400.26</v>
      </c>
      <c r="O318" s="105" t="s">
        <v>1609</v>
      </c>
    </row>
    <row r="319" spans="1:16">
      <c r="A319" s="361">
        <v>46191</v>
      </c>
      <c r="B319" s="106" t="s">
        <v>69</v>
      </c>
      <c r="C319" s="191">
        <v>0.11</v>
      </c>
      <c r="D319" s="191">
        <v>0.94</v>
      </c>
      <c r="E319" s="144">
        <v>401.341</v>
      </c>
      <c r="F319" s="105">
        <f t="shared" si="16"/>
        <v>356.9</v>
      </c>
      <c r="G319" s="105">
        <f t="shared" si="17"/>
        <v>44.441</v>
      </c>
      <c r="H319" s="146"/>
      <c r="I319" s="160">
        <f t="shared" si="21"/>
        <v>0.780010016419952</v>
      </c>
      <c r="L319" s="144">
        <v>313.05</v>
      </c>
      <c r="M319" s="4">
        <f t="shared" si="19"/>
        <v>13087.21</v>
      </c>
      <c r="O319" s="105" t="s">
        <v>1609</v>
      </c>
    </row>
    <row r="320" spans="1:16">
      <c r="A320" s="361">
        <v>46191</v>
      </c>
      <c r="B320" s="106" t="s">
        <v>186</v>
      </c>
      <c r="C320" s="191">
        <v>0.38</v>
      </c>
      <c r="D320" s="191">
        <v>0.95</v>
      </c>
      <c r="E320" s="144">
        <v>262.901</v>
      </c>
      <c r="F320" s="105">
        <f t="shared" si="16"/>
        <v>245.1</v>
      </c>
      <c r="G320" s="105">
        <f t="shared" si="17"/>
        <v>17.801</v>
      </c>
      <c r="H320" s="146"/>
      <c r="I320" s="160">
        <f t="shared" si="21"/>
        <v>0.780027462809194</v>
      </c>
      <c r="L320" s="144">
        <v>205.07</v>
      </c>
      <c r="M320" s="4">
        <f t="shared" si="19"/>
        <v>12882.14</v>
      </c>
      <c r="O320" s="105" t="s">
        <v>1609</v>
      </c>
    </row>
    <row r="321" spans="1:15">
      <c r="A321" s="361">
        <v>46191</v>
      </c>
      <c r="B321" s="106" t="s">
        <v>54</v>
      </c>
      <c r="C321" s="191">
        <v>0.39</v>
      </c>
      <c r="D321" s="191">
        <v>0.98</v>
      </c>
      <c r="E321" s="144">
        <v>260.244</v>
      </c>
      <c r="F321" s="105">
        <f t="shared" si="16"/>
        <v>253.7</v>
      </c>
      <c r="G321" s="105">
        <f t="shared" si="17"/>
        <v>6.54400000000004</v>
      </c>
      <c r="H321" s="146"/>
      <c r="I321" s="160">
        <f t="shared" si="21"/>
        <v>0.779998770384716</v>
      </c>
      <c r="L321" s="144">
        <v>202.99</v>
      </c>
      <c r="M321" s="4">
        <f t="shared" si="19"/>
        <v>12679.15</v>
      </c>
      <c r="O321" s="105" t="s">
        <v>1609</v>
      </c>
    </row>
    <row r="322" spans="1:15">
      <c r="A322" s="361">
        <v>46191</v>
      </c>
      <c r="B322" s="106" t="s">
        <v>90</v>
      </c>
      <c r="C322" s="191">
        <v>0.12</v>
      </c>
      <c r="D322" s="191">
        <v>0.98</v>
      </c>
      <c r="E322" s="144">
        <v>433.225</v>
      </c>
      <c r="F322" s="105">
        <f t="shared" si="16"/>
        <v>369.8</v>
      </c>
      <c r="G322" s="105">
        <f t="shared" si="17"/>
        <v>63.425</v>
      </c>
      <c r="H322" s="146"/>
      <c r="I322" s="160">
        <f t="shared" si="21"/>
        <v>0.780010387212188</v>
      </c>
      <c r="L322" s="144">
        <v>337.92</v>
      </c>
      <c r="M322" s="4">
        <f t="shared" si="19"/>
        <v>12341.23</v>
      </c>
      <c r="O322" s="105" t="s">
        <v>1609</v>
      </c>
    </row>
    <row r="323" spans="1:15">
      <c r="A323" s="361">
        <v>46191</v>
      </c>
      <c r="B323" s="106" t="s">
        <v>177</v>
      </c>
      <c r="C323" s="191">
        <v>0.2</v>
      </c>
      <c r="D323" s="191">
        <v>0.98</v>
      </c>
      <c r="E323" s="144">
        <v>357.414</v>
      </c>
      <c r="F323" s="105">
        <f t="shared" ref="F323:F386" si="22">(D323-C323)*430</f>
        <v>335.4</v>
      </c>
      <c r="G323" s="105">
        <f t="shared" ref="G323:G386" si="23">E323-F323</f>
        <v>22.014</v>
      </c>
      <c r="H323" s="146"/>
      <c r="I323" s="160">
        <f t="shared" si="21"/>
        <v>0.77999183020251</v>
      </c>
      <c r="L323" s="144">
        <v>278.78</v>
      </c>
      <c r="M323" s="4">
        <f t="shared" ref="M323:M386" si="24">M322+K323-L323</f>
        <v>12062.45</v>
      </c>
      <c r="O323" s="105" t="s">
        <v>1609</v>
      </c>
    </row>
    <row r="324" spans="1:15">
      <c r="A324" s="361">
        <v>46191</v>
      </c>
      <c r="B324" s="106" t="s">
        <v>93</v>
      </c>
      <c r="C324" s="191">
        <v>0.17</v>
      </c>
      <c r="D324" s="191">
        <v>0.86</v>
      </c>
      <c r="E324" s="144">
        <v>333.772</v>
      </c>
      <c r="F324" s="105">
        <f t="shared" si="22"/>
        <v>296.7</v>
      </c>
      <c r="G324" s="105">
        <f t="shared" si="23"/>
        <v>37.072</v>
      </c>
      <c r="H324" s="146"/>
      <c r="I324" s="160">
        <f t="shared" si="21"/>
        <v>0.779993528516472</v>
      </c>
      <c r="L324" s="144">
        <v>260.34</v>
      </c>
      <c r="M324" s="4">
        <f t="shared" si="24"/>
        <v>11802.11</v>
      </c>
      <c r="O324" s="105" t="s">
        <v>1609</v>
      </c>
    </row>
    <row r="325" spans="1:15">
      <c r="A325" s="361">
        <v>46191</v>
      </c>
      <c r="B325" s="106" t="s">
        <v>210</v>
      </c>
      <c r="C325" s="191">
        <v>0.3</v>
      </c>
      <c r="D325" s="191">
        <v>0.95</v>
      </c>
      <c r="E325" s="144">
        <v>304.364</v>
      </c>
      <c r="F325" s="105">
        <f t="shared" si="22"/>
        <v>279.5</v>
      </c>
      <c r="G325" s="105">
        <f t="shared" si="23"/>
        <v>24.864</v>
      </c>
      <c r="H325" s="146"/>
      <c r="I325" s="160">
        <f t="shared" si="21"/>
        <v>0.779987120684444</v>
      </c>
      <c r="L325" s="144">
        <v>237.4</v>
      </c>
      <c r="M325" s="4">
        <f t="shared" si="24"/>
        <v>11564.71</v>
      </c>
      <c r="O325" s="105" t="s">
        <v>1609</v>
      </c>
    </row>
    <row r="326" spans="1:15">
      <c r="A326" s="361">
        <v>46191</v>
      </c>
      <c r="B326" s="106" t="s">
        <v>192</v>
      </c>
      <c r="C326" s="191">
        <v>0.32</v>
      </c>
      <c r="D326" s="191">
        <v>0.98</v>
      </c>
      <c r="E326" s="144">
        <v>303.428</v>
      </c>
      <c r="F326" s="105">
        <f t="shared" si="22"/>
        <v>283.8</v>
      </c>
      <c r="G326" s="105">
        <f t="shared" si="23"/>
        <v>19.628</v>
      </c>
      <c r="H326" s="146"/>
      <c r="I326" s="160">
        <f t="shared" si="21"/>
        <v>0.7800203013565</v>
      </c>
      <c r="L326" s="144">
        <v>236.68</v>
      </c>
      <c r="M326" s="4">
        <f t="shared" si="24"/>
        <v>11328.03</v>
      </c>
      <c r="O326" s="105" t="s">
        <v>1609</v>
      </c>
    </row>
    <row r="327" spans="1:15">
      <c r="A327" s="361">
        <v>46191</v>
      </c>
      <c r="B327" s="106" t="s">
        <v>183</v>
      </c>
      <c r="C327" s="191">
        <v>0.33</v>
      </c>
      <c r="D327" s="191">
        <v>0.98</v>
      </c>
      <c r="E327" s="144">
        <v>296.855</v>
      </c>
      <c r="F327" s="105">
        <f t="shared" si="22"/>
        <v>279.5</v>
      </c>
      <c r="G327" s="105">
        <f t="shared" si="23"/>
        <v>17.355</v>
      </c>
      <c r="H327" s="146"/>
      <c r="I327" s="160">
        <f t="shared" si="21"/>
        <v>0.779976756328847</v>
      </c>
      <c r="L327" s="144">
        <v>231.54</v>
      </c>
      <c r="M327" s="4">
        <f t="shared" si="24"/>
        <v>11096.49</v>
      </c>
      <c r="O327" s="105" t="s">
        <v>1609</v>
      </c>
    </row>
    <row r="328" spans="1:15">
      <c r="A328" s="361">
        <v>46191</v>
      </c>
      <c r="B328" s="106" t="s">
        <v>63</v>
      </c>
      <c r="C328" s="191">
        <v>0.33</v>
      </c>
      <c r="D328" s="191">
        <v>0.92</v>
      </c>
      <c r="E328" s="144">
        <v>284.95</v>
      </c>
      <c r="F328" s="105">
        <f t="shared" si="22"/>
        <v>253.7</v>
      </c>
      <c r="G328" s="105">
        <f t="shared" si="23"/>
        <v>31.25</v>
      </c>
      <c r="H328" s="146"/>
      <c r="I328" s="160">
        <f t="shared" si="21"/>
        <v>0.779996490612388</v>
      </c>
      <c r="L328" s="144">
        <v>222.26</v>
      </c>
      <c r="M328" s="4">
        <f t="shared" si="24"/>
        <v>10874.23</v>
      </c>
      <c r="O328" s="105" t="s">
        <v>1609</v>
      </c>
    </row>
    <row r="329" spans="1:15">
      <c r="A329" s="361">
        <v>46191</v>
      </c>
      <c r="B329" s="106" t="s">
        <v>135</v>
      </c>
      <c r="C329" s="191">
        <v>0.39</v>
      </c>
      <c r="D329" s="191">
        <v>0.92</v>
      </c>
      <c r="E329" s="144">
        <v>247.293</v>
      </c>
      <c r="F329" s="105">
        <f t="shared" si="22"/>
        <v>227.9</v>
      </c>
      <c r="G329" s="105">
        <f t="shared" si="23"/>
        <v>19.393</v>
      </c>
      <c r="H329" s="146"/>
      <c r="I329" s="160">
        <f t="shared" si="21"/>
        <v>0.780005903927729</v>
      </c>
      <c r="L329" s="144">
        <v>192.89</v>
      </c>
      <c r="M329" s="4">
        <f t="shared" si="24"/>
        <v>10681.34</v>
      </c>
      <c r="O329" s="105" t="s">
        <v>1609</v>
      </c>
    </row>
    <row r="330" spans="1:15">
      <c r="A330" s="361">
        <v>46191</v>
      </c>
      <c r="B330" s="106" t="s">
        <v>72</v>
      </c>
      <c r="C330" s="191">
        <v>0.5</v>
      </c>
      <c r="D330" s="191">
        <v>0.98</v>
      </c>
      <c r="E330" s="144">
        <v>244.997</v>
      </c>
      <c r="F330" s="105">
        <f t="shared" si="22"/>
        <v>206.4</v>
      </c>
      <c r="G330" s="105">
        <f t="shared" si="23"/>
        <v>38.597</v>
      </c>
      <c r="H330" s="146"/>
      <c r="I330" s="160">
        <f t="shared" si="21"/>
        <v>0.780009551137361</v>
      </c>
      <c r="L330" s="144">
        <v>191.1</v>
      </c>
      <c r="M330" s="4">
        <f t="shared" si="24"/>
        <v>10490.24</v>
      </c>
      <c r="O330" s="105" t="s">
        <v>1609</v>
      </c>
    </row>
    <row r="331" spans="1:15">
      <c r="A331" s="361">
        <v>46191</v>
      </c>
      <c r="B331" s="106" t="s">
        <v>130</v>
      </c>
      <c r="C331" s="191">
        <v>0.37</v>
      </c>
      <c r="D331" s="191">
        <v>0.98</v>
      </c>
      <c r="E331" s="144">
        <v>265.425</v>
      </c>
      <c r="F331" s="105">
        <f t="shared" si="22"/>
        <v>262.3</v>
      </c>
      <c r="G331" s="105">
        <f t="shared" si="23"/>
        <v>3.125</v>
      </c>
      <c r="H331" s="146"/>
      <c r="I331" s="160">
        <f t="shared" si="21"/>
        <v>0.780032024112273</v>
      </c>
      <c r="L331" s="144">
        <v>207.04</v>
      </c>
      <c r="M331" s="4">
        <f t="shared" si="24"/>
        <v>10283.2</v>
      </c>
      <c r="O331" s="105" t="s">
        <v>1609</v>
      </c>
    </row>
    <row r="332" spans="1:15">
      <c r="A332" s="361">
        <v>46191</v>
      </c>
      <c r="B332" s="106" t="s">
        <v>124</v>
      </c>
      <c r="C332" s="191">
        <v>0.2</v>
      </c>
      <c r="D332" s="191">
        <v>0.94</v>
      </c>
      <c r="E332" s="144">
        <v>324.006</v>
      </c>
      <c r="F332" s="105">
        <f t="shared" si="22"/>
        <v>318.2</v>
      </c>
      <c r="G332" s="105">
        <f t="shared" si="23"/>
        <v>5.80599999999998</v>
      </c>
      <c r="H332" s="146"/>
      <c r="I332" s="160">
        <f t="shared" si="21"/>
        <v>0.77998555582304</v>
      </c>
      <c r="L332" s="144">
        <v>252.72</v>
      </c>
      <c r="M332" s="4">
        <f t="shared" si="24"/>
        <v>10030.48</v>
      </c>
      <c r="O332" s="105" t="s">
        <v>1609</v>
      </c>
    </row>
    <row r="333" spans="1:15">
      <c r="A333" s="361">
        <v>46192</v>
      </c>
      <c r="B333" s="106" t="s">
        <v>105</v>
      </c>
      <c r="C333" s="191">
        <v>0.38</v>
      </c>
      <c r="D333" s="191">
        <v>0.98</v>
      </c>
      <c r="E333" s="144">
        <v>284.352</v>
      </c>
      <c r="F333" s="105">
        <f t="shared" si="22"/>
        <v>258</v>
      </c>
      <c r="G333" s="105">
        <f t="shared" si="23"/>
        <v>26.352</v>
      </c>
      <c r="H333" s="146"/>
      <c r="I333" s="160">
        <f t="shared" si="21"/>
        <v>0.780019131217646</v>
      </c>
      <c r="L333" s="144">
        <v>221.8</v>
      </c>
      <c r="M333" s="4">
        <f t="shared" si="24"/>
        <v>9808.68</v>
      </c>
      <c r="O333" s="105" t="s">
        <v>1609</v>
      </c>
    </row>
    <row r="334" spans="1:15">
      <c r="A334" s="361">
        <v>46192</v>
      </c>
      <c r="B334" s="106" t="s">
        <v>174</v>
      </c>
      <c r="C334" s="191">
        <v>0.4</v>
      </c>
      <c r="D334" s="191">
        <v>0.98</v>
      </c>
      <c r="E334" s="144">
        <v>265.073</v>
      </c>
      <c r="F334" s="105">
        <f t="shared" si="22"/>
        <v>249.4</v>
      </c>
      <c r="G334" s="105">
        <f t="shared" si="23"/>
        <v>15.673</v>
      </c>
      <c r="H334" s="146"/>
      <c r="I334" s="160">
        <f t="shared" si="21"/>
        <v>0.780011543989769</v>
      </c>
      <c r="L334" s="144">
        <v>206.76</v>
      </c>
      <c r="M334" s="4">
        <f t="shared" si="24"/>
        <v>9601.92</v>
      </c>
      <c r="O334" s="105" t="s">
        <v>1609</v>
      </c>
    </row>
    <row r="335" spans="1:15">
      <c r="A335" s="361">
        <v>46192</v>
      </c>
      <c r="B335" s="106" t="s">
        <v>54</v>
      </c>
      <c r="C335" s="191">
        <v>0.23</v>
      </c>
      <c r="D335" s="191">
        <v>0.95</v>
      </c>
      <c r="E335" s="144">
        <v>304.916</v>
      </c>
      <c r="F335" s="105">
        <f t="shared" si="22"/>
        <v>309.6</v>
      </c>
      <c r="G335" s="105">
        <f t="shared" si="23"/>
        <v>-4.68400000000003</v>
      </c>
      <c r="H335" s="146"/>
      <c r="I335" s="160">
        <f t="shared" si="21"/>
        <v>0.780018103346495</v>
      </c>
      <c r="L335" s="144">
        <v>237.84</v>
      </c>
      <c r="M335" s="4">
        <f t="shared" si="24"/>
        <v>9364.08</v>
      </c>
      <c r="O335" s="105" t="s">
        <v>1609</v>
      </c>
    </row>
    <row r="336" spans="1:15">
      <c r="A336" s="361">
        <v>46192</v>
      </c>
      <c r="B336" s="106" t="s">
        <v>57</v>
      </c>
      <c r="C336" s="191">
        <v>0.7</v>
      </c>
      <c r="D336" s="191">
        <v>0.95</v>
      </c>
      <c r="E336" s="144">
        <v>112.035</v>
      </c>
      <c r="F336" s="105">
        <f t="shared" si="22"/>
        <v>107.5</v>
      </c>
      <c r="G336" s="105">
        <f t="shared" si="23"/>
        <v>4.535</v>
      </c>
      <c r="H336" s="146"/>
      <c r="I336" s="160">
        <f t="shared" si="21"/>
        <v>0.780024099611728</v>
      </c>
      <c r="L336" s="144">
        <v>87.39</v>
      </c>
      <c r="M336" s="4">
        <f t="shared" si="24"/>
        <v>9276.69</v>
      </c>
      <c r="O336" s="105" t="s">
        <v>1609</v>
      </c>
    </row>
    <row r="337" spans="1:15">
      <c r="A337" s="361">
        <v>46192</v>
      </c>
      <c r="B337" s="106" t="s">
        <v>96</v>
      </c>
      <c r="C337" s="191">
        <v>0.34</v>
      </c>
      <c r="D337" s="191">
        <v>0.98</v>
      </c>
      <c r="E337" s="144">
        <v>314.455</v>
      </c>
      <c r="F337" s="105">
        <f t="shared" si="22"/>
        <v>275.2</v>
      </c>
      <c r="G337" s="105">
        <f t="shared" si="23"/>
        <v>39.255</v>
      </c>
      <c r="H337" s="146"/>
      <c r="I337" s="160">
        <f t="shared" si="21"/>
        <v>0.779984417484219</v>
      </c>
      <c r="L337" s="144">
        <v>245.27</v>
      </c>
      <c r="M337" s="4">
        <f t="shared" si="24"/>
        <v>9031.42</v>
      </c>
      <c r="O337" s="105" t="s">
        <v>1609</v>
      </c>
    </row>
    <row r="338" spans="1:15">
      <c r="A338" s="361">
        <v>46192</v>
      </c>
      <c r="B338" s="106" t="s">
        <v>132</v>
      </c>
      <c r="C338" s="191">
        <v>0.33</v>
      </c>
      <c r="D338" s="191">
        <v>0.97</v>
      </c>
      <c r="E338" s="144">
        <v>291.388</v>
      </c>
      <c r="F338" s="105">
        <f t="shared" si="22"/>
        <v>275.2</v>
      </c>
      <c r="G338" s="105">
        <f t="shared" si="23"/>
        <v>16.188</v>
      </c>
      <c r="H338" s="146"/>
      <c r="I338" s="160">
        <f t="shared" si="21"/>
        <v>0.780025258418329</v>
      </c>
      <c r="L338" s="144">
        <v>227.29</v>
      </c>
      <c r="M338" s="4">
        <f t="shared" si="24"/>
        <v>8804.13</v>
      </c>
      <c r="O338" s="105" t="s">
        <v>1609</v>
      </c>
    </row>
    <row r="339" spans="1:15">
      <c r="A339" s="361">
        <v>46192</v>
      </c>
      <c r="B339" s="106" t="s">
        <v>102</v>
      </c>
      <c r="C339" s="191">
        <v>0.18</v>
      </c>
      <c r="D339" s="191">
        <v>0.95</v>
      </c>
      <c r="E339" s="144">
        <v>374.161</v>
      </c>
      <c r="F339" s="105">
        <f t="shared" si="22"/>
        <v>331.1</v>
      </c>
      <c r="G339" s="105">
        <f t="shared" si="23"/>
        <v>43.061</v>
      </c>
      <c r="H339" s="146"/>
      <c r="I339" s="160">
        <f t="shared" si="21"/>
        <v>0.780011813096501</v>
      </c>
      <c r="L339" s="144">
        <v>291.85</v>
      </c>
      <c r="M339" s="4">
        <f t="shared" si="24"/>
        <v>8512.28</v>
      </c>
      <c r="O339" s="105" t="s">
        <v>1609</v>
      </c>
    </row>
    <row r="340" spans="1:15">
      <c r="A340" s="361">
        <v>46192</v>
      </c>
      <c r="B340" s="106" t="s">
        <v>124</v>
      </c>
      <c r="C340" s="191">
        <v>0.31</v>
      </c>
      <c r="D340" s="191">
        <v>0.96</v>
      </c>
      <c r="E340" s="144">
        <v>284.783</v>
      </c>
      <c r="F340" s="105">
        <f t="shared" si="22"/>
        <v>279.5</v>
      </c>
      <c r="G340" s="105">
        <f t="shared" si="23"/>
        <v>5.28300000000002</v>
      </c>
      <c r="H340" s="146"/>
      <c r="I340" s="160">
        <f t="shared" si="21"/>
        <v>0.779997401530288</v>
      </c>
      <c r="L340" s="144">
        <v>222.13</v>
      </c>
      <c r="M340" s="4">
        <f t="shared" si="24"/>
        <v>8290.15</v>
      </c>
      <c r="O340" s="105" t="s">
        <v>1609</v>
      </c>
    </row>
    <row r="341" spans="1:15">
      <c r="A341" s="361">
        <v>46192</v>
      </c>
      <c r="B341" s="106" t="s">
        <v>111</v>
      </c>
      <c r="C341" s="191">
        <v>0.68</v>
      </c>
      <c r="D341" s="191">
        <v>0.98</v>
      </c>
      <c r="E341" s="144">
        <v>137.364</v>
      </c>
      <c r="F341" s="105">
        <f t="shared" si="22"/>
        <v>129</v>
      </c>
      <c r="G341" s="105">
        <f t="shared" si="23"/>
        <v>8.364</v>
      </c>
      <c r="H341" s="146"/>
      <c r="I341" s="160">
        <f t="shared" si="21"/>
        <v>0.77997146268309</v>
      </c>
      <c r="L341" s="144">
        <v>107.14</v>
      </c>
      <c r="M341" s="4">
        <f t="shared" si="24"/>
        <v>8183.01</v>
      </c>
      <c r="O341" s="105" t="s">
        <v>1609</v>
      </c>
    </row>
    <row r="342" spans="1:15">
      <c r="A342" s="361">
        <v>46192</v>
      </c>
      <c r="B342" s="106" t="s">
        <v>144</v>
      </c>
      <c r="C342" s="191">
        <v>0.36</v>
      </c>
      <c r="D342" s="191">
        <v>0.98</v>
      </c>
      <c r="E342" s="144">
        <v>281.846</v>
      </c>
      <c r="F342" s="105">
        <f t="shared" si="22"/>
        <v>266.6</v>
      </c>
      <c r="G342" s="105">
        <f t="shared" si="23"/>
        <v>15.246</v>
      </c>
      <c r="H342" s="146"/>
      <c r="I342" s="160">
        <f t="shared" si="21"/>
        <v>0.780000425764425</v>
      </c>
      <c r="L342" s="144">
        <v>219.84</v>
      </c>
      <c r="M342" s="4">
        <f t="shared" si="24"/>
        <v>7963.17</v>
      </c>
      <c r="O342" s="105" t="s">
        <v>1609</v>
      </c>
    </row>
    <row r="343" spans="1:15">
      <c r="A343" s="361">
        <v>46192</v>
      </c>
      <c r="B343" s="106" t="s">
        <v>108</v>
      </c>
      <c r="C343" s="191">
        <v>0.78</v>
      </c>
      <c r="D343" s="191">
        <v>0.94</v>
      </c>
      <c r="E343" s="144">
        <v>79.976</v>
      </c>
      <c r="F343" s="105">
        <f t="shared" si="22"/>
        <v>68.8</v>
      </c>
      <c r="G343" s="105">
        <f t="shared" si="23"/>
        <v>11.176</v>
      </c>
      <c r="H343" s="146"/>
      <c r="I343" s="160">
        <f t="shared" si="21"/>
        <v>0.77998399519856</v>
      </c>
      <c r="L343" s="144">
        <v>62.38</v>
      </c>
      <c r="M343" s="4">
        <f t="shared" si="24"/>
        <v>7900.79</v>
      </c>
      <c r="O343" s="105" t="s">
        <v>1609</v>
      </c>
    </row>
    <row r="344" spans="1:15">
      <c r="A344" s="361">
        <v>46192</v>
      </c>
      <c r="B344" s="106" t="s">
        <v>189</v>
      </c>
      <c r="C344" s="191">
        <v>0.35</v>
      </c>
      <c r="D344" s="191">
        <v>0.95</v>
      </c>
      <c r="E344" s="144">
        <v>280.585</v>
      </c>
      <c r="F344" s="105">
        <f t="shared" si="22"/>
        <v>258</v>
      </c>
      <c r="G344" s="105">
        <f t="shared" si="23"/>
        <v>22.585</v>
      </c>
      <c r="H344" s="146"/>
      <c r="I344" s="160">
        <f t="shared" si="21"/>
        <v>0.780013186734858</v>
      </c>
      <c r="L344" s="144">
        <v>218.86</v>
      </c>
      <c r="M344" s="4">
        <f t="shared" si="24"/>
        <v>7681.93</v>
      </c>
      <c r="O344" s="105" t="s">
        <v>1609</v>
      </c>
    </row>
    <row r="345" spans="1:15">
      <c r="A345" s="361">
        <v>46192</v>
      </c>
      <c r="B345" s="106" t="s">
        <v>213</v>
      </c>
      <c r="C345" s="191">
        <v>0.48</v>
      </c>
      <c r="D345" s="191">
        <v>0.98</v>
      </c>
      <c r="E345" s="144">
        <v>228.796</v>
      </c>
      <c r="F345" s="105">
        <f t="shared" si="22"/>
        <v>215</v>
      </c>
      <c r="G345" s="105">
        <f t="shared" si="23"/>
        <v>13.796</v>
      </c>
      <c r="H345" s="146"/>
      <c r="I345" s="160">
        <f t="shared" si="21"/>
        <v>0.779996153778912</v>
      </c>
      <c r="L345" s="144">
        <v>178.46</v>
      </c>
      <c r="M345" s="4">
        <f t="shared" si="24"/>
        <v>7503.47</v>
      </c>
      <c r="O345" s="105" t="s">
        <v>1609</v>
      </c>
    </row>
    <row r="346" spans="1:15">
      <c r="A346" s="361">
        <v>46192</v>
      </c>
      <c r="B346" s="106" t="s">
        <v>670</v>
      </c>
      <c r="C346" s="191">
        <v>0.46</v>
      </c>
      <c r="D346" s="191">
        <v>0.98</v>
      </c>
      <c r="E346" s="144">
        <v>237.258</v>
      </c>
      <c r="F346" s="105">
        <f t="shared" si="22"/>
        <v>223.6</v>
      </c>
      <c r="G346" s="105">
        <f t="shared" si="23"/>
        <v>13.658</v>
      </c>
      <c r="H346" s="146"/>
      <c r="I346" s="160">
        <f t="shared" si="21"/>
        <v>0.779994773621964</v>
      </c>
      <c r="K346" s="144">
        <v>10000</v>
      </c>
      <c r="L346" s="144">
        <v>185.06</v>
      </c>
      <c r="M346" s="4">
        <f t="shared" si="24"/>
        <v>17318.41</v>
      </c>
      <c r="O346" s="105" t="s">
        <v>1609</v>
      </c>
    </row>
    <row r="347" spans="1:15">
      <c r="A347" s="361">
        <v>46193</v>
      </c>
      <c r="B347" s="106" t="s">
        <v>63</v>
      </c>
      <c r="C347" s="191">
        <v>0.1</v>
      </c>
      <c r="D347" s="191">
        <v>0.98</v>
      </c>
      <c r="E347" s="144">
        <v>431.795</v>
      </c>
      <c r="F347" s="105">
        <f t="shared" si="22"/>
        <v>378.4</v>
      </c>
      <c r="G347" s="105">
        <f t="shared" si="23"/>
        <v>53.395</v>
      </c>
      <c r="H347" s="146"/>
      <c r="I347" s="160">
        <f t="shared" si="21"/>
        <v>0.77999976840862</v>
      </c>
      <c r="L347" s="144">
        <v>336.8</v>
      </c>
      <c r="M347" s="4">
        <f t="shared" si="24"/>
        <v>16981.61</v>
      </c>
      <c r="O347" s="105" t="s">
        <v>1609</v>
      </c>
    </row>
    <row r="348" spans="1:15">
      <c r="A348" s="361">
        <v>46193</v>
      </c>
      <c r="B348" s="106" t="s">
        <v>151</v>
      </c>
      <c r="C348" s="191">
        <v>0.71</v>
      </c>
      <c r="D348" s="191">
        <v>0.92</v>
      </c>
      <c r="E348" s="144">
        <v>94.836</v>
      </c>
      <c r="F348" s="105">
        <f t="shared" si="22"/>
        <v>90.3</v>
      </c>
      <c r="G348" s="105">
        <f t="shared" si="23"/>
        <v>4.53599999999997</v>
      </c>
      <c r="H348" s="146"/>
      <c r="I348" s="160">
        <f t="shared" si="21"/>
        <v>0.779978067400565</v>
      </c>
      <c r="L348" s="144">
        <v>73.97</v>
      </c>
      <c r="M348" s="4">
        <f t="shared" si="24"/>
        <v>16907.64</v>
      </c>
      <c r="O348" s="105" t="s">
        <v>1609</v>
      </c>
    </row>
    <row r="349" spans="1:15">
      <c r="A349" s="361">
        <v>46193</v>
      </c>
      <c r="B349" s="106" t="s">
        <v>141</v>
      </c>
      <c r="C349" s="191">
        <v>0.4</v>
      </c>
      <c r="D349" s="191">
        <v>0.98</v>
      </c>
      <c r="E349" s="144">
        <v>264.912</v>
      </c>
      <c r="F349" s="105">
        <f t="shared" si="22"/>
        <v>249.4</v>
      </c>
      <c r="G349" s="105">
        <f t="shared" si="23"/>
        <v>15.512</v>
      </c>
      <c r="H349" s="146"/>
      <c r="I349" s="160">
        <f t="shared" si="21"/>
        <v>0.779994866219726</v>
      </c>
      <c r="L349" s="144">
        <v>206.63</v>
      </c>
      <c r="M349" s="4">
        <f t="shared" si="24"/>
        <v>16701.01</v>
      </c>
      <c r="O349" s="105" t="s">
        <v>1609</v>
      </c>
    </row>
    <row r="350" spans="1:15">
      <c r="A350" s="361">
        <v>46193</v>
      </c>
      <c r="B350" s="106" t="s">
        <v>195</v>
      </c>
      <c r="C350" s="191">
        <v>0.38</v>
      </c>
      <c r="D350" s="191">
        <v>0.98</v>
      </c>
      <c r="E350" s="144">
        <v>274.573</v>
      </c>
      <c r="F350" s="105">
        <f t="shared" si="22"/>
        <v>258</v>
      </c>
      <c r="G350" s="105">
        <f t="shared" si="23"/>
        <v>16.573</v>
      </c>
      <c r="H350" s="146"/>
      <c r="I350" s="160">
        <f t="shared" si="21"/>
        <v>0.779974724390235</v>
      </c>
      <c r="L350" s="144">
        <v>214.16</v>
      </c>
      <c r="M350" s="4">
        <f t="shared" si="24"/>
        <v>16486.85</v>
      </c>
      <c r="O350" s="105" t="s">
        <v>1609</v>
      </c>
    </row>
    <row r="351" spans="1:15">
      <c r="A351" s="361">
        <v>46193</v>
      </c>
      <c r="B351" s="106" t="s">
        <v>69</v>
      </c>
      <c r="C351" s="191">
        <v>0.45</v>
      </c>
      <c r="D351" s="191">
        <v>0.79</v>
      </c>
      <c r="E351" s="144">
        <v>170.757</v>
      </c>
      <c r="F351" s="105">
        <f t="shared" si="22"/>
        <v>146.2</v>
      </c>
      <c r="G351" s="105">
        <f t="shared" si="23"/>
        <v>24.557</v>
      </c>
      <c r="H351" s="146"/>
      <c r="I351" s="160">
        <f t="shared" si="21"/>
        <v>0.779997306113366</v>
      </c>
      <c r="L351" s="144">
        <v>133.19</v>
      </c>
      <c r="M351" s="4">
        <f t="shared" si="24"/>
        <v>16353.66</v>
      </c>
      <c r="O351" s="105" t="s">
        <v>1609</v>
      </c>
    </row>
    <row r="352" spans="1:15">
      <c r="A352" s="361">
        <v>46193</v>
      </c>
      <c r="B352" s="106" t="s">
        <v>99</v>
      </c>
      <c r="C352" s="191">
        <v>0.34</v>
      </c>
      <c r="D352" s="191">
        <v>0.95</v>
      </c>
      <c r="E352" s="144">
        <v>304.505</v>
      </c>
      <c r="F352" s="105">
        <f t="shared" si="22"/>
        <v>262.3</v>
      </c>
      <c r="G352" s="105">
        <f t="shared" si="23"/>
        <v>42.205</v>
      </c>
      <c r="H352" s="146"/>
      <c r="I352" s="160">
        <f t="shared" si="21"/>
        <v>0.780020032511781</v>
      </c>
      <c r="L352" s="144">
        <v>237.52</v>
      </c>
      <c r="M352" s="4">
        <f t="shared" si="24"/>
        <v>16116.14</v>
      </c>
      <c r="O352" s="105" t="s">
        <v>1609</v>
      </c>
    </row>
    <row r="353" spans="1:15">
      <c r="A353" s="361">
        <v>46193</v>
      </c>
      <c r="B353" s="106" t="s">
        <v>66</v>
      </c>
      <c r="C353" s="191">
        <v>0.48</v>
      </c>
      <c r="D353" s="191">
        <v>0.98</v>
      </c>
      <c r="E353" s="144">
        <v>257.598</v>
      </c>
      <c r="F353" s="105">
        <f t="shared" si="22"/>
        <v>215</v>
      </c>
      <c r="G353" s="105">
        <f t="shared" si="23"/>
        <v>42.598</v>
      </c>
      <c r="H353" s="146"/>
      <c r="I353" s="160">
        <f t="shared" si="21"/>
        <v>0.780013819983074</v>
      </c>
      <c r="L353" s="144">
        <v>200.93</v>
      </c>
      <c r="M353" s="4">
        <f t="shared" si="24"/>
        <v>15915.21</v>
      </c>
      <c r="O353" s="105" t="s">
        <v>1609</v>
      </c>
    </row>
    <row r="354" spans="1:15">
      <c r="A354" s="361">
        <v>46193</v>
      </c>
      <c r="B354" s="106" t="s">
        <v>57</v>
      </c>
      <c r="C354" s="191">
        <v>0.35</v>
      </c>
      <c r="D354" s="191">
        <v>0.96</v>
      </c>
      <c r="E354" s="144">
        <v>263.012</v>
      </c>
      <c r="F354" s="105">
        <f t="shared" si="22"/>
        <v>262.3</v>
      </c>
      <c r="G354" s="105">
        <f t="shared" si="23"/>
        <v>0.711999999999989</v>
      </c>
      <c r="H354" s="146"/>
      <c r="I354" s="160">
        <f t="shared" si="21"/>
        <v>0.780002433349049</v>
      </c>
      <c r="L354" s="144">
        <v>205.15</v>
      </c>
      <c r="M354" s="4">
        <f t="shared" si="24"/>
        <v>15710.06</v>
      </c>
      <c r="O354" s="105" t="s">
        <v>1609</v>
      </c>
    </row>
    <row r="355" spans="1:15">
      <c r="A355" s="361">
        <v>46193</v>
      </c>
      <c r="B355" s="106" t="s">
        <v>111</v>
      </c>
      <c r="C355" s="191">
        <v>0.27</v>
      </c>
      <c r="D355" s="191">
        <v>0.27</v>
      </c>
      <c r="E355" s="144">
        <v>0.315</v>
      </c>
      <c r="F355" s="105">
        <f t="shared" si="22"/>
        <v>0</v>
      </c>
      <c r="G355" s="105">
        <f t="shared" si="23"/>
        <v>0.315</v>
      </c>
      <c r="H355" s="146"/>
      <c r="I355" s="160">
        <f t="shared" si="21"/>
        <v>0.793650793650794</v>
      </c>
      <c r="L355" s="144">
        <v>0.25</v>
      </c>
      <c r="M355" s="4">
        <f t="shared" si="24"/>
        <v>15709.81</v>
      </c>
      <c r="O355" s="105" t="s">
        <v>1609</v>
      </c>
    </row>
    <row r="356" spans="1:15">
      <c r="A356" s="361">
        <v>46193</v>
      </c>
      <c r="B356" s="106" t="s">
        <v>111</v>
      </c>
      <c r="C356" s="191">
        <v>0.27</v>
      </c>
      <c r="D356" s="191">
        <v>0.96</v>
      </c>
      <c r="E356" s="144">
        <v>296.732</v>
      </c>
      <c r="F356" s="105">
        <f t="shared" si="22"/>
        <v>296.7</v>
      </c>
      <c r="G356" s="105">
        <f t="shared" si="23"/>
        <v>0.0320000000000391</v>
      </c>
      <c r="H356" s="146"/>
      <c r="I356" s="160">
        <f t="shared" si="21"/>
        <v>0.779996764757424</v>
      </c>
      <c r="L356" s="144">
        <v>231.45</v>
      </c>
      <c r="M356" s="4">
        <f t="shared" si="24"/>
        <v>15478.36</v>
      </c>
      <c r="O356" s="105" t="s">
        <v>1609</v>
      </c>
    </row>
    <row r="357" spans="1:15">
      <c r="A357" s="361">
        <v>46193</v>
      </c>
      <c r="B357" s="106" t="s">
        <v>132</v>
      </c>
      <c r="C357" s="191">
        <v>0.37</v>
      </c>
      <c r="D357" s="191">
        <v>0.98</v>
      </c>
      <c r="E357" s="144">
        <v>277.192</v>
      </c>
      <c r="F357" s="105">
        <f t="shared" si="22"/>
        <v>262.3</v>
      </c>
      <c r="G357" s="105">
        <f t="shared" si="23"/>
        <v>14.892</v>
      </c>
      <c r="H357" s="146"/>
      <c r="I357" s="160">
        <f t="shared" si="21"/>
        <v>0.780000865825854</v>
      </c>
      <c r="L357" s="144">
        <v>216.21</v>
      </c>
      <c r="M357" s="4">
        <f t="shared" si="24"/>
        <v>15262.15</v>
      </c>
      <c r="O357" s="105" t="s">
        <v>1609</v>
      </c>
    </row>
    <row r="358" spans="1:15">
      <c r="A358" s="361">
        <v>46193</v>
      </c>
      <c r="B358" s="106" t="s">
        <v>108</v>
      </c>
      <c r="C358" s="191">
        <v>0.42</v>
      </c>
      <c r="D358" s="191">
        <v>0.96</v>
      </c>
      <c r="E358" s="144">
        <v>268.721</v>
      </c>
      <c r="F358" s="105">
        <f t="shared" si="22"/>
        <v>232.2</v>
      </c>
      <c r="G358" s="105">
        <f t="shared" si="23"/>
        <v>36.521</v>
      </c>
      <c r="H358" s="146"/>
      <c r="I358" s="160">
        <f t="shared" si="21"/>
        <v>0.779991143230339</v>
      </c>
      <c r="L358" s="144">
        <v>209.6</v>
      </c>
      <c r="M358" s="4">
        <f t="shared" si="24"/>
        <v>15052.55</v>
      </c>
      <c r="O358" s="105" t="s">
        <v>1609</v>
      </c>
    </row>
    <row r="359" spans="1:15">
      <c r="A359" s="361">
        <v>46193</v>
      </c>
      <c r="B359" s="106" t="s">
        <v>114</v>
      </c>
      <c r="C359" s="191">
        <v>0.29</v>
      </c>
      <c r="D359" s="191">
        <v>0.92</v>
      </c>
      <c r="E359" s="144">
        <v>266.067</v>
      </c>
      <c r="F359" s="105">
        <f t="shared" si="22"/>
        <v>270.9</v>
      </c>
      <c r="G359" s="105">
        <f t="shared" si="23"/>
        <v>-4.83300000000003</v>
      </c>
      <c r="H359" s="146"/>
      <c r="I359" s="160">
        <f t="shared" si="21"/>
        <v>0.780029090417075</v>
      </c>
      <c r="L359" s="144">
        <v>207.54</v>
      </c>
      <c r="M359" s="4">
        <f t="shared" si="24"/>
        <v>14845.01</v>
      </c>
      <c r="O359" s="105" t="s">
        <v>1609</v>
      </c>
    </row>
    <row r="360" spans="1:15">
      <c r="A360" s="361">
        <v>46193</v>
      </c>
      <c r="B360" s="106" t="s">
        <v>84</v>
      </c>
      <c r="C360" s="191">
        <v>0.39</v>
      </c>
      <c r="D360" s="191">
        <v>0.98</v>
      </c>
      <c r="E360" s="144">
        <v>282.929</v>
      </c>
      <c r="F360" s="105">
        <f t="shared" si="22"/>
        <v>253.7</v>
      </c>
      <c r="G360" s="105">
        <f t="shared" si="23"/>
        <v>29.229</v>
      </c>
      <c r="H360" s="146"/>
      <c r="I360" s="160">
        <f t="shared" si="21"/>
        <v>0.77998367081494</v>
      </c>
      <c r="L360" s="144">
        <v>220.68</v>
      </c>
      <c r="M360" s="4">
        <f t="shared" si="24"/>
        <v>14624.33</v>
      </c>
      <c r="O360" s="105" t="s">
        <v>1609</v>
      </c>
    </row>
    <row r="361" spans="1:15">
      <c r="A361" s="361">
        <v>46193</v>
      </c>
      <c r="B361" s="106" t="s">
        <v>210</v>
      </c>
      <c r="C361" s="191">
        <v>0.44</v>
      </c>
      <c r="D361" s="191">
        <v>0.95</v>
      </c>
      <c r="E361" s="144">
        <v>230.596</v>
      </c>
      <c r="F361" s="105">
        <f t="shared" si="22"/>
        <v>219.3</v>
      </c>
      <c r="G361" s="105">
        <f t="shared" si="23"/>
        <v>11.296</v>
      </c>
      <c r="H361" s="146"/>
      <c r="I361" s="160">
        <f t="shared" si="21"/>
        <v>0.780022203333969</v>
      </c>
      <c r="L361" s="144">
        <v>179.87</v>
      </c>
      <c r="M361" s="4">
        <f t="shared" si="24"/>
        <v>14444.46</v>
      </c>
      <c r="O361" s="105" t="s">
        <v>1609</v>
      </c>
    </row>
    <row r="362" spans="1:15">
      <c r="A362" s="361">
        <v>46193</v>
      </c>
      <c r="B362" s="106" t="s">
        <v>154</v>
      </c>
      <c r="C362" s="191">
        <v>0.72</v>
      </c>
      <c r="D362" s="191">
        <v>0.96</v>
      </c>
      <c r="E362" s="144">
        <v>109.743</v>
      </c>
      <c r="F362" s="105">
        <f t="shared" si="22"/>
        <v>103.2</v>
      </c>
      <c r="G362" s="105">
        <f t="shared" si="23"/>
        <v>6.54299999999999</v>
      </c>
      <c r="H362" s="146"/>
      <c r="I362" s="160">
        <f t="shared" si="21"/>
        <v>0.78000419161131</v>
      </c>
      <c r="L362" s="144">
        <v>85.6</v>
      </c>
      <c r="M362" s="4">
        <f t="shared" si="24"/>
        <v>14358.86</v>
      </c>
      <c r="O362" s="105" t="s">
        <v>1609</v>
      </c>
    </row>
    <row r="363" spans="1:15">
      <c r="A363" s="361">
        <v>46193</v>
      </c>
      <c r="B363" s="106" t="s">
        <v>174</v>
      </c>
      <c r="C363" s="191">
        <v>0.19</v>
      </c>
      <c r="D363" s="191">
        <v>0.98</v>
      </c>
      <c r="E363" s="144">
        <v>361.419</v>
      </c>
      <c r="F363" s="105">
        <f t="shared" si="22"/>
        <v>339.7</v>
      </c>
      <c r="G363" s="105">
        <f t="shared" si="23"/>
        <v>21.719</v>
      </c>
      <c r="H363" s="146"/>
      <c r="I363" s="160">
        <f t="shared" si="21"/>
        <v>0.779981129935062</v>
      </c>
      <c r="L363" s="144">
        <v>281.9</v>
      </c>
      <c r="M363" s="4">
        <f t="shared" si="24"/>
        <v>14076.96</v>
      </c>
      <c r="O363" s="105" t="s">
        <v>1609</v>
      </c>
    </row>
    <row r="364" spans="1:15">
      <c r="A364" s="361">
        <v>46193</v>
      </c>
      <c r="B364" s="106" t="s">
        <v>338</v>
      </c>
      <c r="C364" s="191">
        <v>0.67</v>
      </c>
      <c r="D364" s="191">
        <v>0.98</v>
      </c>
      <c r="E364" s="144">
        <v>145.003</v>
      </c>
      <c r="F364" s="105">
        <f t="shared" si="22"/>
        <v>133.3</v>
      </c>
      <c r="G364" s="105">
        <f t="shared" si="23"/>
        <v>11.703</v>
      </c>
      <c r="H364" s="146"/>
      <c r="I364" s="160">
        <f t="shared" si="21"/>
        <v>0.779983862402847</v>
      </c>
      <c r="L364" s="144">
        <v>113.1</v>
      </c>
      <c r="M364" s="4">
        <f t="shared" si="24"/>
        <v>13963.86</v>
      </c>
      <c r="O364" s="105" t="s">
        <v>1609</v>
      </c>
    </row>
    <row r="365" spans="1:15">
      <c r="A365" s="361">
        <v>46193</v>
      </c>
      <c r="B365" s="106" t="s">
        <v>221</v>
      </c>
      <c r="C365" s="191">
        <v>0.71</v>
      </c>
      <c r="D365" s="191">
        <v>0.98</v>
      </c>
      <c r="E365" s="144">
        <v>122.296</v>
      </c>
      <c r="F365" s="105">
        <f t="shared" si="22"/>
        <v>116.1</v>
      </c>
      <c r="G365" s="105">
        <f t="shared" si="23"/>
        <v>6.196</v>
      </c>
      <c r="H365" s="146"/>
      <c r="I365" s="160">
        <f t="shared" si="21"/>
        <v>0.77999280434356</v>
      </c>
      <c r="L365" s="144">
        <v>95.39</v>
      </c>
      <c r="M365" s="4">
        <f t="shared" si="24"/>
        <v>13868.47</v>
      </c>
      <c r="O365" s="105" t="s">
        <v>1609</v>
      </c>
    </row>
    <row r="366" spans="1:15">
      <c r="A366" s="361">
        <v>46193</v>
      </c>
      <c r="B366" s="106" t="s">
        <v>163</v>
      </c>
      <c r="C366" s="191">
        <v>0.71</v>
      </c>
      <c r="D366" s="191">
        <v>0.98</v>
      </c>
      <c r="E366" s="144">
        <v>128.08</v>
      </c>
      <c r="F366" s="105">
        <f t="shared" si="22"/>
        <v>116.1</v>
      </c>
      <c r="G366" s="105">
        <f t="shared" si="23"/>
        <v>11.98</v>
      </c>
      <c r="H366" s="146"/>
      <c r="I366" s="160">
        <f t="shared" si="21"/>
        <v>0.77998126171143</v>
      </c>
      <c r="L366" s="144">
        <v>99.9</v>
      </c>
      <c r="M366" s="4">
        <f t="shared" si="24"/>
        <v>13768.57</v>
      </c>
      <c r="O366" s="105" t="s">
        <v>1609</v>
      </c>
    </row>
    <row r="367" spans="1:15">
      <c r="A367" s="361">
        <v>46193</v>
      </c>
      <c r="B367" s="106" t="s">
        <v>135</v>
      </c>
      <c r="C367" s="191">
        <v>0.71</v>
      </c>
      <c r="D367" s="191">
        <v>0.97</v>
      </c>
      <c r="E367" s="144">
        <v>126.494</v>
      </c>
      <c r="F367" s="105">
        <f t="shared" si="22"/>
        <v>111.8</v>
      </c>
      <c r="G367" s="105">
        <f t="shared" si="23"/>
        <v>14.694</v>
      </c>
      <c r="H367" s="146"/>
      <c r="I367" s="160">
        <f t="shared" ref="I367:I389" si="25">L367/E367</f>
        <v>0.779957942669217</v>
      </c>
      <c r="L367" s="144">
        <v>98.66</v>
      </c>
      <c r="M367" s="4">
        <f t="shared" si="24"/>
        <v>13669.91</v>
      </c>
      <c r="O367" s="105" t="s">
        <v>1609</v>
      </c>
    </row>
    <row r="368" spans="1:15">
      <c r="A368" s="361">
        <v>46193</v>
      </c>
      <c r="B368" s="106" t="s">
        <v>201</v>
      </c>
      <c r="C368" s="191">
        <v>0.3</v>
      </c>
      <c r="D368" s="191">
        <v>0.61</v>
      </c>
      <c r="E368" s="144">
        <v>141.502</v>
      </c>
      <c r="F368" s="105">
        <f t="shared" si="22"/>
        <v>133.3</v>
      </c>
      <c r="G368" s="105">
        <f t="shared" si="23"/>
        <v>8.202</v>
      </c>
      <c r="H368" s="146"/>
      <c r="I368" s="160">
        <f t="shared" si="25"/>
        <v>0.780059645800059</v>
      </c>
      <c r="L368" s="144">
        <v>110.38</v>
      </c>
      <c r="M368" s="4">
        <f t="shared" si="24"/>
        <v>13559.53</v>
      </c>
      <c r="O368" s="105" t="s">
        <v>1609</v>
      </c>
    </row>
    <row r="369" spans="1:15">
      <c r="A369" s="361">
        <v>46193</v>
      </c>
      <c r="B369" s="106" t="s">
        <v>63</v>
      </c>
      <c r="C369" s="191">
        <v>0.36</v>
      </c>
      <c r="D369" s="191">
        <v>0.98</v>
      </c>
      <c r="E369" s="144">
        <v>295.135</v>
      </c>
      <c r="F369" s="105">
        <f t="shared" si="22"/>
        <v>266.6</v>
      </c>
      <c r="G369" s="105">
        <f t="shared" si="23"/>
        <v>28.535</v>
      </c>
      <c r="H369" s="146"/>
      <c r="I369" s="160">
        <f t="shared" si="25"/>
        <v>0.77998204211632</v>
      </c>
      <c r="L369" s="144">
        <v>230.2</v>
      </c>
      <c r="M369" s="4">
        <f t="shared" si="24"/>
        <v>13329.33</v>
      </c>
      <c r="O369" s="105" t="s">
        <v>1609</v>
      </c>
    </row>
    <row r="370" spans="1:15">
      <c r="A370" s="361">
        <v>46193</v>
      </c>
      <c r="B370" s="106" t="s">
        <v>141</v>
      </c>
      <c r="C370" s="191">
        <v>0.26</v>
      </c>
      <c r="D370" s="191">
        <v>0.98</v>
      </c>
      <c r="E370" s="144">
        <v>331.851</v>
      </c>
      <c r="F370" s="105">
        <f t="shared" si="22"/>
        <v>309.6</v>
      </c>
      <c r="G370" s="105">
        <f t="shared" si="23"/>
        <v>22.251</v>
      </c>
      <c r="H370" s="146"/>
      <c r="I370" s="160">
        <f t="shared" si="25"/>
        <v>0.779988609345761</v>
      </c>
      <c r="L370" s="144">
        <v>258.84</v>
      </c>
      <c r="M370" s="4">
        <f t="shared" si="24"/>
        <v>13070.49</v>
      </c>
      <c r="O370" s="105" t="s">
        <v>1609</v>
      </c>
    </row>
    <row r="371" spans="1:15">
      <c r="A371" s="361">
        <v>46193</v>
      </c>
      <c r="B371" s="106" t="s">
        <v>72</v>
      </c>
      <c r="C371" s="191">
        <v>0.15</v>
      </c>
      <c r="D371" s="191">
        <v>0.98</v>
      </c>
      <c r="E371" s="144">
        <v>404.166</v>
      </c>
      <c r="F371" s="105">
        <f t="shared" si="22"/>
        <v>356.9</v>
      </c>
      <c r="G371" s="105">
        <f t="shared" si="23"/>
        <v>47.266</v>
      </c>
      <c r="H371" s="146"/>
      <c r="I371" s="160">
        <f t="shared" si="25"/>
        <v>0.78000128660006</v>
      </c>
      <c r="L371" s="144">
        <v>315.25</v>
      </c>
      <c r="M371" s="4">
        <f t="shared" si="24"/>
        <v>12755.24</v>
      </c>
      <c r="O371" s="105" t="s">
        <v>1609</v>
      </c>
    </row>
    <row r="372" spans="1:15">
      <c r="A372" s="361">
        <v>46193</v>
      </c>
      <c r="B372" s="106" t="s">
        <v>160</v>
      </c>
      <c r="C372" s="191">
        <v>0.67</v>
      </c>
      <c r="D372" s="191">
        <v>0.98</v>
      </c>
      <c r="E372" s="144">
        <v>143.044</v>
      </c>
      <c r="F372" s="105">
        <f t="shared" si="22"/>
        <v>133.3</v>
      </c>
      <c r="G372" s="105">
        <f t="shared" si="23"/>
        <v>9.74400000000003</v>
      </c>
      <c r="H372" s="146"/>
      <c r="I372" s="160">
        <f t="shared" si="25"/>
        <v>0.779969799502251</v>
      </c>
      <c r="L372" s="144">
        <v>111.57</v>
      </c>
      <c r="M372" s="4">
        <f t="shared" si="24"/>
        <v>12643.67</v>
      </c>
      <c r="O372" s="105" t="s">
        <v>1609</v>
      </c>
    </row>
    <row r="373" spans="1:15">
      <c r="A373" s="361">
        <v>46193</v>
      </c>
      <c r="B373" s="106" t="s">
        <v>223</v>
      </c>
      <c r="C373" s="191">
        <v>0.64</v>
      </c>
      <c r="D373" s="191">
        <v>0.97</v>
      </c>
      <c r="E373" s="144">
        <v>154.888</v>
      </c>
      <c r="F373" s="105">
        <f t="shared" si="22"/>
        <v>141.9</v>
      </c>
      <c r="G373" s="105">
        <f t="shared" si="23"/>
        <v>12.988</v>
      </c>
      <c r="H373" s="146"/>
      <c r="I373" s="160">
        <f t="shared" si="25"/>
        <v>0.779982955425856</v>
      </c>
      <c r="L373" s="144">
        <v>120.81</v>
      </c>
      <c r="M373" s="4">
        <f t="shared" si="24"/>
        <v>12522.86</v>
      </c>
      <c r="O373" s="105" t="s">
        <v>1609</v>
      </c>
    </row>
    <row r="374" spans="1:15">
      <c r="A374" s="361">
        <v>46193</v>
      </c>
      <c r="B374" s="106" t="s">
        <v>90</v>
      </c>
      <c r="C374" s="191">
        <v>0.21</v>
      </c>
      <c r="D374" s="191">
        <v>0.95</v>
      </c>
      <c r="E374" s="144">
        <v>370.05</v>
      </c>
      <c r="F374" s="105">
        <f t="shared" si="22"/>
        <v>318.2</v>
      </c>
      <c r="G374" s="105">
        <f t="shared" si="23"/>
        <v>51.85</v>
      </c>
      <c r="H374" s="146"/>
      <c r="I374" s="160">
        <f t="shared" si="25"/>
        <v>0.780002702337522</v>
      </c>
      <c r="L374" s="144">
        <v>288.64</v>
      </c>
      <c r="M374" s="4">
        <f t="shared" si="24"/>
        <v>12234.22</v>
      </c>
      <c r="O374" s="105" t="s">
        <v>1609</v>
      </c>
    </row>
    <row r="375" spans="1:15">
      <c r="A375" s="361">
        <v>46194</v>
      </c>
      <c r="B375" s="106" t="s">
        <v>130</v>
      </c>
      <c r="C375" s="191">
        <v>0.36</v>
      </c>
      <c r="D375" s="191">
        <v>0.98</v>
      </c>
      <c r="E375" s="144">
        <v>269.288</v>
      </c>
      <c r="F375" s="105">
        <f t="shared" si="22"/>
        <v>266.6</v>
      </c>
      <c r="G375" s="105">
        <f t="shared" si="23"/>
        <v>2.68799999999999</v>
      </c>
      <c r="H375" s="146"/>
      <c r="I375" s="160">
        <f t="shared" si="25"/>
        <v>0.779982769377024</v>
      </c>
      <c r="L375" s="144">
        <v>210.04</v>
      </c>
      <c r="M375" s="4">
        <f t="shared" si="24"/>
        <v>12024.18</v>
      </c>
      <c r="O375" s="105" t="s">
        <v>1609</v>
      </c>
    </row>
    <row r="376" spans="1:15">
      <c r="A376" s="361">
        <v>46194</v>
      </c>
      <c r="B376" s="106" t="s">
        <v>339</v>
      </c>
      <c r="C376" s="191">
        <v>0.47</v>
      </c>
      <c r="D376" s="191">
        <v>0.98</v>
      </c>
      <c r="E376" s="144">
        <v>229.546</v>
      </c>
      <c r="F376" s="105">
        <f t="shared" si="22"/>
        <v>219.3</v>
      </c>
      <c r="G376" s="105">
        <f t="shared" si="23"/>
        <v>10.246</v>
      </c>
      <c r="H376" s="146"/>
      <c r="I376" s="160">
        <f t="shared" si="25"/>
        <v>0.780017948472202</v>
      </c>
      <c r="L376" s="144">
        <v>179.05</v>
      </c>
      <c r="M376" s="4">
        <f t="shared" si="24"/>
        <v>11845.13</v>
      </c>
      <c r="O376" s="105" t="s">
        <v>1609</v>
      </c>
    </row>
    <row r="377" spans="1:15">
      <c r="A377" s="361">
        <v>46194</v>
      </c>
      <c r="B377" s="106" t="s">
        <v>124</v>
      </c>
      <c r="C377" s="191">
        <v>0.4</v>
      </c>
      <c r="D377" s="191">
        <v>0.96</v>
      </c>
      <c r="E377" s="144">
        <v>248.519</v>
      </c>
      <c r="F377" s="105">
        <f t="shared" si="22"/>
        <v>240.8</v>
      </c>
      <c r="G377" s="105">
        <f t="shared" si="23"/>
        <v>7.71900000000002</v>
      </c>
      <c r="H377" s="146"/>
      <c r="I377" s="160">
        <f t="shared" si="25"/>
        <v>0.780020843476756</v>
      </c>
      <c r="L377" s="144">
        <v>193.85</v>
      </c>
      <c r="M377" s="4">
        <f t="shared" si="24"/>
        <v>11651.28</v>
      </c>
      <c r="O377" s="105" t="s">
        <v>1609</v>
      </c>
    </row>
    <row r="378" spans="1:15">
      <c r="A378" s="361">
        <v>46194</v>
      </c>
      <c r="B378" s="106" t="s">
        <v>54</v>
      </c>
      <c r="C378" s="191">
        <v>0.41</v>
      </c>
      <c r="D378" s="191">
        <v>0.95</v>
      </c>
      <c r="E378" s="144">
        <v>233.315</v>
      </c>
      <c r="F378" s="105">
        <f t="shared" si="22"/>
        <v>232.2</v>
      </c>
      <c r="G378" s="105">
        <f t="shared" si="23"/>
        <v>1.11499999999998</v>
      </c>
      <c r="H378" s="146"/>
      <c r="I378" s="160">
        <f t="shared" si="25"/>
        <v>0.780018430019502</v>
      </c>
      <c r="L378" s="144">
        <v>181.99</v>
      </c>
      <c r="M378" s="4">
        <f t="shared" si="24"/>
        <v>11469.29</v>
      </c>
      <c r="O378" s="105" t="s">
        <v>1609</v>
      </c>
    </row>
    <row r="379" spans="1:15">
      <c r="A379" s="361">
        <v>46194</v>
      </c>
      <c r="B379" s="106" t="s">
        <v>105</v>
      </c>
      <c r="C379" s="191">
        <v>0.37</v>
      </c>
      <c r="D379" s="191">
        <v>0.8</v>
      </c>
      <c r="E379" s="144">
        <v>210.469</v>
      </c>
      <c r="F379" s="105">
        <f t="shared" si="22"/>
        <v>184.9</v>
      </c>
      <c r="G379" s="105">
        <f t="shared" si="23"/>
        <v>25.569</v>
      </c>
      <c r="H379" s="146"/>
      <c r="I379" s="160">
        <f t="shared" si="25"/>
        <v>0.780019860406996</v>
      </c>
      <c r="L379" s="144">
        <v>164.17</v>
      </c>
      <c r="M379" s="4">
        <f t="shared" si="24"/>
        <v>11305.12</v>
      </c>
      <c r="O379" s="105" t="s">
        <v>1609</v>
      </c>
    </row>
    <row r="380" spans="1:15">
      <c r="A380" s="361">
        <v>46194</v>
      </c>
      <c r="B380" s="106" t="s">
        <v>223</v>
      </c>
      <c r="C380" s="191">
        <v>0.3</v>
      </c>
      <c r="D380" s="191">
        <v>0.98</v>
      </c>
      <c r="E380" s="144">
        <v>312.456</v>
      </c>
      <c r="F380" s="105">
        <f t="shared" si="22"/>
        <v>292.4</v>
      </c>
      <c r="G380" s="105">
        <f t="shared" si="23"/>
        <v>20.056</v>
      </c>
      <c r="H380" s="146"/>
      <c r="I380" s="160">
        <f t="shared" si="25"/>
        <v>0.779981821440459</v>
      </c>
      <c r="L380" s="144">
        <v>243.71</v>
      </c>
      <c r="M380" s="4">
        <f t="shared" si="24"/>
        <v>11061.41</v>
      </c>
      <c r="O380" s="105" t="s">
        <v>1609</v>
      </c>
    </row>
    <row r="381" spans="1:15">
      <c r="A381" s="361">
        <v>46194</v>
      </c>
      <c r="B381" s="106" t="s">
        <v>57</v>
      </c>
      <c r="C381" s="191">
        <v>0.69</v>
      </c>
      <c r="D381" s="191">
        <v>0.92</v>
      </c>
      <c r="E381" s="144">
        <v>99.034</v>
      </c>
      <c r="F381" s="105">
        <f t="shared" si="22"/>
        <v>98.9</v>
      </c>
      <c r="G381" s="105">
        <f t="shared" si="23"/>
        <v>0.133999999999972</v>
      </c>
      <c r="H381" s="146"/>
      <c r="I381" s="160">
        <f t="shared" si="25"/>
        <v>0.780035139447058</v>
      </c>
      <c r="L381" s="144">
        <v>77.25</v>
      </c>
      <c r="M381" s="4">
        <f t="shared" si="24"/>
        <v>10984.16</v>
      </c>
      <c r="O381" s="105" t="s">
        <v>1609</v>
      </c>
    </row>
    <row r="382" spans="1:15">
      <c r="A382" s="361">
        <v>46194</v>
      </c>
      <c r="B382" s="106" t="s">
        <v>221</v>
      </c>
      <c r="C382" s="191">
        <v>0.32</v>
      </c>
      <c r="D382" s="191">
        <v>0.95</v>
      </c>
      <c r="E382" s="144">
        <v>287.842</v>
      </c>
      <c r="F382" s="105">
        <f t="shared" si="22"/>
        <v>270.9</v>
      </c>
      <c r="G382" s="105">
        <f t="shared" si="23"/>
        <v>16.942</v>
      </c>
      <c r="H382" s="146"/>
      <c r="I382" s="160">
        <f t="shared" si="25"/>
        <v>0.780011256175263</v>
      </c>
      <c r="L382" s="144">
        <v>224.52</v>
      </c>
      <c r="M382" s="4">
        <f t="shared" si="24"/>
        <v>10759.64</v>
      </c>
      <c r="O382" s="105" t="s">
        <v>1609</v>
      </c>
    </row>
    <row r="383" spans="1:15">
      <c r="A383" s="361">
        <v>46194</v>
      </c>
      <c r="B383" s="106" t="s">
        <v>102</v>
      </c>
      <c r="C383" s="191">
        <v>0.18</v>
      </c>
      <c r="D383" s="191">
        <v>0.98</v>
      </c>
      <c r="E383" s="144">
        <v>384.18</v>
      </c>
      <c r="F383" s="105">
        <f t="shared" si="22"/>
        <v>344</v>
      </c>
      <c r="G383" s="105">
        <f t="shared" si="23"/>
        <v>40.18</v>
      </c>
      <c r="H383" s="146"/>
      <c r="I383" s="160">
        <f t="shared" si="25"/>
        <v>0.780024988286741</v>
      </c>
      <c r="L383" s="144">
        <v>299.67</v>
      </c>
      <c r="M383" s="4">
        <f t="shared" si="24"/>
        <v>10459.97</v>
      </c>
      <c r="O383" s="105" t="s">
        <v>1609</v>
      </c>
    </row>
    <row r="384" spans="1:15">
      <c r="A384" s="361">
        <v>46194</v>
      </c>
      <c r="B384" s="106" t="s">
        <v>96</v>
      </c>
      <c r="C384" s="191">
        <v>0.11</v>
      </c>
      <c r="D384" s="191">
        <v>0.95</v>
      </c>
      <c r="E384" s="144">
        <v>418.04</v>
      </c>
      <c r="F384" s="105">
        <f t="shared" si="22"/>
        <v>361.2</v>
      </c>
      <c r="G384" s="105">
        <f t="shared" si="23"/>
        <v>56.84</v>
      </c>
      <c r="H384" s="146"/>
      <c r="I384" s="160">
        <f t="shared" si="25"/>
        <v>0.779997129461296</v>
      </c>
      <c r="L384" s="144">
        <v>326.07</v>
      </c>
      <c r="M384" s="4">
        <f t="shared" si="24"/>
        <v>10133.9</v>
      </c>
      <c r="O384" s="105" t="s">
        <v>1609</v>
      </c>
    </row>
    <row r="385" spans="1:16">
      <c r="A385" s="361">
        <v>46194</v>
      </c>
      <c r="B385" s="106" t="s">
        <v>180</v>
      </c>
      <c r="C385" s="191">
        <v>0.21</v>
      </c>
      <c r="D385" s="191">
        <v>0.98</v>
      </c>
      <c r="E385" s="144">
        <v>353.366</v>
      </c>
      <c r="F385" s="105">
        <f t="shared" si="22"/>
        <v>331.1</v>
      </c>
      <c r="G385" s="105">
        <f t="shared" si="23"/>
        <v>22.266</v>
      </c>
      <c r="H385" s="146"/>
      <c r="I385" s="160">
        <f t="shared" si="25"/>
        <v>0.779984491999796</v>
      </c>
      <c r="L385" s="144">
        <v>275.62</v>
      </c>
      <c r="M385" s="4">
        <f t="shared" si="24"/>
        <v>9858.28</v>
      </c>
      <c r="O385" s="105" t="s">
        <v>1609</v>
      </c>
    </row>
    <row r="386" spans="1:16">
      <c r="A386" s="361">
        <v>46194</v>
      </c>
      <c r="B386" s="106" t="s">
        <v>198</v>
      </c>
      <c r="C386" s="191">
        <v>0.74</v>
      </c>
      <c r="D386" s="191">
        <v>0.98</v>
      </c>
      <c r="E386" s="144">
        <v>110.248</v>
      </c>
      <c r="F386" s="105">
        <f t="shared" si="22"/>
        <v>103.2</v>
      </c>
      <c r="G386" s="105">
        <f t="shared" si="23"/>
        <v>7.048</v>
      </c>
      <c r="H386" s="146"/>
      <c r="I386" s="160">
        <f t="shared" si="25"/>
        <v>0.779968797619911</v>
      </c>
      <c r="L386" s="144">
        <v>85.99</v>
      </c>
      <c r="M386" s="4">
        <f t="shared" si="24"/>
        <v>9772.29</v>
      </c>
      <c r="O386" s="105" t="s">
        <v>1609</v>
      </c>
    </row>
    <row r="387" spans="1:16">
      <c r="A387" s="361">
        <v>46194</v>
      </c>
      <c r="B387" s="106" t="s">
        <v>90</v>
      </c>
      <c r="C387" s="191">
        <v>0.47</v>
      </c>
      <c r="D387" s="191">
        <v>0.98</v>
      </c>
      <c r="E387" s="144">
        <v>258.537</v>
      </c>
      <c r="F387" s="105">
        <f t="shared" ref="F387:F411" si="26">(D387-C387)*430</f>
        <v>219.3</v>
      </c>
      <c r="G387" s="105">
        <f t="shared" ref="G387:G411" si="27">E387-F387</f>
        <v>39.237</v>
      </c>
      <c r="H387" s="146"/>
      <c r="I387" s="160">
        <f t="shared" si="25"/>
        <v>0.77996573024364</v>
      </c>
      <c r="L387" s="144">
        <v>201.65</v>
      </c>
      <c r="M387" s="4">
        <f>M386+K387-L387</f>
        <v>9570.64</v>
      </c>
      <c r="O387" s="105" t="s">
        <v>1609</v>
      </c>
    </row>
    <row r="388" spans="1:16">
      <c r="A388" s="361">
        <v>46194</v>
      </c>
      <c r="B388" s="106" t="s">
        <v>148</v>
      </c>
      <c r="C388" s="191">
        <v>0.46</v>
      </c>
      <c r="D388" s="191">
        <v>0.98</v>
      </c>
      <c r="E388" s="144">
        <v>235.085</v>
      </c>
      <c r="F388" s="105">
        <f t="shared" si="26"/>
        <v>223.6</v>
      </c>
      <c r="G388" s="105">
        <f t="shared" si="27"/>
        <v>11.485</v>
      </c>
      <c r="H388" s="146"/>
      <c r="I388" s="160">
        <f t="shared" si="25"/>
        <v>0.780015738988026</v>
      </c>
      <c r="L388" s="144">
        <v>183.37</v>
      </c>
      <c r="M388" s="4">
        <f>M387+K388-L388</f>
        <v>9387.27</v>
      </c>
      <c r="O388" s="105" t="s">
        <v>1609</v>
      </c>
    </row>
    <row r="389" spans="1:16">
      <c r="A389" s="361">
        <v>46194</v>
      </c>
      <c r="B389" s="106" t="s">
        <v>108</v>
      </c>
      <c r="C389" s="191">
        <v>0.77</v>
      </c>
      <c r="D389" s="191">
        <v>0.89</v>
      </c>
      <c r="E389" s="144">
        <v>61.75</v>
      </c>
      <c r="F389" s="105">
        <f t="shared" si="26"/>
        <v>51.6</v>
      </c>
      <c r="G389" s="105">
        <f t="shared" si="27"/>
        <v>10.15</v>
      </c>
      <c r="H389" s="146"/>
      <c r="I389" s="160">
        <f t="shared" si="25"/>
        <v>0.780080971659919</v>
      </c>
      <c r="L389" s="144">
        <v>48.17</v>
      </c>
      <c r="M389" s="4">
        <f>M388+K389-L389</f>
        <v>9339.1</v>
      </c>
      <c r="O389" s="105" t="s">
        <v>1609</v>
      </c>
    </row>
    <row r="390" spans="1:16">
      <c r="A390" s="361">
        <v>46194</v>
      </c>
      <c r="B390" s="105" t="s">
        <v>183</v>
      </c>
      <c r="C390" s="360">
        <v>0.43</v>
      </c>
      <c r="D390" s="360">
        <v>0.98</v>
      </c>
      <c r="E390" s="105">
        <v>248.726</v>
      </c>
      <c r="F390" s="105">
        <f t="shared" si="26"/>
        <v>236.5</v>
      </c>
      <c r="G390" s="105">
        <f t="shared" si="27"/>
        <v>12.226</v>
      </c>
      <c r="H390" s="105"/>
      <c r="I390" s="160">
        <f t="shared" ref="I390:I411" si="28">L390/E390</f>
        <v>0.779974751332792</v>
      </c>
      <c r="J390" s="105"/>
      <c r="K390" s="105"/>
      <c r="L390" s="105">
        <v>194</v>
      </c>
      <c r="M390" s="4">
        <f t="shared" ref="M390:M410" si="29">M389+K390-L390</f>
        <v>9145.1</v>
      </c>
      <c r="N390" s="105"/>
      <c r="O390" s="105" t="s">
        <v>1609</v>
      </c>
      <c r="P390" s="214">
        <f t="shared" ref="P390:P411" si="30">G390/E390</f>
        <v>0.0491544912876015</v>
      </c>
    </row>
    <row r="391" spans="1:16">
      <c r="A391" s="361">
        <v>46195</v>
      </c>
      <c r="B391" s="105" t="s">
        <v>177</v>
      </c>
      <c r="C391" s="360">
        <v>0.48</v>
      </c>
      <c r="D391" s="360">
        <v>0.98</v>
      </c>
      <c r="E391" s="105">
        <v>228.753</v>
      </c>
      <c r="F391" s="105">
        <f t="shared" si="26"/>
        <v>215</v>
      </c>
      <c r="G391" s="105">
        <f t="shared" si="27"/>
        <v>13.753</v>
      </c>
      <c r="H391" s="105"/>
      <c r="I391" s="160">
        <f t="shared" si="28"/>
        <v>0.780011628262799</v>
      </c>
      <c r="J391" s="105"/>
      <c r="K391" s="105">
        <v>20000</v>
      </c>
      <c r="L391" s="105">
        <v>178.43</v>
      </c>
      <c r="M391" s="4">
        <f t="shared" si="29"/>
        <v>28966.67</v>
      </c>
      <c r="N391" s="105"/>
      <c r="O391" s="105" t="s">
        <v>1609</v>
      </c>
      <c r="P391" s="214">
        <f t="shared" si="30"/>
        <v>0.0601216158913762</v>
      </c>
    </row>
    <row r="392" spans="1:16">
      <c r="A392" s="361">
        <v>46195</v>
      </c>
      <c r="B392" s="105" t="s">
        <v>189</v>
      </c>
      <c r="C392" s="360">
        <v>0.39</v>
      </c>
      <c r="D392" s="360">
        <v>0.97</v>
      </c>
      <c r="E392" s="105">
        <v>279.1</v>
      </c>
      <c r="F392" s="105">
        <f t="shared" si="26"/>
        <v>249.4</v>
      </c>
      <c r="G392" s="105">
        <f t="shared" si="27"/>
        <v>29.7</v>
      </c>
      <c r="H392" s="105"/>
      <c r="I392" s="160">
        <f t="shared" si="28"/>
        <v>0.780007165890362</v>
      </c>
      <c r="J392" s="105"/>
      <c r="K392" s="105"/>
      <c r="L392" s="105">
        <v>217.7</v>
      </c>
      <c r="M392" s="4">
        <f t="shared" si="29"/>
        <v>28748.97</v>
      </c>
      <c r="N392" s="105"/>
      <c r="O392" s="105" t="s">
        <v>1609</v>
      </c>
      <c r="P392" s="214">
        <f t="shared" si="30"/>
        <v>0.10641347187388</v>
      </c>
    </row>
    <row r="393" spans="1:16">
      <c r="A393" s="361">
        <v>46195</v>
      </c>
      <c r="B393" s="105" t="s">
        <v>111</v>
      </c>
      <c r="C393" s="360">
        <v>0.42</v>
      </c>
      <c r="D393" s="360">
        <v>0.42</v>
      </c>
      <c r="E393" s="105">
        <v>0.569</v>
      </c>
      <c r="F393" s="105">
        <f t="shared" si="26"/>
        <v>0</v>
      </c>
      <c r="G393" s="105">
        <f t="shared" si="27"/>
        <v>0.569</v>
      </c>
      <c r="H393" s="105"/>
      <c r="I393" s="160">
        <f t="shared" si="28"/>
        <v>0.773286467486819</v>
      </c>
      <c r="J393" s="105"/>
      <c r="K393" s="105"/>
      <c r="L393" s="105">
        <v>0.44</v>
      </c>
      <c r="M393" s="4">
        <f t="shared" si="29"/>
        <v>28748.53</v>
      </c>
      <c r="N393" s="105"/>
      <c r="O393" s="105" t="s">
        <v>1609</v>
      </c>
      <c r="P393" s="214">
        <f t="shared" si="30"/>
        <v>1</v>
      </c>
    </row>
    <row r="394" spans="1:16">
      <c r="A394" s="361">
        <v>46195</v>
      </c>
      <c r="B394" s="105" t="s">
        <v>111</v>
      </c>
      <c r="C394" s="360">
        <v>0.42</v>
      </c>
      <c r="D394" s="360">
        <v>0.98</v>
      </c>
      <c r="E394" s="105">
        <v>240.726</v>
      </c>
      <c r="F394" s="105">
        <f t="shared" si="26"/>
        <v>240.8</v>
      </c>
      <c r="G394" s="105">
        <f t="shared" si="27"/>
        <v>-0.0740000000000123</v>
      </c>
      <c r="H394" s="105"/>
      <c r="I394" s="160">
        <f t="shared" si="28"/>
        <v>0.779973912248781</v>
      </c>
      <c r="J394" s="105"/>
      <c r="K394" s="105"/>
      <c r="L394" s="105">
        <v>187.76</v>
      </c>
      <c r="M394" s="4">
        <f t="shared" si="29"/>
        <v>28560.77</v>
      </c>
      <c r="N394" s="105"/>
      <c r="O394" s="105" t="s">
        <v>1609</v>
      </c>
      <c r="P394" s="214">
        <f t="shared" si="30"/>
        <v>-0.000307403437933635</v>
      </c>
    </row>
    <row r="395" spans="1:16">
      <c r="A395" s="361">
        <v>46195</v>
      </c>
      <c r="B395" s="105" t="s">
        <v>132</v>
      </c>
      <c r="C395" s="360">
        <v>0.34</v>
      </c>
      <c r="D395" s="360">
        <v>0.96</v>
      </c>
      <c r="E395" s="105">
        <v>282.717</v>
      </c>
      <c r="F395" s="105">
        <f t="shared" si="26"/>
        <v>266.6</v>
      </c>
      <c r="G395" s="105">
        <f t="shared" si="27"/>
        <v>16.117</v>
      </c>
      <c r="H395" s="105"/>
      <c r="I395" s="160">
        <f t="shared" si="28"/>
        <v>0.780002617458448</v>
      </c>
      <c r="J395" s="105"/>
      <c r="K395" s="105"/>
      <c r="L395" s="105">
        <v>220.52</v>
      </c>
      <c r="M395" s="4">
        <f t="shared" si="29"/>
        <v>28340.25</v>
      </c>
      <c r="N395" s="105"/>
      <c r="O395" s="105" t="s">
        <v>1609</v>
      </c>
      <c r="P395" s="214">
        <f t="shared" si="30"/>
        <v>0.0570075375729087</v>
      </c>
    </row>
    <row r="396" spans="1:16">
      <c r="A396" s="361">
        <v>46195</v>
      </c>
      <c r="B396" s="105" t="s">
        <v>135</v>
      </c>
      <c r="C396" s="360">
        <v>0.44</v>
      </c>
      <c r="D396" s="360">
        <v>0.91</v>
      </c>
      <c r="E396" s="105">
        <v>218.857</v>
      </c>
      <c r="F396" s="105">
        <f t="shared" si="26"/>
        <v>202.1</v>
      </c>
      <c r="G396" s="105">
        <f t="shared" si="27"/>
        <v>16.757</v>
      </c>
      <c r="H396" s="105"/>
      <c r="I396" s="160">
        <f t="shared" si="28"/>
        <v>0.779961344622288</v>
      </c>
      <c r="J396" s="105"/>
      <c r="K396" s="105"/>
      <c r="L396" s="105">
        <v>170.7</v>
      </c>
      <c r="M396" s="4">
        <f t="shared" si="29"/>
        <v>28169.55</v>
      </c>
      <c r="N396" s="105"/>
      <c r="O396" s="105" t="s">
        <v>1609</v>
      </c>
      <c r="P396" s="214">
        <f t="shared" si="30"/>
        <v>0.076565976870742</v>
      </c>
    </row>
    <row r="397" spans="1:16">
      <c r="A397" s="361">
        <v>46195</v>
      </c>
      <c r="B397" s="105" t="s">
        <v>192</v>
      </c>
      <c r="C397" s="360">
        <v>0.52</v>
      </c>
      <c r="D397" s="360">
        <v>0.98</v>
      </c>
      <c r="E397" s="105">
        <v>210.092</v>
      </c>
      <c r="F397" s="105">
        <f t="shared" si="26"/>
        <v>197.8</v>
      </c>
      <c r="G397" s="105">
        <f t="shared" si="27"/>
        <v>12.292</v>
      </c>
      <c r="H397" s="105"/>
      <c r="I397" s="160">
        <f t="shared" si="28"/>
        <v>0.779991622717667</v>
      </c>
      <c r="J397" s="105"/>
      <c r="K397" s="105"/>
      <c r="L397" s="105">
        <v>163.87</v>
      </c>
      <c r="M397" s="4">
        <f t="shared" si="29"/>
        <v>28005.68</v>
      </c>
      <c r="N397" s="105"/>
      <c r="O397" s="105" t="s">
        <v>1609</v>
      </c>
      <c r="P397" s="214">
        <f t="shared" si="30"/>
        <v>0.0585077013879635</v>
      </c>
    </row>
    <row r="398" spans="1:16">
      <c r="A398" s="361">
        <v>46195</v>
      </c>
      <c r="B398" s="105" t="s">
        <v>93</v>
      </c>
      <c r="C398" s="360">
        <v>0.47</v>
      </c>
      <c r="D398" s="360">
        <v>0.96</v>
      </c>
      <c r="E398" s="105">
        <v>254.281</v>
      </c>
      <c r="F398" s="105">
        <f t="shared" si="26"/>
        <v>210.7</v>
      </c>
      <c r="G398" s="105">
        <f t="shared" si="27"/>
        <v>43.581</v>
      </c>
      <c r="H398" s="105"/>
      <c r="I398" s="160">
        <f t="shared" si="28"/>
        <v>0.780003224778886</v>
      </c>
      <c r="J398" s="105"/>
      <c r="K398" s="105"/>
      <c r="L398" s="105">
        <v>198.34</v>
      </c>
      <c r="M398" s="4">
        <f t="shared" si="29"/>
        <v>27807.34</v>
      </c>
      <c r="N398" s="105"/>
      <c r="O398" s="105" t="s">
        <v>1609</v>
      </c>
      <c r="P398" s="214">
        <f t="shared" si="30"/>
        <v>0.171389132495153</v>
      </c>
    </row>
    <row r="399" spans="1:16">
      <c r="A399" s="361">
        <v>46195</v>
      </c>
      <c r="B399" s="105" t="s">
        <v>124</v>
      </c>
      <c r="C399" s="360">
        <v>0.36</v>
      </c>
      <c r="D399" s="360">
        <v>0.92</v>
      </c>
      <c r="E399" s="105">
        <v>245.268</v>
      </c>
      <c r="F399" s="105">
        <f t="shared" si="26"/>
        <v>240.8</v>
      </c>
      <c r="G399" s="105">
        <f t="shared" si="27"/>
        <v>4.46799999999999</v>
      </c>
      <c r="H399" s="105"/>
      <c r="I399" s="160">
        <f t="shared" si="28"/>
        <v>0.780003914085816</v>
      </c>
      <c r="J399" s="105"/>
      <c r="K399" s="105"/>
      <c r="L399" s="105">
        <v>191.31</v>
      </c>
      <c r="M399" s="4">
        <f t="shared" si="29"/>
        <v>27616.03</v>
      </c>
      <c r="N399" s="105"/>
      <c r="O399" s="105" t="s">
        <v>1609</v>
      </c>
      <c r="P399" s="214">
        <f t="shared" si="30"/>
        <v>0.0182168077368429</v>
      </c>
    </row>
    <row r="400" spans="1:16">
      <c r="A400" s="361">
        <v>46195</v>
      </c>
      <c r="B400" s="105" t="s">
        <v>130</v>
      </c>
      <c r="C400" s="360">
        <v>0.74</v>
      </c>
      <c r="D400" s="360">
        <v>0.98</v>
      </c>
      <c r="E400" s="105">
        <v>111.682</v>
      </c>
      <c r="F400" s="105">
        <f t="shared" si="26"/>
        <v>103.2</v>
      </c>
      <c r="G400" s="105">
        <f t="shared" si="27"/>
        <v>8.482</v>
      </c>
      <c r="H400" s="105"/>
      <c r="I400" s="160">
        <f t="shared" si="28"/>
        <v>0.779982450171021</v>
      </c>
      <c r="J400" s="105"/>
      <c r="K400" s="105"/>
      <c r="L400" s="105">
        <v>87.11</v>
      </c>
      <c r="M400" s="4">
        <f t="shared" si="29"/>
        <v>27528.92</v>
      </c>
      <c r="N400" s="105"/>
      <c r="O400" s="105" t="s">
        <v>1609</v>
      </c>
      <c r="P400" s="214">
        <f t="shared" si="30"/>
        <v>0.075947780304794</v>
      </c>
    </row>
    <row r="401" spans="1:16">
      <c r="A401" s="361">
        <v>46195</v>
      </c>
      <c r="B401" s="105" t="s">
        <v>114</v>
      </c>
      <c r="C401" s="360">
        <v>0.36</v>
      </c>
      <c r="D401" s="360">
        <v>0.93</v>
      </c>
      <c r="E401" s="105">
        <v>244.026</v>
      </c>
      <c r="F401" s="105">
        <f t="shared" si="26"/>
        <v>245.1</v>
      </c>
      <c r="G401" s="105">
        <f t="shared" si="27"/>
        <v>-1.07400000000001</v>
      </c>
      <c r="H401" s="105"/>
      <c r="I401" s="160">
        <f t="shared" si="28"/>
        <v>0.779998852581282</v>
      </c>
      <c r="J401" s="105"/>
      <c r="K401" s="105"/>
      <c r="L401" s="105">
        <v>190.34</v>
      </c>
      <c r="M401" s="4">
        <f t="shared" si="29"/>
        <v>27338.58</v>
      </c>
      <c r="N401" s="105"/>
      <c r="O401" s="105" t="s">
        <v>1609</v>
      </c>
      <c r="P401" s="214">
        <f t="shared" si="30"/>
        <v>-0.00440117036709208</v>
      </c>
    </row>
    <row r="402" spans="1:16">
      <c r="A402" s="361">
        <v>46195</v>
      </c>
      <c r="B402" s="105" t="s">
        <v>57</v>
      </c>
      <c r="C402" s="360">
        <v>0.34</v>
      </c>
      <c r="D402" s="360">
        <v>0.95</v>
      </c>
      <c r="E402" s="105">
        <v>259.564</v>
      </c>
      <c r="F402" s="105">
        <f t="shared" si="26"/>
        <v>262.3</v>
      </c>
      <c r="G402" s="105">
        <f t="shared" si="27"/>
        <v>-2.73599999999993</v>
      </c>
      <c r="H402" s="105"/>
      <c r="I402" s="160">
        <f t="shared" si="28"/>
        <v>0.780000308209151</v>
      </c>
      <c r="J402" s="105"/>
      <c r="K402" s="105"/>
      <c r="L402" s="105">
        <v>202.46</v>
      </c>
      <c r="M402" s="4">
        <f t="shared" si="29"/>
        <v>27136.12</v>
      </c>
      <c r="N402" s="105"/>
      <c r="O402" s="105" t="s">
        <v>1609</v>
      </c>
      <c r="P402" s="214">
        <f t="shared" si="30"/>
        <v>-0.010540752954955</v>
      </c>
    </row>
    <row r="403" spans="1:16">
      <c r="A403" s="361">
        <v>46195</v>
      </c>
      <c r="B403" s="105" t="s">
        <v>213</v>
      </c>
      <c r="C403" s="360">
        <v>0.45</v>
      </c>
      <c r="D403" s="360">
        <v>0.98</v>
      </c>
      <c r="E403" s="105">
        <v>241.711</v>
      </c>
      <c r="F403" s="105">
        <f t="shared" si="26"/>
        <v>227.9</v>
      </c>
      <c r="G403" s="105">
        <f t="shared" si="27"/>
        <v>13.811</v>
      </c>
      <c r="H403" s="105"/>
      <c r="I403" s="160">
        <f t="shared" si="28"/>
        <v>0.780022423472659</v>
      </c>
      <c r="J403" s="105"/>
      <c r="K403" s="105"/>
      <c r="L403" s="105">
        <v>188.54</v>
      </c>
      <c r="M403" s="4">
        <f t="shared" si="29"/>
        <v>26947.58</v>
      </c>
      <c r="N403" s="105"/>
      <c r="O403" s="105" t="s">
        <v>1609</v>
      </c>
      <c r="P403" s="214">
        <f t="shared" si="30"/>
        <v>0.0571384835609468</v>
      </c>
    </row>
    <row r="404" spans="1:16">
      <c r="A404" s="361">
        <v>46195</v>
      </c>
      <c r="B404" s="105" t="s">
        <v>670</v>
      </c>
      <c r="C404" s="360">
        <v>0.42</v>
      </c>
      <c r="D404" s="360">
        <v>0.97</v>
      </c>
      <c r="E404" s="105">
        <v>255.721</v>
      </c>
      <c r="F404" s="105">
        <f t="shared" si="26"/>
        <v>236.5</v>
      </c>
      <c r="G404" s="105">
        <f t="shared" si="27"/>
        <v>19.221</v>
      </c>
      <c r="H404" s="105"/>
      <c r="I404" s="160">
        <f t="shared" si="28"/>
        <v>0.779990692981804</v>
      </c>
      <c r="J404" s="105"/>
      <c r="K404" s="105"/>
      <c r="L404" s="105">
        <v>199.46</v>
      </c>
      <c r="M404" s="4">
        <f t="shared" si="29"/>
        <v>26748.12</v>
      </c>
      <c r="N404" s="105"/>
      <c r="O404" s="105" t="s">
        <v>1609</v>
      </c>
      <c r="P404" s="214">
        <f t="shared" si="30"/>
        <v>0.075163948209181</v>
      </c>
    </row>
    <row r="405" spans="1:16">
      <c r="A405" s="361">
        <v>46195</v>
      </c>
      <c r="B405" s="105" t="s">
        <v>54</v>
      </c>
      <c r="C405" s="360">
        <v>0.36</v>
      </c>
      <c r="D405" s="360">
        <v>0.95</v>
      </c>
      <c r="E405" s="105">
        <v>258.285</v>
      </c>
      <c r="F405" s="105">
        <f t="shared" si="26"/>
        <v>253.7</v>
      </c>
      <c r="G405" s="105">
        <f t="shared" si="27"/>
        <v>4.58500000000004</v>
      </c>
      <c r="H405" s="105"/>
      <c r="I405" s="160">
        <f t="shared" si="28"/>
        <v>0.779991095108117</v>
      </c>
      <c r="J405" s="105"/>
      <c r="K405" s="105"/>
      <c r="L405" s="105">
        <v>201.46</v>
      </c>
      <c r="M405" s="4">
        <f t="shared" si="29"/>
        <v>26546.66</v>
      </c>
      <c r="N405" s="105"/>
      <c r="O405" s="105" t="s">
        <v>1609</v>
      </c>
      <c r="P405" s="214">
        <f t="shared" si="30"/>
        <v>0.0177517083841494</v>
      </c>
    </row>
    <row r="406" spans="1:16">
      <c r="A406" s="361">
        <v>46195</v>
      </c>
      <c r="B406" s="105" t="s">
        <v>105</v>
      </c>
      <c r="C406" s="360">
        <v>0.39</v>
      </c>
      <c r="D406" s="360">
        <v>0.96</v>
      </c>
      <c r="E406" s="105">
        <v>294.968</v>
      </c>
      <c r="F406" s="105">
        <f t="shared" si="26"/>
        <v>245.1</v>
      </c>
      <c r="G406" s="105">
        <f t="shared" si="27"/>
        <v>49.8680000000001</v>
      </c>
      <c r="H406" s="105"/>
      <c r="I406" s="160">
        <f t="shared" si="28"/>
        <v>0.779982913400776</v>
      </c>
      <c r="J406" s="105"/>
      <c r="K406" s="105"/>
      <c r="L406" s="105">
        <v>230.07</v>
      </c>
      <c r="M406" s="4">
        <f t="shared" si="29"/>
        <v>26316.59</v>
      </c>
      <c r="N406" s="105"/>
      <c r="O406" s="105" t="s">
        <v>1609</v>
      </c>
      <c r="P406" s="214">
        <f t="shared" si="30"/>
        <v>0.169062406769548</v>
      </c>
    </row>
    <row r="407" spans="1:16">
      <c r="A407" s="361">
        <v>46195</v>
      </c>
      <c r="B407" s="105" t="s">
        <v>69</v>
      </c>
      <c r="C407" s="360">
        <v>0.57</v>
      </c>
      <c r="D407" s="360">
        <v>0.8</v>
      </c>
      <c r="E407" s="105">
        <v>115.166</v>
      </c>
      <c r="F407" s="105">
        <f t="shared" si="26"/>
        <v>98.9</v>
      </c>
      <c r="G407" s="105">
        <f t="shared" si="27"/>
        <v>16.266</v>
      </c>
      <c r="H407" s="105"/>
      <c r="I407" s="160">
        <f t="shared" si="28"/>
        <v>0.780004515221506</v>
      </c>
      <c r="J407" s="105"/>
      <c r="K407" s="105"/>
      <c r="L407" s="105">
        <v>89.83</v>
      </c>
      <c r="M407" s="4">
        <f t="shared" si="29"/>
        <v>26226.76</v>
      </c>
      <c r="N407" s="105"/>
      <c r="O407" s="105" t="s">
        <v>1609</v>
      </c>
      <c r="P407" s="214">
        <f t="shared" si="30"/>
        <v>0.141239601965858</v>
      </c>
    </row>
    <row r="408" spans="1:16">
      <c r="A408" s="361">
        <v>46195</v>
      </c>
      <c r="B408" s="105" t="s">
        <v>339</v>
      </c>
      <c r="C408" s="360">
        <v>0.41</v>
      </c>
      <c r="D408" s="360">
        <v>0.98</v>
      </c>
      <c r="E408" s="105">
        <v>259.723</v>
      </c>
      <c r="F408" s="105">
        <f t="shared" si="26"/>
        <v>245.1</v>
      </c>
      <c r="G408" s="105">
        <f t="shared" si="27"/>
        <v>14.623</v>
      </c>
      <c r="H408" s="105"/>
      <c r="I408" s="160">
        <f t="shared" si="28"/>
        <v>0.779984829991953</v>
      </c>
      <c r="J408" s="105"/>
      <c r="K408" s="105"/>
      <c r="L408" s="105">
        <v>202.58</v>
      </c>
      <c r="M408" s="4">
        <f t="shared" si="29"/>
        <v>26024.18</v>
      </c>
      <c r="N408" s="105"/>
      <c r="O408" s="105" t="s">
        <v>1609</v>
      </c>
      <c r="P408" s="214">
        <f t="shared" si="30"/>
        <v>0.056302291287256</v>
      </c>
    </row>
    <row r="409" spans="1:16">
      <c r="A409" s="361">
        <v>46195</v>
      </c>
      <c r="B409" s="105" t="s">
        <v>174</v>
      </c>
      <c r="C409" s="360">
        <v>0.24</v>
      </c>
      <c r="D409" s="360">
        <v>0.98</v>
      </c>
      <c r="E409" s="105">
        <v>340.658</v>
      </c>
      <c r="F409" s="105">
        <f t="shared" si="26"/>
        <v>318.2</v>
      </c>
      <c r="G409" s="105">
        <f t="shared" si="27"/>
        <v>22.458</v>
      </c>
      <c r="H409" s="105"/>
      <c r="I409" s="160">
        <f t="shared" si="28"/>
        <v>0.779990488994828</v>
      </c>
      <c r="J409" s="105"/>
      <c r="K409" s="105"/>
      <c r="L409" s="105">
        <v>265.71</v>
      </c>
      <c r="M409" s="4">
        <f t="shared" si="29"/>
        <v>25758.47</v>
      </c>
      <c r="N409" s="105"/>
      <c r="O409" s="105" t="s">
        <v>1609</v>
      </c>
      <c r="P409" s="214">
        <f t="shared" si="30"/>
        <v>0.0659253562223697</v>
      </c>
    </row>
    <row r="410" spans="1:16">
      <c r="A410" s="361">
        <v>46195</v>
      </c>
      <c r="B410" s="105" t="s">
        <v>63</v>
      </c>
      <c r="C410" s="360">
        <v>0.28</v>
      </c>
      <c r="D410" s="360">
        <v>0.98</v>
      </c>
      <c r="E410" s="105">
        <v>347.912</v>
      </c>
      <c r="F410" s="105">
        <f t="shared" si="26"/>
        <v>301</v>
      </c>
      <c r="G410" s="105">
        <f t="shared" si="27"/>
        <v>46.912</v>
      </c>
      <c r="H410" s="105"/>
      <c r="I410" s="160">
        <f t="shared" si="28"/>
        <v>0.779996090965532</v>
      </c>
      <c r="J410" s="105"/>
      <c r="K410" s="105"/>
      <c r="L410" s="105">
        <v>271.37</v>
      </c>
      <c r="M410" s="4">
        <f t="shared" si="29"/>
        <v>25487.1</v>
      </c>
      <c r="N410" s="105"/>
      <c r="O410" s="105" t="s">
        <v>1609</v>
      </c>
      <c r="P410" s="214">
        <f t="shared" si="30"/>
        <v>0.134838694842374</v>
      </c>
    </row>
    <row r="411" spans="1:16">
      <c r="A411" s="378">
        <v>46196</v>
      </c>
      <c r="B411" s="379" t="s">
        <v>151</v>
      </c>
      <c r="C411" s="380">
        <v>0.39</v>
      </c>
      <c r="D411" s="381">
        <v>0.93</v>
      </c>
      <c r="E411" s="105">
        <v>247.672</v>
      </c>
      <c r="F411" s="105">
        <f t="shared" si="26"/>
        <v>232.2</v>
      </c>
      <c r="G411" s="105">
        <f t="shared" si="27"/>
        <v>15.472</v>
      </c>
      <c r="H411" s="105"/>
      <c r="I411" s="160">
        <f t="shared" si="28"/>
        <v>0.780023579572984</v>
      </c>
      <c r="J411" s="105"/>
      <c r="K411" s="105"/>
      <c r="L411" s="105">
        <v>193.19</v>
      </c>
      <c r="M411" s="4">
        <f t="shared" ref="M411:M426" si="31">M410+K411-L411</f>
        <v>25293.91</v>
      </c>
      <c r="N411" s="105"/>
      <c r="O411" s="105" t="s">
        <v>1609</v>
      </c>
      <c r="P411" s="214">
        <f t="shared" si="30"/>
        <v>0.0624697180141477</v>
      </c>
    </row>
    <row r="412" spans="1:16">
      <c r="A412" s="361">
        <v>46196</v>
      </c>
      <c r="B412" s="379" t="s">
        <v>210</v>
      </c>
      <c r="C412" s="195">
        <v>0.43</v>
      </c>
      <c r="D412" s="195">
        <v>0.98</v>
      </c>
      <c r="E412" s="55">
        <v>259.953</v>
      </c>
      <c r="F412" s="105">
        <f t="shared" ref="F412:F426" si="32">(D412-C412)*430</f>
        <v>236.5</v>
      </c>
      <c r="G412" s="105">
        <f t="shared" ref="G412:G426" si="33">E412-F412</f>
        <v>23.453</v>
      </c>
      <c r="H412" s="105"/>
      <c r="I412" s="160">
        <f t="shared" ref="I412:I426" si="34">L412/E412</f>
        <v>0.780025620015926</v>
      </c>
      <c r="J412" s="55"/>
      <c r="K412" s="55"/>
      <c r="L412" s="55">
        <v>202.77</v>
      </c>
      <c r="M412" s="4">
        <f t="shared" si="31"/>
        <v>25091.14</v>
      </c>
      <c r="N412" s="55"/>
      <c r="O412" s="105" t="s">
        <v>1609</v>
      </c>
      <c r="P412" s="214">
        <f t="shared" ref="P412:P426" si="35">G412/E412</f>
        <v>0.0902201551818982</v>
      </c>
    </row>
    <row r="413" spans="1:16">
      <c r="A413" s="361">
        <v>46196</v>
      </c>
      <c r="B413" s="379" t="s">
        <v>111</v>
      </c>
      <c r="C413" s="195">
        <v>0.23</v>
      </c>
      <c r="D413" s="195">
        <v>0.98</v>
      </c>
      <c r="E413" s="55">
        <v>328.054</v>
      </c>
      <c r="F413" s="105">
        <f t="shared" si="32"/>
        <v>322.5</v>
      </c>
      <c r="G413" s="105">
        <f t="shared" si="33"/>
        <v>5.55399999999997</v>
      </c>
      <c r="H413" s="105"/>
      <c r="I413" s="160">
        <f t="shared" si="34"/>
        <v>0.779993537649289</v>
      </c>
      <c r="J413" s="55"/>
      <c r="K413" s="55"/>
      <c r="L413" s="55">
        <v>255.88</v>
      </c>
      <c r="M413" s="4">
        <f t="shared" si="31"/>
        <v>24835.26</v>
      </c>
      <c r="N413" s="55"/>
      <c r="O413" s="105" t="s">
        <v>1609</v>
      </c>
      <c r="P413" s="214">
        <f t="shared" si="35"/>
        <v>0.0169301395501959</v>
      </c>
    </row>
    <row r="414" spans="1:16">
      <c r="A414" s="361">
        <v>46196</v>
      </c>
      <c r="B414" s="379" t="s">
        <v>135</v>
      </c>
      <c r="C414" s="195">
        <v>0.3</v>
      </c>
      <c r="D414" s="195">
        <v>0.94</v>
      </c>
      <c r="E414" s="55">
        <v>289.536</v>
      </c>
      <c r="F414" s="105">
        <f t="shared" si="32"/>
        <v>275.2</v>
      </c>
      <c r="G414" s="105">
        <f t="shared" si="33"/>
        <v>14.336</v>
      </c>
      <c r="H414" s="105"/>
      <c r="I414" s="160">
        <f t="shared" si="34"/>
        <v>0.779972093280283</v>
      </c>
      <c r="J414" s="55"/>
      <c r="K414" s="55"/>
      <c r="L414" s="55">
        <v>225.83</v>
      </c>
      <c r="M414" s="4">
        <f t="shared" si="31"/>
        <v>24609.43</v>
      </c>
      <c r="N414" s="55"/>
      <c r="O414" s="105" t="s">
        <v>1609</v>
      </c>
      <c r="P414" s="214">
        <f t="shared" si="35"/>
        <v>0.0495137046861185</v>
      </c>
    </row>
    <row r="415" spans="1:16">
      <c r="A415" s="361">
        <v>46196</v>
      </c>
      <c r="B415" s="379" t="s">
        <v>87</v>
      </c>
      <c r="C415" s="195">
        <v>0.4</v>
      </c>
      <c r="D415" s="195">
        <v>0.93</v>
      </c>
      <c r="E415" s="55">
        <v>255.634</v>
      </c>
      <c r="F415" s="105">
        <f t="shared" si="32"/>
        <v>227.9</v>
      </c>
      <c r="G415" s="105">
        <f t="shared" si="33"/>
        <v>27.734</v>
      </c>
      <c r="H415" s="105"/>
      <c r="I415" s="160">
        <f t="shared" si="34"/>
        <v>0.780021436898065</v>
      </c>
      <c r="J415" s="55"/>
      <c r="K415" s="55"/>
      <c r="L415" s="55">
        <v>199.4</v>
      </c>
      <c r="M415" s="4">
        <f t="shared" si="31"/>
        <v>24410.03</v>
      </c>
      <c r="N415" s="55"/>
      <c r="O415" s="105" t="s">
        <v>1609</v>
      </c>
      <c r="P415" s="214">
        <f t="shared" si="35"/>
        <v>0.108491045792031</v>
      </c>
    </row>
    <row r="416" spans="1:16">
      <c r="A416" s="361">
        <v>46196</v>
      </c>
      <c r="B416" s="379" t="s">
        <v>75</v>
      </c>
      <c r="C416" s="195">
        <v>0.34</v>
      </c>
      <c r="D416" s="195">
        <v>0.94</v>
      </c>
      <c r="E416" s="55">
        <v>288.35</v>
      </c>
      <c r="F416" s="105">
        <f t="shared" si="32"/>
        <v>258</v>
      </c>
      <c r="G416" s="105">
        <f t="shared" si="33"/>
        <v>30.35</v>
      </c>
      <c r="H416" s="105"/>
      <c r="I416" s="160">
        <f t="shared" si="34"/>
        <v>0.780024276053407</v>
      </c>
      <c r="J416" s="55"/>
      <c r="K416" s="55"/>
      <c r="L416" s="55">
        <v>224.92</v>
      </c>
      <c r="M416" s="4">
        <f t="shared" si="31"/>
        <v>24185.11</v>
      </c>
      <c r="N416" s="55"/>
      <c r="O416" s="105" t="s">
        <v>1609</v>
      </c>
      <c r="P416" s="214">
        <f t="shared" si="35"/>
        <v>0.10525403155887</v>
      </c>
    </row>
    <row r="417" spans="1:18">
      <c r="A417" s="361">
        <v>46196</v>
      </c>
      <c r="B417" s="379" t="s">
        <v>201</v>
      </c>
      <c r="C417" s="195">
        <v>0.49</v>
      </c>
      <c r="D417" s="195">
        <v>0.98</v>
      </c>
      <c r="E417" s="55">
        <v>224.08</v>
      </c>
      <c r="F417" s="105">
        <f t="shared" si="32"/>
        <v>210.7</v>
      </c>
      <c r="G417" s="105">
        <f t="shared" si="33"/>
        <v>13.38</v>
      </c>
      <c r="H417" s="105"/>
      <c r="I417" s="160">
        <f t="shared" si="34"/>
        <v>0.77998928953945</v>
      </c>
      <c r="J417" s="55"/>
      <c r="K417" s="55"/>
      <c r="L417" s="55">
        <v>174.78</v>
      </c>
      <c r="M417" s="4">
        <f t="shared" si="31"/>
        <v>24010.33</v>
      </c>
      <c r="N417" s="55"/>
      <c r="O417" s="105" t="s">
        <v>1609</v>
      </c>
      <c r="P417" s="214">
        <f t="shared" si="35"/>
        <v>0.0597108175651554</v>
      </c>
    </row>
    <row r="418" spans="1:18">
      <c r="A418" s="361">
        <v>46196</v>
      </c>
      <c r="B418" s="379" t="s">
        <v>130</v>
      </c>
      <c r="C418" s="195">
        <v>0.33</v>
      </c>
      <c r="D418" s="195">
        <v>0.98</v>
      </c>
      <c r="E418" s="55">
        <v>285.853</v>
      </c>
      <c r="F418" s="105">
        <f t="shared" si="32"/>
        <v>279.5</v>
      </c>
      <c r="G418" s="105">
        <f t="shared" si="33"/>
        <v>6.35300000000001</v>
      </c>
      <c r="H418" s="105"/>
      <c r="I418" s="160">
        <f t="shared" si="34"/>
        <v>0.779981319069592</v>
      </c>
      <c r="J418" s="55"/>
      <c r="K418" s="55"/>
      <c r="L418" s="55">
        <v>222.96</v>
      </c>
      <c r="M418" s="4">
        <f t="shared" si="31"/>
        <v>23787.37</v>
      </c>
      <c r="N418" s="55"/>
      <c r="O418" s="105" t="s">
        <v>1609</v>
      </c>
      <c r="P418" s="214">
        <f t="shared" si="35"/>
        <v>0.022224709903342</v>
      </c>
    </row>
    <row r="419" spans="1:18">
      <c r="A419" s="361">
        <v>46196</v>
      </c>
      <c r="B419" s="379" t="s">
        <v>63</v>
      </c>
      <c r="C419" s="195">
        <v>0.41</v>
      </c>
      <c r="D419" s="195">
        <v>0.98</v>
      </c>
      <c r="E419" s="55">
        <v>284.75</v>
      </c>
      <c r="F419" s="105">
        <f t="shared" si="32"/>
        <v>245.1</v>
      </c>
      <c r="G419" s="105">
        <f t="shared" si="33"/>
        <v>39.65</v>
      </c>
      <c r="H419" s="105"/>
      <c r="I419" s="160">
        <f t="shared" si="34"/>
        <v>0.780017559262511</v>
      </c>
      <c r="J419" s="55"/>
      <c r="K419" s="55"/>
      <c r="L419" s="55">
        <v>222.11</v>
      </c>
      <c r="M419" s="4">
        <f t="shared" si="31"/>
        <v>23565.26</v>
      </c>
      <c r="N419" s="55"/>
      <c r="O419" s="105" t="s">
        <v>1609</v>
      </c>
      <c r="P419" s="214">
        <f t="shared" si="35"/>
        <v>0.139244951712028</v>
      </c>
    </row>
    <row r="420" spans="1:18">
      <c r="A420" s="361">
        <v>46196</v>
      </c>
      <c r="B420" s="379" t="s">
        <v>221</v>
      </c>
      <c r="C420" s="195">
        <v>0.74</v>
      </c>
      <c r="D420" s="195">
        <v>0.85</v>
      </c>
      <c r="E420" s="55">
        <v>51.096</v>
      </c>
      <c r="F420" s="105">
        <f t="shared" si="32"/>
        <v>47.3</v>
      </c>
      <c r="G420" s="105">
        <f t="shared" si="33"/>
        <v>3.796</v>
      </c>
      <c r="H420" s="105"/>
      <c r="I420" s="160">
        <f t="shared" si="34"/>
        <v>0.779904493502427</v>
      </c>
      <c r="J420" s="55"/>
      <c r="K420" s="55"/>
      <c r="L420" s="55">
        <v>39.85</v>
      </c>
      <c r="M420" s="4">
        <f t="shared" si="31"/>
        <v>23525.41</v>
      </c>
      <c r="N420" s="55"/>
      <c r="O420" s="105" t="s">
        <v>1609</v>
      </c>
      <c r="P420" s="214">
        <f t="shared" si="35"/>
        <v>0.0742915296696414</v>
      </c>
    </row>
    <row r="421" spans="1:18">
      <c r="A421" s="203">
        <v>46197</v>
      </c>
      <c r="B421" s="379" t="s">
        <v>90</v>
      </c>
      <c r="C421" s="195">
        <v>0.44</v>
      </c>
      <c r="D421" s="195">
        <v>0.98</v>
      </c>
      <c r="E421" s="55">
        <v>269.568</v>
      </c>
      <c r="F421" s="105">
        <f t="shared" si="32"/>
        <v>232.2</v>
      </c>
      <c r="G421" s="105">
        <f t="shared" si="33"/>
        <v>37.368</v>
      </c>
      <c r="H421" s="105"/>
      <c r="I421" s="160">
        <f t="shared" si="34"/>
        <v>0.779988722697056</v>
      </c>
      <c r="J421" s="55"/>
      <c r="K421" s="55"/>
      <c r="L421" s="55">
        <v>210.26</v>
      </c>
      <c r="M421" s="4">
        <f t="shared" si="31"/>
        <v>23315.15</v>
      </c>
      <c r="N421" s="55"/>
      <c r="O421" s="105" t="s">
        <v>1609</v>
      </c>
      <c r="P421" s="214">
        <f t="shared" si="35"/>
        <v>0.138621794871795</v>
      </c>
    </row>
    <row r="422" spans="1:18">
      <c r="A422" s="203">
        <v>46197</v>
      </c>
      <c r="B422" s="379" t="s">
        <v>124</v>
      </c>
      <c r="C422" s="195">
        <v>0.27</v>
      </c>
      <c r="D422" s="195">
        <v>0.96</v>
      </c>
      <c r="E422" s="55">
        <v>313.023</v>
      </c>
      <c r="F422" s="105">
        <f t="shared" si="32"/>
        <v>296.7</v>
      </c>
      <c r="G422" s="105">
        <f t="shared" si="33"/>
        <v>16.323</v>
      </c>
      <c r="H422" s="105"/>
      <c r="I422" s="160">
        <f t="shared" si="34"/>
        <v>0.780006580986062</v>
      </c>
      <c r="J422" s="55"/>
      <c r="K422" s="55"/>
      <c r="L422" s="55">
        <v>244.16</v>
      </c>
      <c r="M422" s="4">
        <f t="shared" si="31"/>
        <v>23070.99</v>
      </c>
      <c r="N422" s="55"/>
      <c r="O422" s="105" t="s">
        <v>1609</v>
      </c>
      <c r="P422" s="214">
        <f t="shared" si="35"/>
        <v>0.0521463279056173</v>
      </c>
    </row>
    <row r="423" spans="1:18">
      <c r="A423" s="203">
        <v>46197</v>
      </c>
      <c r="B423" s="379" t="s">
        <v>102</v>
      </c>
      <c r="C423" s="195">
        <v>0.15</v>
      </c>
      <c r="D423" s="195">
        <v>0.81</v>
      </c>
      <c r="E423" s="55">
        <v>320.505</v>
      </c>
      <c r="F423" s="105">
        <f t="shared" si="32"/>
        <v>283.8</v>
      </c>
      <c r="G423" s="105">
        <f t="shared" si="33"/>
        <v>36.705</v>
      </c>
      <c r="H423" s="105"/>
      <c r="I423" s="160">
        <f t="shared" si="34"/>
        <v>0.780019032464392</v>
      </c>
      <c r="J423" s="55"/>
      <c r="K423" s="55"/>
      <c r="L423" s="55">
        <v>250</v>
      </c>
      <c r="M423" s="4">
        <f t="shared" si="31"/>
        <v>22820.99</v>
      </c>
      <c r="N423" s="55"/>
      <c r="O423" s="105" t="s">
        <v>1609</v>
      </c>
      <c r="P423" s="214">
        <f t="shared" si="35"/>
        <v>0.114522394346422</v>
      </c>
    </row>
    <row r="424" spans="1:18">
      <c r="A424" s="203">
        <v>46197</v>
      </c>
      <c r="B424" s="379" t="s">
        <v>102</v>
      </c>
      <c r="C424" s="195">
        <v>0.81</v>
      </c>
      <c r="D424" s="195">
        <v>0.81</v>
      </c>
      <c r="E424" s="55">
        <v>0</v>
      </c>
      <c r="F424" s="105">
        <f t="shared" si="32"/>
        <v>0</v>
      </c>
      <c r="G424" s="105">
        <f t="shared" si="33"/>
        <v>0</v>
      </c>
      <c r="H424" s="105"/>
      <c r="I424" s="160" t="e">
        <f t="shared" si="34"/>
        <v>#DIV/0!</v>
      </c>
      <c r="J424" s="55"/>
      <c r="K424" s="55"/>
      <c r="L424" s="55">
        <v>0</v>
      </c>
      <c r="M424" s="4">
        <f t="shared" si="31"/>
        <v>22820.99</v>
      </c>
      <c r="N424" s="55"/>
      <c r="O424" s="105" t="s">
        <v>1609</v>
      </c>
      <c r="P424" s="214" t="e">
        <f t="shared" si="35"/>
        <v>#DIV/0!</v>
      </c>
    </row>
    <row r="425" spans="1:18">
      <c r="A425" s="203">
        <v>46197</v>
      </c>
      <c r="B425" s="379" t="s">
        <v>102</v>
      </c>
      <c r="C425" s="195">
        <v>0.81</v>
      </c>
      <c r="D425" s="195">
        <v>0.91</v>
      </c>
      <c r="E425" s="55">
        <v>48.246</v>
      </c>
      <c r="F425" s="105">
        <f t="shared" si="32"/>
        <v>43</v>
      </c>
      <c r="G425" s="105">
        <f t="shared" si="33"/>
        <v>5.246</v>
      </c>
      <c r="H425" s="105"/>
      <c r="I425" s="160">
        <f t="shared" si="34"/>
        <v>0.779961033039008</v>
      </c>
      <c r="J425" s="55"/>
      <c r="K425" s="55"/>
      <c r="L425" s="55">
        <v>37.63</v>
      </c>
      <c r="M425" s="4">
        <f t="shared" si="31"/>
        <v>22783.36</v>
      </c>
      <c r="N425" s="55"/>
      <c r="O425" s="105" t="s">
        <v>1609</v>
      </c>
      <c r="P425" s="214">
        <f t="shared" si="35"/>
        <v>0.10873440285205</v>
      </c>
    </row>
    <row r="426" spans="1:18">
      <c r="A426" s="203">
        <v>46197</v>
      </c>
      <c r="B426" s="379" t="s">
        <v>57</v>
      </c>
      <c r="C426" s="195">
        <v>0.71</v>
      </c>
      <c r="D426" s="195">
        <v>0.95</v>
      </c>
      <c r="E426" s="55">
        <v>105.397</v>
      </c>
      <c r="F426" s="105">
        <f t="shared" si="32"/>
        <v>103.2</v>
      </c>
      <c r="G426" s="105">
        <f t="shared" si="33"/>
        <v>2.197</v>
      </c>
      <c r="H426" s="105"/>
      <c r="I426" s="160">
        <f t="shared" si="34"/>
        <v>0.78000322589827</v>
      </c>
      <c r="J426" s="55"/>
      <c r="K426" s="55"/>
      <c r="L426" s="55">
        <v>82.21</v>
      </c>
      <c r="M426" s="4">
        <f t="shared" si="31"/>
        <v>22701.15</v>
      </c>
      <c r="N426" s="55"/>
      <c r="O426" s="105" t="s">
        <v>1609</v>
      </c>
      <c r="P426" s="214">
        <f t="shared" si="35"/>
        <v>0.0208449955881097</v>
      </c>
    </row>
    <row r="427" spans="1:18">
      <c r="A427" s="203">
        <v>46197</v>
      </c>
      <c r="B427" s="379" t="s">
        <v>174</v>
      </c>
      <c r="C427" s="382">
        <v>0.17</v>
      </c>
      <c r="D427" s="382">
        <v>0.98</v>
      </c>
      <c r="E427" s="55">
        <v>370.749</v>
      </c>
      <c r="F427" s="105">
        <f t="shared" ref="F427:F439" si="36">(D427-C427)*430</f>
        <v>348.3</v>
      </c>
      <c r="G427" s="105">
        <f t="shared" ref="G427:G439" si="37">E427-F427</f>
        <v>22.4490000000001</v>
      </c>
      <c r="H427" s="105"/>
      <c r="I427" s="160">
        <f t="shared" ref="I427:I439" si="38">L427/E427</f>
        <v>0.780015590062279</v>
      </c>
      <c r="J427" s="55"/>
      <c r="K427" s="55"/>
      <c r="L427" s="55">
        <v>289.19</v>
      </c>
      <c r="M427" s="4">
        <f t="shared" ref="M427:M438" si="39">M426+K427-L427</f>
        <v>22411.96</v>
      </c>
      <c r="N427" s="55"/>
      <c r="O427" s="105" t="s">
        <v>1609</v>
      </c>
      <c r="P427" s="214">
        <f t="shared" ref="P427:P438" si="40">G427/E427</f>
        <v>0.0605503993267684</v>
      </c>
      <c r="Q427" s="144" t="str">
        <f>MIN(MAX(C427,0),100)&amp;"%"</f>
        <v>0.17%</v>
      </c>
      <c r="R427" s="144" t="str">
        <f>MIN(MAX(D427,0),100)&amp;"%"</f>
        <v>0.98%</v>
      </c>
    </row>
    <row r="428" spans="1:18">
      <c r="A428" s="203">
        <v>46197</v>
      </c>
      <c r="B428" s="379" t="s">
        <v>124</v>
      </c>
      <c r="C428" s="382">
        <v>0.15</v>
      </c>
      <c r="D428" s="382">
        <v>0.97</v>
      </c>
      <c r="E428" s="55">
        <v>371.783</v>
      </c>
      <c r="F428" s="105">
        <f t="shared" si="36"/>
        <v>352.6</v>
      </c>
      <c r="G428" s="105">
        <f t="shared" si="37"/>
        <v>19.183</v>
      </c>
      <c r="H428" s="105"/>
      <c r="I428" s="160">
        <f t="shared" si="38"/>
        <v>0.779998009591617</v>
      </c>
      <c r="J428" s="55"/>
      <c r="K428" s="55"/>
      <c r="L428" s="55">
        <v>289.99</v>
      </c>
      <c r="M428" s="4">
        <f t="shared" si="39"/>
        <v>22121.97</v>
      </c>
      <c r="N428" s="55"/>
      <c r="O428" s="105" t="s">
        <v>1609</v>
      </c>
      <c r="P428" s="214">
        <f t="shared" si="40"/>
        <v>0.0515973027276665</v>
      </c>
    </row>
    <row r="429" spans="1:18">
      <c r="A429" s="203">
        <v>46197</v>
      </c>
      <c r="B429" s="379" t="s">
        <v>180</v>
      </c>
      <c r="C429" s="382">
        <v>0.11</v>
      </c>
      <c r="D429" s="382">
        <v>0.13</v>
      </c>
      <c r="E429" s="55">
        <v>8.483</v>
      </c>
      <c r="F429" s="105">
        <f t="shared" si="36"/>
        <v>8.6</v>
      </c>
      <c r="G429" s="105">
        <f t="shared" si="37"/>
        <v>-0.117000000000001</v>
      </c>
      <c r="H429" s="105"/>
      <c r="I429" s="160">
        <f t="shared" si="38"/>
        <v>0.78038429800778</v>
      </c>
      <c r="J429" s="55"/>
      <c r="K429" s="55"/>
      <c r="L429" s="55">
        <v>6.62</v>
      </c>
      <c r="M429" s="4">
        <f t="shared" si="39"/>
        <v>22115.35</v>
      </c>
      <c r="N429" s="55"/>
      <c r="O429" s="105" t="s">
        <v>1609</v>
      </c>
      <c r="P429" s="214">
        <f t="shared" si="40"/>
        <v>-0.0137922904632796</v>
      </c>
    </row>
    <row r="430" spans="1:18">
      <c r="A430" s="203">
        <v>46197</v>
      </c>
      <c r="B430" s="379" t="s">
        <v>180</v>
      </c>
      <c r="C430" s="382">
        <v>0.13</v>
      </c>
      <c r="D430" s="382">
        <v>0.98</v>
      </c>
      <c r="E430" s="55">
        <v>388.23</v>
      </c>
      <c r="F430" s="105">
        <f t="shared" si="36"/>
        <v>365.5</v>
      </c>
      <c r="G430" s="105">
        <f t="shared" si="37"/>
        <v>22.73</v>
      </c>
      <c r="H430" s="105"/>
      <c r="I430" s="160">
        <f t="shared" si="38"/>
        <v>0.78000154547562</v>
      </c>
      <c r="J430" s="55"/>
      <c r="K430" s="55"/>
      <c r="L430" s="55">
        <v>302.82</v>
      </c>
      <c r="M430" s="4">
        <f t="shared" si="39"/>
        <v>21812.53</v>
      </c>
      <c r="N430" s="55"/>
      <c r="O430" s="105" t="s">
        <v>1609</v>
      </c>
      <c r="P430" s="214">
        <f t="shared" si="40"/>
        <v>0.0585477680756253</v>
      </c>
    </row>
    <row r="431" spans="1:18">
      <c r="A431" s="203">
        <v>46197</v>
      </c>
      <c r="B431" s="379" t="s">
        <v>72</v>
      </c>
      <c r="C431" s="382">
        <v>0.19</v>
      </c>
      <c r="D431" s="382">
        <v>0.98</v>
      </c>
      <c r="E431" s="55">
        <v>382.803</v>
      </c>
      <c r="F431" s="105">
        <f t="shared" si="36"/>
        <v>339.7</v>
      </c>
      <c r="G431" s="105">
        <f t="shared" si="37"/>
        <v>43.103</v>
      </c>
      <c r="H431" s="105"/>
      <c r="I431" s="160">
        <f t="shared" si="38"/>
        <v>0.780009561053597</v>
      </c>
      <c r="J431" s="55"/>
      <c r="K431" s="55"/>
      <c r="L431" s="55">
        <v>298.59</v>
      </c>
      <c r="M431" s="4">
        <f t="shared" si="39"/>
        <v>21513.94</v>
      </c>
      <c r="N431" s="55"/>
      <c r="O431" s="105" t="s">
        <v>1609</v>
      </c>
      <c r="P431" s="214">
        <f t="shared" si="40"/>
        <v>0.112598386115051</v>
      </c>
    </row>
    <row r="432" spans="1:18">
      <c r="A432" s="203">
        <v>46197</v>
      </c>
      <c r="B432" s="379" t="s">
        <v>111</v>
      </c>
      <c r="C432" s="382">
        <v>0.68</v>
      </c>
      <c r="D432" s="382">
        <v>0.98</v>
      </c>
      <c r="E432" s="55">
        <v>134.582</v>
      </c>
      <c r="F432" s="105">
        <f t="shared" si="36"/>
        <v>129</v>
      </c>
      <c r="G432" s="105">
        <f t="shared" si="37"/>
        <v>5.58200000000002</v>
      </c>
      <c r="H432" s="105"/>
      <c r="I432" s="160">
        <f t="shared" si="38"/>
        <v>0.780044879701595</v>
      </c>
      <c r="J432" s="55"/>
      <c r="K432" s="55"/>
      <c r="L432" s="55">
        <v>104.98</v>
      </c>
      <c r="M432" s="4">
        <f t="shared" si="39"/>
        <v>21408.96</v>
      </c>
      <c r="N432" s="55"/>
      <c r="O432" s="105" t="s">
        <v>1609</v>
      </c>
      <c r="P432" s="214">
        <f t="shared" si="40"/>
        <v>0.0414765719041181</v>
      </c>
    </row>
    <row r="433" spans="1:16">
      <c r="A433" s="203">
        <v>46197</v>
      </c>
      <c r="B433" s="379" t="s">
        <v>108</v>
      </c>
      <c r="C433" s="382">
        <v>0.24</v>
      </c>
      <c r="D433" s="382">
        <v>0.98</v>
      </c>
      <c r="E433" s="55">
        <v>358.794</v>
      </c>
      <c r="F433" s="105">
        <f t="shared" si="36"/>
        <v>318.2</v>
      </c>
      <c r="G433" s="105">
        <f t="shared" si="37"/>
        <v>40.594</v>
      </c>
      <c r="H433" s="105"/>
      <c r="I433" s="160">
        <f t="shared" si="38"/>
        <v>0.780001895237936</v>
      </c>
      <c r="J433" s="55"/>
      <c r="K433" s="55"/>
      <c r="L433" s="55">
        <v>279.86</v>
      </c>
      <c r="M433" s="4">
        <f t="shared" si="39"/>
        <v>21129.1</v>
      </c>
      <c r="N433" s="55"/>
      <c r="O433" s="105" t="s">
        <v>1609</v>
      </c>
      <c r="P433" s="214">
        <f t="shared" si="40"/>
        <v>0.113140130548448</v>
      </c>
    </row>
    <row r="434" spans="1:16">
      <c r="A434" s="203">
        <v>46198</v>
      </c>
      <c r="B434" s="379" t="s">
        <v>144</v>
      </c>
      <c r="C434" s="382">
        <v>0.43</v>
      </c>
      <c r="D434" s="382">
        <v>0.98</v>
      </c>
      <c r="E434" s="55">
        <v>250.212</v>
      </c>
      <c r="F434" s="105">
        <f t="shared" si="36"/>
        <v>236.5</v>
      </c>
      <c r="G434" s="105">
        <f t="shared" si="37"/>
        <v>13.712</v>
      </c>
      <c r="H434" s="105"/>
      <c r="I434" s="160">
        <f t="shared" si="38"/>
        <v>0.779978578165715</v>
      </c>
      <c r="J434" s="55"/>
      <c r="K434" s="55"/>
      <c r="L434" s="55">
        <v>195.16</v>
      </c>
      <c r="M434" s="4">
        <f t="shared" si="39"/>
        <v>20933.94</v>
      </c>
      <c r="N434" s="55"/>
      <c r="O434" s="105" t="s">
        <v>1609</v>
      </c>
      <c r="P434" s="214">
        <f t="shared" si="40"/>
        <v>0.0548015283039981</v>
      </c>
    </row>
    <row r="435" spans="1:16">
      <c r="A435" s="203">
        <v>46198</v>
      </c>
      <c r="B435" s="379" t="s">
        <v>63</v>
      </c>
      <c r="C435" s="382">
        <v>0.14</v>
      </c>
      <c r="D435" s="382">
        <v>0.98</v>
      </c>
      <c r="E435" s="55">
        <v>413.523</v>
      </c>
      <c r="F435" s="105">
        <f t="shared" si="36"/>
        <v>361.2</v>
      </c>
      <c r="G435" s="105">
        <f t="shared" si="37"/>
        <v>52.323</v>
      </c>
      <c r="H435" s="105"/>
      <c r="I435" s="160">
        <f t="shared" si="38"/>
        <v>0.780004981585063</v>
      </c>
      <c r="J435" s="55"/>
      <c r="K435" s="55"/>
      <c r="L435" s="55">
        <v>322.55</v>
      </c>
      <c r="M435" s="4">
        <f t="shared" si="39"/>
        <v>20611.39</v>
      </c>
      <c r="N435" s="55"/>
      <c r="O435" s="105" t="s">
        <v>1609</v>
      </c>
      <c r="P435" s="214">
        <f t="shared" si="40"/>
        <v>0.126529842354597</v>
      </c>
    </row>
    <row r="436" spans="1:16">
      <c r="A436" s="203">
        <v>46198</v>
      </c>
      <c r="B436" s="379" t="s">
        <v>99</v>
      </c>
      <c r="C436" s="382">
        <v>0.12</v>
      </c>
      <c r="D436" s="382">
        <v>0.89</v>
      </c>
      <c r="E436" s="55">
        <v>372.977</v>
      </c>
      <c r="F436" s="105">
        <f t="shared" si="36"/>
        <v>331.1</v>
      </c>
      <c r="G436" s="105">
        <f t="shared" si="37"/>
        <v>41.877</v>
      </c>
      <c r="H436" s="105"/>
      <c r="I436" s="160">
        <f t="shared" si="38"/>
        <v>0.779994476871228</v>
      </c>
      <c r="J436" s="55"/>
      <c r="K436" s="55"/>
      <c r="L436" s="55">
        <v>290.92</v>
      </c>
      <c r="M436" s="4">
        <f t="shared" si="39"/>
        <v>20320.47</v>
      </c>
      <c r="N436" s="55"/>
      <c r="O436" s="105" t="s">
        <v>1609</v>
      </c>
      <c r="P436" s="214">
        <f t="shared" si="40"/>
        <v>0.112277700769752</v>
      </c>
    </row>
    <row r="437" spans="1:16">
      <c r="A437" s="203">
        <v>46198</v>
      </c>
      <c r="B437" s="379" t="s">
        <v>132</v>
      </c>
      <c r="C437" s="382">
        <v>0.29</v>
      </c>
      <c r="D437" s="382">
        <v>0.38</v>
      </c>
      <c r="E437" s="55">
        <v>39.068</v>
      </c>
      <c r="F437" s="105">
        <f t="shared" si="36"/>
        <v>38.7</v>
      </c>
      <c r="G437" s="105">
        <f t="shared" si="37"/>
        <v>0.367999999999988</v>
      </c>
      <c r="H437" s="105"/>
      <c r="I437" s="160">
        <f t="shared" si="38"/>
        <v>0.780178150916351</v>
      </c>
      <c r="J437" s="55"/>
      <c r="K437" s="55"/>
      <c r="L437" s="55">
        <v>30.48</v>
      </c>
      <c r="M437" s="4">
        <f t="shared" si="39"/>
        <v>20289.99</v>
      </c>
      <c r="N437" s="55"/>
      <c r="O437" s="105" t="s">
        <v>1609</v>
      </c>
      <c r="P437" s="214">
        <f t="shared" si="40"/>
        <v>0.00941947373809737</v>
      </c>
    </row>
    <row r="438" spans="1:16">
      <c r="A438" s="203">
        <v>46198</v>
      </c>
      <c r="B438" s="379" t="s">
        <v>132</v>
      </c>
      <c r="C438" s="382">
        <v>0.38</v>
      </c>
      <c r="D438" s="382">
        <v>0.91</v>
      </c>
      <c r="E438" s="55">
        <v>243.973</v>
      </c>
      <c r="F438" s="105">
        <f t="shared" si="36"/>
        <v>227.9</v>
      </c>
      <c r="G438" s="105">
        <f t="shared" si="37"/>
        <v>16.073</v>
      </c>
      <c r="H438" s="105"/>
      <c r="I438" s="160">
        <f t="shared" si="38"/>
        <v>0.780004344743066</v>
      </c>
      <c r="J438" s="55"/>
      <c r="K438" s="55"/>
      <c r="L438" s="55">
        <v>190.3</v>
      </c>
      <c r="M438" s="4">
        <f t="shared" si="39"/>
        <v>20099.69</v>
      </c>
      <c r="N438" s="55"/>
      <c r="O438" s="105" t="s">
        <v>1609</v>
      </c>
      <c r="P438" s="214">
        <f t="shared" si="40"/>
        <v>0.0658802408463232</v>
      </c>
    </row>
    <row r="439" spans="1:16">
      <c r="A439" s="203">
        <v>46198</v>
      </c>
      <c r="B439" s="55" t="s">
        <v>339</v>
      </c>
      <c r="C439" s="195">
        <v>0.44</v>
      </c>
      <c r="D439" s="195">
        <v>0.98</v>
      </c>
      <c r="E439" s="55">
        <v>246.012</v>
      </c>
      <c r="F439" s="105">
        <f t="shared" ref="F439:F457" si="41">(D439-C439)*430</f>
        <v>232.2</v>
      </c>
      <c r="G439" s="105">
        <f t="shared" ref="G439:G457" si="42">E439-F439</f>
        <v>13.812</v>
      </c>
      <c r="H439" s="105"/>
      <c r="I439" s="160">
        <f t="shared" ref="I439:I457" si="43">L439/E439</f>
        <v>0.780002601499114</v>
      </c>
      <c r="J439" s="55"/>
      <c r="K439" s="55"/>
      <c r="L439" s="55">
        <v>191.89</v>
      </c>
      <c r="M439" s="4">
        <f t="shared" ref="M439:M457" si="44">M438+K439-L439</f>
        <v>19907.8</v>
      </c>
      <c r="O439" s="105" t="s">
        <v>1609</v>
      </c>
      <c r="P439" s="214">
        <f t="shared" ref="P439:P457" si="45">G439/E439</f>
        <v>0.0561436027510854</v>
      </c>
    </row>
    <row r="440" spans="1:16">
      <c r="A440" s="203">
        <v>46198</v>
      </c>
      <c r="B440" s="55" t="s">
        <v>192</v>
      </c>
      <c r="C440" s="195">
        <v>0.18</v>
      </c>
      <c r="D440" s="195">
        <v>0.98</v>
      </c>
      <c r="E440" s="55">
        <v>368.078</v>
      </c>
      <c r="F440" s="105">
        <f t="shared" si="41"/>
        <v>344</v>
      </c>
      <c r="G440" s="105">
        <f t="shared" si="42"/>
        <v>24.078</v>
      </c>
      <c r="H440" s="105"/>
      <c r="I440" s="160">
        <f t="shared" si="43"/>
        <v>0.779997717875016</v>
      </c>
      <c r="J440" s="55"/>
      <c r="K440" s="55"/>
      <c r="L440" s="55">
        <v>287.1</v>
      </c>
      <c r="M440" s="4">
        <f t="shared" si="44"/>
        <v>19620.7</v>
      </c>
      <c r="O440" s="105" t="s">
        <v>1609</v>
      </c>
      <c r="P440" s="214">
        <f t="shared" si="45"/>
        <v>0.0654154825879297</v>
      </c>
    </row>
    <row r="441" spans="1:16">
      <c r="A441" s="203">
        <v>46198</v>
      </c>
      <c r="B441" s="55" t="s">
        <v>192</v>
      </c>
      <c r="C441" s="195">
        <v>0.98</v>
      </c>
      <c r="D441" s="195">
        <v>0.98</v>
      </c>
      <c r="E441" s="55">
        <v>0.211</v>
      </c>
      <c r="F441" s="105">
        <f t="shared" si="41"/>
        <v>0</v>
      </c>
      <c r="G441" s="105">
        <f t="shared" si="42"/>
        <v>0.211</v>
      </c>
      <c r="H441" s="105"/>
      <c r="I441" s="160">
        <f t="shared" si="43"/>
        <v>0.758293838862559</v>
      </c>
      <c r="J441" s="55"/>
      <c r="K441" s="55"/>
      <c r="L441" s="55">
        <v>0.16</v>
      </c>
      <c r="M441" s="4">
        <f t="shared" si="44"/>
        <v>19620.54</v>
      </c>
      <c r="O441" s="105" t="s">
        <v>1609</v>
      </c>
      <c r="P441" s="214">
        <f t="shared" si="45"/>
        <v>1</v>
      </c>
    </row>
    <row r="442" spans="1:16">
      <c r="A442" s="203">
        <v>46198</v>
      </c>
      <c r="B442" s="55" t="s">
        <v>72</v>
      </c>
      <c r="C442" s="195">
        <v>0.7</v>
      </c>
      <c r="D442" s="195">
        <v>0.98</v>
      </c>
      <c r="E442" s="55">
        <v>135.802</v>
      </c>
      <c r="F442" s="105">
        <f t="shared" si="41"/>
        <v>120.4</v>
      </c>
      <c r="G442" s="105">
        <f t="shared" si="42"/>
        <v>15.402</v>
      </c>
      <c r="H442" s="105"/>
      <c r="I442" s="160">
        <f t="shared" si="43"/>
        <v>0.7800326946584</v>
      </c>
      <c r="J442" s="55"/>
      <c r="K442" s="55"/>
      <c r="L442" s="55">
        <v>105.93</v>
      </c>
      <c r="M442" s="4">
        <f t="shared" si="44"/>
        <v>19514.61</v>
      </c>
      <c r="O442" s="105" t="s">
        <v>1609</v>
      </c>
      <c r="P442" s="214">
        <f t="shared" si="45"/>
        <v>0.113415119070411</v>
      </c>
    </row>
    <row r="443" spans="1:16">
      <c r="A443" s="203">
        <v>46198</v>
      </c>
      <c r="B443" s="55" t="s">
        <v>135</v>
      </c>
      <c r="C443" s="195">
        <v>0.47</v>
      </c>
      <c r="D443" s="195">
        <v>0.98</v>
      </c>
      <c r="E443" s="55">
        <v>234.693</v>
      </c>
      <c r="F443" s="105">
        <f t="shared" si="41"/>
        <v>219.3</v>
      </c>
      <c r="G443" s="105">
        <f t="shared" si="42"/>
        <v>15.393</v>
      </c>
      <c r="H443" s="105"/>
      <c r="I443" s="160">
        <f t="shared" si="43"/>
        <v>0.779997699121831</v>
      </c>
      <c r="J443" s="55"/>
      <c r="K443" s="55"/>
      <c r="L443" s="55">
        <v>183.06</v>
      </c>
      <c r="M443" s="4">
        <f t="shared" si="44"/>
        <v>19331.55</v>
      </c>
      <c r="O443" s="105" t="s">
        <v>1609</v>
      </c>
      <c r="P443" s="214">
        <f t="shared" si="45"/>
        <v>0.0655878104587695</v>
      </c>
    </row>
    <row r="444" spans="1:16">
      <c r="A444" s="203">
        <v>46198</v>
      </c>
      <c r="B444" s="55" t="s">
        <v>183</v>
      </c>
      <c r="C444" s="195">
        <v>0.74</v>
      </c>
      <c r="D444" s="195">
        <v>0.98</v>
      </c>
      <c r="E444" s="55">
        <v>108.705</v>
      </c>
      <c r="F444" s="105">
        <f t="shared" si="41"/>
        <v>103.2</v>
      </c>
      <c r="G444" s="105">
        <f t="shared" si="42"/>
        <v>5.505</v>
      </c>
      <c r="H444" s="105"/>
      <c r="I444" s="160">
        <f t="shared" si="43"/>
        <v>0.780000919920887</v>
      </c>
      <c r="J444" s="55"/>
      <c r="K444" s="55"/>
      <c r="L444" s="55">
        <v>84.79</v>
      </c>
      <c r="M444" s="4">
        <f t="shared" si="44"/>
        <v>19246.76</v>
      </c>
      <c r="O444" s="105" t="s">
        <v>1609</v>
      </c>
      <c r="P444" s="214">
        <f t="shared" si="45"/>
        <v>0.0506416448185456</v>
      </c>
    </row>
    <row r="445" spans="1:16">
      <c r="A445" s="203">
        <v>46198</v>
      </c>
      <c r="B445" s="55" t="s">
        <v>124</v>
      </c>
      <c r="C445" s="195">
        <v>0.4</v>
      </c>
      <c r="D445" s="195">
        <v>0.98</v>
      </c>
      <c r="E445" s="55">
        <v>261.918</v>
      </c>
      <c r="F445" s="105">
        <f t="shared" si="41"/>
        <v>249.4</v>
      </c>
      <c r="G445" s="105">
        <f t="shared" si="42"/>
        <v>12.518</v>
      </c>
      <c r="H445" s="105"/>
      <c r="I445" s="160">
        <f t="shared" si="43"/>
        <v>0.780015119235791</v>
      </c>
      <c r="J445" s="55"/>
      <c r="K445" s="55"/>
      <c r="L445" s="55">
        <v>204.3</v>
      </c>
      <c r="M445" s="4">
        <f t="shared" si="44"/>
        <v>19042.46</v>
      </c>
      <c r="O445" s="105" t="s">
        <v>1609</v>
      </c>
      <c r="P445" s="214">
        <f t="shared" si="45"/>
        <v>0.0477935842515596</v>
      </c>
    </row>
    <row r="446" spans="1:16">
      <c r="A446" s="203">
        <v>46198</v>
      </c>
      <c r="B446" s="55" t="s">
        <v>183</v>
      </c>
      <c r="C446" s="195">
        <v>0.98</v>
      </c>
      <c r="D446" s="195">
        <v>0.98</v>
      </c>
      <c r="E446" s="55">
        <v>0</v>
      </c>
      <c r="F446" s="105">
        <f t="shared" si="41"/>
        <v>0</v>
      </c>
      <c r="G446" s="105">
        <f t="shared" si="42"/>
        <v>0</v>
      </c>
      <c r="H446" s="105"/>
      <c r="I446" s="160" t="e">
        <f t="shared" si="43"/>
        <v>#DIV/0!</v>
      </c>
      <c r="J446" s="55"/>
      <c r="K446" s="55"/>
      <c r="L446" s="55">
        <v>0</v>
      </c>
      <c r="M446" s="4">
        <f t="shared" si="44"/>
        <v>19042.46</v>
      </c>
      <c r="O446" s="105" t="s">
        <v>1609</v>
      </c>
      <c r="P446" s="214" t="e">
        <f t="shared" si="45"/>
        <v>#DIV/0!</v>
      </c>
    </row>
    <row r="447" spans="1:16">
      <c r="A447" s="203">
        <v>46198</v>
      </c>
      <c r="B447" s="55" t="s">
        <v>102</v>
      </c>
      <c r="C447" s="195">
        <v>0.21</v>
      </c>
      <c r="D447" s="195">
        <v>0.95</v>
      </c>
      <c r="E447" s="55">
        <v>359.278</v>
      </c>
      <c r="F447" s="105">
        <f t="shared" si="41"/>
        <v>318.2</v>
      </c>
      <c r="G447" s="105">
        <f t="shared" si="42"/>
        <v>41.078</v>
      </c>
      <c r="H447" s="105"/>
      <c r="I447" s="160">
        <f t="shared" si="43"/>
        <v>0.780008795417476</v>
      </c>
      <c r="J447" s="55"/>
      <c r="K447" s="55"/>
      <c r="L447" s="55">
        <v>280.24</v>
      </c>
      <c r="M447" s="4">
        <f t="shared" si="44"/>
        <v>18762.22</v>
      </c>
      <c r="O447" s="105" t="s">
        <v>1609</v>
      </c>
      <c r="P447" s="214">
        <f t="shared" si="45"/>
        <v>0.114334860470165</v>
      </c>
    </row>
    <row r="448" spans="1:16">
      <c r="A448" s="203">
        <v>46198</v>
      </c>
      <c r="B448" s="55" t="s">
        <v>198</v>
      </c>
      <c r="C448" s="195">
        <v>0.73</v>
      </c>
      <c r="D448" s="195">
        <v>0.98</v>
      </c>
      <c r="E448" s="55">
        <v>113.094</v>
      </c>
      <c r="F448" s="105">
        <f t="shared" si="41"/>
        <v>107.5</v>
      </c>
      <c r="G448" s="105">
        <f t="shared" si="42"/>
        <v>5.59399999999999</v>
      </c>
      <c r="H448" s="105"/>
      <c r="I448" s="160">
        <f t="shared" si="43"/>
        <v>0.779970643889154</v>
      </c>
      <c r="J448" s="55"/>
      <c r="K448" s="55"/>
      <c r="L448" s="55">
        <v>88.21</v>
      </c>
      <c r="M448" s="4">
        <f t="shared" si="44"/>
        <v>18674.01</v>
      </c>
      <c r="O448" s="105" t="s">
        <v>1609</v>
      </c>
      <c r="P448" s="214">
        <f t="shared" si="45"/>
        <v>0.0494632783348365</v>
      </c>
    </row>
    <row r="449" spans="1:16">
      <c r="A449" s="203">
        <v>46198</v>
      </c>
      <c r="B449" s="55" t="s">
        <v>174</v>
      </c>
      <c r="C449" s="195">
        <v>0.24</v>
      </c>
      <c r="D449" s="195">
        <v>0.98</v>
      </c>
      <c r="E449" s="55">
        <v>335.014</v>
      </c>
      <c r="F449" s="105">
        <f t="shared" si="41"/>
        <v>318.2</v>
      </c>
      <c r="G449" s="105">
        <f t="shared" si="42"/>
        <v>16.814</v>
      </c>
      <c r="H449" s="105"/>
      <c r="I449" s="160">
        <f t="shared" si="43"/>
        <v>0.779997253846108</v>
      </c>
      <c r="J449" s="55"/>
      <c r="K449" s="55"/>
      <c r="L449" s="55">
        <v>261.31</v>
      </c>
      <c r="M449" s="4">
        <f t="shared" si="44"/>
        <v>18412.7</v>
      </c>
      <c r="O449" s="105" t="s">
        <v>1609</v>
      </c>
      <c r="P449" s="214">
        <f t="shared" si="45"/>
        <v>0.0501889473275744</v>
      </c>
    </row>
    <row r="450" spans="1:16">
      <c r="A450" s="203">
        <v>46199</v>
      </c>
      <c r="B450" s="55" t="s">
        <v>132</v>
      </c>
      <c r="C450" s="195">
        <v>0.09</v>
      </c>
      <c r="D450" s="195">
        <v>0.98</v>
      </c>
      <c r="E450" s="55">
        <v>404.319</v>
      </c>
      <c r="F450" s="105">
        <f t="shared" si="41"/>
        <v>382.7</v>
      </c>
      <c r="G450" s="105">
        <f t="shared" si="42"/>
        <v>21.619</v>
      </c>
      <c r="H450" s="105"/>
      <c r="I450" s="160">
        <f t="shared" si="43"/>
        <v>0.78000291848763</v>
      </c>
      <c r="J450" s="55"/>
      <c r="K450" s="55"/>
      <c r="L450" s="55">
        <v>315.37</v>
      </c>
      <c r="M450" s="4">
        <f t="shared" si="44"/>
        <v>18097.33</v>
      </c>
      <c r="O450" s="105" t="s">
        <v>1609</v>
      </c>
      <c r="P450" s="214">
        <f t="shared" si="45"/>
        <v>0.0534701559906906</v>
      </c>
    </row>
    <row r="451" spans="1:16">
      <c r="A451" s="203">
        <v>46199</v>
      </c>
      <c r="B451" s="55" t="s">
        <v>213</v>
      </c>
      <c r="C451" s="195">
        <v>0.44</v>
      </c>
      <c r="D451" s="195">
        <v>0.98</v>
      </c>
      <c r="E451" s="55">
        <v>245.303</v>
      </c>
      <c r="F451" s="105">
        <f t="shared" si="41"/>
        <v>232.2</v>
      </c>
      <c r="G451" s="105">
        <f t="shared" si="42"/>
        <v>13.103</v>
      </c>
      <c r="H451" s="105"/>
      <c r="I451" s="160">
        <f t="shared" si="43"/>
        <v>0.780014920323029</v>
      </c>
      <c r="J451" s="55"/>
      <c r="K451" s="55"/>
      <c r="L451" s="55">
        <v>191.34</v>
      </c>
      <c r="M451" s="4">
        <f t="shared" si="44"/>
        <v>17905.99</v>
      </c>
      <c r="O451" s="105" t="s">
        <v>1609</v>
      </c>
      <c r="P451" s="214">
        <f t="shared" si="45"/>
        <v>0.0534155717622696</v>
      </c>
    </row>
    <row r="452" spans="1:16">
      <c r="A452" s="203">
        <v>46199</v>
      </c>
      <c r="B452" s="55" t="s">
        <v>670</v>
      </c>
      <c r="C452" s="195">
        <v>0.39</v>
      </c>
      <c r="D452" s="195">
        <v>0.98</v>
      </c>
      <c r="E452" s="55">
        <v>266.719</v>
      </c>
      <c r="F452" s="105">
        <f t="shared" si="41"/>
        <v>253.7</v>
      </c>
      <c r="G452" s="105">
        <f t="shared" si="42"/>
        <v>13.019</v>
      </c>
      <c r="H452" s="105"/>
      <c r="I452" s="160">
        <f t="shared" si="43"/>
        <v>0.77999692560335</v>
      </c>
      <c r="J452" s="55"/>
      <c r="K452" s="55"/>
      <c r="L452" s="55">
        <v>208.04</v>
      </c>
      <c r="M452" s="4">
        <f t="shared" si="44"/>
        <v>17697.95</v>
      </c>
      <c r="O452" s="105" t="s">
        <v>1609</v>
      </c>
      <c r="P452" s="214">
        <f t="shared" si="45"/>
        <v>0.0488116707096233</v>
      </c>
    </row>
    <row r="453" spans="1:16">
      <c r="A453" s="203">
        <v>46199</v>
      </c>
      <c r="B453" s="55" t="s">
        <v>105</v>
      </c>
      <c r="C453" s="195">
        <v>0.17</v>
      </c>
      <c r="D453" s="195">
        <v>0.19</v>
      </c>
      <c r="E453" s="55">
        <v>9.743</v>
      </c>
      <c r="F453" s="105">
        <f t="shared" si="41"/>
        <v>8.6</v>
      </c>
      <c r="G453" s="105">
        <f t="shared" si="42"/>
        <v>1.143</v>
      </c>
      <c r="H453" s="105"/>
      <c r="I453" s="160">
        <f t="shared" si="43"/>
        <v>0.780047213383968</v>
      </c>
      <c r="J453" s="55"/>
      <c r="K453" s="55"/>
      <c r="L453" s="55">
        <v>7.6</v>
      </c>
      <c r="M453" s="4">
        <f t="shared" si="44"/>
        <v>17690.35</v>
      </c>
      <c r="O453" s="105" t="s">
        <v>1609</v>
      </c>
      <c r="P453" s="214">
        <f t="shared" si="45"/>
        <v>0.117314995381299</v>
      </c>
    </row>
    <row r="454" spans="1:16">
      <c r="A454" s="203">
        <v>46199</v>
      </c>
      <c r="B454" s="55" t="s">
        <v>105</v>
      </c>
      <c r="C454" s="195">
        <v>0.19</v>
      </c>
      <c r="D454" s="195">
        <v>0.95</v>
      </c>
      <c r="E454" s="55">
        <v>364.658</v>
      </c>
      <c r="F454" s="105">
        <f t="shared" si="41"/>
        <v>326.8</v>
      </c>
      <c r="G454" s="105">
        <f t="shared" si="42"/>
        <v>37.858</v>
      </c>
      <c r="H454" s="105"/>
      <c r="I454" s="160">
        <f t="shared" si="43"/>
        <v>0.779991114962513</v>
      </c>
      <c r="J454" s="55"/>
      <c r="K454" s="55"/>
      <c r="L454" s="55">
        <v>284.43</v>
      </c>
      <c r="M454" s="4">
        <f t="shared" si="44"/>
        <v>17405.92</v>
      </c>
      <c r="O454" s="105" t="s">
        <v>1609</v>
      </c>
      <c r="P454" s="214">
        <f t="shared" si="45"/>
        <v>0.103817823823967</v>
      </c>
    </row>
    <row r="455" spans="1:16">
      <c r="A455" s="203">
        <v>46199</v>
      </c>
      <c r="B455" s="55" t="s">
        <v>51</v>
      </c>
      <c r="C455" s="195">
        <v>0.47</v>
      </c>
      <c r="D455" s="195">
        <v>0.98</v>
      </c>
      <c r="E455" s="55">
        <v>223.729</v>
      </c>
      <c r="F455" s="105">
        <f t="shared" si="41"/>
        <v>219.3</v>
      </c>
      <c r="G455" s="105">
        <f t="shared" si="42"/>
        <v>4.429</v>
      </c>
      <c r="H455" s="105"/>
      <c r="I455" s="160">
        <f t="shared" si="43"/>
        <v>0.780006168176678</v>
      </c>
      <c r="J455" s="55"/>
      <c r="K455" s="55"/>
      <c r="L455" s="55">
        <v>174.51</v>
      </c>
      <c r="M455" s="4">
        <f t="shared" si="44"/>
        <v>17231.41</v>
      </c>
      <c r="O455" s="105" t="s">
        <v>1609</v>
      </c>
      <c r="P455" s="214">
        <f t="shared" si="45"/>
        <v>0.0197962713818951</v>
      </c>
    </row>
    <row r="456" spans="1:16">
      <c r="A456" s="203">
        <v>46199</v>
      </c>
      <c r="B456" s="55" t="s">
        <v>54</v>
      </c>
      <c r="C456" s="195">
        <v>0.42</v>
      </c>
      <c r="D456" s="195">
        <v>0.98</v>
      </c>
      <c r="E456" s="55">
        <v>245.721</v>
      </c>
      <c r="F456" s="105">
        <f t="shared" si="41"/>
        <v>240.8</v>
      </c>
      <c r="G456" s="105">
        <f t="shared" si="42"/>
        <v>4.92099999999999</v>
      </c>
      <c r="H456" s="105"/>
      <c r="I456" s="160">
        <f t="shared" si="43"/>
        <v>0.779990314218158</v>
      </c>
      <c r="J456" s="55"/>
      <c r="K456" s="55"/>
      <c r="L456" s="55">
        <v>191.66</v>
      </c>
      <c r="M456" s="4">
        <f t="shared" si="44"/>
        <v>17039.75</v>
      </c>
      <c r="O456" s="105" t="s">
        <v>1609</v>
      </c>
      <c r="P456" s="214">
        <f t="shared" si="45"/>
        <v>0.0200267783380338</v>
      </c>
    </row>
    <row r="457" spans="1:16">
      <c r="A457" s="203">
        <v>46199</v>
      </c>
      <c r="B457" s="55" t="s">
        <v>138</v>
      </c>
      <c r="C457" s="195">
        <v>0.39</v>
      </c>
      <c r="D457" s="195">
        <v>0.98</v>
      </c>
      <c r="E457" s="55">
        <v>267.264</v>
      </c>
      <c r="F457" s="105">
        <f t="shared" si="41"/>
        <v>253.7</v>
      </c>
      <c r="G457" s="105">
        <f t="shared" si="42"/>
        <v>13.564</v>
      </c>
      <c r="H457" s="105"/>
      <c r="I457" s="160">
        <f t="shared" si="43"/>
        <v>0.780015265804598</v>
      </c>
      <c r="J457" s="55"/>
      <c r="K457" s="55"/>
      <c r="L457" s="55">
        <v>208.47</v>
      </c>
      <c r="M457" s="4">
        <f t="shared" si="44"/>
        <v>16831.28</v>
      </c>
      <c r="O457" s="105" t="s">
        <v>1609</v>
      </c>
      <c r="P457" s="214">
        <f t="shared" si="45"/>
        <v>0.0507513170498085</v>
      </c>
    </row>
    <row r="458" spans="1:16">
      <c r="A458" s="203">
        <v>46199</v>
      </c>
      <c r="B458" s="55" t="s">
        <v>69</v>
      </c>
      <c r="C458" s="195">
        <v>0.1</v>
      </c>
      <c r="D458" s="195">
        <v>0.95</v>
      </c>
      <c r="E458" s="55">
        <v>393.915</v>
      </c>
      <c r="F458" s="105">
        <f t="shared" ref="F458:F471" si="46">(D458-C458)*430</f>
        <v>365.5</v>
      </c>
      <c r="G458" s="105">
        <f t="shared" ref="G458:G471" si="47">E458-F458</f>
        <v>28.415</v>
      </c>
      <c r="H458" s="105"/>
      <c r="I458" s="160">
        <f t="shared" ref="I458:I471" si="48">L458/E458</f>
        <v>0.779990607110671</v>
      </c>
      <c r="J458" s="55"/>
      <c r="K458" s="55"/>
      <c r="L458" s="55">
        <v>307.25</v>
      </c>
      <c r="M458" s="4">
        <f t="shared" ref="M458:M471" si="49">M457+K458-L458</f>
        <v>16524.03</v>
      </c>
      <c r="O458" s="105" t="s">
        <v>1609</v>
      </c>
      <c r="P458" s="214">
        <f t="shared" ref="P458:P471" si="50">G458/E458</f>
        <v>0.0721348514273384</v>
      </c>
    </row>
    <row r="459" spans="1:16">
      <c r="A459" s="203">
        <v>46199</v>
      </c>
      <c r="B459" s="55" t="s">
        <v>177</v>
      </c>
      <c r="C459" s="195">
        <v>0.14</v>
      </c>
      <c r="D459" s="195">
        <v>0.98</v>
      </c>
      <c r="E459" s="55">
        <v>385.252</v>
      </c>
      <c r="F459" s="105">
        <f t="shared" si="46"/>
        <v>361.2</v>
      </c>
      <c r="G459" s="105">
        <f t="shared" si="47"/>
        <v>24.052</v>
      </c>
      <c r="H459" s="105"/>
      <c r="I459" s="160">
        <f t="shared" si="48"/>
        <v>0.77998297218444</v>
      </c>
      <c r="J459" s="55"/>
      <c r="K459" s="55"/>
      <c r="L459" s="55">
        <v>300.49</v>
      </c>
      <c r="M459" s="4">
        <f t="shared" si="49"/>
        <v>16223.54</v>
      </c>
      <c r="O459" s="105" t="s">
        <v>1609</v>
      </c>
      <c r="P459" s="214">
        <f t="shared" si="50"/>
        <v>0.0624318627807254</v>
      </c>
    </row>
    <row r="460" spans="1:16">
      <c r="A460" s="203">
        <v>46199</v>
      </c>
      <c r="B460" s="55" t="s">
        <v>151</v>
      </c>
      <c r="C460" s="195">
        <v>0.35</v>
      </c>
      <c r="D460" s="195">
        <v>0.94</v>
      </c>
      <c r="E460" s="55">
        <v>267.248</v>
      </c>
      <c r="F460" s="105">
        <f t="shared" si="46"/>
        <v>253.7</v>
      </c>
      <c r="G460" s="105">
        <f t="shared" si="47"/>
        <v>13.548</v>
      </c>
      <c r="H460" s="105"/>
      <c r="I460" s="160">
        <f t="shared" si="48"/>
        <v>0.779987128060827</v>
      </c>
      <c r="J460" s="55"/>
      <c r="K460" s="55"/>
      <c r="L460" s="55">
        <v>208.45</v>
      </c>
      <c r="M460" s="4">
        <f t="shared" si="49"/>
        <v>16015.09</v>
      </c>
      <c r="O460" s="105" t="s">
        <v>1609</v>
      </c>
      <c r="P460" s="214">
        <f t="shared" si="50"/>
        <v>0.0506944860204754</v>
      </c>
    </row>
    <row r="461" spans="1:16">
      <c r="A461" s="203">
        <v>46199</v>
      </c>
      <c r="B461" s="55" t="s">
        <v>210</v>
      </c>
      <c r="C461" s="195">
        <v>0.3</v>
      </c>
      <c r="D461" s="195">
        <v>0.92</v>
      </c>
      <c r="E461" s="55">
        <v>281.792</v>
      </c>
      <c r="F461" s="105">
        <f t="shared" si="46"/>
        <v>266.6</v>
      </c>
      <c r="G461" s="105">
        <f t="shared" si="47"/>
        <v>15.192</v>
      </c>
      <c r="H461" s="105"/>
      <c r="I461" s="160">
        <f t="shared" si="48"/>
        <v>0.780007949125596</v>
      </c>
      <c r="J461" s="55"/>
      <c r="K461" s="55"/>
      <c r="L461" s="55">
        <v>219.8</v>
      </c>
      <c r="M461" s="4">
        <f t="shared" si="49"/>
        <v>15795.29</v>
      </c>
      <c r="O461" s="105" t="s">
        <v>1609</v>
      </c>
      <c r="P461" s="214">
        <f t="shared" si="50"/>
        <v>0.0539121053826934</v>
      </c>
    </row>
    <row r="462" spans="1:16">
      <c r="A462" s="203">
        <v>46199</v>
      </c>
      <c r="B462" s="55" t="s">
        <v>111</v>
      </c>
      <c r="C462" s="195">
        <v>0.42</v>
      </c>
      <c r="D462" s="195">
        <v>0.98</v>
      </c>
      <c r="E462" s="55">
        <v>246.503</v>
      </c>
      <c r="F462" s="105">
        <f t="shared" si="46"/>
        <v>240.8</v>
      </c>
      <c r="G462" s="105">
        <f t="shared" si="47"/>
        <v>5.70299999999997</v>
      </c>
      <c r="H462" s="105"/>
      <c r="I462" s="160">
        <f t="shared" si="48"/>
        <v>0.780031074672519</v>
      </c>
      <c r="J462" s="55"/>
      <c r="K462" s="55"/>
      <c r="L462" s="55">
        <v>192.28</v>
      </c>
      <c r="M462" s="4">
        <f t="shared" si="49"/>
        <v>15603.01</v>
      </c>
      <c r="O462" s="105" t="s">
        <v>1609</v>
      </c>
      <c r="P462" s="214">
        <f t="shared" si="50"/>
        <v>0.023135621067492</v>
      </c>
    </row>
    <row r="463" spans="1:16">
      <c r="A463" s="203">
        <v>46199</v>
      </c>
      <c r="B463" s="55" t="s">
        <v>114</v>
      </c>
      <c r="C463" s="195">
        <v>0.41</v>
      </c>
      <c r="D463" s="195">
        <v>0.9</v>
      </c>
      <c r="E463" s="55">
        <v>209.167</v>
      </c>
      <c r="F463" s="105">
        <f t="shared" si="46"/>
        <v>210.7</v>
      </c>
      <c r="G463" s="105">
        <f t="shared" si="47"/>
        <v>-1.53299999999999</v>
      </c>
      <c r="H463" s="105"/>
      <c r="I463" s="160">
        <f t="shared" si="48"/>
        <v>0.779998756974092</v>
      </c>
      <c r="J463" s="55"/>
      <c r="K463" s="55"/>
      <c r="L463" s="55">
        <v>163.15</v>
      </c>
      <c r="M463" s="4">
        <f t="shared" si="49"/>
        <v>15439.86</v>
      </c>
      <c r="O463" s="105" t="s">
        <v>1609</v>
      </c>
      <c r="P463" s="214">
        <f t="shared" si="50"/>
        <v>-0.00732907198554259</v>
      </c>
    </row>
    <row r="464" spans="1:16">
      <c r="A464" s="203">
        <v>46199</v>
      </c>
      <c r="B464" s="55" t="s">
        <v>51</v>
      </c>
      <c r="C464" s="195">
        <v>0.14</v>
      </c>
      <c r="D464" s="195">
        <v>0.98</v>
      </c>
      <c r="E464" s="55">
        <v>367.048</v>
      </c>
      <c r="F464" s="105">
        <f t="shared" si="46"/>
        <v>361.2</v>
      </c>
      <c r="G464" s="105">
        <f t="shared" si="47"/>
        <v>5.84800000000001</v>
      </c>
      <c r="H464" s="105"/>
      <c r="I464" s="160">
        <f t="shared" si="48"/>
        <v>0.780006974564635</v>
      </c>
      <c r="J464" s="55"/>
      <c r="K464" s="55"/>
      <c r="L464" s="55">
        <v>286.3</v>
      </c>
      <c r="M464" s="4">
        <f t="shared" si="49"/>
        <v>15153.56</v>
      </c>
      <c r="O464" s="105" t="s">
        <v>1609</v>
      </c>
      <c r="P464" s="214">
        <f t="shared" si="50"/>
        <v>0.0159325210871603</v>
      </c>
    </row>
    <row r="465" spans="1:16">
      <c r="A465" s="203">
        <v>46199</v>
      </c>
      <c r="B465" s="55" t="s">
        <v>90</v>
      </c>
      <c r="C465" s="195">
        <v>0.15</v>
      </c>
      <c r="D465" s="195">
        <v>0.98</v>
      </c>
      <c r="E465" s="55">
        <v>409.794</v>
      </c>
      <c r="F465" s="105">
        <f t="shared" si="46"/>
        <v>356.9</v>
      </c>
      <c r="G465" s="105">
        <f t="shared" si="47"/>
        <v>52.894</v>
      </c>
      <c r="H465" s="105"/>
      <c r="I465" s="160">
        <f t="shared" si="48"/>
        <v>0.780001659370318</v>
      </c>
      <c r="J465" s="55"/>
      <c r="K465" s="55"/>
      <c r="L465" s="55">
        <v>319.64</v>
      </c>
      <c r="M465" s="4">
        <f t="shared" si="49"/>
        <v>14833.92</v>
      </c>
      <c r="O465" s="105" t="s">
        <v>1609</v>
      </c>
      <c r="P465" s="214">
        <f t="shared" si="50"/>
        <v>0.129074608217787</v>
      </c>
    </row>
    <row r="466" spans="1:16">
      <c r="A466" s="203">
        <v>46199</v>
      </c>
      <c r="B466" s="55" t="s">
        <v>63</v>
      </c>
      <c r="C466" s="195">
        <v>0.43</v>
      </c>
      <c r="D466" s="195">
        <v>0.98</v>
      </c>
      <c r="E466" s="55">
        <v>260.709</v>
      </c>
      <c r="F466" s="105">
        <f t="shared" si="46"/>
        <v>236.5</v>
      </c>
      <c r="G466" s="105">
        <f t="shared" si="47"/>
        <v>24.209</v>
      </c>
      <c r="H466" s="105"/>
      <c r="I466" s="160">
        <f t="shared" si="48"/>
        <v>0.780026773145538</v>
      </c>
      <c r="J466" s="55"/>
      <c r="K466" s="55"/>
      <c r="L466" s="55">
        <v>203.36</v>
      </c>
      <c r="M466" s="4">
        <f t="shared" si="49"/>
        <v>14630.56</v>
      </c>
      <c r="O466" s="105" t="s">
        <v>1609</v>
      </c>
      <c r="P466" s="214">
        <f t="shared" si="50"/>
        <v>0.0928583209632195</v>
      </c>
    </row>
    <row r="467" spans="1:16">
      <c r="A467" s="203">
        <v>46200</v>
      </c>
      <c r="B467" s="55" t="s">
        <v>81</v>
      </c>
      <c r="C467" s="195">
        <v>0.68</v>
      </c>
      <c r="D467" s="195">
        <v>0.98</v>
      </c>
      <c r="E467" s="55">
        <v>147.839</v>
      </c>
      <c r="F467" s="105">
        <f t="shared" si="46"/>
        <v>129</v>
      </c>
      <c r="G467" s="105">
        <f t="shared" si="47"/>
        <v>18.839</v>
      </c>
      <c r="H467" s="105"/>
      <c r="I467" s="160">
        <f t="shared" si="48"/>
        <v>0.779970102611625</v>
      </c>
      <c r="J467" s="55"/>
      <c r="K467" s="55"/>
      <c r="L467" s="55">
        <v>115.31</v>
      </c>
      <c r="M467" s="4">
        <f t="shared" si="49"/>
        <v>14515.25</v>
      </c>
      <c r="O467" s="105" t="s">
        <v>1609</v>
      </c>
      <c r="P467" s="214">
        <f t="shared" si="50"/>
        <v>0.127429162805484</v>
      </c>
    </row>
    <row r="468" spans="1:16">
      <c r="A468" s="203">
        <v>46200</v>
      </c>
      <c r="B468" s="55" t="s">
        <v>132</v>
      </c>
      <c r="C468" s="195">
        <v>0.21</v>
      </c>
      <c r="D468" s="195">
        <v>0.98</v>
      </c>
      <c r="E468" s="55">
        <v>351.014</v>
      </c>
      <c r="F468" s="105">
        <f t="shared" si="46"/>
        <v>331.1</v>
      </c>
      <c r="G468" s="105">
        <f t="shared" si="47"/>
        <v>19.914</v>
      </c>
      <c r="H468" s="105"/>
      <c r="I468" s="160">
        <f t="shared" si="48"/>
        <v>0.779997379021919</v>
      </c>
      <c r="J468" s="55"/>
      <c r="K468" s="55"/>
      <c r="L468" s="55">
        <v>273.79</v>
      </c>
      <c r="M468" s="4">
        <f t="shared" si="49"/>
        <v>14241.46</v>
      </c>
      <c r="O468" s="105" t="s">
        <v>1609</v>
      </c>
      <c r="P468" s="214">
        <f t="shared" si="50"/>
        <v>0.0567327798891212</v>
      </c>
    </row>
    <row r="469" spans="1:16">
      <c r="A469" s="203">
        <v>46200</v>
      </c>
      <c r="B469" s="55" t="s">
        <v>180</v>
      </c>
      <c r="C469" s="195">
        <v>0.24</v>
      </c>
      <c r="D469" s="195">
        <v>0.97</v>
      </c>
      <c r="E469" s="55">
        <v>333.079</v>
      </c>
      <c r="F469" s="105">
        <f t="shared" si="46"/>
        <v>313.9</v>
      </c>
      <c r="G469" s="105">
        <f t="shared" si="47"/>
        <v>19.179</v>
      </c>
      <c r="H469" s="105"/>
      <c r="I469" s="160">
        <f t="shared" si="48"/>
        <v>0.779995136288989</v>
      </c>
      <c r="J469" s="55"/>
      <c r="K469" s="55"/>
      <c r="L469" s="55">
        <v>259.8</v>
      </c>
      <c r="M469" s="4">
        <f t="shared" si="49"/>
        <v>13981.66</v>
      </c>
      <c r="O469" s="105" t="s">
        <v>1609</v>
      </c>
      <c r="P469" s="214">
        <f t="shared" si="50"/>
        <v>0.057580934252835</v>
      </c>
    </row>
    <row r="470" spans="1:16">
      <c r="A470" s="203">
        <v>46200</v>
      </c>
      <c r="B470" s="55" t="s">
        <v>141</v>
      </c>
      <c r="C470" s="195">
        <v>0.26</v>
      </c>
      <c r="D470" s="195">
        <v>0.98</v>
      </c>
      <c r="E470" s="55">
        <v>325.952</v>
      </c>
      <c r="F470" s="105">
        <f t="shared" si="46"/>
        <v>309.6</v>
      </c>
      <c r="G470" s="105">
        <f t="shared" si="47"/>
        <v>16.352</v>
      </c>
      <c r="H470" s="105"/>
      <c r="I470" s="160">
        <f t="shared" si="48"/>
        <v>0.779992146082859</v>
      </c>
      <c r="J470" s="55"/>
      <c r="K470" s="55"/>
      <c r="L470" s="55">
        <v>254.24</v>
      </c>
      <c r="M470" s="4">
        <f t="shared" si="49"/>
        <v>13727.42</v>
      </c>
      <c r="O470" s="105" t="s">
        <v>1609</v>
      </c>
      <c r="P470" s="214">
        <f t="shared" si="50"/>
        <v>0.0501668957392499</v>
      </c>
    </row>
    <row r="471" spans="1:16">
      <c r="A471" s="203">
        <v>46200</v>
      </c>
      <c r="B471" s="55" t="s">
        <v>90</v>
      </c>
      <c r="C471" s="195">
        <v>0.25</v>
      </c>
      <c r="D471" s="195">
        <v>0.98</v>
      </c>
      <c r="E471" s="55">
        <v>356.256</v>
      </c>
      <c r="F471" s="105">
        <f t="shared" si="46"/>
        <v>313.9</v>
      </c>
      <c r="G471" s="105">
        <f t="shared" si="47"/>
        <v>42.356</v>
      </c>
      <c r="H471" s="105"/>
      <c r="I471" s="160">
        <f t="shared" si="48"/>
        <v>0.780000898230486</v>
      </c>
      <c r="J471" s="55"/>
      <c r="K471" s="55"/>
      <c r="L471" s="55">
        <v>277.88</v>
      </c>
      <c r="M471" s="4">
        <f t="shared" si="49"/>
        <v>13449.54</v>
      </c>
      <c r="O471" s="105" t="s">
        <v>1609</v>
      </c>
      <c r="P471" s="214">
        <f t="shared" si="50"/>
        <v>0.11889203269559</v>
      </c>
    </row>
    <row r="472" spans="1:16">
      <c r="A472" s="203">
        <v>46200</v>
      </c>
      <c r="B472" s="383" t="s">
        <v>154</v>
      </c>
      <c r="C472" s="195">
        <v>0.37</v>
      </c>
      <c r="D472" s="195">
        <v>0.93</v>
      </c>
      <c r="E472" s="55">
        <v>255.436</v>
      </c>
      <c r="F472" s="105">
        <f t="shared" ref="F472:F498" si="51">(D472-C472)*430</f>
        <v>240.8</v>
      </c>
      <c r="G472" s="105">
        <f t="shared" ref="G472:G498" si="52">E472-F472</f>
        <v>14.636</v>
      </c>
      <c r="H472" s="55"/>
      <c r="I472" s="160">
        <f t="shared" ref="I472:I498" si="53">L472/E472</f>
        <v>0.779999686810003</v>
      </c>
      <c r="J472" s="55"/>
      <c r="K472" s="55"/>
      <c r="L472" s="144">
        <v>199.24</v>
      </c>
      <c r="M472" s="4">
        <f t="shared" ref="M472:M498" si="54">M471+K472-L472</f>
        <v>13250.3</v>
      </c>
      <c r="O472" s="105" t="s">
        <v>1609</v>
      </c>
      <c r="P472" s="214">
        <f t="shared" ref="P472:P498" si="55">G472/E472</f>
        <v>0.0572981098983698</v>
      </c>
    </row>
    <row r="473" spans="1:16">
      <c r="A473" s="203">
        <v>46200</v>
      </c>
      <c r="B473" s="383" t="s">
        <v>192</v>
      </c>
      <c r="C473" s="195">
        <v>0.4</v>
      </c>
      <c r="D473" s="195">
        <v>0.98</v>
      </c>
      <c r="E473" s="55">
        <v>266.726</v>
      </c>
      <c r="F473" s="105">
        <f t="shared" si="51"/>
        <v>249.4</v>
      </c>
      <c r="G473" s="105">
        <f t="shared" si="52"/>
        <v>17.326</v>
      </c>
      <c r="H473" s="55"/>
      <c r="I473" s="160">
        <f t="shared" si="53"/>
        <v>0.779976455238709</v>
      </c>
      <c r="J473" s="55"/>
      <c r="K473" s="55"/>
      <c r="L473" s="144">
        <v>208.04</v>
      </c>
      <c r="M473" s="4">
        <f t="shared" si="54"/>
        <v>13042.26</v>
      </c>
      <c r="O473" s="105" t="s">
        <v>1609</v>
      </c>
      <c r="P473" s="214">
        <f t="shared" si="55"/>
        <v>0.0649580468345794</v>
      </c>
    </row>
    <row r="474" spans="1:16">
      <c r="A474" s="203">
        <v>46200</v>
      </c>
      <c r="B474" s="383" t="s">
        <v>105</v>
      </c>
      <c r="C474" s="195">
        <v>0.16</v>
      </c>
      <c r="D474" s="195">
        <v>0.96</v>
      </c>
      <c r="E474" s="55">
        <v>385.348</v>
      </c>
      <c r="F474" s="105">
        <f t="shared" si="51"/>
        <v>344</v>
      </c>
      <c r="G474" s="105">
        <f t="shared" si="52"/>
        <v>41.3480000000001</v>
      </c>
      <c r="H474" s="55"/>
      <c r="I474" s="160">
        <f t="shared" si="53"/>
        <v>0.779996263118013</v>
      </c>
      <c r="J474" s="55"/>
      <c r="K474" s="55"/>
      <c r="L474" s="144">
        <v>300.57</v>
      </c>
      <c r="M474" s="4">
        <f t="shared" si="54"/>
        <v>12741.69</v>
      </c>
      <c r="O474" s="105" t="s">
        <v>1609</v>
      </c>
      <c r="P474" s="214">
        <f t="shared" si="55"/>
        <v>0.107300414171087</v>
      </c>
    </row>
    <row r="475" spans="1:16">
      <c r="A475" s="203">
        <v>46200</v>
      </c>
      <c r="B475" s="383" t="s">
        <v>144</v>
      </c>
      <c r="C475" s="195">
        <v>0.42</v>
      </c>
      <c r="D475" s="195">
        <v>0.98</v>
      </c>
      <c r="E475" s="55">
        <v>254.883</v>
      </c>
      <c r="F475" s="105">
        <f t="shared" si="51"/>
        <v>240.8</v>
      </c>
      <c r="G475" s="105">
        <f t="shared" si="52"/>
        <v>14.083</v>
      </c>
      <c r="H475" s="55"/>
      <c r="I475" s="160">
        <f t="shared" si="53"/>
        <v>0.780004943444639</v>
      </c>
      <c r="J475" s="55"/>
      <c r="K475" s="55"/>
      <c r="L475" s="144">
        <v>198.81</v>
      </c>
      <c r="M475" s="4">
        <f t="shared" si="54"/>
        <v>12542.88</v>
      </c>
      <c r="O475" s="105" t="s">
        <v>1609</v>
      </c>
      <c r="P475" s="214">
        <f t="shared" si="55"/>
        <v>0.0552528022661378</v>
      </c>
    </row>
    <row r="476" spans="1:16">
      <c r="A476" s="203">
        <v>46200</v>
      </c>
      <c r="B476" s="383" t="s">
        <v>124</v>
      </c>
      <c r="C476" s="195">
        <v>0.19</v>
      </c>
      <c r="D476" s="195">
        <v>0.96</v>
      </c>
      <c r="E476" s="55">
        <v>346.043</v>
      </c>
      <c r="F476" s="105">
        <f t="shared" si="51"/>
        <v>331.1</v>
      </c>
      <c r="G476" s="105">
        <f t="shared" si="52"/>
        <v>14.943</v>
      </c>
      <c r="H476" s="55"/>
      <c r="I476" s="160">
        <f t="shared" si="53"/>
        <v>0.779989770057478</v>
      </c>
      <c r="J476" s="55"/>
      <c r="K476" s="55"/>
      <c r="L476" s="144">
        <v>269.91</v>
      </c>
      <c r="M476" s="4">
        <f t="shared" si="54"/>
        <v>12272.97</v>
      </c>
      <c r="O476" s="105" t="s">
        <v>1609</v>
      </c>
      <c r="P476" s="214">
        <f t="shared" si="55"/>
        <v>0.0431824946610681</v>
      </c>
    </row>
    <row r="477" spans="1:16">
      <c r="A477" s="203">
        <v>46200</v>
      </c>
      <c r="B477" s="383" t="s">
        <v>102</v>
      </c>
      <c r="C477" s="195">
        <v>0.16</v>
      </c>
      <c r="D477" s="195">
        <v>0.86</v>
      </c>
      <c r="E477" s="55">
        <v>333.711</v>
      </c>
      <c r="F477" s="105">
        <f t="shared" si="51"/>
        <v>301</v>
      </c>
      <c r="G477" s="105">
        <f t="shared" si="52"/>
        <v>32.711</v>
      </c>
      <c r="H477" s="55"/>
      <c r="I477" s="160">
        <f t="shared" si="53"/>
        <v>0.780016241598269</v>
      </c>
      <c r="J477" s="55"/>
      <c r="K477" s="55"/>
      <c r="L477" s="144">
        <v>260.3</v>
      </c>
      <c r="M477" s="4">
        <f t="shared" si="54"/>
        <v>12012.67</v>
      </c>
      <c r="O477" s="105" t="s">
        <v>1609</v>
      </c>
      <c r="P477" s="214">
        <f t="shared" si="55"/>
        <v>0.0980219411406876</v>
      </c>
    </row>
    <row r="478" spans="1:16">
      <c r="A478" s="203">
        <v>46200</v>
      </c>
      <c r="B478" s="383" t="s">
        <v>339</v>
      </c>
      <c r="C478" s="195">
        <v>0.37</v>
      </c>
      <c r="D478" s="195">
        <v>0.98</v>
      </c>
      <c r="E478" s="55">
        <v>278.602</v>
      </c>
      <c r="F478" s="105">
        <f t="shared" si="51"/>
        <v>262.3</v>
      </c>
      <c r="G478" s="105">
        <f t="shared" si="52"/>
        <v>16.302</v>
      </c>
      <c r="H478" s="55"/>
      <c r="I478" s="160">
        <f t="shared" si="53"/>
        <v>0.78000157931386</v>
      </c>
      <c r="J478" s="55"/>
      <c r="K478" s="55"/>
      <c r="L478" s="144">
        <v>217.31</v>
      </c>
      <c r="M478" s="4">
        <f t="shared" si="54"/>
        <v>11795.36</v>
      </c>
      <c r="O478" s="105" t="s">
        <v>1609</v>
      </c>
      <c r="P478" s="214">
        <f t="shared" si="55"/>
        <v>0.0585135785098455</v>
      </c>
    </row>
    <row r="479" spans="1:16">
      <c r="A479" s="203">
        <v>46200</v>
      </c>
      <c r="B479" s="383" t="s">
        <v>132</v>
      </c>
      <c r="C479" s="195">
        <v>0.19</v>
      </c>
      <c r="D479" s="195">
        <v>0.98</v>
      </c>
      <c r="E479" s="55">
        <v>361.161</v>
      </c>
      <c r="F479" s="105">
        <f t="shared" si="51"/>
        <v>339.7</v>
      </c>
      <c r="G479" s="105">
        <f t="shared" si="52"/>
        <v>21.461</v>
      </c>
      <c r="H479" s="55"/>
      <c r="I479" s="160">
        <f t="shared" si="53"/>
        <v>0.78001223830923</v>
      </c>
      <c r="J479" s="55"/>
      <c r="K479" s="55"/>
      <c r="L479" s="144">
        <v>281.71</v>
      </c>
      <c r="M479" s="4">
        <f t="shared" si="54"/>
        <v>11513.65</v>
      </c>
      <c r="O479" s="105" t="s">
        <v>1609</v>
      </c>
      <c r="P479" s="214">
        <f t="shared" si="55"/>
        <v>0.0594222521257833</v>
      </c>
    </row>
    <row r="480" spans="1:16">
      <c r="A480" s="203">
        <v>46200</v>
      </c>
      <c r="B480" s="383" t="s">
        <v>96</v>
      </c>
      <c r="C480" s="195">
        <v>0.16</v>
      </c>
      <c r="D480" s="195">
        <v>0.98</v>
      </c>
      <c r="E480" s="55">
        <v>405.199</v>
      </c>
      <c r="F480" s="105">
        <f t="shared" si="51"/>
        <v>352.6</v>
      </c>
      <c r="G480" s="105">
        <f t="shared" si="52"/>
        <v>52.599</v>
      </c>
      <c r="H480" s="55"/>
      <c r="I480" s="160">
        <f t="shared" si="53"/>
        <v>0.780011796672746</v>
      </c>
      <c r="J480" s="55"/>
      <c r="K480" s="55"/>
      <c r="L480" s="144">
        <v>316.06</v>
      </c>
      <c r="M480" s="4">
        <f t="shared" si="54"/>
        <v>11197.59</v>
      </c>
      <c r="O480" s="105" t="s">
        <v>1609</v>
      </c>
      <c r="P480" s="214">
        <f t="shared" si="55"/>
        <v>0.129810290746029</v>
      </c>
    </row>
    <row r="481" spans="1:16">
      <c r="A481" s="203">
        <v>46200</v>
      </c>
      <c r="B481" s="383" t="s">
        <v>135</v>
      </c>
      <c r="C481" s="195">
        <v>0.35</v>
      </c>
      <c r="D481" s="195">
        <v>0.97</v>
      </c>
      <c r="E481" s="55">
        <v>284.652</v>
      </c>
      <c r="F481" s="105">
        <f t="shared" si="51"/>
        <v>266.6</v>
      </c>
      <c r="G481" s="105">
        <f t="shared" si="52"/>
        <v>18.052</v>
      </c>
      <c r="H481" s="55"/>
      <c r="I481" s="160">
        <f t="shared" si="53"/>
        <v>0.780005058808651</v>
      </c>
      <c r="J481" s="55"/>
      <c r="K481" s="55"/>
      <c r="L481" s="144">
        <v>222.03</v>
      </c>
      <c r="M481" s="4">
        <f t="shared" si="54"/>
        <v>10975.56</v>
      </c>
      <c r="O481" s="105" t="s">
        <v>1609</v>
      </c>
      <c r="P481" s="214">
        <f t="shared" si="55"/>
        <v>0.0634177873333051</v>
      </c>
    </row>
    <row r="482" spans="1:16">
      <c r="A482" s="203">
        <v>46200</v>
      </c>
      <c r="B482" s="383" t="s">
        <v>127</v>
      </c>
      <c r="C482" s="195">
        <v>0.2</v>
      </c>
      <c r="D482" s="195">
        <v>0.98</v>
      </c>
      <c r="E482" s="55">
        <v>345.282</v>
      </c>
      <c r="F482" s="105">
        <f t="shared" si="51"/>
        <v>335.4</v>
      </c>
      <c r="G482" s="105">
        <f t="shared" si="52"/>
        <v>9.88199999999995</v>
      </c>
      <c r="H482" s="55"/>
      <c r="I482" s="160">
        <f t="shared" si="53"/>
        <v>0.780000115847336</v>
      </c>
      <c r="J482" s="55"/>
      <c r="K482" s="55"/>
      <c r="L482" s="144">
        <v>269.32</v>
      </c>
      <c r="M482" s="4">
        <f t="shared" si="54"/>
        <v>10706.24</v>
      </c>
      <c r="O482" s="105" t="s">
        <v>1609</v>
      </c>
      <c r="P482" s="214">
        <f t="shared" si="55"/>
        <v>0.0286200844527081</v>
      </c>
    </row>
    <row r="483" spans="1:16">
      <c r="A483" s="203">
        <v>46201</v>
      </c>
      <c r="B483" s="383" t="s">
        <v>124</v>
      </c>
      <c r="C483" s="195">
        <v>0.65</v>
      </c>
      <c r="D483" s="195">
        <v>0.78</v>
      </c>
      <c r="E483" s="55">
        <v>59.035</v>
      </c>
      <c r="F483" s="105">
        <f t="shared" si="51"/>
        <v>55.9</v>
      </c>
      <c r="G483" s="105">
        <f t="shared" si="52"/>
        <v>3.135</v>
      </c>
      <c r="H483" s="55"/>
      <c r="I483" s="160">
        <f t="shared" si="53"/>
        <v>0.780045735580588</v>
      </c>
      <c r="J483" s="55"/>
      <c r="K483" s="55"/>
      <c r="L483" s="144">
        <v>46.05</v>
      </c>
      <c r="M483" s="4">
        <f t="shared" si="54"/>
        <v>10660.19</v>
      </c>
      <c r="O483" s="105" t="s">
        <v>1609</v>
      </c>
      <c r="P483" s="214">
        <f t="shared" si="55"/>
        <v>0.053104090793597</v>
      </c>
    </row>
    <row r="484" spans="1:16">
      <c r="A484" s="203">
        <v>46201</v>
      </c>
      <c r="B484" s="383" t="s">
        <v>63</v>
      </c>
      <c r="C484" s="195">
        <v>0.12</v>
      </c>
      <c r="D484" s="195">
        <v>0.98</v>
      </c>
      <c r="E484" s="55">
        <v>420.975</v>
      </c>
      <c r="F484" s="105">
        <f t="shared" si="51"/>
        <v>369.8</v>
      </c>
      <c r="G484" s="105">
        <f t="shared" si="52"/>
        <v>51.175</v>
      </c>
      <c r="H484" s="55"/>
      <c r="I484" s="160">
        <f t="shared" si="53"/>
        <v>0.779998812281014</v>
      </c>
      <c r="J484" s="55"/>
      <c r="K484" s="55"/>
      <c r="L484" s="144">
        <v>328.36</v>
      </c>
      <c r="M484" s="4">
        <f t="shared" si="54"/>
        <v>10331.83</v>
      </c>
      <c r="O484" s="105" t="s">
        <v>1609</v>
      </c>
      <c r="P484" s="214">
        <f t="shared" si="55"/>
        <v>0.121563038185165</v>
      </c>
    </row>
    <row r="485" spans="1:16">
      <c r="A485" s="203">
        <v>46201</v>
      </c>
      <c r="B485" s="383" t="s">
        <v>111</v>
      </c>
      <c r="C485" s="195">
        <v>0.35</v>
      </c>
      <c r="D485" s="195">
        <v>0.98</v>
      </c>
      <c r="E485" s="55">
        <v>275.047</v>
      </c>
      <c r="F485" s="105">
        <f t="shared" si="51"/>
        <v>270.9</v>
      </c>
      <c r="G485" s="105">
        <f t="shared" si="52"/>
        <v>4.14700000000005</v>
      </c>
      <c r="H485" s="55"/>
      <c r="I485" s="160">
        <f t="shared" si="53"/>
        <v>0.779975785956582</v>
      </c>
      <c r="J485" s="55"/>
      <c r="K485" s="55"/>
      <c r="L485" s="144">
        <v>214.53</v>
      </c>
      <c r="M485" s="4">
        <f t="shared" si="54"/>
        <v>10117.3</v>
      </c>
      <c r="O485" s="105" t="s">
        <v>1609</v>
      </c>
      <c r="P485" s="214">
        <f t="shared" si="55"/>
        <v>0.0150774231313195</v>
      </c>
    </row>
    <row r="486" spans="1:16">
      <c r="A486" s="203">
        <v>46201</v>
      </c>
      <c r="B486" s="383" t="s">
        <v>183</v>
      </c>
      <c r="C486" s="195">
        <v>0.15</v>
      </c>
      <c r="D486" s="195">
        <v>0.98</v>
      </c>
      <c r="E486" s="55">
        <v>377.88</v>
      </c>
      <c r="F486" s="105">
        <f t="shared" si="51"/>
        <v>356.9</v>
      </c>
      <c r="G486" s="105">
        <f t="shared" si="52"/>
        <v>20.98</v>
      </c>
      <c r="H486" s="55"/>
      <c r="I486" s="160">
        <f t="shared" si="53"/>
        <v>0.780009526833916</v>
      </c>
      <c r="J486" s="55"/>
      <c r="K486" s="55"/>
      <c r="L486" s="144">
        <v>294.75</v>
      </c>
      <c r="M486" s="4">
        <f t="shared" si="54"/>
        <v>9822.55</v>
      </c>
      <c r="O486" s="105" t="s">
        <v>1609</v>
      </c>
      <c r="P486" s="214">
        <f t="shared" si="55"/>
        <v>0.0555202709854981</v>
      </c>
    </row>
    <row r="487" spans="1:16">
      <c r="A487" s="203">
        <v>46201</v>
      </c>
      <c r="B487" s="383" t="s">
        <v>207</v>
      </c>
      <c r="C487" s="195">
        <v>0.69</v>
      </c>
      <c r="D487" s="195">
        <v>0.98</v>
      </c>
      <c r="E487" s="55">
        <v>132.089</v>
      </c>
      <c r="F487" s="105">
        <f t="shared" si="51"/>
        <v>124.7</v>
      </c>
      <c r="G487" s="105">
        <f t="shared" si="52"/>
        <v>7.38899999999998</v>
      </c>
      <c r="H487" s="55"/>
      <c r="I487" s="160">
        <f t="shared" si="53"/>
        <v>0.78000439097881</v>
      </c>
      <c r="J487" s="55"/>
      <c r="K487" s="55"/>
      <c r="L487" s="144">
        <v>103.03</v>
      </c>
      <c r="M487" s="4">
        <f t="shared" si="54"/>
        <v>9719.52</v>
      </c>
      <c r="O487" s="105" t="s">
        <v>1609</v>
      </c>
      <c r="P487" s="214">
        <f t="shared" si="55"/>
        <v>0.0559395559054878</v>
      </c>
    </row>
    <row r="488" spans="1:16">
      <c r="A488" s="203">
        <v>46201</v>
      </c>
      <c r="B488" s="383" t="s">
        <v>148</v>
      </c>
      <c r="C488" s="195">
        <v>0.69</v>
      </c>
      <c r="D488" s="195">
        <v>0.92</v>
      </c>
      <c r="E488" s="55">
        <v>105.738</v>
      </c>
      <c r="F488" s="105">
        <f t="shared" si="51"/>
        <v>98.9</v>
      </c>
      <c r="G488" s="105">
        <f t="shared" si="52"/>
        <v>6.83799999999997</v>
      </c>
      <c r="H488" s="55"/>
      <c r="I488" s="160">
        <f t="shared" si="53"/>
        <v>0.77994666061397</v>
      </c>
      <c r="J488" s="55"/>
      <c r="K488" s="55"/>
      <c r="L488" s="144">
        <v>82.47</v>
      </c>
      <c r="M488" s="4">
        <f t="shared" si="54"/>
        <v>9637.05</v>
      </c>
      <c r="O488" s="105" t="s">
        <v>1609</v>
      </c>
      <c r="P488" s="214">
        <f t="shared" si="55"/>
        <v>0.0646692768919401</v>
      </c>
    </row>
    <row r="489" spans="1:16">
      <c r="A489" s="203">
        <v>46201</v>
      </c>
      <c r="B489" s="383" t="s">
        <v>174</v>
      </c>
      <c r="C489" s="195">
        <v>0.43</v>
      </c>
      <c r="D489" s="195">
        <v>0.98</v>
      </c>
      <c r="E489" s="55">
        <v>251.504</v>
      </c>
      <c r="F489" s="105">
        <f t="shared" si="51"/>
        <v>236.5</v>
      </c>
      <c r="G489" s="105">
        <f t="shared" si="52"/>
        <v>15.004</v>
      </c>
      <c r="H489" s="55"/>
      <c r="I489" s="160">
        <f t="shared" si="53"/>
        <v>0.780027355429735</v>
      </c>
      <c r="J489" s="55"/>
      <c r="K489" s="55"/>
      <c r="L489" s="144">
        <v>196.18</v>
      </c>
      <c r="M489" s="4">
        <f t="shared" si="54"/>
        <v>9440.87</v>
      </c>
      <c r="O489" s="105" t="s">
        <v>1609</v>
      </c>
      <c r="P489" s="214">
        <f t="shared" si="55"/>
        <v>0.0596571028691391</v>
      </c>
    </row>
    <row r="490" spans="1:16">
      <c r="A490" s="203">
        <v>46201</v>
      </c>
      <c r="B490" s="383" t="s">
        <v>132</v>
      </c>
      <c r="C490" s="195">
        <v>0.75</v>
      </c>
      <c r="D490" s="195">
        <v>0.94</v>
      </c>
      <c r="E490" s="55">
        <v>88.009</v>
      </c>
      <c r="F490" s="105">
        <f t="shared" si="51"/>
        <v>81.7</v>
      </c>
      <c r="G490" s="105">
        <f t="shared" si="52"/>
        <v>6.30900000000003</v>
      </c>
      <c r="H490" s="55"/>
      <c r="I490" s="160">
        <f t="shared" si="53"/>
        <v>0.779920235430467</v>
      </c>
      <c r="J490" s="55"/>
      <c r="K490" s="55"/>
      <c r="L490" s="144">
        <v>68.64</v>
      </c>
      <c r="M490" s="4">
        <f t="shared" si="54"/>
        <v>9372.23</v>
      </c>
      <c r="O490" s="105" t="s">
        <v>1609</v>
      </c>
      <c r="P490" s="214">
        <f t="shared" si="55"/>
        <v>0.071685850310764</v>
      </c>
    </row>
    <row r="491" spans="1:16">
      <c r="A491" s="203">
        <v>46201</v>
      </c>
      <c r="B491" s="383" t="s">
        <v>151</v>
      </c>
      <c r="C491" s="195">
        <v>0.43</v>
      </c>
      <c r="D491" s="195">
        <v>0.97</v>
      </c>
      <c r="E491" s="55">
        <v>247.782</v>
      </c>
      <c r="F491" s="105">
        <f t="shared" si="51"/>
        <v>232.2</v>
      </c>
      <c r="G491" s="105">
        <f t="shared" si="52"/>
        <v>15.582</v>
      </c>
      <c r="H491" s="55"/>
      <c r="I491" s="160">
        <f t="shared" si="53"/>
        <v>0.780000161432227</v>
      </c>
      <c r="J491" s="55"/>
      <c r="K491" s="55"/>
      <c r="L491" s="144">
        <v>193.27</v>
      </c>
      <c r="M491" s="4">
        <f t="shared" si="54"/>
        <v>9178.96</v>
      </c>
      <c r="O491" s="105" t="s">
        <v>1609</v>
      </c>
      <c r="P491" s="214">
        <f t="shared" si="55"/>
        <v>0.0628859239169915</v>
      </c>
    </row>
    <row r="492" spans="1:16">
      <c r="A492" s="203">
        <v>46201</v>
      </c>
      <c r="B492" s="383" t="s">
        <v>75</v>
      </c>
      <c r="C492" s="195">
        <v>0.19</v>
      </c>
      <c r="D492" s="195">
        <v>0.98</v>
      </c>
      <c r="E492" s="55">
        <v>377.495</v>
      </c>
      <c r="F492" s="105">
        <f t="shared" si="51"/>
        <v>339.7</v>
      </c>
      <c r="G492" s="105">
        <f t="shared" si="52"/>
        <v>37.795</v>
      </c>
      <c r="H492" s="55"/>
      <c r="I492" s="160">
        <f t="shared" si="53"/>
        <v>0.779983840845574</v>
      </c>
      <c r="J492" s="55"/>
      <c r="K492" s="55"/>
      <c r="L492" s="144">
        <v>294.44</v>
      </c>
      <c r="M492" s="4">
        <f t="shared" si="54"/>
        <v>8884.52</v>
      </c>
      <c r="O492" s="105" t="s">
        <v>1609</v>
      </c>
      <c r="P492" s="214">
        <f t="shared" si="55"/>
        <v>0.100120531397767</v>
      </c>
    </row>
    <row r="493" spans="1:16">
      <c r="A493" s="203">
        <v>46202</v>
      </c>
      <c r="B493" s="383" t="s">
        <v>210</v>
      </c>
      <c r="C493" s="195">
        <v>0.31</v>
      </c>
      <c r="D493" s="195">
        <v>0.95</v>
      </c>
      <c r="E493" s="55">
        <v>291.302</v>
      </c>
      <c r="F493" s="105">
        <f t="shared" si="51"/>
        <v>275.2</v>
      </c>
      <c r="G493" s="105">
        <f t="shared" si="52"/>
        <v>16.1020000000001</v>
      </c>
      <c r="H493" s="55"/>
      <c r="I493" s="160">
        <f t="shared" si="53"/>
        <v>0.78001524191389</v>
      </c>
      <c r="J493" s="55"/>
      <c r="K493" s="55"/>
      <c r="L493" s="144">
        <v>227.22</v>
      </c>
      <c r="M493" s="4">
        <f t="shared" si="54"/>
        <v>8657.3</v>
      </c>
      <c r="O493" s="105" t="s">
        <v>1609</v>
      </c>
      <c r="P493" s="214">
        <f t="shared" si="55"/>
        <v>0.055275967895861</v>
      </c>
    </row>
    <row r="494" spans="1:16">
      <c r="A494" s="203">
        <v>46202</v>
      </c>
      <c r="B494" s="383" t="s">
        <v>124</v>
      </c>
      <c r="C494" s="195">
        <v>0.26</v>
      </c>
      <c r="D494" s="195">
        <v>0.96</v>
      </c>
      <c r="E494" s="55">
        <v>308.455</v>
      </c>
      <c r="F494" s="105">
        <f t="shared" si="51"/>
        <v>301</v>
      </c>
      <c r="G494" s="105">
        <f t="shared" si="52"/>
        <v>7.45499999999998</v>
      </c>
      <c r="H494" s="55"/>
      <c r="I494" s="160">
        <f t="shared" si="53"/>
        <v>0.779984114376489</v>
      </c>
      <c r="J494" s="55"/>
      <c r="K494" s="55"/>
      <c r="L494" s="144">
        <v>240.59</v>
      </c>
      <c r="M494" s="4">
        <f t="shared" si="54"/>
        <v>8416.71</v>
      </c>
      <c r="O494" s="105" t="s">
        <v>1609</v>
      </c>
      <c r="P494" s="214">
        <f t="shared" si="55"/>
        <v>0.0241688414841711</v>
      </c>
    </row>
    <row r="495" spans="1:16">
      <c r="A495" s="203">
        <v>46202</v>
      </c>
      <c r="B495" s="383" t="s">
        <v>75</v>
      </c>
      <c r="C495" s="195">
        <v>0.14</v>
      </c>
      <c r="D495" s="195">
        <v>0.95</v>
      </c>
      <c r="E495" s="55">
        <v>396.775</v>
      </c>
      <c r="F495" s="105">
        <f t="shared" si="51"/>
        <v>348.3</v>
      </c>
      <c r="G495" s="105">
        <f t="shared" si="52"/>
        <v>48.475</v>
      </c>
      <c r="H495" s="55"/>
      <c r="I495" s="160">
        <f t="shared" si="53"/>
        <v>0.779988658559637</v>
      </c>
      <c r="J495" s="55"/>
      <c r="K495" s="55"/>
      <c r="L495" s="144">
        <v>309.48</v>
      </c>
      <c r="M495" s="4">
        <f t="shared" si="54"/>
        <v>8107.23</v>
      </c>
      <c r="O495" s="105" t="s">
        <v>1609</v>
      </c>
      <c r="P495" s="214">
        <f t="shared" si="55"/>
        <v>0.122172515909521</v>
      </c>
    </row>
    <row r="496" spans="1:16">
      <c r="A496" s="203">
        <v>46202</v>
      </c>
      <c r="B496" s="383" t="s">
        <v>114</v>
      </c>
      <c r="C496" s="195">
        <v>0.25</v>
      </c>
      <c r="D496" s="195">
        <v>0.95</v>
      </c>
      <c r="E496" s="55">
        <v>295.914</v>
      </c>
      <c r="F496" s="105">
        <f t="shared" si="51"/>
        <v>301</v>
      </c>
      <c r="G496" s="105">
        <f t="shared" si="52"/>
        <v>-5.08600000000001</v>
      </c>
      <c r="H496" s="55"/>
      <c r="I496" s="160">
        <f t="shared" si="53"/>
        <v>0.779990132268159</v>
      </c>
      <c r="J496" s="55"/>
      <c r="K496" s="55"/>
      <c r="L496" s="144">
        <v>230.81</v>
      </c>
      <c r="M496" s="4">
        <f t="shared" si="54"/>
        <v>7876.42</v>
      </c>
      <c r="O496" s="105" t="s">
        <v>1609</v>
      </c>
      <c r="P496" s="214">
        <f t="shared" si="55"/>
        <v>-0.0171874260764952</v>
      </c>
    </row>
    <row r="497" spans="1:18">
      <c r="A497" s="203">
        <v>46202</v>
      </c>
      <c r="B497" s="383" t="s">
        <v>132</v>
      </c>
      <c r="C497" s="195">
        <v>0.15</v>
      </c>
      <c r="D497" s="195">
        <v>0.86</v>
      </c>
      <c r="E497" s="55">
        <v>322.658</v>
      </c>
      <c r="F497" s="105">
        <f t="shared" si="51"/>
        <v>305.3</v>
      </c>
      <c r="G497" s="105">
        <f t="shared" si="52"/>
        <v>17.358</v>
      </c>
      <c r="H497" s="55"/>
      <c r="I497" s="160">
        <f t="shared" si="53"/>
        <v>0.779989958407974</v>
      </c>
      <c r="J497" s="55"/>
      <c r="K497" s="55"/>
      <c r="L497" s="144">
        <v>251.67</v>
      </c>
      <c r="M497" s="4">
        <f t="shared" si="54"/>
        <v>7624.75</v>
      </c>
      <c r="O497" s="105" t="s">
        <v>1609</v>
      </c>
      <c r="P497" s="214">
        <f t="shared" si="55"/>
        <v>0.0537968995034991</v>
      </c>
    </row>
    <row r="498" spans="1:18">
      <c r="A498" s="203">
        <v>46202</v>
      </c>
      <c r="B498" s="383" t="s">
        <v>93</v>
      </c>
      <c r="C498" s="195">
        <v>0.19</v>
      </c>
      <c r="D498" s="195">
        <v>0.98</v>
      </c>
      <c r="E498" s="55">
        <v>405.822</v>
      </c>
      <c r="F498" s="105">
        <f t="shared" si="51"/>
        <v>339.7</v>
      </c>
      <c r="G498" s="105">
        <f t="shared" si="52"/>
        <v>66.122</v>
      </c>
      <c r="H498" s="55"/>
      <c r="I498" s="160">
        <f t="shared" si="53"/>
        <v>0.780021782949175</v>
      </c>
      <c r="J498" s="55"/>
      <c r="K498" s="55"/>
      <c r="L498" s="144">
        <v>316.55</v>
      </c>
      <c r="M498" s="4">
        <f t="shared" si="54"/>
        <v>7308.2</v>
      </c>
      <c r="O498" s="105" t="s">
        <v>1609</v>
      </c>
      <c r="P498" s="214">
        <f t="shared" si="55"/>
        <v>0.162933502865788</v>
      </c>
      <c r="Q498" s="144" t="str">
        <f>MIN(MAX(C498,0),100)&amp;"%"</f>
        <v>0.19%</v>
      </c>
      <c r="R498" s="144" t="str">
        <f>MIN(MAX(D498,0),100)&amp;"%"</f>
        <v>0.98%</v>
      </c>
    </row>
  </sheetData>
  <autoFilter xmlns:etc="http://www.wps.cn/officeDocument/2017/etCustomData" ref="A1:Q471" etc:filterBottomFollowUsedRange="0">
    <sortState ref="A1:Q471">
      <sortCondition ref="A1"/>
    </sortState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69"/>
  <sheetViews>
    <sheetView workbookViewId="0">
      <pane ySplit="1" topLeftCell="A844" activePane="bottomLeft" state="frozen"/>
      <selection/>
      <selection pane="bottomLeft" activeCell="F844" sqref="F844"/>
    </sheetView>
  </sheetViews>
  <sheetFormatPr defaultColWidth="9" defaultRowHeight="13.5"/>
  <cols>
    <col min="1" max="1" width="10.125" style="144" customWidth="1"/>
    <col min="2" max="2" width="12" style="144" customWidth="1"/>
    <col min="3" max="3" width="9.375" style="341"/>
    <col min="4" max="4" width="10.375" style="341"/>
    <col min="5" max="5" width="9.75" style="144"/>
    <col min="6" max="6" width="12.625" style="144"/>
    <col min="7" max="7" width="11.5" style="144"/>
    <col min="8" max="8" width="9" style="144"/>
    <col min="9" max="9" width="12.625" style="144"/>
    <col min="10" max="10" width="9" style="144"/>
    <col min="11" max="12" width="12.125" style="144" customWidth="1"/>
    <col min="13" max="13" width="11.5" style="144"/>
    <col min="14" max="14" width="9.375" style="144"/>
    <col min="15" max="15" width="21.5" style="144" customWidth="1"/>
    <col min="16" max="16" width="12.7583333333333" style="144" customWidth="1"/>
    <col min="17" max="16384" width="9" style="144"/>
  </cols>
  <sheetData>
    <row r="1" s="144" customFormat="1" spans="1:15">
      <c r="A1" s="312" t="s">
        <v>335</v>
      </c>
      <c r="B1" s="139" t="s">
        <v>3</v>
      </c>
      <c r="C1" s="341" t="s">
        <v>1581</v>
      </c>
      <c r="D1" s="341" t="s">
        <v>1582</v>
      </c>
      <c r="E1" s="141" t="s">
        <v>1583</v>
      </c>
      <c r="F1" s="139" t="s">
        <v>1584</v>
      </c>
      <c r="G1" s="145" t="s">
        <v>1585</v>
      </c>
      <c r="H1" s="342" t="s">
        <v>1603</v>
      </c>
      <c r="I1" s="141" t="s">
        <v>1588</v>
      </c>
      <c r="J1" s="141" t="s">
        <v>1604</v>
      </c>
      <c r="K1" s="141" t="s">
        <v>1610</v>
      </c>
      <c r="L1" s="141" t="s">
        <v>1589</v>
      </c>
      <c r="M1" s="141" t="s">
        <v>1606</v>
      </c>
      <c r="N1" s="139" t="s">
        <v>1607</v>
      </c>
      <c r="O1" s="144" t="s">
        <v>1590</v>
      </c>
    </row>
    <row r="2" spans="1:15">
      <c r="A2" s="294"/>
      <c r="M2" s="144">
        <v>7832.94000000003</v>
      </c>
    </row>
    <row r="3" spans="1:15">
      <c r="A3" s="156">
        <v>46174</v>
      </c>
      <c r="B3" s="168" t="s">
        <v>51</v>
      </c>
      <c r="C3" s="341">
        <v>0.45</v>
      </c>
      <c r="D3" s="341">
        <v>0.98</v>
      </c>
      <c r="E3" s="159">
        <v>224.556</v>
      </c>
      <c r="F3" s="10">
        <f t="shared" ref="F3:F66" si="0">(D3-C3)*430</f>
        <v>227.9</v>
      </c>
      <c r="G3" s="10">
        <f t="shared" ref="G3:G66" si="1">E3-F3</f>
        <v>-3.34399999999999</v>
      </c>
      <c r="H3" s="10"/>
      <c r="I3" s="153">
        <f t="shared" ref="I3:I66" si="2">L3/E3</f>
        <v>0.819973636865637</v>
      </c>
      <c r="J3" s="155"/>
      <c r="K3" s="166">
        <v>20000</v>
      </c>
      <c r="L3" s="10">
        <v>184.13</v>
      </c>
      <c r="M3" s="162">
        <f t="shared" ref="M3:M66" si="3">M2+K3-L3</f>
        <v>27648.81</v>
      </c>
      <c r="N3" s="11"/>
      <c r="O3" s="343" t="s">
        <v>1611</v>
      </c>
    </row>
    <row r="4" spans="1:15">
      <c r="A4" s="163">
        <v>46174</v>
      </c>
      <c r="B4" s="164" t="s">
        <v>75</v>
      </c>
      <c r="C4" s="341">
        <v>0.21</v>
      </c>
      <c r="D4" s="341">
        <v>0.98</v>
      </c>
      <c r="E4" s="165">
        <v>372.72</v>
      </c>
      <c r="F4" s="10">
        <f t="shared" si="0"/>
        <v>331.1</v>
      </c>
      <c r="G4" s="247">
        <f t="shared" si="1"/>
        <v>41.62</v>
      </c>
      <c r="H4" s="10"/>
      <c r="I4" s="153">
        <f t="shared" si="2"/>
        <v>0.819972097016527</v>
      </c>
      <c r="J4" s="155"/>
      <c r="K4" s="166"/>
      <c r="L4" s="10">
        <v>305.62</v>
      </c>
      <c r="M4" s="162">
        <f t="shared" si="3"/>
        <v>27343.19</v>
      </c>
      <c r="N4" s="11"/>
      <c r="O4" s="343" t="s">
        <v>1611</v>
      </c>
    </row>
    <row r="5" spans="1:15">
      <c r="A5" s="163">
        <v>46174</v>
      </c>
      <c r="B5" s="164" t="s">
        <v>130</v>
      </c>
      <c r="C5" s="341">
        <v>0.19</v>
      </c>
      <c r="D5" s="341">
        <v>1</v>
      </c>
      <c r="E5" s="165">
        <v>332.087</v>
      </c>
      <c r="F5" s="10">
        <f t="shared" si="0"/>
        <v>348.3</v>
      </c>
      <c r="G5" s="10">
        <f t="shared" si="1"/>
        <v>-16.213</v>
      </c>
      <c r="H5" s="10"/>
      <c r="I5" s="153">
        <f t="shared" si="2"/>
        <v>0.819845401957921</v>
      </c>
      <c r="J5" s="155"/>
      <c r="K5" s="166"/>
      <c r="L5" s="10">
        <v>272.26</v>
      </c>
      <c r="M5" s="162">
        <f t="shared" si="3"/>
        <v>27070.93</v>
      </c>
      <c r="N5" s="11"/>
      <c r="O5" s="343" t="s">
        <v>1611</v>
      </c>
    </row>
    <row r="6" spans="1:15">
      <c r="A6" s="163">
        <v>46174</v>
      </c>
      <c r="B6" s="164" t="s">
        <v>60</v>
      </c>
      <c r="C6" s="341">
        <v>0.48</v>
      </c>
      <c r="D6" s="341">
        <v>0.98</v>
      </c>
      <c r="E6" s="165">
        <v>216.102</v>
      </c>
      <c r="F6" s="10">
        <f t="shared" si="0"/>
        <v>215</v>
      </c>
      <c r="G6" s="10">
        <f t="shared" si="1"/>
        <v>1.102</v>
      </c>
      <c r="H6" s="10"/>
      <c r="I6" s="153">
        <f t="shared" si="2"/>
        <v>0.789488297192992</v>
      </c>
      <c r="J6" s="155"/>
      <c r="K6" s="166"/>
      <c r="L6" s="10">
        <v>170.61</v>
      </c>
      <c r="M6" s="162">
        <f t="shared" si="3"/>
        <v>26900.32</v>
      </c>
      <c r="N6" s="11"/>
      <c r="O6" s="343" t="s">
        <v>1611</v>
      </c>
    </row>
    <row r="7" spans="1:15">
      <c r="A7" s="163">
        <v>46174</v>
      </c>
      <c r="B7" s="164" t="s">
        <v>99</v>
      </c>
      <c r="C7" s="341">
        <v>0.38</v>
      </c>
      <c r="D7" s="341">
        <v>0.92</v>
      </c>
      <c r="E7" s="165">
        <v>256.863</v>
      </c>
      <c r="F7" s="10">
        <f t="shared" si="0"/>
        <v>232.2</v>
      </c>
      <c r="G7" s="247">
        <f t="shared" si="1"/>
        <v>24.663</v>
      </c>
      <c r="H7" s="10"/>
      <c r="I7" s="153">
        <f t="shared" si="2"/>
        <v>0.669968037436299</v>
      </c>
      <c r="J7" s="155"/>
      <c r="K7" s="166"/>
      <c r="L7" s="10">
        <v>172.09</v>
      </c>
      <c r="M7" s="162">
        <f t="shared" si="3"/>
        <v>26728.23</v>
      </c>
      <c r="N7" s="11"/>
      <c r="O7" s="343" t="s">
        <v>1611</v>
      </c>
    </row>
    <row r="8" spans="1:15">
      <c r="A8" s="163">
        <v>46174</v>
      </c>
      <c r="B8" s="164" t="s">
        <v>117</v>
      </c>
      <c r="C8" s="341">
        <v>0.2</v>
      </c>
      <c r="D8" s="341">
        <v>1</v>
      </c>
      <c r="E8" s="165">
        <v>334.927</v>
      </c>
      <c r="F8" s="10">
        <f t="shared" si="0"/>
        <v>344</v>
      </c>
      <c r="G8" s="10">
        <f t="shared" si="1"/>
        <v>-9.07299999999998</v>
      </c>
      <c r="H8" s="10"/>
      <c r="I8" s="153">
        <f t="shared" si="2"/>
        <v>0.669966888307004</v>
      </c>
      <c r="J8" s="155"/>
      <c r="K8" s="166"/>
      <c r="L8" s="10">
        <v>224.39</v>
      </c>
      <c r="M8" s="162">
        <f t="shared" si="3"/>
        <v>26503.84</v>
      </c>
      <c r="N8" s="11"/>
      <c r="O8" s="343" t="s">
        <v>1611</v>
      </c>
    </row>
    <row r="9" spans="1:15">
      <c r="A9" s="163">
        <v>46174</v>
      </c>
      <c r="B9" s="164" t="s">
        <v>121</v>
      </c>
      <c r="C9" s="341">
        <v>0.48</v>
      </c>
      <c r="D9" s="341">
        <v>1</v>
      </c>
      <c r="E9" s="165">
        <v>215.859</v>
      </c>
      <c r="F9" s="10">
        <f t="shared" si="0"/>
        <v>223.6</v>
      </c>
      <c r="G9" s="10">
        <f t="shared" si="1"/>
        <v>-7.74099999999999</v>
      </c>
      <c r="H9" s="10"/>
      <c r="I9" s="153">
        <f t="shared" si="2"/>
        <v>0.669928054887681</v>
      </c>
      <c r="J9" s="155"/>
      <c r="K9" s="166"/>
      <c r="L9" s="10">
        <v>144.61</v>
      </c>
      <c r="M9" s="162">
        <f t="shared" si="3"/>
        <v>26359.23</v>
      </c>
      <c r="N9" s="11"/>
      <c r="O9" s="343" t="s">
        <v>1611</v>
      </c>
    </row>
    <row r="10" spans="1:15">
      <c r="A10" s="163">
        <v>46174</v>
      </c>
      <c r="B10" s="164" t="s">
        <v>54</v>
      </c>
      <c r="C10" s="341">
        <v>0.43</v>
      </c>
      <c r="D10" s="341">
        <v>0.96</v>
      </c>
      <c r="E10" s="165">
        <v>225.374</v>
      </c>
      <c r="F10" s="10">
        <f t="shared" si="0"/>
        <v>227.9</v>
      </c>
      <c r="G10" s="10">
        <f t="shared" si="1"/>
        <v>-2.52600000000001</v>
      </c>
      <c r="H10" s="10"/>
      <c r="I10" s="153">
        <f t="shared" si="2"/>
        <v>0.819925989688251</v>
      </c>
      <c r="J10" s="155"/>
      <c r="K10" s="166"/>
      <c r="L10" s="10">
        <v>184.79</v>
      </c>
      <c r="M10" s="162">
        <f t="shared" si="3"/>
        <v>26174.44</v>
      </c>
      <c r="N10" s="11"/>
      <c r="O10" s="343" t="s">
        <v>1611</v>
      </c>
    </row>
    <row r="11" spans="1:15">
      <c r="A11" s="163">
        <v>46174</v>
      </c>
      <c r="B11" s="164" t="s">
        <v>102</v>
      </c>
      <c r="C11" s="341">
        <v>0.23</v>
      </c>
      <c r="D11" s="341">
        <v>0.9</v>
      </c>
      <c r="E11" s="165">
        <v>310.849</v>
      </c>
      <c r="F11" s="10">
        <f t="shared" si="0"/>
        <v>288.1</v>
      </c>
      <c r="G11" s="247">
        <f t="shared" si="1"/>
        <v>22.749</v>
      </c>
      <c r="H11" s="10"/>
      <c r="I11" s="153">
        <f t="shared" si="2"/>
        <v>0.949978928675981</v>
      </c>
      <c r="J11" s="155"/>
      <c r="K11" s="166"/>
      <c r="L11" s="10">
        <v>295.3</v>
      </c>
      <c r="M11" s="162">
        <f t="shared" si="3"/>
        <v>25879.14</v>
      </c>
      <c r="N11" s="11"/>
      <c r="O11" s="343" t="s">
        <v>1611</v>
      </c>
    </row>
    <row r="12" spans="1:15">
      <c r="A12" s="163">
        <v>46174</v>
      </c>
      <c r="B12" s="164" t="s">
        <v>111</v>
      </c>
      <c r="C12" s="341">
        <v>0.47</v>
      </c>
      <c r="D12" s="341">
        <v>0.92</v>
      </c>
      <c r="E12" s="165">
        <v>188.596</v>
      </c>
      <c r="F12" s="10">
        <f t="shared" si="0"/>
        <v>193.5</v>
      </c>
      <c r="G12" s="10">
        <f t="shared" si="1"/>
        <v>-4.90400000000002</v>
      </c>
      <c r="H12" s="10"/>
      <c r="I12" s="153">
        <f t="shared" si="2"/>
        <v>0.949914102101847</v>
      </c>
      <c r="J12" s="155"/>
      <c r="K12" s="166"/>
      <c r="L12" s="10">
        <v>179.15</v>
      </c>
      <c r="M12" s="162">
        <f t="shared" si="3"/>
        <v>25699.99</v>
      </c>
      <c r="N12" s="11"/>
      <c r="O12" s="343" t="s">
        <v>1611</v>
      </c>
    </row>
    <row r="13" spans="1:15">
      <c r="A13" s="163">
        <v>46174</v>
      </c>
      <c r="B13" s="164" t="s">
        <v>90</v>
      </c>
      <c r="C13" s="341">
        <v>0.29</v>
      </c>
      <c r="D13" s="341">
        <v>0.92</v>
      </c>
      <c r="E13" s="165">
        <v>294.238</v>
      </c>
      <c r="F13" s="10">
        <f t="shared" si="0"/>
        <v>270.9</v>
      </c>
      <c r="G13" s="247">
        <f t="shared" si="1"/>
        <v>23.338</v>
      </c>
      <c r="H13" s="10"/>
      <c r="I13" s="153">
        <f t="shared" si="2"/>
        <v>0.949979268483337</v>
      </c>
      <c r="J13" s="155"/>
      <c r="K13" s="166"/>
      <c r="L13" s="10">
        <v>279.52</v>
      </c>
      <c r="M13" s="162">
        <f t="shared" si="3"/>
        <v>25420.47</v>
      </c>
      <c r="N13" s="11"/>
      <c r="O13" s="343" t="s">
        <v>1611</v>
      </c>
    </row>
    <row r="14" spans="1:15">
      <c r="A14" s="163">
        <v>46174</v>
      </c>
      <c r="B14" s="164" t="s">
        <v>93</v>
      </c>
      <c r="C14" s="341">
        <v>0.26</v>
      </c>
      <c r="D14" s="341">
        <v>0.91</v>
      </c>
      <c r="E14" s="165">
        <v>306.214</v>
      </c>
      <c r="F14" s="10">
        <f t="shared" si="0"/>
        <v>279.5</v>
      </c>
      <c r="G14" s="247">
        <f t="shared" si="1"/>
        <v>26.714</v>
      </c>
      <c r="H14" s="10"/>
      <c r="I14" s="153">
        <f t="shared" si="2"/>
        <v>0.949989223222975</v>
      </c>
      <c r="J14" s="155"/>
      <c r="K14" s="166"/>
      <c r="L14" s="10">
        <v>290.9</v>
      </c>
      <c r="M14" s="162">
        <f t="shared" si="3"/>
        <v>25129.57</v>
      </c>
      <c r="N14" s="11"/>
      <c r="O14" s="343" t="s">
        <v>1611</v>
      </c>
    </row>
    <row r="15" spans="1:15">
      <c r="A15" s="163">
        <v>46174</v>
      </c>
      <c r="B15" s="164" t="s">
        <v>72</v>
      </c>
      <c r="C15" s="341">
        <v>0.27</v>
      </c>
      <c r="D15" s="341">
        <v>0.93</v>
      </c>
      <c r="E15" s="165">
        <v>311.023</v>
      </c>
      <c r="F15" s="10">
        <f t="shared" si="0"/>
        <v>283.8</v>
      </c>
      <c r="G15" s="247">
        <f t="shared" si="1"/>
        <v>27.223</v>
      </c>
      <c r="H15" s="10"/>
      <c r="I15" s="153">
        <f t="shared" si="2"/>
        <v>0.9499618999238</v>
      </c>
      <c r="J15" s="155"/>
      <c r="K15" s="166"/>
      <c r="L15" s="10">
        <v>295.46</v>
      </c>
      <c r="M15" s="162">
        <f t="shared" si="3"/>
        <v>24834.11</v>
      </c>
      <c r="N15" s="11"/>
      <c r="O15" s="343" t="s">
        <v>1611</v>
      </c>
    </row>
    <row r="16" spans="1:15">
      <c r="A16" s="163">
        <v>46174</v>
      </c>
      <c r="B16" s="164" t="s">
        <v>63</v>
      </c>
      <c r="C16" s="341">
        <v>0.23</v>
      </c>
      <c r="D16" s="341">
        <v>0.93</v>
      </c>
      <c r="E16" s="165">
        <v>328.402</v>
      </c>
      <c r="F16" s="10">
        <f t="shared" si="0"/>
        <v>301</v>
      </c>
      <c r="G16" s="247">
        <f t="shared" si="1"/>
        <v>27.4019999999999</v>
      </c>
      <c r="H16" s="10"/>
      <c r="I16" s="153">
        <f t="shared" si="2"/>
        <v>0.94259474668242</v>
      </c>
      <c r="J16" s="155"/>
      <c r="K16" s="166"/>
      <c r="L16" s="10">
        <v>309.55</v>
      </c>
      <c r="M16" s="162">
        <f t="shared" si="3"/>
        <v>24524.56</v>
      </c>
      <c r="N16" s="11"/>
      <c r="O16" s="343" t="s">
        <v>1611</v>
      </c>
    </row>
    <row r="17" spans="1:16">
      <c r="A17" s="163">
        <v>46174</v>
      </c>
      <c r="B17" s="164" t="s">
        <v>81</v>
      </c>
      <c r="C17" s="341">
        <v>0.26</v>
      </c>
      <c r="D17" s="341">
        <v>0.95</v>
      </c>
      <c r="E17" s="165">
        <v>321.091</v>
      </c>
      <c r="F17" s="10">
        <f t="shared" si="0"/>
        <v>296.7</v>
      </c>
      <c r="G17" s="247">
        <f t="shared" si="1"/>
        <v>24.391</v>
      </c>
      <c r="H17" s="10"/>
      <c r="I17" s="153">
        <f t="shared" si="2"/>
        <v>0.949481611132047</v>
      </c>
      <c r="J17" s="155"/>
      <c r="K17" s="166"/>
      <c r="L17" s="10">
        <v>304.87</v>
      </c>
      <c r="M17" s="162">
        <f t="shared" si="3"/>
        <v>24219.69</v>
      </c>
      <c r="N17" s="11"/>
      <c r="O17" s="343" t="s">
        <v>1611</v>
      </c>
    </row>
    <row r="18" spans="1:16">
      <c r="A18" s="163">
        <v>46174</v>
      </c>
      <c r="B18" s="164" t="s">
        <v>127</v>
      </c>
      <c r="C18" s="341">
        <v>0.63</v>
      </c>
      <c r="D18" s="341">
        <v>1</v>
      </c>
      <c r="E18" s="165">
        <v>156.233</v>
      </c>
      <c r="F18" s="10">
        <f t="shared" si="0"/>
        <v>159.1</v>
      </c>
      <c r="G18" s="10">
        <f t="shared" si="1"/>
        <v>-2.86699999999999</v>
      </c>
      <c r="H18" s="10"/>
      <c r="I18" s="153">
        <f t="shared" si="2"/>
        <v>0.949927352095908</v>
      </c>
      <c r="J18" s="155"/>
      <c r="K18" s="166"/>
      <c r="L18" s="10">
        <v>148.41</v>
      </c>
      <c r="M18" s="162">
        <f t="shared" si="3"/>
        <v>24071.28</v>
      </c>
      <c r="N18" s="11"/>
      <c r="O18" s="343" t="s">
        <v>1611</v>
      </c>
    </row>
    <row r="19" spans="1:16">
      <c r="A19" s="163">
        <v>46174</v>
      </c>
      <c r="B19" s="164" t="s">
        <v>96</v>
      </c>
      <c r="C19" s="341">
        <v>0.52</v>
      </c>
      <c r="D19" s="341">
        <v>0.98</v>
      </c>
      <c r="E19" s="165">
        <v>221.046</v>
      </c>
      <c r="F19" s="10">
        <f t="shared" si="0"/>
        <v>197.8</v>
      </c>
      <c r="G19" s="247">
        <f t="shared" si="1"/>
        <v>23.246</v>
      </c>
      <c r="H19" s="10"/>
      <c r="I19" s="153">
        <f t="shared" si="2"/>
        <v>0.949938021950182</v>
      </c>
      <c r="J19" s="155"/>
      <c r="K19" s="166"/>
      <c r="L19" s="10">
        <v>209.98</v>
      </c>
      <c r="M19" s="162">
        <f t="shared" si="3"/>
        <v>23861.3</v>
      </c>
      <c r="N19" s="11"/>
      <c r="O19" s="343" t="s">
        <v>1611</v>
      </c>
    </row>
    <row r="20" spans="1:16">
      <c r="A20" s="163">
        <v>46174</v>
      </c>
      <c r="B20" s="164" t="s">
        <v>87</v>
      </c>
      <c r="C20" s="341">
        <v>0.53</v>
      </c>
      <c r="D20" s="341">
        <v>1</v>
      </c>
      <c r="E20" s="165">
        <v>205.853</v>
      </c>
      <c r="F20" s="10">
        <f t="shared" si="0"/>
        <v>202.1</v>
      </c>
      <c r="G20" s="10">
        <f t="shared" si="1"/>
        <v>3.75300000000001</v>
      </c>
      <c r="H20" s="10"/>
      <c r="I20" s="153">
        <f t="shared" si="2"/>
        <v>0.949949721403137</v>
      </c>
      <c r="J20" s="155"/>
      <c r="K20" s="166"/>
      <c r="L20" s="10">
        <v>195.55</v>
      </c>
      <c r="M20" s="162">
        <f t="shared" si="3"/>
        <v>23665.75</v>
      </c>
      <c r="N20" s="11"/>
      <c r="O20" s="343" t="s">
        <v>1611</v>
      </c>
    </row>
    <row r="21" spans="1:16">
      <c r="A21" s="163">
        <v>46174</v>
      </c>
      <c r="B21" s="164" t="s">
        <v>78</v>
      </c>
      <c r="C21" s="341">
        <v>0.38</v>
      </c>
      <c r="D21" s="341">
        <v>0.8</v>
      </c>
      <c r="E21" s="165">
        <v>196.771</v>
      </c>
      <c r="F21" s="10">
        <f t="shared" si="0"/>
        <v>180.6</v>
      </c>
      <c r="G21" s="10">
        <f t="shared" si="1"/>
        <v>16.171</v>
      </c>
      <c r="H21" s="10"/>
      <c r="I21" s="153">
        <f t="shared" si="2"/>
        <v>0.949936728481331</v>
      </c>
      <c r="J21" s="155"/>
      <c r="K21" s="166"/>
      <c r="L21" s="10">
        <v>186.92</v>
      </c>
      <c r="M21" s="162">
        <f t="shared" si="3"/>
        <v>23478.83</v>
      </c>
      <c r="N21" s="11"/>
      <c r="O21" s="343" t="s">
        <v>1611</v>
      </c>
    </row>
    <row r="22" spans="1:16">
      <c r="A22" s="163">
        <v>46174</v>
      </c>
      <c r="B22" s="164" t="s">
        <v>172</v>
      </c>
      <c r="C22" s="341">
        <v>0.44</v>
      </c>
      <c r="D22" s="341">
        <v>0.95</v>
      </c>
      <c r="E22" s="165">
        <v>220.557</v>
      </c>
      <c r="F22" s="10">
        <f t="shared" si="0"/>
        <v>219.3</v>
      </c>
      <c r="G22" s="10">
        <f t="shared" si="1"/>
        <v>1.25699999999998</v>
      </c>
      <c r="H22" s="10"/>
      <c r="I22" s="153">
        <f t="shared" si="2"/>
        <v>0.9499585141256</v>
      </c>
      <c r="J22" s="155"/>
      <c r="K22" s="166"/>
      <c r="L22" s="10">
        <v>209.52</v>
      </c>
      <c r="M22" s="162">
        <f t="shared" si="3"/>
        <v>23269.31</v>
      </c>
      <c r="N22" s="11"/>
      <c r="O22" s="343" t="s">
        <v>1611</v>
      </c>
    </row>
    <row r="23" spans="1:16">
      <c r="A23" s="163">
        <v>46174</v>
      </c>
      <c r="B23" s="164" t="s">
        <v>57</v>
      </c>
      <c r="C23" s="341">
        <v>0.49</v>
      </c>
      <c r="D23" s="341">
        <v>0.92</v>
      </c>
      <c r="E23" s="165">
        <v>181.578</v>
      </c>
      <c r="F23" s="10">
        <f t="shared" si="0"/>
        <v>184.9</v>
      </c>
      <c r="G23" s="10">
        <f t="shared" si="1"/>
        <v>-3.32200000000003</v>
      </c>
      <c r="H23" s="10"/>
      <c r="I23" s="153">
        <f t="shared" si="2"/>
        <v>0.949949883796495</v>
      </c>
      <c r="J23" s="155"/>
      <c r="K23" s="166"/>
      <c r="L23" s="10">
        <v>172.49</v>
      </c>
      <c r="M23" s="162">
        <f t="shared" si="3"/>
        <v>23096.82</v>
      </c>
      <c r="N23" s="11"/>
      <c r="O23" s="343" t="s">
        <v>1611</v>
      </c>
    </row>
    <row r="24" spans="1:16">
      <c r="A24" s="163">
        <v>46174</v>
      </c>
      <c r="B24" s="164" t="s">
        <v>108</v>
      </c>
      <c r="C24" s="341">
        <v>0.4</v>
      </c>
      <c r="D24" s="341">
        <v>0.91</v>
      </c>
      <c r="E24" s="165">
        <v>241.146</v>
      </c>
      <c r="F24" s="10">
        <f t="shared" si="0"/>
        <v>219.3</v>
      </c>
      <c r="G24" s="247">
        <f t="shared" si="1"/>
        <v>21.846</v>
      </c>
      <c r="H24" s="10"/>
      <c r="I24" s="153">
        <f t="shared" si="2"/>
        <v>0.949963922271155</v>
      </c>
      <c r="J24" s="155"/>
      <c r="K24" s="166"/>
      <c r="L24" s="10">
        <v>229.08</v>
      </c>
      <c r="M24" s="162">
        <f t="shared" si="3"/>
        <v>22867.74</v>
      </c>
      <c r="N24" s="11"/>
      <c r="O24" s="343" t="s">
        <v>1611</v>
      </c>
    </row>
    <row r="25" spans="1:16">
      <c r="A25" s="163">
        <v>46174</v>
      </c>
      <c r="B25" s="164" t="s">
        <v>66</v>
      </c>
      <c r="C25" s="341">
        <v>0.64</v>
      </c>
      <c r="D25" s="341">
        <v>1</v>
      </c>
      <c r="E25" s="165">
        <v>167.963</v>
      </c>
      <c r="F25" s="10">
        <f t="shared" si="0"/>
        <v>154.8</v>
      </c>
      <c r="G25" s="10">
        <f t="shared" si="1"/>
        <v>13.163</v>
      </c>
      <c r="H25" s="10"/>
      <c r="I25" s="153">
        <f t="shared" si="2"/>
        <v>0.949911587671094</v>
      </c>
      <c r="J25" s="155"/>
      <c r="K25" s="166"/>
      <c r="L25" s="10">
        <v>159.55</v>
      </c>
      <c r="M25" s="162">
        <f t="shared" si="3"/>
        <v>22708.19</v>
      </c>
      <c r="N25" s="11"/>
      <c r="O25" s="343" t="s">
        <v>1611</v>
      </c>
    </row>
    <row r="26" spans="1:16">
      <c r="A26" s="156">
        <v>46175</v>
      </c>
      <c r="B26" s="168" t="s">
        <v>114</v>
      </c>
      <c r="C26" s="341">
        <v>0.27</v>
      </c>
      <c r="D26" s="341">
        <v>0.88</v>
      </c>
      <c r="E26" s="159">
        <v>251.132</v>
      </c>
      <c r="F26" s="10">
        <f t="shared" si="0"/>
        <v>262.3</v>
      </c>
      <c r="G26" s="10">
        <f t="shared" si="1"/>
        <v>-11.168</v>
      </c>
      <c r="H26" s="10"/>
      <c r="I26" s="153">
        <f t="shared" si="2"/>
        <v>0.669966392176226</v>
      </c>
      <c r="J26" s="162">
        <v>25.11</v>
      </c>
      <c r="K26" s="166"/>
      <c r="L26" s="162">
        <v>168.25</v>
      </c>
      <c r="M26" s="162">
        <f t="shared" si="3"/>
        <v>22539.94</v>
      </c>
      <c r="N26" s="11"/>
      <c r="O26" s="343" t="s">
        <v>1611</v>
      </c>
      <c r="P26" s="343"/>
    </row>
    <row r="27" spans="1:16">
      <c r="A27" s="163">
        <v>46175</v>
      </c>
      <c r="B27" s="164" t="s">
        <v>69</v>
      </c>
      <c r="C27" s="341">
        <v>0.39</v>
      </c>
      <c r="D27" s="341">
        <v>0.9</v>
      </c>
      <c r="E27" s="165">
        <v>238.577</v>
      </c>
      <c r="F27" s="10">
        <f t="shared" si="0"/>
        <v>219.3</v>
      </c>
      <c r="G27" s="10">
        <f t="shared" si="1"/>
        <v>19.277</v>
      </c>
      <c r="H27" s="10"/>
      <c r="I27" s="153">
        <f t="shared" si="2"/>
        <v>0.819944923441908</v>
      </c>
      <c r="J27" s="166">
        <v>23.85</v>
      </c>
      <c r="K27" s="166"/>
      <c r="L27" s="166">
        <v>195.62</v>
      </c>
      <c r="M27" s="162">
        <f t="shared" si="3"/>
        <v>22344.32</v>
      </c>
      <c r="N27" s="11"/>
      <c r="O27" s="343" t="s">
        <v>1611</v>
      </c>
      <c r="P27" s="343"/>
    </row>
    <row r="28" spans="1:16">
      <c r="A28" s="163">
        <v>46175</v>
      </c>
      <c r="B28" s="164" t="s">
        <v>121</v>
      </c>
      <c r="C28" s="341">
        <v>0.45</v>
      </c>
      <c r="D28" s="341">
        <v>0.96</v>
      </c>
      <c r="E28" s="165">
        <v>220.421</v>
      </c>
      <c r="F28" s="10">
        <f t="shared" si="0"/>
        <v>219.3</v>
      </c>
      <c r="G28" s="10">
        <f t="shared" si="1"/>
        <v>1.12099999999998</v>
      </c>
      <c r="H28" s="10"/>
      <c r="I28" s="153">
        <f t="shared" si="2"/>
        <v>0.819976318045921</v>
      </c>
      <c r="J28" s="166">
        <v>22.04</v>
      </c>
      <c r="K28" s="166"/>
      <c r="L28" s="166">
        <v>180.74</v>
      </c>
      <c r="M28" s="162">
        <f t="shared" si="3"/>
        <v>22163.58</v>
      </c>
      <c r="N28" s="11"/>
      <c r="O28" s="343" t="s">
        <v>1611</v>
      </c>
      <c r="P28" s="343"/>
    </row>
    <row r="29" spans="1:16">
      <c r="A29" s="163">
        <v>46175</v>
      </c>
      <c r="B29" s="164" t="s">
        <v>130</v>
      </c>
      <c r="C29" s="341">
        <v>0.52</v>
      </c>
      <c r="D29" s="341">
        <v>0.95</v>
      </c>
      <c r="E29" s="165">
        <v>177.468</v>
      </c>
      <c r="F29" s="10">
        <f t="shared" si="0"/>
        <v>184.9</v>
      </c>
      <c r="G29" s="10">
        <f t="shared" si="1"/>
        <v>-7.43199999999999</v>
      </c>
      <c r="H29" s="10"/>
      <c r="I29" s="153">
        <f t="shared" si="2"/>
        <v>0.889850564608831</v>
      </c>
      <c r="J29" s="166">
        <v>17.73</v>
      </c>
      <c r="K29" s="166"/>
      <c r="L29" s="166">
        <v>157.92</v>
      </c>
      <c r="M29" s="162">
        <f t="shared" si="3"/>
        <v>22005.66</v>
      </c>
      <c r="N29" s="11"/>
      <c r="O29" s="343" t="s">
        <v>1611</v>
      </c>
      <c r="P29" s="343"/>
    </row>
    <row r="30" spans="1:16">
      <c r="A30" s="163">
        <v>46175</v>
      </c>
      <c r="B30" s="164" t="s">
        <v>102</v>
      </c>
      <c r="C30" s="341">
        <v>0.6</v>
      </c>
      <c r="D30" s="341">
        <v>0.77</v>
      </c>
      <c r="E30" s="165">
        <v>79.185</v>
      </c>
      <c r="F30" s="10">
        <f t="shared" si="0"/>
        <v>73.1</v>
      </c>
      <c r="G30" s="10">
        <f t="shared" si="1"/>
        <v>6.08499999999998</v>
      </c>
      <c r="H30" s="10"/>
      <c r="I30" s="153">
        <f t="shared" si="2"/>
        <v>0.949801098692934</v>
      </c>
      <c r="J30" s="166">
        <v>7.91</v>
      </c>
      <c r="K30" s="166"/>
      <c r="L30" s="166">
        <v>75.21</v>
      </c>
      <c r="M30" s="162">
        <f t="shared" si="3"/>
        <v>21930.45</v>
      </c>
      <c r="N30" s="11"/>
      <c r="O30" s="343" t="s">
        <v>1611</v>
      </c>
      <c r="P30" s="343"/>
    </row>
    <row r="31" spans="1:16">
      <c r="A31" s="163">
        <v>46175</v>
      </c>
      <c r="B31" s="164" t="s">
        <v>135</v>
      </c>
      <c r="C31" s="341">
        <v>0.26</v>
      </c>
      <c r="D31" s="341">
        <v>0.93</v>
      </c>
      <c r="E31" s="165">
        <v>295.61</v>
      </c>
      <c r="F31" s="10">
        <f t="shared" si="0"/>
        <v>288.1</v>
      </c>
      <c r="G31" s="10">
        <f t="shared" si="1"/>
        <v>7.50999999999999</v>
      </c>
      <c r="H31" s="10"/>
      <c r="I31" s="153">
        <f t="shared" si="2"/>
        <v>0.949967863062819</v>
      </c>
      <c r="J31" s="166">
        <v>29.56</v>
      </c>
      <c r="K31" s="166"/>
      <c r="L31" s="166">
        <v>280.82</v>
      </c>
      <c r="M31" s="162">
        <f t="shared" si="3"/>
        <v>21649.63</v>
      </c>
      <c r="N31" s="11"/>
      <c r="O31" s="343" t="s">
        <v>1611</v>
      </c>
      <c r="P31" s="343"/>
    </row>
    <row r="32" spans="1:16">
      <c r="A32" s="163">
        <v>46175</v>
      </c>
      <c r="B32" s="164" t="s">
        <v>84</v>
      </c>
      <c r="C32" s="341">
        <v>0.39</v>
      </c>
      <c r="D32" s="341">
        <v>0.88</v>
      </c>
      <c r="E32" s="165">
        <v>228.808</v>
      </c>
      <c r="F32" s="10">
        <f t="shared" si="0"/>
        <v>210.7</v>
      </c>
      <c r="G32" s="10">
        <f t="shared" si="1"/>
        <v>18.108</v>
      </c>
      <c r="H32" s="10"/>
      <c r="I32" s="153">
        <f t="shared" si="2"/>
        <v>0.949966784378169</v>
      </c>
      <c r="J32" s="166">
        <v>22.88</v>
      </c>
      <c r="K32" s="166"/>
      <c r="L32" s="166">
        <v>217.36</v>
      </c>
      <c r="M32" s="162">
        <f t="shared" si="3"/>
        <v>21432.27</v>
      </c>
      <c r="N32" s="11"/>
      <c r="O32" s="343" t="s">
        <v>1611</v>
      </c>
      <c r="P32" s="343"/>
    </row>
    <row r="33" spans="1:16">
      <c r="A33" s="163">
        <v>46175</v>
      </c>
      <c r="B33" s="164" t="s">
        <v>105</v>
      </c>
      <c r="C33" s="341">
        <v>0.38</v>
      </c>
      <c r="D33" s="341">
        <v>0.89</v>
      </c>
      <c r="E33" s="165">
        <v>242.847</v>
      </c>
      <c r="F33" s="10">
        <f t="shared" si="0"/>
        <v>219.3</v>
      </c>
      <c r="G33" s="247">
        <f t="shared" si="1"/>
        <v>23.547</v>
      </c>
      <c r="H33" s="10"/>
      <c r="I33" s="153">
        <f t="shared" si="2"/>
        <v>0.949939673951088</v>
      </c>
      <c r="J33" s="166">
        <v>24.28</v>
      </c>
      <c r="K33" s="166"/>
      <c r="L33" s="166">
        <v>230.69</v>
      </c>
      <c r="M33" s="162">
        <f t="shared" si="3"/>
        <v>21201.58</v>
      </c>
      <c r="N33" s="11"/>
      <c r="O33" s="343" t="s">
        <v>1611</v>
      </c>
      <c r="P33" s="343"/>
    </row>
    <row r="34" spans="1:16">
      <c r="A34" s="163">
        <v>46175</v>
      </c>
      <c r="B34" s="164" t="s">
        <v>60</v>
      </c>
      <c r="C34" s="341">
        <v>0.49</v>
      </c>
      <c r="D34" s="341">
        <v>0.9</v>
      </c>
      <c r="E34" s="165">
        <v>176.277</v>
      </c>
      <c r="F34" s="10">
        <f t="shared" si="0"/>
        <v>176.3</v>
      </c>
      <c r="G34" s="10">
        <f t="shared" si="1"/>
        <v>-0.0230000000000246</v>
      </c>
      <c r="H34" s="10"/>
      <c r="I34" s="153">
        <f t="shared" si="2"/>
        <v>0.949925401498777</v>
      </c>
      <c r="J34" s="166">
        <v>17.62</v>
      </c>
      <c r="K34" s="166"/>
      <c r="L34" s="166">
        <v>167.45</v>
      </c>
      <c r="M34" s="162">
        <f t="shared" si="3"/>
        <v>21034.13</v>
      </c>
      <c r="N34" s="11"/>
      <c r="O34" s="343" t="s">
        <v>1611</v>
      </c>
      <c r="P34" s="343"/>
    </row>
    <row r="35" spans="1:16">
      <c r="A35" s="163">
        <v>46175</v>
      </c>
      <c r="B35" s="164" t="s">
        <v>54</v>
      </c>
      <c r="C35" s="341">
        <v>0.44</v>
      </c>
      <c r="D35" s="341">
        <v>0.96</v>
      </c>
      <c r="E35" s="165">
        <v>224.161</v>
      </c>
      <c r="F35" s="10">
        <f t="shared" si="0"/>
        <v>223.6</v>
      </c>
      <c r="G35" s="10">
        <f t="shared" si="1"/>
        <v>0.561000000000007</v>
      </c>
      <c r="H35" s="10"/>
      <c r="I35" s="153">
        <f t="shared" si="2"/>
        <v>0.94994222902289</v>
      </c>
      <c r="J35" s="166">
        <v>22.41</v>
      </c>
      <c r="K35" s="166"/>
      <c r="L35" s="166">
        <v>212.94</v>
      </c>
      <c r="M35" s="162">
        <f t="shared" si="3"/>
        <v>20821.19</v>
      </c>
      <c r="N35" s="11"/>
      <c r="O35" s="343" t="s">
        <v>1611</v>
      </c>
      <c r="P35" s="343"/>
    </row>
    <row r="36" spans="1:16">
      <c r="A36" s="163">
        <v>46175</v>
      </c>
      <c r="B36" s="164" t="s">
        <v>124</v>
      </c>
      <c r="C36" s="341">
        <v>0.23</v>
      </c>
      <c r="D36" s="341">
        <v>0.91</v>
      </c>
      <c r="E36" s="165">
        <v>290.674</v>
      </c>
      <c r="F36" s="10">
        <f t="shared" si="0"/>
        <v>292.4</v>
      </c>
      <c r="G36" s="10">
        <f t="shared" si="1"/>
        <v>-1.72600000000006</v>
      </c>
      <c r="H36" s="10"/>
      <c r="I36" s="153">
        <f t="shared" si="2"/>
        <v>0.949964565114183</v>
      </c>
      <c r="J36" s="166">
        <v>29.06</v>
      </c>
      <c r="K36" s="166"/>
      <c r="L36" s="166">
        <v>276.13</v>
      </c>
      <c r="M36" s="162">
        <f t="shared" si="3"/>
        <v>20545.06</v>
      </c>
      <c r="N36" s="11"/>
      <c r="O36" s="343" t="s">
        <v>1611</v>
      </c>
      <c r="P36" s="343"/>
    </row>
    <row r="37" spans="1:16">
      <c r="A37" s="163">
        <v>46175</v>
      </c>
      <c r="B37" s="164" t="s">
        <v>51</v>
      </c>
      <c r="C37" s="341">
        <v>0.23</v>
      </c>
      <c r="D37" s="341">
        <v>0.92</v>
      </c>
      <c r="E37" s="165">
        <v>286.935</v>
      </c>
      <c r="F37" s="10">
        <f t="shared" si="0"/>
        <v>296.7</v>
      </c>
      <c r="G37" s="10">
        <f t="shared" si="1"/>
        <v>-9.76500000000004</v>
      </c>
      <c r="H37" s="10"/>
      <c r="I37" s="153">
        <f t="shared" si="2"/>
        <v>0.949971247843588</v>
      </c>
      <c r="J37" s="166">
        <v>28.69</v>
      </c>
      <c r="K37" s="166"/>
      <c r="L37" s="166">
        <v>272.58</v>
      </c>
      <c r="M37" s="162">
        <f t="shared" si="3"/>
        <v>20272.48</v>
      </c>
      <c r="N37" s="11"/>
      <c r="O37" s="343" t="s">
        <v>1611</v>
      </c>
      <c r="P37" s="343"/>
    </row>
    <row r="38" spans="1:16">
      <c r="A38" s="163">
        <v>46175</v>
      </c>
      <c r="B38" s="164" t="s">
        <v>111</v>
      </c>
      <c r="C38" s="341">
        <v>0.44</v>
      </c>
      <c r="D38" s="341">
        <v>0.94</v>
      </c>
      <c r="E38" s="165">
        <v>206.627</v>
      </c>
      <c r="F38" s="10">
        <f t="shared" si="0"/>
        <v>215</v>
      </c>
      <c r="G38" s="10">
        <f t="shared" si="1"/>
        <v>-8.37299999999996</v>
      </c>
      <c r="H38" s="10"/>
      <c r="I38" s="153">
        <f t="shared" si="2"/>
        <v>0.875151843660316</v>
      </c>
      <c r="J38" s="166">
        <v>20.66</v>
      </c>
      <c r="K38" s="166"/>
      <c r="L38" s="166">
        <v>180.83</v>
      </c>
      <c r="M38" s="162">
        <f t="shared" si="3"/>
        <v>20091.65</v>
      </c>
      <c r="N38" s="11"/>
      <c r="O38" s="343" t="s">
        <v>1611</v>
      </c>
      <c r="P38" s="343"/>
    </row>
    <row r="39" spans="1:16">
      <c r="A39" s="163">
        <v>46175</v>
      </c>
      <c r="B39" s="164" t="s">
        <v>99</v>
      </c>
      <c r="C39" s="341">
        <v>0.46</v>
      </c>
      <c r="D39" s="341">
        <v>0.9</v>
      </c>
      <c r="E39" s="165">
        <v>209.121</v>
      </c>
      <c r="F39" s="10">
        <f t="shared" si="0"/>
        <v>189.2</v>
      </c>
      <c r="G39" s="10">
        <f t="shared" si="1"/>
        <v>19.921</v>
      </c>
      <c r="H39" s="10"/>
      <c r="I39" s="153">
        <f t="shared" si="2"/>
        <v>0.849508179475041</v>
      </c>
      <c r="J39" s="166">
        <v>20.9</v>
      </c>
      <c r="K39" s="166"/>
      <c r="L39" s="166">
        <v>177.65</v>
      </c>
      <c r="M39" s="162">
        <f t="shared" si="3"/>
        <v>19914</v>
      </c>
      <c r="N39" s="11"/>
      <c r="O39" s="343" t="s">
        <v>1611</v>
      </c>
      <c r="P39" s="343"/>
    </row>
    <row r="40" spans="1:16">
      <c r="A40" s="163">
        <v>46175</v>
      </c>
      <c r="B40" s="164" t="s">
        <v>90</v>
      </c>
      <c r="C40" s="341">
        <v>0.55</v>
      </c>
      <c r="D40" s="341">
        <v>0.94</v>
      </c>
      <c r="E40" s="165">
        <v>181.524</v>
      </c>
      <c r="F40" s="10">
        <f t="shared" si="0"/>
        <v>167.7</v>
      </c>
      <c r="G40" s="10">
        <f t="shared" si="1"/>
        <v>13.824</v>
      </c>
      <c r="H40" s="10"/>
      <c r="I40" s="153">
        <f t="shared" si="2"/>
        <v>0.921531037218219</v>
      </c>
      <c r="J40" s="166">
        <v>18.14</v>
      </c>
      <c r="K40" s="166"/>
      <c r="L40" s="166">
        <v>167.28</v>
      </c>
      <c r="M40" s="162">
        <f t="shared" si="3"/>
        <v>19746.72</v>
      </c>
      <c r="N40" s="11"/>
      <c r="O40" s="343" t="s">
        <v>1611</v>
      </c>
      <c r="P40" s="343"/>
    </row>
    <row r="41" spans="1:16">
      <c r="A41" s="163">
        <v>46175</v>
      </c>
      <c r="B41" s="164" t="s">
        <v>72</v>
      </c>
      <c r="C41" s="341">
        <v>0.55</v>
      </c>
      <c r="D41" s="341">
        <v>0.9</v>
      </c>
      <c r="E41" s="165">
        <v>167.301</v>
      </c>
      <c r="F41" s="10">
        <f t="shared" si="0"/>
        <v>150.5</v>
      </c>
      <c r="G41" s="10">
        <f t="shared" si="1"/>
        <v>16.801</v>
      </c>
      <c r="H41" s="10"/>
      <c r="I41" s="153">
        <f t="shared" si="2"/>
        <v>0.936874256579459</v>
      </c>
      <c r="J41" s="166">
        <v>16.72</v>
      </c>
      <c r="K41" s="166"/>
      <c r="L41" s="166">
        <v>156.74</v>
      </c>
      <c r="M41" s="162">
        <f t="shared" si="3"/>
        <v>19589.98</v>
      </c>
      <c r="N41" s="11"/>
      <c r="O41" s="343" t="s">
        <v>1611</v>
      </c>
      <c r="P41" s="343"/>
    </row>
    <row r="42" spans="1:16">
      <c r="A42" s="163">
        <v>46175</v>
      </c>
      <c r="B42" s="164" t="s">
        <v>93</v>
      </c>
      <c r="C42" s="341">
        <v>0.47</v>
      </c>
      <c r="D42" s="341">
        <v>0.95</v>
      </c>
      <c r="E42" s="165">
        <v>224.998</v>
      </c>
      <c r="F42" s="10">
        <f t="shared" si="0"/>
        <v>206.4</v>
      </c>
      <c r="G42" s="10">
        <f t="shared" si="1"/>
        <v>18.598</v>
      </c>
      <c r="H42" s="10"/>
      <c r="I42" s="153">
        <f t="shared" si="2"/>
        <v>0.949919554840488</v>
      </c>
      <c r="J42" s="166">
        <v>22.49</v>
      </c>
      <c r="K42" s="166"/>
      <c r="L42" s="166">
        <v>213.73</v>
      </c>
      <c r="M42" s="162">
        <f t="shared" si="3"/>
        <v>19376.25</v>
      </c>
      <c r="N42" s="11"/>
      <c r="O42" s="343" t="s">
        <v>1611</v>
      </c>
      <c r="P42" s="343"/>
    </row>
    <row r="43" spans="1:16">
      <c r="A43" s="163">
        <v>46175</v>
      </c>
      <c r="B43" s="164" t="s">
        <v>96</v>
      </c>
      <c r="C43" s="341">
        <v>0.38</v>
      </c>
      <c r="D43" s="341">
        <v>0.95</v>
      </c>
      <c r="E43" s="165">
        <v>263.371</v>
      </c>
      <c r="F43" s="10">
        <f t="shared" si="0"/>
        <v>245.1</v>
      </c>
      <c r="G43" s="10">
        <f t="shared" si="1"/>
        <v>18.271</v>
      </c>
      <c r="H43" s="10"/>
      <c r="I43" s="153">
        <f t="shared" si="2"/>
        <v>0.949952728280638</v>
      </c>
      <c r="J43" s="166">
        <v>26.33</v>
      </c>
      <c r="K43" s="166"/>
      <c r="L43" s="166">
        <v>250.19</v>
      </c>
      <c r="M43" s="162">
        <f t="shared" si="3"/>
        <v>19126.06</v>
      </c>
      <c r="N43" s="11"/>
      <c r="O43" s="343" t="s">
        <v>1611</v>
      </c>
      <c r="P43" s="343"/>
    </row>
    <row r="44" spans="1:16">
      <c r="A44" s="163">
        <v>46175</v>
      </c>
      <c r="B44" s="164" t="s">
        <v>63</v>
      </c>
      <c r="C44" s="341">
        <v>0.37</v>
      </c>
      <c r="D44" s="341">
        <v>0.91</v>
      </c>
      <c r="E44" s="165">
        <v>250.287</v>
      </c>
      <c r="F44" s="10">
        <f t="shared" si="0"/>
        <v>232.2</v>
      </c>
      <c r="G44" s="10">
        <f t="shared" si="1"/>
        <v>18.087</v>
      </c>
      <c r="H44" s="10"/>
      <c r="I44" s="153">
        <f t="shared" si="2"/>
        <v>0.94994945802219</v>
      </c>
      <c r="J44" s="166">
        <v>25.02</v>
      </c>
      <c r="K44" s="166"/>
      <c r="L44" s="166">
        <v>237.76</v>
      </c>
      <c r="M44" s="162">
        <f t="shared" si="3"/>
        <v>18888.3</v>
      </c>
      <c r="N44" s="11"/>
      <c r="O44" s="343" t="s">
        <v>1611</v>
      </c>
      <c r="P44" s="343"/>
    </row>
    <row r="45" spans="1:16">
      <c r="A45" s="163">
        <v>46175</v>
      </c>
      <c r="B45" s="164" t="s">
        <v>108</v>
      </c>
      <c r="C45" s="341">
        <v>0.6</v>
      </c>
      <c r="D45" s="341">
        <v>0.93</v>
      </c>
      <c r="E45" s="165">
        <v>159.178</v>
      </c>
      <c r="F45" s="10">
        <f t="shared" si="0"/>
        <v>141.9</v>
      </c>
      <c r="G45" s="10">
        <f t="shared" si="1"/>
        <v>17.278</v>
      </c>
      <c r="H45" s="10"/>
      <c r="I45" s="153">
        <f t="shared" si="2"/>
        <v>0.949942831295782</v>
      </c>
      <c r="J45" s="166">
        <v>15.91</v>
      </c>
      <c r="K45" s="166"/>
      <c r="L45" s="166">
        <v>151.21</v>
      </c>
      <c r="M45" s="162">
        <f t="shared" si="3"/>
        <v>18737.09</v>
      </c>
      <c r="N45" s="11"/>
      <c r="O45" s="343" t="s">
        <v>1611</v>
      </c>
      <c r="P45" s="343"/>
    </row>
    <row r="46" spans="1:16">
      <c r="A46" s="156">
        <v>46176</v>
      </c>
      <c r="B46" s="168" t="s">
        <v>57</v>
      </c>
      <c r="C46" s="341">
        <v>0.48</v>
      </c>
      <c r="D46" s="341">
        <v>0.96</v>
      </c>
      <c r="E46" s="159">
        <v>203.597</v>
      </c>
      <c r="F46" s="10">
        <f t="shared" si="0"/>
        <v>206.4</v>
      </c>
      <c r="G46" s="10">
        <f t="shared" si="1"/>
        <v>-2.803</v>
      </c>
      <c r="H46" s="10"/>
      <c r="I46" s="153">
        <f t="shared" si="2"/>
        <v>0.669950932479359</v>
      </c>
      <c r="J46" s="162">
        <v>20.35</v>
      </c>
      <c r="K46" s="166"/>
      <c r="L46" s="162">
        <v>136.4</v>
      </c>
      <c r="M46" s="162">
        <f t="shared" si="3"/>
        <v>18600.69</v>
      </c>
      <c r="N46" s="11"/>
      <c r="O46" s="343" t="s">
        <v>1611</v>
      </c>
    </row>
    <row r="47" spans="1:16">
      <c r="A47" s="163">
        <v>46176</v>
      </c>
      <c r="B47" s="164" t="s">
        <v>75</v>
      </c>
      <c r="C47" s="341">
        <v>0.16</v>
      </c>
      <c r="D47" s="341">
        <v>0.94</v>
      </c>
      <c r="E47" s="165">
        <v>358.227</v>
      </c>
      <c r="F47" s="10">
        <f t="shared" si="0"/>
        <v>335.4</v>
      </c>
      <c r="G47" s="247">
        <f t="shared" si="1"/>
        <v>22.827</v>
      </c>
      <c r="H47" s="10"/>
      <c r="I47" s="153">
        <f t="shared" si="2"/>
        <v>0.752120861911581</v>
      </c>
      <c r="J47" s="166">
        <v>35.81</v>
      </c>
      <c r="K47" s="166"/>
      <c r="L47" s="166">
        <v>269.43</v>
      </c>
      <c r="M47" s="162">
        <f t="shared" si="3"/>
        <v>18331.26</v>
      </c>
      <c r="N47" s="11"/>
      <c r="O47" s="343" t="s">
        <v>1611</v>
      </c>
    </row>
    <row r="48" spans="1:16">
      <c r="A48" s="163">
        <v>46176</v>
      </c>
      <c r="B48" s="164" t="s">
        <v>87</v>
      </c>
      <c r="C48" s="341">
        <v>0.48</v>
      </c>
      <c r="D48" s="341">
        <v>0.86</v>
      </c>
      <c r="E48" s="165">
        <v>175.14</v>
      </c>
      <c r="F48" s="10">
        <f t="shared" si="0"/>
        <v>163.4</v>
      </c>
      <c r="G48" s="10">
        <f t="shared" si="1"/>
        <v>11.74</v>
      </c>
      <c r="H48" s="10"/>
      <c r="I48" s="153">
        <f t="shared" si="2"/>
        <v>0.949925773666781</v>
      </c>
      <c r="J48" s="166">
        <v>17.51</v>
      </c>
      <c r="K48" s="166"/>
      <c r="L48" s="166">
        <v>166.37</v>
      </c>
      <c r="M48" s="162">
        <f t="shared" si="3"/>
        <v>18164.89</v>
      </c>
      <c r="N48" s="11"/>
      <c r="O48" s="343" t="s">
        <v>1611</v>
      </c>
    </row>
    <row r="49" spans="1:15">
      <c r="A49" s="163">
        <v>46176</v>
      </c>
      <c r="B49" s="164" t="s">
        <v>130</v>
      </c>
      <c r="C49" s="341">
        <v>0.2</v>
      </c>
      <c r="D49" s="341">
        <v>0.93</v>
      </c>
      <c r="E49" s="165">
        <v>299.293</v>
      </c>
      <c r="F49" s="10">
        <f t="shared" si="0"/>
        <v>313.9</v>
      </c>
      <c r="G49" s="10">
        <f t="shared" si="1"/>
        <v>-14.607</v>
      </c>
      <c r="H49" s="10"/>
      <c r="I49" s="153">
        <f t="shared" si="2"/>
        <v>0.949938688843374</v>
      </c>
      <c r="J49" s="166">
        <v>29.92</v>
      </c>
      <c r="K49" s="166"/>
      <c r="L49" s="166">
        <v>284.31</v>
      </c>
      <c r="M49" s="162">
        <f t="shared" si="3"/>
        <v>17880.58</v>
      </c>
      <c r="N49" s="11"/>
      <c r="O49" s="343" t="s">
        <v>1611</v>
      </c>
    </row>
    <row r="50" spans="1:15">
      <c r="A50" s="163">
        <v>46176</v>
      </c>
      <c r="B50" s="164" t="s">
        <v>78</v>
      </c>
      <c r="C50" s="341">
        <v>0.25</v>
      </c>
      <c r="D50" s="341">
        <v>0.82</v>
      </c>
      <c r="E50" s="165">
        <v>268.52</v>
      </c>
      <c r="F50" s="10">
        <f t="shared" si="0"/>
        <v>245.1</v>
      </c>
      <c r="G50" s="247">
        <f t="shared" si="1"/>
        <v>23.42</v>
      </c>
      <c r="H50" s="10"/>
      <c r="I50" s="153">
        <f t="shared" si="2"/>
        <v>0.949985103530463</v>
      </c>
      <c r="J50" s="166">
        <v>26.85</v>
      </c>
      <c r="K50" s="166"/>
      <c r="L50" s="166">
        <v>255.09</v>
      </c>
      <c r="M50" s="162">
        <f t="shared" si="3"/>
        <v>17625.49</v>
      </c>
      <c r="N50" s="11"/>
      <c r="O50" s="343" t="s">
        <v>1611</v>
      </c>
    </row>
    <row r="51" spans="1:15">
      <c r="A51" s="163">
        <v>46176</v>
      </c>
      <c r="B51" s="164" t="s">
        <v>54</v>
      </c>
      <c r="C51" s="341">
        <v>0.4</v>
      </c>
      <c r="D51" s="341">
        <v>0.93</v>
      </c>
      <c r="E51" s="165">
        <v>225.139</v>
      </c>
      <c r="F51" s="10">
        <f t="shared" si="0"/>
        <v>227.9</v>
      </c>
      <c r="G51" s="10">
        <f t="shared" si="1"/>
        <v>-2.761</v>
      </c>
      <c r="H51" s="10"/>
      <c r="I51" s="153">
        <f t="shared" si="2"/>
        <v>0.94994647750945</v>
      </c>
      <c r="J51" s="166">
        <v>22.51</v>
      </c>
      <c r="K51" s="166"/>
      <c r="L51" s="166">
        <v>213.87</v>
      </c>
      <c r="M51" s="162">
        <f t="shared" si="3"/>
        <v>17411.62</v>
      </c>
      <c r="N51" s="11"/>
      <c r="O51" s="343" t="s">
        <v>1611</v>
      </c>
    </row>
    <row r="52" spans="1:15">
      <c r="A52" s="163">
        <v>46176</v>
      </c>
      <c r="B52" s="164" t="s">
        <v>93</v>
      </c>
      <c r="C52" s="341">
        <v>0.22</v>
      </c>
      <c r="D52" s="341">
        <v>1</v>
      </c>
      <c r="E52" s="165">
        <v>348.166</v>
      </c>
      <c r="F52" s="10">
        <f t="shared" si="0"/>
        <v>335.4</v>
      </c>
      <c r="G52" s="10">
        <f t="shared" si="1"/>
        <v>12.766</v>
      </c>
      <c r="H52" s="10"/>
      <c r="I52" s="153">
        <f t="shared" si="2"/>
        <v>0.949977884112751</v>
      </c>
      <c r="J52" s="166">
        <v>34.81</v>
      </c>
      <c r="K52" s="166"/>
      <c r="L52" s="166">
        <v>330.75</v>
      </c>
      <c r="M52" s="162">
        <f t="shared" si="3"/>
        <v>17080.87</v>
      </c>
      <c r="N52" s="11"/>
      <c r="O52" s="343" t="s">
        <v>1611</v>
      </c>
    </row>
    <row r="53" spans="1:15">
      <c r="A53" s="163">
        <v>46176</v>
      </c>
      <c r="B53" s="164" t="s">
        <v>111</v>
      </c>
      <c r="C53" s="341">
        <v>0.47</v>
      </c>
      <c r="D53" s="341">
        <v>0.93</v>
      </c>
      <c r="E53" s="165">
        <v>188.437</v>
      </c>
      <c r="F53" s="10">
        <f t="shared" si="0"/>
        <v>197.8</v>
      </c>
      <c r="G53" s="10">
        <f t="shared" si="1"/>
        <v>-9.36300000000003</v>
      </c>
      <c r="H53" s="10"/>
      <c r="I53" s="153">
        <f t="shared" si="2"/>
        <v>0.949972669910898</v>
      </c>
      <c r="J53" s="166">
        <v>18.84</v>
      </c>
      <c r="K53" s="166"/>
      <c r="L53" s="166">
        <v>179.01</v>
      </c>
      <c r="M53" s="162">
        <f t="shared" si="3"/>
        <v>16901.86</v>
      </c>
      <c r="N53" s="11"/>
      <c r="O53" s="343" t="s">
        <v>1611</v>
      </c>
    </row>
    <row r="54" spans="1:15">
      <c r="A54" s="163">
        <v>46176</v>
      </c>
      <c r="B54" s="164" t="s">
        <v>90</v>
      </c>
      <c r="C54" s="341">
        <v>0.24</v>
      </c>
      <c r="D54" s="341">
        <v>0.91</v>
      </c>
      <c r="E54" s="165">
        <v>313.34</v>
      </c>
      <c r="F54" s="10">
        <f t="shared" si="0"/>
        <v>288.1</v>
      </c>
      <c r="G54" s="247">
        <f t="shared" si="1"/>
        <v>25.24</v>
      </c>
      <c r="H54" s="10"/>
      <c r="I54" s="153">
        <f t="shared" si="2"/>
        <v>0.949958511521032</v>
      </c>
      <c r="J54" s="166">
        <v>31.33</v>
      </c>
      <c r="K54" s="166"/>
      <c r="L54" s="166">
        <v>297.66</v>
      </c>
      <c r="M54" s="162">
        <f t="shared" si="3"/>
        <v>16604.2</v>
      </c>
      <c r="N54" s="11"/>
      <c r="O54" s="343" t="s">
        <v>1611</v>
      </c>
    </row>
    <row r="55" spans="1:15">
      <c r="A55" s="163">
        <v>46176</v>
      </c>
      <c r="B55" s="164" t="s">
        <v>72</v>
      </c>
      <c r="C55" s="341">
        <v>0.24</v>
      </c>
      <c r="D55" s="341">
        <v>0.94</v>
      </c>
      <c r="E55" s="165">
        <v>326.28</v>
      </c>
      <c r="F55" s="10">
        <f t="shared" si="0"/>
        <v>301</v>
      </c>
      <c r="G55" s="247">
        <f t="shared" si="1"/>
        <v>25.28</v>
      </c>
      <c r="H55" s="10"/>
      <c r="I55" s="153">
        <f t="shared" si="2"/>
        <v>0.949950962363614</v>
      </c>
      <c r="J55" s="166">
        <v>32.62</v>
      </c>
      <c r="K55" s="166"/>
      <c r="L55" s="166">
        <v>309.95</v>
      </c>
      <c r="M55" s="162">
        <f t="shared" si="3"/>
        <v>16294.25</v>
      </c>
      <c r="N55" s="11"/>
      <c r="O55" s="343" t="s">
        <v>1611</v>
      </c>
    </row>
    <row r="56" spans="1:15">
      <c r="A56" s="163">
        <v>46176</v>
      </c>
      <c r="B56" s="164" t="s">
        <v>69</v>
      </c>
      <c r="C56" s="341">
        <v>0.57</v>
      </c>
      <c r="D56" s="341">
        <v>0.75</v>
      </c>
      <c r="E56" s="165">
        <v>83.879</v>
      </c>
      <c r="F56" s="10">
        <f t="shared" si="0"/>
        <v>77.4</v>
      </c>
      <c r="G56" s="10">
        <f t="shared" si="1"/>
        <v>6.47899999999998</v>
      </c>
      <c r="H56" s="10"/>
      <c r="I56" s="153">
        <f t="shared" si="2"/>
        <v>0.949820574875714</v>
      </c>
      <c r="J56" s="166">
        <v>8.38</v>
      </c>
      <c r="K56" s="166"/>
      <c r="L56" s="166">
        <v>79.67</v>
      </c>
      <c r="M56" s="162">
        <f t="shared" si="3"/>
        <v>16214.58</v>
      </c>
      <c r="N56" s="11"/>
      <c r="O56" s="343" t="s">
        <v>1611</v>
      </c>
    </row>
    <row r="57" spans="1:15">
      <c r="A57" s="163">
        <v>46176</v>
      </c>
      <c r="B57" s="164" t="s">
        <v>99</v>
      </c>
      <c r="C57" s="341">
        <v>0.2</v>
      </c>
      <c r="D57" s="341">
        <v>0.93</v>
      </c>
      <c r="E57" s="165">
        <v>339.113</v>
      </c>
      <c r="F57" s="10">
        <f t="shared" si="0"/>
        <v>313.9</v>
      </c>
      <c r="G57" s="247">
        <f t="shared" si="1"/>
        <v>25.213</v>
      </c>
      <c r="H57" s="10"/>
      <c r="I57" s="153">
        <f t="shared" si="2"/>
        <v>0.949978325808801</v>
      </c>
      <c r="J57" s="166">
        <v>33.91</v>
      </c>
      <c r="K57" s="166"/>
      <c r="L57" s="166">
        <v>322.15</v>
      </c>
      <c r="M57" s="162">
        <f t="shared" si="3"/>
        <v>15892.43</v>
      </c>
      <c r="N57" s="11"/>
      <c r="O57" s="343" t="s">
        <v>1611</v>
      </c>
    </row>
    <row r="58" spans="1:15">
      <c r="A58" s="163">
        <v>46176</v>
      </c>
      <c r="B58" s="164" t="s">
        <v>66</v>
      </c>
      <c r="C58" s="341">
        <v>0.25</v>
      </c>
      <c r="D58" s="341">
        <v>0.94</v>
      </c>
      <c r="E58" s="165">
        <v>320.761</v>
      </c>
      <c r="F58" s="10">
        <f t="shared" si="0"/>
        <v>296.7</v>
      </c>
      <c r="G58" s="247">
        <f t="shared" si="1"/>
        <v>24.061</v>
      </c>
      <c r="H58" s="10"/>
      <c r="I58" s="153">
        <f t="shared" si="2"/>
        <v>0.949959627261419</v>
      </c>
      <c r="J58" s="166">
        <v>32.07</v>
      </c>
      <c r="K58" s="166"/>
      <c r="L58" s="166">
        <v>304.71</v>
      </c>
      <c r="M58" s="162">
        <f t="shared" si="3"/>
        <v>15587.72</v>
      </c>
      <c r="N58" s="11"/>
      <c r="O58" s="343" t="s">
        <v>1611</v>
      </c>
    </row>
    <row r="59" spans="1:15">
      <c r="A59" s="163">
        <v>46176</v>
      </c>
      <c r="B59" s="164" t="s">
        <v>114</v>
      </c>
      <c r="C59" s="341">
        <v>0.55</v>
      </c>
      <c r="D59" s="341">
        <v>0.91</v>
      </c>
      <c r="E59" s="165">
        <v>152.958</v>
      </c>
      <c r="F59" s="10">
        <f t="shared" si="0"/>
        <v>154.8</v>
      </c>
      <c r="G59" s="10">
        <f t="shared" si="1"/>
        <v>-1.84199999999998</v>
      </c>
      <c r="H59" s="10"/>
      <c r="I59" s="153">
        <f t="shared" si="2"/>
        <v>0.877953425123236</v>
      </c>
      <c r="J59" s="166">
        <v>15.29</v>
      </c>
      <c r="K59" s="166"/>
      <c r="L59" s="166">
        <v>134.29</v>
      </c>
      <c r="M59" s="162">
        <f t="shared" si="3"/>
        <v>15453.43</v>
      </c>
      <c r="N59" s="11"/>
      <c r="O59" s="343" t="s">
        <v>1611</v>
      </c>
    </row>
    <row r="60" spans="1:15">
      <c r="A60" s="163">
        <v>46176</v>
      </c>
      <c r="B60" s="164" t="s">
        <v>121</v>
      </c>
      <c r="C60" s="341">
        <v>0.49</v>
      </c>
      <c r="D60" s="341">
        <v>0.99</v>
      </c>
      <c r="E60" s="165">
        <v>214.354</v>
      </c>
      <c r="F60" s="10">
        <f t="shared" si="0"/>
        <v>215</v>
      </c>
      <c r="G60" s="10">
        <f t="shared" si="1"/>
        <v>-0.645999999999987</v>
      </c>
      <c r="H60" s="10"/>
      <c r="I60" s="153">
        <f t="shared" si="2"/>
        <v>0.824197355775959</v>
      </c>
      <c r="J60" s="166">
        <v>21.43</v>
      </c>
      <c r="K60" s="166"/>
      <c r="L60" s="166">
        <v>176.67</v>
      </c>
      <c r="M60" s="162">
        <f t="shared" si="3"/>
        <v>15276.76</v>
      </c>
      <c r="N60" s="11"/>
      <c r="O60" s="343" t="s">
        <v>1611</v>
      </c>
    </row>
    <row r="61" spans="1:15">
      <c r="A61" s="163">
        <v>46176</v>
      </c>
      <c r="B61" s="164" t="s">
        <v>63</v>
      </c>
      <c r="C61" s="341">
        <v>0.24</v>
      </c>
      <c r="D61" s="341">
        <v>0.92</v>
      </c>
      <c r="E61" s="165">
        <v>315.4</v>
      </c>
      <c r="F61" s="10">
        <f t="shared" si="0"/>
        <v>292.4</v>
      </c>
      <c r="G61" s="247">
        <f t="shared" si="1"/>
        <v>22.9999999999999</v>
      </c>
      <c r="H61" s="10"/>
      <c r="I61" s="153">
        <f t="shared" si="2"/>
        <v>0.913062777425492</v>
      </c>
      <c r="J61" s="166">
        <v>31.53</v>
      </c>
      <c r="K61" s="166"/>
      <c r="L61" s="166">
        <v>287.98</v>
      </c>
      <c r="M61" s="162">
        <f t="shared" si="3"/>
        <v>14988.78</v>
      </c>
      <c r="N61" s="11"/>
      <c r="O61" s="343" t="s">
        <v>1611</v>
      </c>
    </row>
    <row r="62" spans="1:15">
      <c r="A62" s="163">
        <v>46176</v>
      </c>
      <c r="B62" s="164" t="s">
        <v>105</v>
      </c>
      <c r="C62" s="341">
        <v>0.55</v>
      </c>
      <c r="D62" s="341">
        <v>0.98</v>
      </c>
      <c r="E62" s="165">
        <v>210.359</v>
      </c>
      <c r="F62" s="10">
        <f t="shared" si="0"/>
        <v>184.9</v>
      </c>
      <c r="G62" s="247">
        <f t="shared" si="1"/>
        <v>25.459</v>
      </c>
      <c r="H62" s="10"/>
      <c r="I62" s="153">
        <f t="shared" si="2"/>
        <v>0.949947470752381</v>
      </c>
      <c r="J62" s="166">
        <v>21.03</v>
      </c>
      <c r="K62" s="166"/>
      <c r="L62" s="166">
        <v>199.83</v>
      </c>
      <c r="M62" s="162">
        <f t="shared" si="3"/>
        <v>14788.95</v>
      </c>
      <c r="N62" s="11"/>
      <c r="O62" s="343" t="s">
        <v>1611</v>
      </c>
    </row>
    <row r="63" spans="1:15">
      <c r="A63" s="163">
        <v>46176</v>
      </c>
      <c r="B63" s="164" t="s">
        <v>96</v>
      </c>
      <c r="C63" s="341">
        <v>0.51</v>
      </c>
      <c r="D63" s="341">
        <v>0.96</v>
      </c>
      <c r="E63" s="165">
        <v>224.64</v>
      </c>
      <c r="F63" s="10">
        <f t="shared" si="0"/>
        <v>193.5</v>
      </c>
      <c r="G63" s="247">
        <f t="shared" si="1"/>
        <v>31.14</v>
      </c>
      <c r="H63" s="10"/>
      <c r="I63" s="153">
        <f t="shared" si="2"/>
        <v>0.949964387464387</v>
      </c>
      <c r="J63" s="166">
        <v>22.46</v>
      </c>
      <c r="K63" s="166"/>
      <c r="L63" s="166">
        <v>213.4</v>
      </c>
      <c r="M63" s="162">
        <f t="shared" si="3"/>
        <v>14575.55</v>
      </c>
      <c r="N63" s="11"/>
      <c r="O63" s="343" t="s">
        <v>1611</v>
      </c>
    </row>
    <row r="64" spans="1:15">
      <c r="A64" s="163">
        <v>46176</v>
      </c>
      <c r="B64" s="164" t="s">
        <v>124</v>
      </c>
      <c r="C64" s="341">
        <v>0.56</v>
      </c>
      <c r="D64" s="341">
        <v>0.94</v>
      </c>
      <c r="E64" s="165">
        <v>160.454</v>
      </c>
      <c r="F64" s="10">
        <f t="shared" si="0"/>
        <v>163.4</v>
      </c>
      <c r="G64" s="10">
        <f t="shared" si="1"/>
        <v>-2.94599999999994</v>
      </c>
      <c r="H64" s="10"/>
      <c r="I64" s="153">
        <f t="shared" si="2"/>
        <v>0.949929574831416</v>
      </c>
      <c r="J64" s="166">
        <v>16.04</v>
      </c>
      <c r="K64" s="166"/>
      <c r="L64" s="166">
        <v>152.42</v>
      </c>
      <c r="M64" s="162">
        <f t="shared" si="3"/>
        <v>14423.13</v>
      </c>
      <c r="N64" s="11"/>
      <c r="O64" s="343" t="s">
        <v>1611</v>
      </c>
    </row>
    <row r="65" spans="1:15">
      <c r="A65" s="163">
        <v>46176</v>
      </c>
      <c r="B65" s="164" t="s">
        <v>81</v>
      </c>
      <c r="C65" s="341">
        <v>0.23</v>
      </c>
      <c r="D65" s="341">
        <v>0.88</v>
      </c>
      <c r="E65" s="165">
        <v>302.238</v>
      </c>
      <c r="F65" s="10">
        <f t="shared" si="0"/>
        <v>279.5</v>
      </c>
      <c r="G65" s="247">
        <f t="shared" si="1"/>
        <v>22.738</v>
      </c>
      <c r="H65" s="10"/>
      <c r="I65" s="153">
        <f t="shared" si="2"/>
        <v>0.94997981723013</v>
      </c>
      <c r="J65" s="166">
        <v>30.22</v>
      </c>
      <c r="K65" s="166"/>
      <c r="L65" s="166">
        <v>287.12</v>
      </c>
      <c r="M65" s="162">
        <f t="shared" si="3"/>
        <v>14136.01</v>
      </c>
      <c r="N65" s="11"/>
      <c r="O65" s="343" t="s">
        <v>1611</v>
      </c>
    </row>
    <row r="66" spans="1:15">
      <c r="A66" s="163">
        <v>46176</v>
      </c>
      <c r="B66" s="164" t="s">
        <v>132</v>
      </c>
      <c r="C66" s="341">
        <v>0.43</v>
      </c>
      <c r="D66" s="341">
        <v>0.86</v>
      </c>
      <c r="E66" s="165">
        <v>191.216</v>
      </c>
      <c r="F66" s="10">
        <f t="shared" si="0"/>
        <v>184.9</v>
      </c>
      <c r="G66" s="10">
        <f t="shared" si="1"/>
        <v>6.316</v>
      </c>
      <c r="H66" s="10"/>
      <c r="I66" s="153">
        <f t="shared" si="2"/>
        <v>0.94997280562296</v>
      </c>
      <c r="J66" s="166">
        <v>19.12</v>
      </c>
      <c r="K66" s="166"/>
      <c r="L66" s="166">
        <v>181.65</v>
      </c>
      <c r="M66" s="162">
        <f t="shared" si="3"/>
        <v>13954.36</v>
      </c>
      <c r="N66" s="11"/>
      <c r="O66" s="343" t="s">
        <v>1611</v>
      </c>
    </row>
    <row r="67" spans="1:15">
      <c r="A67" s="163">
        <v>46176</v>
      </c>
      <c r="B67" s="164" t="s">
        <v>135</v>
      </c>
      <c r="C67" s="341">
        <v>0.45</v>
      </c>
      <c r="D67" s="341">
        <v>0.94</v>
      </c>
      <c r="E67" s="165">
        <v>218.81</v>
      </c>
      <c r="F67" s="10">
        <f t="shared" ref="F67:F130" si="4">(D67-C67)*430</f>
        <v>210.7</v>
      </c>
      <c r="G67" s="10">
        <f t="shared" ref="G67:G130" si="5">E67-F67</f>
        <v>8.11000000000004</v>
      </c>
      <c r="H67" s="10"/>
      <c r="I67" s="153">
        <f t="shared" ref="I67:I130" si="6">L67/E67</f>
        <v>0.949956583337142</v>
      </c>
      <c r="J67" s="166">
        <v>21.88</v>
      </c>
      <c r="K67" s="166"/>
      <c r="L67" s="166">
        <v>207.86</v>
      </c>
      <c r="M67" s="162">
        <f t="shared" ref="M67:M130" si="7">M66+K67-L67</f>
        <v>13746.5</v>
      </c>
      <c r="N67" s="11"/>
      <c r="O67" s="343" t="s">
        <v>1611</v>
      </c>
    </row>
    <row r="68" spans="1:15">
      <c r="A68" s="163">
        <v>46176</v>
      </c>
      <c r="B68" s="164" t="s">
        <v>84</v>
      </c>
      <c r="C68" s="341">
        <v>0.57</v>
      </c>
      <c r="D68" s="341">
        <v>0.98</v>
      </c>
      <c r="E68" s="165">
        <v>207.868</v>
      </c>
      <c r="F68" s="10">
        <f t="shared" si="4"/>
        <v>176.3</v>
      </c>
      <c r="G68" s="247">
        <f t="shared" si="5"/>
        <v>31.568</v>
      </c>
      <c r="H68" s="10"/>
      <c r="I68" s="153">
        <f t="shared" si="6"/>
        <v>0.949929763118902</v>
      </c>
      <c r="J68" s="166">
        <v>20.78</v>
      </c>
      <c r="K68" s="166"/>
      <c r="L68" s="166">
        <v>197.46</v>
      </c>
      <c r="M68" s="162">
        <f t="shared" si="7"/>
        <v>13549.04</v>
      </c>
      <c r="N68" s="11"/>
      <c r="O68" s="343" t="s">
        <v>1611</v>
      </c>
    </row>
    <row r="69" spans="1:15">
      <c r="A69" s="163">
        <v>46176</v>
      </c>
      <c r="B69" s="164" t="s">
        <v>117</v>
      </c>
      <c r="C69" s="341">
        <v>0.46</v>
      </c>
      <c r="D69" s="341">
        <v>0.9</v>
      </c>
      <c r="E69" s="165">
        <v>189.358</v>
      </c>
      <c r="F69" s="10">
        <f t="shared" si="4"/>
        <v>189.2</v>
      </c>
      <c r="G69" s="10">
        <f t="shared" si="5"/>
        <v>0.158000000000015</v>
      </c>
      <c r="H69" s="10"/>
      <c r="I69" s="153">
        <f t="shared" si="6"/>
        <v>0.949946661878558</v>
      </c>
      <c r="J69" s="166">
        <v>18.93</v>
      </c>
      <c r="K69" s="166"/>
      <c r="L69" s="166">
        <v>179.88</v>
      </c>
      <c r="M69" s="162">
        <f t="shared" si="7"/>
        <v>13369.16</v>
      </c>
      <c r="N69" s="11"/>
      <c r="O69" s="343" t="s">
        <v>1611</v>
      </c>
    </row>
    <row r="70" spans="1:15">
      <c r="A70" s="163">
        <v>46176</v>
      </c>
      <c r="B70" s="164" t="s">
        <v>51</v>
      </c>
      <c r="C70" s="341">
        <v>0.51</v>
      </c>
      <c r="D70" s="341">
        <v>0.96</v>
      </c>
      <c r="E70" s="165">
        <v>194.176</v>
      </c>
      <c r="F70" s="10">
        <f t="shared" si="4"/>
        <v>193.5</v>
      </c>
      <c r="G70" s="10">
        <f t="shared" si="5"/>
        <v>0.676000000000016</v>
      </c>
      <c r="H70" s="10"/>
      <c r="I70" s="153">
        <f t="shared" si="6"/>
        <v>0.949911420566908</v>
      </c>
      <c r="J70" s="166">
        <v>19.41</v>
      </c>
      <c r="K70" s="166"/>
      <c r="L70" s="166">
        <v>184.45</v>
      </c>
      <c r="M70" s="162">
        <f t="shared" si="7"/>
        <v>13184.71</v>
      </c>
      <c r="N70" s="11"/>
      <c r="O70" s="343" t="s">
        <v>1611</v>
      </c>
    </row>
    <row r="71" spans="1:15">
      <c r="A71" s="163">
        <v>46176</v>
      </c>
      <c r="B71" s="164" t="s">
        <v>138</v>
      </c>
      <c r="C71" s="341">
        <v>0.49</v>
      </c>
      <c r="D71" s="341">
        <v>0.86</v>
      </c>
      <c r="E71" s="165">
        <v>168.379</v>
      </c>
      <c r="F71" s="10">
        <f t="shared" si="4"/>
        <v>159.1</v>
      </c>
      <c r="G71" s="10">
        <f t="shared" si="5"/>
        <v>9.279</v>
      </c>
      <c r="H71" s="10"/>
      <c r="I71" s="153">
        <f t="shared" si="6"/>
        <v>0.949940313221958</v>
      </c>
      <c r="J71" s="166">
        <v>16.83</v>
      </c>
      <c r="K71" s="166"/>
      <c r="L71" s="166">
        <v>159.95</v>
      </c>
      <c r="M71" s="162">
        <f t="shared" si="7"/>
        <v>13024.76</v>
      </c>
      <c r="N71" s="11"/>
      <c r="O71" s="343" t="s">
        <v>1611</v>
      </c>
    </row>
    <row r="72" spans="1:15">
      <c r="A72" s="163">
        <v>46176</v>
      </c>
      <c r="B72" s="164" t="s">
        <v>57</v>
      </c>
      <c r="C72" s="341">
        <v>0.4</v>
      </c>
      <c r="D72" s="341">
        <v>0.99</v>
      </c>
      <c r="E72" s="165">
        <v>248.084</v>
      </c>
      <c r="F72" s="10">
        <f t="shared" si="4"/>
        <v>253.7</v>
      </c>
      <c r="G72" s="10">
        <f t="shared" si="5"/>
        <v>-5.61599999999999</v>
      </c>
      <c r="H72" s="10"/>
      <c r="I72" s="153">
        <f t="shared" si="6"/>
        <v>0.949960497250931</v>
      </c>
      <c r="J72" s="166">
        <v>24.8</v>
      </c>
      <c r="K72" s="166"/>
      <c r="L72" s="166">
        <v>235.67</v>
      </c>
      <c r="M72" s="162">
        <f t="shared" si="7"/>
        <v>12789.09</v>
      </c>
      <c r="N72" s="11"/>
      <c r="O72" s="343" t="s">
        <v>1611</v>
      </c>
    </row>
    <row r="73" spans="1:15">
      <c r="A73" s="163">
        <v>46176</v>
      </c>
      <c r="B73" s="164" t="s">
        <v>114</v>
      </c>
      <c r="C73" s="341">
        <v>0.32</v>
      </c>
      <c r="D73" s="341">
        <v>0.86</v>
      </c>
      <c r="E73" s="165">
        <v>220.714</v>
      </c>
      <c r="F73" s="10">
        <f t="shared" si="4"/>
        <v>232.2</v>
      </c>
      <c r="G73" s="10">
        <f t="shared" si="5"/>
        <v>-11.486</v>
      </c>
      <c r="H73" s="10"/>
      <c r="I73" s="153">
        <f t="shared" si="6"/>
        <v>0.863560988428464</v>
      </c>
      <c r="J73" s="166">
        <v>22.06</v>
      </c>
      <c r="K73" s="166"/>
      <c r="L73" s="166">
        <v>190.6</v>
      </c>
      <c r="M73" s="162">
        <f t="shared" si="7"/>
        <v>12598.49</v>
      </c>
      <c r="N73" s="11"/>
      <c r="O73" s="343" t="s">
        <v>1611</v>
      </c>
    </row>
    <row r="74" spans="1:15">
      <c r="A74" s="156">
        <v>46177</v>
      </c>
      <c r="B74" s="168" t="s">
        <v>144</v>
      </c>
      <c r="C74" s="341">
        <v>0.47</v>
      </c>
      <c r="D74" s="341">
        <v>0.85</v>
      </c>
      <c r="E74" s="159">
        <v>168.888</v>
      </c>
      <c r="F74" s="10">
        <f t="shared" si="4"/>
        <v>163.4</v>
      </c>
      <c r="G74" s="10">
        <f t="shared" si="5"/>
        <v>5.488</v>
      </c>
      <c r="H74" s="10"/>
      <c r="I74" s="153">
        <f t="shared" si="6"/>
        <v>0.774714603761072</v>
      </c>
      <c r="J74" s="162">
        <v>16.88</v>
      </c>
      <c r="K74" s="166"/>
      <c r="L74" s="162">
        <v>130.84</v>
      </c>
      <c r="M74" s="166">
        <f t="shared" si="7"/>
        <v>12467.65</v>
      </c>
      <c r="N74" s="11"/>
      <c r="O74" s="343" t="s">
        <v>1611</v>
      </c>
    </row>
    <row r="75" spans="1:15">
      <c r="A75" s="163">
        <v>46177</v>
      </c>
      <c r="B75" s="164" t="s">
        <v>69</v>
      </c>
      <c r="C75" s="341">
        <v>0.44</v>
      </c>
      <c r="D75" s="341">
        <v>0.89</v>
      </c>
      <c r="E75" s="165">
        <v>212.351</v>
      </c>
      <c r="F75" s="10">
        <f t="shared" si="4"/>
        <v>193.5</v>
      </c>
      <c r="G75" s="10">
        <f t="shared" si="5"/>
        <v>18.851</v>
      </c>
      <c r="H75" s="10"/>
      <c r="I75" s="153">
        <f t="shared" si="6"/>
        <v>0.669975653517054</v>
      </c>
      <c r="J75" s="166">
        <v>21.23</v>
      </c>
      <c r="K75" s="166"/>
      <c r="L75" s="166">
        <v>142.27</v>
      </c>
      <c r="M75" s="166">
        <f t="shared" si="7"/>
        <v>12325.38</v>
      </c>
      <c r="N75" s="11"/>
      <c r="O75" s="343" t="s">
        <v>1611</v>
      </c>
    </row>
    <row r="76" spans="1:15">
      <c r="A76" s="163">
        <v>46177</v>
      </c>
      <c r="B76" s="164" t="s">
        <v>105</v>
      </c>
      <c r="C76" s="341">
        <v>0.44</v>
      </c>
      <c r="D76" s="341">
        <v>0.97</v>
      </c>
      <c r="E76" s="165">
        <v>257.896</v>
      </c>
      <c r="F76" s="10">
        <f t="shared" si="4"/>
        <v>227.9</v>
      </c>
      <c r="G76" s="247">
        <f t="shared" si="5"/>
        <v>29.996</v>
      </c>
      <c r="H76" s="10"/>
      <c r="I76" s="153">
        <f t="shared" si="6"/>
        <v>0.949956571641282</v>
      </c>
      <c r="J76" s="166">
        <v>25.78</v>
      </c>
      <c r="K76" s="166"/>
      <c r="L76" s="166">
        <v>244.99</v>
      </c>
      <c r="M76" s="166">
        <f t="shared" si="7"/>
        <v>12080.39</v>
      </c>
      <c r="N76" s="11"/>
      <c r="O76" s="343" t="s">
        <v>1611</v>
      </c>
    </row>
    <row r="77" spans="1:15">
      <c r="A77" s="163">
        <v>46177</v>
      </c>
      <c r="B77" s="164" t="s">
        <v>108</v>
      </c>
      <c r="C77" s="341">
        <v>0.42</v>
      </c>
      <c r="D77" s="341">
        <v>0.97</v>
      </c>
      <c r="E77" s="165">
        <v>263.154</v>
      </c>
      <c r="F77" s="10">
        <f t="shared" si="4"/>
        <v>236.5</v>
      </c>
      <c r="G77" s="247">
        <f t="shared" si="5"/>
        <v>26.654</v>
      </c>
      <c r="H77" s="10"/>
      <c r="I77" s="153">
        <f t="shared" si="6"/>
        <v>0.9482280337749</v>
      </c>
      <c r="J77" s="166">
        <v>26.31</v>
      </c>
      <c r="K77" s="166"/>
      <c r="L77" s="166">
        <v>249.53</v>
      </c>
      <c r="M77" s="166">
        <f t="shared" si="7"/>
        <v>11830.86</v>
      </c>
      <c r="N77" s="11"/>
      <c r="O77" s="343" t="s">
        <v>1611</v>
      </c>
    </row>
    <row r="78" spans="1:15">
      <c r="A78" s="163">
        <v>46177</v>
      </c>
      <c r="B78" s="164" t="s">
        <v>127</v>
      </c>
      <c r="C78" s="341">
        <v>0.51</v>
      </c>
      <c r="D78" s="341">
        <v>0.95</v>
      </c>
      <c r="E78" s="165">
        <v>191.506</v>
      </c>
      <c r="F78" s="10">
        <f t="shared" si="4"/>
        <v>189.2</v>
      </c>
      <c r="G78" s="10">
        <f t="shared" si="5"/>
        <v>2.30600000000001</v>
      </c>
      <c r="H78" s="10"/>
      <c r="I78" s="153">
        <f t="shared" si="6"/>
        <v>0.852767015132685</v>
      </c>
      <c r="J78" s="166">
        <v>19.14</v>
      </c>
      <c r="K78" s="166"/>
      <c r="L78" s="166">
        <v>163.31</v>
      </c>
      <c r="M78" s="166">
        <f t="shared" si="7"/>
        <v>11667.55</v>
      </c>
      <c r="N78" s="11"/>
      <c r="O78" s="343" t="s">
        <v>1611</v>
      </c>
    </row>
    <row r="79" spans="1:15">
      <c r="A79" s="163">
        <v>46177</v>
      </c>
      <c r="B79" s="164" t="s">
        <v>96</v>
      </c>
      <c r="C79" s="341">
        <v>0.24</v>
      </c>
      <c r="D79" s="341">
        <v>0.94</v>
      </c>
      <c r="E79" s="165">
        <v>322.911</v>
      </c>
      <c r="F79" s="10">
        <f t="shared" si="4"/>
        <v>301</v>
      </c>
      <c r="G79" s="247">
        <f t="shared" si="5"/>
        <v>21.911</v>
      </c>
      <c r="H79" s="10"/>
      <c r="I79" s="153">
        <f t="shared" si="6"/>
        <v>0.949983122284468</v>
      </c>
      <c r="J79" s="166">
        <v>32.29</v>
      </c>
      <c r="K79" s="166"/>
      <c r="L79" s="166">
        <v>306.76</v>
      </c>
      <c r="M79" s="166">
        <f t="shared" si="7"/>
        <v>11360.79</v>
      </c>
      <c r="N79" s="11"/>
      <c r="O79" s="343" t="s">
        <v>1611</v>
      </c>
    </row>
    <row r="80" spans="1:15">
      <c r="A80" s="163">
        <v>46177</v>
      </c>
      <c r="B80" s="164" t="s">
        <v>84</v>
      </c>
      <c r="C80" s="341">
        <v>0.25</v>
      </c>
      <c r="D80" s="341">
        <v>0.95</v>
      </c>
      <c r="E80" s="165">
        <v>333.25</v>
      </c>
      <c r="F80" s="10">
        <f t="shared" si="4"/>
        <v>301</v>
      </c>
      <c r="G80" s="247">
        <f t="shared" si="5"/>
        <v>32.25</v>
      </c>
      <c r="H80" s="10"/>
      <c r="I80" s="153">
        <f t="shared" si="6"/>
        <v>0.949977494373593</v>
      </c>
      <c r="J80" s="166">
        <v>33.32</v>
      </c>
      <c r="K80" s="166"/>
      <c r="L80" s="166">
        <v>316.58</v>
      </c>
      <c r="M80" s="166">
        <f t="shared" si="7"/>
        <v>11044.21</v>
      </c>
      <c r="N80" s="11"/>
      <c r="O80" s="343" t="s">
        <v>1611</v>
      </c>
    </row>
    <row r="81" spans="1:16">
      <c r="A81" s="163">
        <v>46177</v>
      </c>
      <c r="B81" s="164" t="s">
        <v>60</v>
      </c>
      <c r="C81" s="341">
        <v>0.43</v>
      </c>
      <c r="D81" s="341">
        <v>0.96</v>
      </c>
      <c r="E81" s="165">
        <v>232.625</v>
      </c>
      <c r="F81" s="10">
        <f t="shared" si="4"/>
        <v>227.9</v>
      </c>
      <c r="G81" s="10">
        <f t="shared" si="5"/>
        <v>4.72499999999999</v>
      </c>
      <c r="H81" s="10"/>
      <c r="I81" s="153">
        <f t="shared" si="6"/>
        <v>0.949983879634605</v>
      </c>
      <c r="J81" s="166">
        <v>23.26</v>
      </c>
      <c r="K81" s="166"/>
      <c r="L81" s="166">
        <v>220.99</v>
      </c>
      <c r="M81" s="166">
        <f t="shared" si="7"/>
        <v>10823.22</v>
      </c>
      <c r="N81" s="11"/>
      <c r="O81" s="343" t="s">
        <v>1611</v>
      </c>
    </row>
    <row r="82" spans="1:16">
      <c r="A82" s="163">
        <v>46177</v>
      </c>
      <c r="B82" s="164" t="s">
        <v>111</v>
      </c>
      <c r="C82" s="341">
        <v>0.37</v>
      </c>
      <c r="D82" s="341">
        <v>0.96</v>
      </c>
      <c r="E82" s="165">
        <v>244.436</v>
      </c>
      <c r="F82" s="10">
        <f t="shared" si="4"/>
        <v>253.7</v>
      </c>
      <c r="G82" s="10">
        <f t="shared" si="5"/>
        <v>-9.26399999999998</v>
      </c>
      <c r="H82" s="10"/>
      <c r="I82" s="153">
        <f t="shared" si="6"/>
        <v>0.949982817588244</v>
      </c>
      <c r="J82" s="166">
        <v>24.44</v>
      </c>
      <c r="K82" s="166"/>
      <c r="L82" s="166">
        <v>232.21</v>
      </c>
      <c r="M82" s="166">
        <f t="shared" si="7"/>
        <v>10591.01</v>
      </c>
      <c r="N82" s="11"/>
      <c r="O82" s="343" t="s">
        <v>1611</v>
      </c>
    </row>
    <row r="83" spans="1:16">
      <c r="A83" s="163">
        <v>46177</v>
      </c>
      <c r="B83" s="164" t="s">
        <v>124</v>
      </c>
      <c r="C83" s="341">
        <v>0.29</v>
      </c>
      <c r="D83" s="341">
        <v>0.92</v>
      </c>
      <c r="E83" s="165">
        <v>266.935</v>
      </c>
      <c r="F83" s="10">
        <f t="shared" si="4"/>
        <v>270.9</v>
      </c>
      <c r="G83" s="10">
        <f t="shared" si="5"/>
        <v>-3.96500000000003</v>
      </c>
      <c r="H83" s="10"/>
      <c r="I83" s="153">
        <f t="shared" si="6"/>
        <v>0.949969093599565</v>
      </c>
      <c r="J83" s="166">
        <v>26.69</v>
      </c>
      <c r="K83" s="166"/>
      <c r="L83" s="166">
        <v>253.58</v>
      </c>
      <c r="M83" s="166">
        <f t="shared" si="7"/>
        <v>10337.43</v>
      </c>
      <c r="N83" s="11"/>
      <c r="O83" s="343" t="s">
        <v>1611</v>
      </c>
    </row>
    <row r="84" spans="1:16">
      <c r="A84" s="163">
        <v>46177</v>
      </c>
      <c r="B84" s="164" t="s">
        <v>135</v>
      </c>
      <c r="C84" s="341">
        <v>0.31</v>
      </c>
      <c r="D84" s="341">
        <v>0.99</v>
      </c>
      <c r="E84" s="165">
        <v>305.651</v>
      </c>
      <c r="F84" s="10">
        <f t="shared" si="4"/>
        <v>292.4</v>
      </c>
      <c r="G84" s="10">
        <f t="shared" si="5"/>
        <v>13.251</v>
      </c>
      <c r="H84" s="10"/>
      <c r="I84" s="153">
        <f t="shared" si="6"/>
        <v>0.949972354090122</v>
      </c>
      <c r="J84" s="166">
        <v>30.56</v>
      </c>
      <c r="K84" s="166"/>
      <c r="L84" s="166">
        <v>290.36</v>
      </c>
      <c r="M84" s="166">
        <f t="shared" si="7"/>
        <v>10047.07</v>
      </c>
      <c r="N84" s="11"/>
      <c r="O84" s="343" t="s">
        <v>1611</v>
      </c>
    </row>
    <row r="85" spans="1:16">
      <c r="A85" s="163">
        <v>46177</v>
      </c>
      <c r="B85" s="164" t="s">
        <v>141</v>
      </c>
      <c r="C85" s="341">
        <v>0.51</v>
      </c>
      <c r="D85" s="341">
        <v>0.96</v>
      </c>
      <c r="E85" s="165">
        <v>202.602</v>
      </c>
      <c r="F85" s="10">
        <f t="shared" si="4"/>
        <v>193.5</v>
      </c>
      <c r="G85" s="10">
        <f t="shared" si="5"/>
        <v>9.10200000000003</v>
      </c>
      <c r="H85" s="10"/>
      <c r="I85" s="153">
        <f t="shared" si="6"/>
        <v>0.94999062200768</v>
      </c>
      <c r="J85" s="166">
        <v>20.26</v>
      </c>
      <c r="K85" s="166"/>
      <c r="L85" s="166">
        <v>192.47</v>
      </c>
      <c r="M85" s="166">
        <f t="shared" si="7"/>
        <v>9854.6</v>
      </c>
      <c r="N85" s="11"/>
      <c r="O85" s="343" t="s">
        <v>1611</v>
      </c>
    </row>
    <row r="86" spans="1:16">
      <c r="A86" s="163">
        <v>46177</v>
      </c>
      <c r="B86" s="164" t="s">
        <v>87</v>
      </c>
      <c r="C86" s="341">
        <v>0.58</v>
      </c>
      <c r="D86" s="341">
        <v>0.95</v>
      </c>
      <c r="E86" s="165">
        <v>178.17</v>
      </c>
      <c r="F86" s="10">
        <f t="shared" si="4"/>
        <v>159.1</v>
      </c>
      <c r="G86" s="10">
        <f t="shared" si="5"/>
        <v>19.07</v>
      </c>
      <c r="H86" s="10"/>
      <c r="I86" s="153">
        <f t="shared" si="6"/>
        <v>0.949935454902621</v>
      </c>
      <c r="J86" s="166">
        <v>17.81</v>
      </c>
      <c r="K86" s="166"/>
      <c r="L86" s="166">
        <v>169.25</v>
      </c>
      <c r="M86" s="166">
        <f t="shared" si="7"/>
        <v>9685.35</v>
      </c>
      <c r="N86" s="11"/>
      <c r="O86" s="343" t="s">
        <v>1611</v>
      </c>
    </row>
    <row r="87" spans="1:16">
      <c r="A87" s="163">
        <v>46177</v>
      </c>
      <c r="B87" s="164" t="s">
        <v>90</v>
      </c>
      <c r="C87" s="341">
        <v>0.54</v>
      </c>
      <c r="D87" s="341">
        <v>0.85</v>
      </c>
      <c r="E87" s="165">
        <v>144.226</v>
      </c>
      <c r="F87" s="10">
        <f t="shared" si="4"/>
        <v>133.3</v>
      </c>
      <c r="G87" s="10">
        <f t="shared" si="5"/>
        <v>10.926</v>
      </c>
      <c r="H87" s="10"/>
      <c r="I87" s="153">
        <f t="shared" si="6"/>
        <v>0.949967412255765</v>
      </c>
      <c r="J87" s="166">
        <v>14.42</v>
      </c>
      <c r="K87" s="166"/>
      <c r="L87" s="166">
        <v>137.01</v>
      </c>
      <c r="M87" s="166">
        <f t="shared" si="7"/>
        <v>9548.34</v>
      </c>
      <c r="N87" s="11"/>
      <c r="O87" s="343" t="s">
        <v>1611</v>
      </c>
    </row>
    <row r="88" spans="1:16">
      <c r="A88" s="163">
        <v>46177</v>
      </c>
      <c r="B88" s="164" t="s">
        <v>81</v>
      </c>
      <c r="C88" s="341">
        <v>0.57</v>
      </c>
      <c r="D88" s="341">
        <v>0.74</v>
      </c>
      <c r="E88" s="165">
        <v>83.493</v>
      </c>
      <c r="F88" s="10">
        <f t="shared" si="4"/>
        <v>73.1</v>
      </c>
      <c r="G88" s="10">
        <f t="shared" si="5"/>
        <v>10.393</v>
      </c>
      <c r="H88" s="10"/>
      <c r="I88" s="153">
        <f t="shared" si="6"/>
        <v>0.949780221096379</v>
      </c>
      <c r="J88" s="166">
        <v>8.34</v>
      </c>
      <c r="K88" s="166"/>
      <c r="L88" s="166">
        <v>79.3</v>
      </c>
      <c r="M88" s="166">
        <f t="shared" si="7"/>
        <v>9469.04</v>
      </c>
      <c r="N88" s="11"/>
      <c r="O88" s="343" t="s">
        <v>1611</v>
      </c>
    </row>
    <row r="89" spans="1:16">
      <c r="A89" s="163">
        <v>46177</v>
      </c>
      <c r="B89" s="164" t="s">
        <v>78</v>
      </c>
      <c r="C89" s="341">
        <v>0.39</v>
      </c>
      <c r="D89" s="341">
        <v>0.84</v>
      </c>
      <c r="E89" s="165">
        <v>212.852</v>
      </c>
      <c r="F89" s="10">
        <f t="shared" si="4"/>
        <v>193.5</v>
      </c>
      <c r="G89" s="10">
        <f t="shared" si="5"/>
        <v>19.352</v>
      </c>
      <c r="H89" s="10"/>
      <c r="I89" s="153">
        <f t="shared" si="6"/>
        <v>0.94995583785917</v>
      </c>
      <c r="J89" s="166">
        <v>21.28</v>
      </c>
      <c r="K89" s="166"/>
      <c r="L89" s="166">
        <v>202.2</v>
      </c>
      <c r="M89" s="166">
        <f t="shared" si="7"/>
        <v>9266.84</v>
      </c>
      <c r="N89" s="11"/>
      <c r="O89" s="343" t="s">
        <v>1611</v>
      </c>
    </row>
    <row r="90" spans="1:16">
      <c r="A90" s="163">
        <v>46177</v>
      </c>
      <c r="B90" s="164" t="s">
        <v>72</v>
      </c>
      <c r="C90" s="341">
        <v>0.56</v>
      </c>
      <c r="D90" s="341">
        <v>0.82</v>
      </c>
      <c r="E90" s="165">
        <v>123.283</v>
      </c>
      <c r="F90" s="10">
        <f t="shared" si="4"/>
        <v>111.8</v>
      </c>
      <c r="G90" s="10">
        <f t="shared" si="5"/>
        <v>11.483</v>
      </c>
      <c r="H90" s="10"/>
      <c r="I90" s="153">
        <f t="shared" si="6"/>
        <v>0.949928213946773</v>
      </c>
      <c r="J90" s="166">
        <v>12.32</v>
      </c>
      <c r="K90" s="166"/>
      <c r="L90" s="166">
        <v>117.11</v>
      </c>
      <c r="M90" s="166">
        <f t="shared" si="7"/>
        <v>9149.73</v>
      </c>
      <c r="N90" s="11"/>
      <c r="O90" s="343" t="s">
        <v>1611</v>
      </c>
    </row>
    <row r="91" spans="1:16">
      <c r="A91" s="163">
        <v>46177</v>
      </c>
      <c r="B91" s="164" t="s">
        <v>66</v>
      </c>
      <c r="C91" s="341">
        <v>0.58</v>
      </c>
      <c r="D91" s="341">
        <v>0.96</v>
      </c>
      <c r="E91" s="165">
        <v>183.203</v>
      </c>
      <c r="F91" s="10">
        <f t="shared" si="4"/>
        <v>163.4</v>
      </c>
      <c r="G91" s="10">
        <f t="shared" si="5"/>
        <v>19.803</v>
      </c>
      <c r="H91" s="10"/>
      <c r="I91" s="153">
        <f t="shared" si="6"/>
        <v>0.949984443486187</v>
      </c>
      <c r="J91" s="166">
        <v>18.32</v>
      </c>
      <c r="K91" s="166"/>
      <c r="L91" s="166">
        <v>174.04</v>
      </c>
      <c r="M91" s="166">
        <f t="shared" si="7"/>
        <v>8975.69</v>
      </c>
      <c r="N91" s="11"/>
      <c r="O91" s="343" t="s">
        <v>1611</v>
      </c>
    </row>
    <row r="92" spans="1:16">
      <c r="A92" s="163">
        <v>46177</v>
      </c>
      <c r="B92" s="164" t="s">
        <v>99</v>
      </c>
      <c r="C92" s="341">
        <v>0.44</v>
      </c>
      <c r="D92" s="341">
        <v>0.92</v>
      </c>
      <c r="E92" s="165">
        <v>226.225</v>
      </c>
      <c r="F92" s="10">
        <f t="shared" si="4"/>
        <v>206.4</v>
      </c>
      <c r="G92" s="10">
        <f t="shared" si="5"/>
        <v>19.825</v>
      </c>
      <c r="H92" s="10"/>
      <c r="I92" s="153">
        <f t="shared" si="6"/>
        <v>0.949983423582716</v>
      </c>
      <c r="J92" s="166">
        <v>22.62</v>
      </c>
      <c r="K92" s="166"/>
      <c r="L92" s="166">
        <v>214.91</v>
      </c>
      <c r="M92" s="166">
        <f t="shared" si="7"/>
        <v>8760.78</v>
      </c>
      <c r="N92" s="11"/>
      <c r="O92" s="343" t="s">
        <v>1611</v>
      </c>
    </row>
    <row r="93" spans="1:16">
      <c r="A93" s="163">
        <v>46177</v>
      </c>
      <c r="B93" s="164" t="s">
        <v>54</v>
      </c>
      <c r="C93" s="341">
        <v>0.46</v>
      </c>
      <c r="D93" s="341">
        <v>0.95</v>
      </c>
      <c r="E93" s="165">
        <v>204.446</v>
      </c>
      <c r="F93" s="10">
        <f t="shared" si="4"/>
        <v>210.7</v>
      </c>
      <c r="G93" s="10">
        <f t="shared" si="5"/>
        <v>-6.25399999999996</v>
      </c>
      <c r="H93" s="10"/>
      <c r="I93" s="153">
        <f t="shared" si="6"/>
        <v>0.949932989640296</v>
      </c>
      <c r="J93" s="166">
        <v>20.44</v>
      </c>
      <c r="K93" s="166"/>
      <c r="L93" s="166">
        <v>194.21</v>
      </c>
      <c r="M93" s="166">
        <f t="shared" si="7"/>
        <v>8566.57</v>
      </c>
      <c r="N93" s="11"/>
      <c r="O93" s="343" t="s">
        <v>1611</v>
      </c>
    </row>
    <row r="94" spans="1:16">
      <c r="A94" s="163">
        <v>46177</v>
      </c>
      <c r="B94" s="164" t="s">
        <v>93</v>
      </c>
      <c r="C94" s="341">
        <v>0.57</v>
      </c>
      <c r="D94" s="341">
        <v>0.95</v>
      </c>
      <c r="E94" s="165">
        <v>181.479</v>
      </c>
      <c r="F94" s="10">
        <f t="shared" si="4"/>
        <v>163.4</v>
      </c>
      <c r="G94" s="10">
        <f t="shared" si="5"/>
        <v>18.079</v>
      </c>
      <c r="H94" s="10"/>
      <c r="I94" s="153">
        <f t="shared" si="6"/>
        <v>0.949917070294634</v>
      </c>
      <c r="J94" s="166">
        <v>18.14</v>
      </c>
      <c r="K94" s="166"/>
      <c r="L94" s="166">
        <v>172.39</v>
      </c>
      <c r="M94" s="166">
        <f t="shared" si="7"/>
        <v>8394.18</v>
      </c>
      <c r="N94" s="11"/>
      <c r="O94" s="343" t="s">
        <v>1611</v>
      </c>
    </row>
    <row r="95" spans="1:16">
      <c r="A95" s="156">
        <v>46178</v>
      </c>
      <c r="B95" s="168" t="s">
        <v>132</v>
      </c>
      <c r="C95" s="341">
        <v>0.29</v>
      </c>
      <c r="D95" s="341">
        <v>0.85</v>
      </c>
      <c r="E95" s="159">
        <v>250.536</v>
      </c>
      <c r="F95" s="10">
        <f t="shared" si="4"/>
        <v>240.8</v>
      </c>
      <c r="G95" s="10">
        <f t="shared" si="5"/>
        <v>9.73599999999999</v>
      </c>
      <c r="H95" s="10"/>
      <c r="I95" s="153">
        <f t="shared" si="6"/>
        <v>0.949963278730402</v>
      </c>
      <c r="J95" s="162">
        <v>25.05</v>
      </c>
      <c r="K95" s="166">
        <v>20000</v>
      </c>
      <c r="L95" s="162">
        <v>238</v>
      </c>
      <c r="M95" s="166">
        <f t="shared" si="7"/>
        <v>28156.18</v>
      </c>
      <c r="N95" s="11"/>
      <c r="O95" s="343" t="s">
        <v>1611</v>
      </c>
      <c r="P95" s="343"/>
    </row>
    <row r="96" spans="1:16">
      <c r="A96" s="163">
        <v>46178</v>
      </c>
      <c r="B96" s="164" t="s">
        <v>111</v>
      </c>
      <c r="C96" s="341">
        <v>0.5</v>
      </c>
      <c r="D96" s="341">
        <v>0.93</v>
      </c>
      <c r="E96" s="165">
        <v>177.467</v>
      </c>
      <c r="F96" s="10">
        <f t="shared" si="4"/>
        <v>184.9</v>
      </c>
      <c r="G96" s="10">
        <f t="shared" si="5"/>
        <v>-7.43300000000002</v>
      </c>
      <c r="H96" s="10"/>
      <c r="I96" s="153">
        <f t="shared" si="6"/>
        <v>0.949923084291727</v>
      </c>
      <c r="J96" s="166">
        <v>17.74</v>
      </c>
      <c r="K96" s="166"/>
      <c r="L96" s="166">
        <v>168.58</v>
      </c>
      <c r="M96" s="166">
        <f t="shared" si="7"/>
        <v>27987.6</v>
      </c>
      <c r="N96" s="11"/>
      <c r="O96" s="343" t="s">
        <v>1611</v>
      </c>
      <c r="P96" s="343"/>
    </row>
    <row r="97" spans="1:16">
      <c r="A97" s="163">
        <v>46178</v>
      </c>
      <c r="B97" s="164" t="s">
        <v>114</v>
      </c>
      <c r="C97" s="341">
        <v>0.56</v>
      </c>
      <c r="D97" s="341">
        <v>0.86</v>
      </c>
      <c r="E97" s="165">
        <v>129.276</v>
      </c>
      <c r="F97" s="10">
        <f t="shared" si="4"/>
        <v>129</v>
      </c>
      <c r="G97" s="10">
        <f t="shared" si="5"/>
        <v>0.276000000000039</v>
      </c>
      <c r="H97" s="10"/>
      <c r="I97" s="153">
        <f t="shared" si="6"/>
        <v>0.924069432841363</v>
      </c>
      <c r="J97" s="166">
        <v>12.92</v>
      </c>
      <c r="K97" s="166"/>
      <c r="L97" s="166">
        <v>119.46</v>
      </c>
      <c r="M97" s="166">
        <f t="shared" si="7"/>
        <v>27868.14</v>
      </c>
      <c r="N97" s="11"/>
      <c r="O97" s="343" t="s">
        <v>1611</v>
      </c>
      <c r="P97" s="343"/>
    </row>
    <row r="98" spans="1:16">
      <c r="A98" s="163">
        <v>46178</v>
      </c>
      <c r="B98" s="164" t="s">
        <v>51</v>
      </c>
      <c r="C98" s="341">
        <v>0.26</v>
      </c>
      <c r="D98" s="341">
        <v>0.92</v>
      </c>
      <c r="E98" s="165">
        <v>271.303</v>
      </c>
      <c r="F98" s="10">
        <f t="shared" si="4"/>
        <v>283.8</v>
      </c>
      <c r="G98" s="10">
        <f t="shared" si="5"/>
        <v>-12.497</v>
      </c>
      <c r="H98" s="10"/>
      <c r="I98" s="153">
        <f t="shared" si="6"/>
        <v>0.901869865058625</v>
      </c>
      <c r="J98" s="166">
        <v>27.12</v>
      </c>
      <c r="K98" s="166"/>
      <c r="L98" s="166">
        <v>244.68</v>
      </c>
      <c r="M98" s="166">
        <f t="shared" si="7"/>
        <v>27623.46</v>
      </c>
      <c r="N98" s="11"/>
      <c r="O98" s="343" t="s">
        <v>1611</v>
      </c>
      <c r="P98" s="343"/>
    </row>
    <row r="99" spans="1:16">
      <c r="A99" s="163">
        <v>46178</v>
      </c>
      <c r="B99" s="164" t="s">
        <v>60</v>
      </c>
      <c r="C99" s="341">
        <v>0.52</v>
      </c>
      <c r="D99" s="341">
        <v>0.96</v>
      </c>
      <c r="E99" s="165">
        <v>191.463</v>
      </c>
      <c r="F99" s="10">
        <f t="shared" si="4"/>
        <v>189.2</v>
      </c>
      <c r="G99" s="10">
        <f t="shared" si="5"/>
        <v>2.26300000000001</v>
      </c>
      <c r="H99" s="10"/>
      <c r="I99" s="153">
        <f t="shared" si="6"/>
        <v>0.832536834793145</v>
      </c>
      <c r="J99" s="166">
        <v>19.14</v>
      </c>
      <c r="K99" s="166"/>
      <c r="L99" s="166">
        <v>159.4</v>
      </c>
      <c r="M99" s="166">
        <f t="shared" si="7"/>
        <v>27464.06</v>
      </c>
      <c r="N99" s="11"/>
      <c r="O99" s="343" t="s">
        <v>1611</v>
      </c>
      <c r="P99" s="343"/>
    </row>
    <row r="100" spans="1:16">
      <c r="A100" s="163">
        <v>46178</v>
      </c>
      <c r="B100" s="164" t="s">
        <v>81</v>
      </c>
      <c r="C100" s="341">
        <v>0.26</v>
      </c>
      <c r="D100" s="341">
        <v>0.91</v>
      </c>
      <c r="E100" s="165">
        <v>303.54</v>
      </c>
      <c r="F100" s="10">
        <f t="shared" si="4"/>
        <v>279.5</v>
      </c>
      <c r="G100" s="247">
        <f t="shared" si="5"/>
        <v>24.04</v>
      </c>
      <c r="H100" s="10"/>
      <c r="I100" s="153">
        <f t="shared" si="6"/>
        <v>0.843546155366673</v>
      </c>
      <c r="J100" s="166">
        <v>30.34</v>
      </c>
      <c r="K100" s="166"/>
      <c r="L100" s="166">
        <v>256.05</v>
      </c>
      <c r="M100" s="166">
        <f t="shared" si="7"/>
        <v>27208.01</v>
      </c>
      <c r="N100" s="11"/>
      <c r="O100" s="343" t="s">
        <v>1611</v>
      </c>
      <c r="P100" s="343"/>
    </row>
    <row r="101" spans="1:16">
      <c r="A101" s="163">
        <v>46178</v>
      </c>
      <c r="B101" s="164" t="s">
        <v>57</v>
      </c>
      <c r="C101" s="341">
        <v>0.41</v>
      </c>
      <c r="D101" s="341">
        <v>0.95</v>
      </c>
      <c r="E101" s="165">
        <v>224.494</v>
      </c>
      <c r="F101" s="10">
        <f t="shared" si="4"/>
        <v>232.2</v>
      </c>
      <c r="G101" s="10">
        <f t="shared" si="5"/>
        <v>-7.70600000000002</v>
      </c>
      <c r="H101" s="10"/>
      <c r="I101" s="153">
        <f t="shared" si="6"/>
        <v>0.915035591151657</v>
      </c>
      <c r="J101" s="166">
        <v>22.44</v>
      </c>
      <c r="K101" s="166"/>
      <c r="L101" s="166">
        <v>205.42</v>
      </c>
      <c r="M101" s="166">
        <f t="shared" si="7"/>
        <v>27002.59</v>
      </c>
      <c r="N101" s="11"/>
      <c r="O101" s="343" t="s">
        <v>1611</v>
      </c>
      <c r="P101" s="343"/>
    </row>
    <row r="102" spans="1:16">
      <c r="A102" s="163">
        <v>46178</v>
      </c>
      <c r="B102" s="164" t="s">
        <v>90</v>
      </c>
      <c r="C102" s="341">
        <v>0.29</v>
      </c>
      <c r="D102" s="341">
        <v>0.92</v>
      </c>
      <c r="E102" s="165">
        <v>291.728</v>
      </c>
      <c r="F102" s="10">
        <f t="shared" si="4"/>
        <v>270.9</v>
      </c>
      <c r="G102" s="247">
        <f t="shared" si="5"/>
        <v>20.828</v>
      </c>
      <c r="H102" s="10"/>
      <c r="I102" s="153">
        <f t="shared" si="6"/>
        <v>0.903341468765425</v>
      </c>
      <c r="J102" s="166">
        <v>29.17</v>
      </c>
      <c r="K102" s="166"/>
      <c r="L102" s="166">
        <v>263.53</v>
      </c>
      <c r="M102" s="166">
        <f t="shared" si="7"/>
        <v>26739.06</v>
      </c>
      <c r="N102" s="11"/>
      <c r="O102" s="343" t="s">
        <v>1611</v>
      </c>
      <c r="P102" s="343"/>
    </row>
    <row r="103" spans="1:16">
      <c r="A103" s="163">
        <v>46178</v>
      </c>
      <c r="B103" s="164" t="s">
        <v>148</v>
      </c>
      <c r="C103" s="341">
        <v>0.13</v>
      </c>
      <c r="D103" s="341">
        <v>0.99</v>
      </c>
      <c r="E103" s="165">
        <v>386.84</v>
      </c>
      <c r="F103" s="10">
        <f t="shared" si="4"/>
        <v>369.8</v>
      </c>
      <c r="G103" s="10">
        <f t="shared" si="5"/>
        <v>17.04</v>
      </c>
      <c r="H103" s="10"/>
      <c r="I103" s="153">
        <f t="shared" si="6"/>
        <v>0.904094716161721</v>
      </c>
      <c r="J103" s="166">
        <v>38.67</v>
      </c>
      <c r="K103" s="166"/>
      <c r="L103" s="166">
        <v>349.74</v>
      </c>
      <c r="M103" s="166">
        <f t="shared" si="7"/>
        <v>26389.32</v>
      </c>
      <c r="N103" s="11"/>
      <c r="O103" s="343" t="s">
        <v>1611</v>
      </c>
      <c r="P103" s="343"/>
    </row>
    <row r="104" spans="1:16">
      <c r="A104" s="163">
        <v>46178</v>
      </c>
      <c r="B104" s="164" t="s">
        <v>151</v>
      </c>
      <c r="C104" s="341">
        <v>0.09</v>
      </c>
      <c r="D104" s="341">
        <v>0.99</v>
      </c>
      <c r="E104" s="165">
        <v>400.687</v>
      </c>
      <c r="F104" s="10">
        <f t="shared" si="4"/>
        <v>387</v>
      </c>
      <c r="G104" s="10">
        <f t="shared" si="5"/>
        <v>13.687</v>
      </c>
      <c r="H104" s="10"/>
      <c r="I104" s="153">
        <f t="shared" si="6"/>
        <v>0.907740954909942</v>
      </c>
      <c r="J104" s="166">
        <v>40.06</v>
      </c>
      <c r="K104" s="166"/>
      <c r="L104" s="166">
        <v>363.72</v>
      </c>
      <c r="M104" s="166">
        <f t="shared" si="7"/>
        <v>26025.6</v>
      </c>
      <c r="N104" s="11"/>
      <c r="O104" s="343" t="s">
        <v>1611</v>
      </c>
      <c r="P104" s="343"/>
    </row>
    <row r="105" spans="1:16">
      <c r="A105" s="163">
        <v>46178</v>
      </c>
      <c r="B105" s="164" t="s">
        <v>72</v>
      </c>
      <c r="C105" s="341">
        <v>0.24</v>
      </c>
      <c r="D105" s="341">
        <v>0.89</v>
      </c>
      <c r="E105" s="165">
        <v>307.934</v>
      </c>
      <c r="F105" s="10">
        <f t="shared" si="4"/>
        <v>279.5</v>
      </c>
      <c r="G105" s="247">
        <f t="shared" si="5"/>
        <v>28.434</v>
      </c>
      <c r="H105" s="10"/>
      <c r="I105" s="153">
        <f t="shared" si="6"/>
        <v>0.94997629362136</v>
      </c>
      <c r="J105" s="166">
        <v>30.79</v>
      </c>
      <c r="K105" s="166"/>
      <c r="L105" s="166">
        <v>292.53</v>
      </c>
      <c r="M105" s="166">
        <f t="shared" si="7"/>
        <v>25733.07</v>
      </c>
      <c r="N105" s="11"/>
      <c r="O105" s="343" t="s">
        <v>1611</v>
      </c>
      <c r="P105" s="343"/>
    </row>
    <row r="106" spans="1:16">
      <c r="A106" s="163">
        <v>46178</v>
      </c>
      <c r="B106" s="164" t="s">
        <v>78</v>
      </c>
      <c r="C106" s="341">
        <v>0.35</v>
      </c>
      <c r="D106" s="341">
        <v>0.87</v>
      </c>
      <c r="E106" s="165">
        <v>245.591</v>
      </c>
      <c r="F106" s="10">
        <f t="shared" si="4"/>
        <v>223.6</v>
      </c>
      <c r="G106" s="247">
        <f t="shared" si="5"/>
        <v>21.991</v>
      </c>
      <c r="H106" s="10"/>
      <c r="I106" s="153">
        <f t="shared" si="6"/>
        <v>0.949953377770358</v>
      </c>
      <c r="J106" s="166">
        <v>24.55</v>
      </c>
      <c r="K106" s="166"/>
      <c r="L106" s="166">
        <v>233.3</v>
      </c>
      <c r="M106" s="166">
        <f t="shared" si="7"/>
        <v>25499.77</v>
      </c>
      <c r="N106" s="11"/>
      <c r="O106" s="343" t="s">
        <v>1611</v>
      </c>
      <c r="P106" s="343"/>
    </row>
    <row r="107" spans="1:16">
      <c r="A107" s="163">
        <v>46178</v>
      </c>
      <c r="B107" s="164" t="s">
        <v>99</v>
      </c>
      <c r="C107" s="341">
        <v>0.19</v>
      </c>
      <c r="D107" s="341">
        <v>0.91</v>
      </c>
      <c r="E107" s="165">
        <v>335.526</v>
      </c>
      <c r="F107" s="10">
        <f t="shared" si="4"/>
        <v>309.6</v>
      </c>
      <c r="G107" s="247">
        <f t="shared" si="5"/>
        <v>25.926</v>
      </c>
      <c r="H107" s="10"/>
      <c r="I107" s="153">
        <f t="shared" si="6"/>
        <v>0.949971090168869</v>
      </c>
      <c r="J107" s="166">
        <v>33.55</v>
      </c>
      <c r="K107" s="166"/>
      <c r="L107" s="166">
        <v>318.74</v>
      </c>
      <c r="M107" s="166">
        <f t="shared" si="7"/>
        <v>25181.03</v>
      </c>
      <c r="N107" s="11"/>
      <c r="O107" s="343" t="s">
        <v>1611</v>
      </c>
      <c r="P107" s="343"/>
    </row>
    <row r="108" spans="1:16">
      <c r="A108" s="163">
        <v>46178</v>
      </c>
      <c r="B108" s="164" t="s">
        <v>66</v>
      </c>
      <c r="C108" s="341">
        <v>0.25</v>
      </c>
      <c r="D108" s="341">
        <v>0.92</v>
      </c>
      <c r="E108" s="165">
        <v>311.428</v>
      </c>
      <c r="F108" s="10">
        <f t="shared" si="4"/>
        <v>288.1</v>
      </c>
      <c r="G108" s="247">
        <f t="shared" si="5"/>
        <v>23.328</v>
      </c>
      <c r="H108" s="10"/>
      <c r="I108" s="153">
        <f t="shared" si="6"/>
        <v>0.949978807300564</v>
      </c>
      <c r="J108" s="166">
        <v>31.14</v>
      </c>
      <c r="K108" s="166"/>
      <c r="L108" s="166">
        <v>295.85</v>
      </c>
      <c r="M108" s="166">
        <f t="shared" si="7"/>
        <v>24885.18</v>
      </c>
      <c r="N108" s="11"/>
      <c r="O108" s="343" t="s">
        <v>1611</v>
      </c>
      <c r="P108" s="343"/>
    </row>
    <row r="109" spans="1:16">
      <c r="A109" s="163">
        <v>46178</v>
      </c>
      <c r="B109" s="164" t="s">
        <v>54</v>
      </c>
      <c r="C109" s="341">
        <v>0.3</v>
      </c>
      <c r="D109" s="341">
        <v>0.93</v>
      </c>
      <c r="E109" s="165">
        <v>260.772</v>
      </c>
      <c r="F109" s="10">
        <f t="shared" si="4"/>
        <v>270.9</v>
      </c>
      <c r="G109" s="10">
        <f t="shared" si="5"/>
        <v>-10.128</v>
      </c>
      <c r="H109" s="10"/>
      <c r="I109" s="153">
        <f t="shared" si="6"/>
        <v>0.949948614115012</v>
      </c>
      <c r="J109" s="166">
        <v>26.07</v>
      </c>
      <c r="K109" s="166"/>
      <c r="L109" s="166">
        <v>247.72</v>
      </c>
      <c r="M109" s="166">
        <f t="shared" si="7"/>
        <v>24637.46</v>
      </c>
      <c r="N109" s="11"/>
      <c r="O109" s="343" t="s">
        <v>1611</v>
      </c>
      <c r="P109" s="343"/>
    </row>
    <row r="110" spans="1:16">
      <c r="A110" s="163">
        <v>46178</v>
      </c>
      <c r="B110" s="164" t="s">
        <v>163</v>
      </c>
      <c r="C110" s="341">
        <v>0.51</v>
      </c>
      <c r="D110" s="341">
        <v>0.99</v>
      </c>
      <c r="E110" s="165">
        <v>218.01</v>
      </c>
      <c r="F110" s="10">
        <f t="shared" si="4"/>
        <v>206.4</v>
      </c>
      <c r="G110" s="10">
        <f t="shared" si="5"/>
        <v>11.61</v>
      </c>
      <c r="H110" s="10"/>
      <c r="I110" s="153">
        <f t="shared" si="6"/>
        <v>0.949956424017247</v>
      </c>
      <c r="J110" s="166">
        <v>21.8</v>
      </c>
      <c r="K110" s="166"/>
      <c r="L110" s="166">
        <v>207.1</v>
      </c>
      <c r="M110" s="166">
        <f t="shared" si="7"/>
        <v>24430.36</v>
      </c>
      <c r="N110" s="11"/>
      <c r="O110" s="343" t="s">
        <v>1611</v>
      </c>
      <c r="P110" s="343"/>
    </row>
    <row r="111" spans="1:16">
      <c r="A111" s="163">
        <v>46178</v>
      </c>
      <c r="B111" s="164" t="s">
        <v>154</v>
      </c>
      <c r="C111" s="341">
        <v>0.52</v>
      </c>
      <c r="D111" s="341">
        <v>0.99</v>
      </c>
      <c r="E111" s="165">
        <v>212.232</v>
      </c>
      <c r="F111" s="10">
        <f t="shared" si="4"/>
        <v>202.1</v>
      </c>
      <c r="G111" s="10">
        <f t="shared" si="5"/>
        <v>10.132</v>
      </c>
      <c r="H111" s="10"/>
      <c r="I111" s="153">
        <f t="shared" si="6"/>
        <v>0.949950997022127</v>
      </c>
      <c r="J111" s="166">
        <v>21.22</v>
      </c>
      <c r="K111" s="166"/>
      <c r="L111" s="166">
        <v>201.61</v>
      </c>
      <c r="M111" s="166">
        <f t="shared" si="7"/>
        <v>24228.75</v>
      </c>
      <c r="N111" s="11"/>
      <c r="O111" s="343" t="s">
        <v>1611</v>
      </c>
      <c r="P111" s="343"/>
    </row>
    <row r="112" spans="1:16">
      <c r="A112" s="163">
        <v>46178</v>
      </c>
      <c r="B112" s="164" t="s">
        <v>160</v>
      </c>
      <c r="C112" s="341">
        <v>0.49</v>
      </c>
      <c r="D112" s="341">
        <v>0.98</v>
      </c>
      <c r="E112" s="165">
        <v>218.167</v>
      </c>
      <c r="F112" s="10">
        <f t="shared" si="4"/>
        <v>210.7</v>
      </c>
      <c r="G112" s="10">
        <f t="shared" si="5"/>
        <v>7.46700000000001</v>
      </c>
      <c r="H112" s="10"/>
      <c r="I112" s="153">
        <f t="shared" si="6"/>
        <v>0.949960351473871</v>
      </c>
      <c r="J112" s="166">
        <v>21.81</v>
      </c>
      <c r="K112" s="166"/>
      <c r="L112" s="166">
        <v>207.25</v>
      </c>
      <c r="M112" s="166">
        <f t="shared" si="7"/>
        <v>24021.5</v>
      </c>
      <c r="N112" s="11"/>
      <c r="O112" s="343" t="s">
        <v>1611</v>
      </c>
      <c r="P112" s="343"/>
    </row>
    <row r="113" spans="1:16">
      <c r="A113" s="163">
        <v>46178</v>
      </c>
      <c r="B113" s="164" t="s">
        <v>338</v>
      </c>
      <c r="C113" s="341">
        <v>0.52</v>
      </c>
      <c r="D113" s="341">
        <v>0.99</v>
      </c>
      <c r="E113" s="165">
        <v>208.004</v>
      </c>
      <c r="F113" s="10">
        <f t="shared" si="4"/>
        <v>202.1</v>
      </c>
      <c r="G113" s="10">
        <f t="shared" si="5"/>
        <v>5.904</v>
      </c>
      <c r="H113" s="10"/>
      <c r="I113" s="153">
        <f t="shared" si="6"/>
        <v>0.949981731120555</v>
      </c>
      <c r="J113" s="166">
        <v>20.8</v>
      </c>
      <c r="K113" s="166"/>
      <c r="L113" s="166">
        <v>197.6</v>
      </c>
      <c r="M113" s="166">
        <f t="shared" si="7"/>
        <v>23823.9</v>
      </c>
      <c r="N113" s="11"/>
      <c r="O113" s="343" t="s">
        <v>1611</v>
      </c>
      <c r="P113" s="343"/>
    </row>
    <row r="114" spans="1:16">
      <c r="A114" s="163">
        <v>46178</v>
      </c>
      <c r="B114" s="164" t="s">
        <v>108</v>
      </c>
      <c r="C114" s="341">
        <v>0.68</v>
      </c>
      <c r="D114" s="341">
        <v>0.91</v>
      </c>
      <c r="E114" s="165">
        <v>114.616</v>
      </c>
      <c r="F114" s="10">
        <f t="shared" si="4"/>
        <v>98.9</v>
      </c>
      <c r="G114" s="10">
        <f t="shared" si="5"/>
        <v>15.716</v>
      </c>
      <c r="H114" s="10"/>
      <c r="I114" s="153">
        <f t="shared" si="6"/>
        <v>0.949954631116074</v>
      </c>
      <c r="J114" s="166">
        <v>11.46</v>
      </c>
      <c r="K114" s="166"/>
      <c r="L114" s="166">
        <v>108.88</v>
      </c>
      <c r="M114" s="166">
        <f t="shared" si="7"/>
        <v>23715.02</v>
      </c>
      <c r="N114" s="11"/>
      <c r="O114" s="343" t="s">
        <v>1611</v>
      </c>
      <c r="P114" s="343"/>
    </row>
    <row r="115" spans="1:16">
      <c r="A115" s="163">
        <v>46178</v>
      </c>
      <c r="B115" s="164" t="s">
        <v>105</v>
      </c>
      <c r="C115" s="341">
        <v>0.57</v>
      </c>
      <c r="D115" s="341">
        <v>1</v>
      </c>
      <c r="E115" s="165">
        <v>192.075</v>
      </c>
      <c r="F115" s="10">
        <f t="shared" si="4"/>
        <v>184.9</v>
      </c>
      <c r="G115" s="10">
        <f t="shared" si="5"/>
        <v>7.17499999999995</v>
      </c>
      <c r="H115" s="10"/>
      <c r="I115" s="153">
        <f t="shared" si="6"/>
        <v>0.949941429129247</v>
      </c>
      <c r="J115" s="166">
        <v>19.2</v>
      </c>
      <c r="K115" s="166"/>
      <c r="L115" s="166">
        <v>182.46</v>
      </c>
      <c r="M115" s="166">
        <f t="shared" si="7"/>
        <v>23532.56</v>
      </c>
      <c r="N115" s="11"/>
      <c r="O115" s="343" t="s">
        <v>1611</v>
      </c>
      <c r="P115" s="343"/>
    </row>
    <row r="116" spans="1:16">
      <c r="A116" s="163">
        <v>46178</v>
      </c>
      <c r="B116" s="164" t="s">
        <v>96</v>
      </c>
      <c r="C116" s="341">
        <v>0.57</v>
      </c>
      <c r="D116" s="341">
        <v>0.95</v>
      </c>
      <c r="E116" s="165">
        <v>185.224</v>
      </c>
      <c r="F116" s="10">
        <f t="shared" si="4"/>
        <v>163.4</v>
      </c>
      <c r="G116" s="247">
        <f t="shared" si="5"/>
        <v>21.824</v>
      </c>
      <c r="H116" s="10"/>
      <c r="I116" s="153">
        <f t="shared" si="6"/>
        <v>0.949984883168488</v>
      </c>
      <c r="J116" s="166">
        <v>18.52</v>
      </c>
      <c r="K116" s="166"/>
      <c r="L116" s="166">
        <v>175.96</v>
      </c>
      <c r="M116" s="166">
        <f t="shared" si="7"/>
        <v>23356.6</v>
      </c>
      <c r="N116" s="11"/>
      <c r="O116" s="343" t="s">
        <v>1611</v>
      </c>
      <c r="P116" s="343"/>
    </row>
    <row r="117" spans="1:16">
      <c r="A117" s="163">
        <v>46178</v>
      </c>
      <c r="B117" s="164" t="s">
        <v>84</v>
      </c>
      <c r="C117" s="341">
        <v>0.55</v>
      </c>
      <c r="D117" s="341">
        <v>0.55</v>
      </c>
      <c r="E117" s="165">
        <v>0.542</v>
      </c>
      <c r="F117" s="10">
        <f t="shared" si="4"/>
        <v>0</v>
      </c>
      <c r="G117" s="10">
        <f t="shared" si="5"/>
        <v>0.542</v>
      </c>
      <c r="H117" s="10"/>
      <c r="I117" s="153">
        <f t="shared" si="6"/>
        <v>0.940959409594096</v>
      </c>
      <c r="J117" s="166">
        <v>0.05</v>
      </c>
      <c r="K117" s="166"/>
      <c r="L117" s="166">
        <v>0.51</v>
      </c>
      <c r="M117" s="166">
        <f t="shared" si="7"/>
        <v>23356.09</v>
      </c>
      <c r="N117" s="11"/>
      <c r="O117" s="343" t="s">
        <v>1611</v>
      </c>
      <c r="P117" s="343"/>
    </row>
    <row r="118" spans="1:16">
      <c r="A118" s="163">
        <v>46178</v>
      </c>
      <c r="B118" s="164" t="s">
        <v>84</v>
      </c>
      <c r="C118" s="341">
        <v>0.55</v>
      </c>
      <c r="D118" s="341">
        <v>1</v>
      </c>
      <c r="E118" s="165">
        <v>207.154</v>
      </c>
      <c r="F118" s="10">
        <f t="shared" si="4"/>
        <v>193.5</v>
      </c>
      <c r="G118" s="10">
        <f t="shared" si="5"/>
        <v>13.654</v>
      </c>
      <c r="H118" s="10"/>
      <c r="I118" s="153">
        <f t="shared" si="6"/>
        <v>0.949969587842861</v>
      </c>
      <c r="J118" s="166">
        <v>20.71</v>
      </c>
      <c r="K118" s="166"/>
      <c r="L118" s="166">
        <v>196.79</v>
      </c>
      <c r="M118" s="166">
        <f t="shared" si="7"/>
        <v>23159.3</v>
      </c>
      <c r="N118" s="11"/>
      <c r="O118" s="343" t="s">
        <v>1611</v>
      </c>
      <c r="P118" s="343"/>
    </row>
    <row r="119" spans="1:16">
      <c r="A119" s="163">
        <v>46178</v>
      </c>
      <c r="B119" s="164" t="s">
        <v>135</v>
      </c>
      <c r="C119" s="341">
        <v>0.52</v>
      </c>
      <c r="D119" s="341">
        <v>0.99</v>
      </c>
      <c r="E119" s="165">
        <v>214.787</v>
      </c>
      <c r="F119" s="10">
        <f t="shared" si="4"/>
        <v>202.1</v>
      </c>
      <c r="G119" s="10">
        <f t="shared" si="5"/>
        <v>12.687</v>
      </c>
      <c r="H119" s="10"/>
      <c r="I119" s="153">
        <f t="shared" si="6"/>
        <v>0.949917825566724</v>
      </c>
      <c r="J119" s="166">
        <v>21.47</v>
      </c>
      <c r="K119" s="166"/>
      <c r="L119" s="166">
        <v>204.03</v>
      </c>
      <c r="M119" s="166">
        <f t="shared" si="7"/>
        <v>22955.27</v>
      </c>
      <c r="N119" s="11"/>
      <c r="O119" s="343" t="s">
        <v>1611</v>
      </c>
      <c r="P119" s="343"/>
    </row>
    <row r="120" spans="1:16">
      <c r="A120" s="163">
        <v>46178</v>
      </c>
      <c r="B120" s="164" t="s">
        <v>166</v>
      </c>
      <c r="C120" s="341">
        <v>0.51</v>
      </c>
      <c r="D120" s="341">
        <v>0.96</v>
      </c>
      <c r="E120" s="165">
        <v>202.877</v>
      </c>
      <c r="F120" s="10">
        <f t="shared" si="4"/>
        <v>193.5</v>
      </c>
      <c r="G120" s="10">
        <f t="shared" si="5"/>
        <v>9.37700000000004</v>
      </c>
      <c r="H120" s="10"/>
      <c r="I120" s="153">
        <f t="shared" si="6"/>
        <v>0.949935182401159</v>
      </c>
      <c r="J120" s="166">
        <v>20.28</v>
      </c>
      <c r="K120" s="166"/>
      <c r="L120" s="166">
        <v>192.72</v>
      </c>
      <c r="M120" s="166">
        <f t="shared" si="7"/>
        <v>22762.55</v>
      </c>
      <c r="N120" s="11"/>
      <c r="O120" s="343" t="s">
        <v>1611</v>
      </c>
      <c r="P120" s="343"/>
    </row>
    <row r="121" spans="1:16">
      <c r="A121" s="156">
        <v>46179</v>
      </c>
      <c r="B121" s="168" t="s">
        <v>93</v>
      </c>
      <c r="C121" s="341">
        <v>0.23</v>
      </c>
      <c r="D121" s="341">
        <v>0.92</v>
      </c>
      <c r="E121" s="159">
        <v>323.474</v>
      </c>
      <c r="F121" s="10">
        <f t="shared" si="4"/>
        <v>296.7</v>
      </c>
      <c r="G121" s="247">
        <f t="shared" si="5"/>
        <v>26.7739999999999</v>
      </c>
      <c r="H121" s="10"/>
      <c r="I121" s="153">
        <f t="shared" si="6"/>
        <v>0.819973166313212</v>
      </c>
      <c r="J121" s="162">
        <v>32.34</v>
      </c>
      <c r="K121" s="166"/>
      <c r="L121" s="162">
        <v>265.24</v>
      </c>
      <c r="M121" s="166">
        <f t="shared" si="7"/>
        <v>22497.31</v>
      </c>
      <c r="N121" s="11"/>
      <c r="O121" s="343" t="s">
        <v>1611</v>
      </c>
      <c r="P121" s="343"/>
    </row>
    <row r="122" spans="1:16">
      <c r="A122" s="163">
        <v>46179</v>
      </c>
      <c r="B122" s="164" t="s">
        <v>144</v>
      </c>
      <c r="C122" s="341">
        <v>0.37</v>
      </c>
      <c r="D122" s="341">
        <v>0.85</v>
      </c>
      <c r="E122" s="165">
        <v>213.932</v>
      </c>
      <c r="F122" s="10">
        <f t="shared" si="4"/>
        <v>206.4</v>
      </c>
      <c r="G122" s="10">
        <f t="shared" si="5"/>
        <v>7.53199999999998</v>
      </c>
      <c r="H122" s="10"/>
      <c r="I122" s="153">
        <f t="shared" si="6"/>
        <v>0.949974758334424</v>
      </c>
      <c r="J122" s="166">
        <v>21.39</v>
      </c>
      <c r="K122" s="166"/>
      <c r="L122" s="166">
        <v>203.23</v>
      </c>
      <c r="M122" s="166">
        <f t="shared" si="7"/>
        <v>22294.08</v>
      </c>
      <c r="N122" s="11"/>
      <c r="O122" s="343" t="s">
        <v>1611</v>
      </c>
      <c r="P122" s="343"/>
    </row>
    <row r="123" spans="1:16">
      <c r="A123" s="163">
        <v>46179</v>
      </c>
      <c r="B123" s="164" t="s">
        <v>141</v>
      </c>
      <c r="C123" s="341">
        <v>0.34</v>
      </c>
      <c r="D123" s="341">
        <v>0.34</v>
      </c>
      <c r="E123" s="165">
        <v>0.622</v>
      </c>
      <c r="F123" s="10">
        <f t="shared" si="4"/>
        <v>0</v>
      </c>
      <c r="G123" s="10">
        <f t="shared" si="5"/>
        <v>0.622</v>
      </c>
      <c r="H123" s="10"/>
      <c r="I123" s="153">
        <f t="shared" si="6"/>
        <v>0.803858520900322</v>
      </c>
      <c r="J123" s="166">
        <v>0.06</v>
      </c>
      <c r="K123" s="166"/>
      <c r="L123" s="166">
        <v>0.5</v>
      </c>
      <c r="M123" s="166">
        <f t="shared" si="7"/>
        <v>22293.58</v>
      </c>
      <c r="N123" s="11"/>
      <c r="O123" s="343" t="s">
        <v>1611</v>
      </c>
      <c r="P123" s="343"/>
    </row>
    <row r="124" spans="1:16">
      <c r="A124" s="163">
        <v>46179</v>
      </c>
      <c r="B124" s="164" t="s">
        <v>141</v>
      </c>
      <c r="C124" s="341">
        <v>0.35</v>
      </c>
      <c r="D124" s="341">
        <v>0.96</v>
      </c>
      <c r="E124" s="165">
        <v>270.367</v>
      </c>
      <c r="F124" s="10">
        <f t="shared" si="4"/>
        <v>262.3</v>
      </c>
      <c r="G124" s="10">
        <f t="shared" si="5"/>
        <v>8.06700000000001</v>
      </c>
      <c r="H124" s="10"/>
      <c r="I124" s="153">
        <f t="shared" si="6"/>
        <v>0.823251358338851</v>
      </c>
      <c r="J124" s="166">
        <v>27.03</v>
      </c>
      <c r="K124" s="166"/>
      <c r="L124" s="166">
        <v>222.58</v>
      </c>
      <c r="M124" s="166">
        <f t="shared" si="7"/>
        <v>22071</v>
      </c>
      <c r="N124" s="11"/>
      <c r="O124" s="343" t="s">
        <v>1611</v>
      </c>
      <c r="P124" s="343"/>
    </row>
    <row r="125" spans="1:16">
      <c r="A125" s="163">
        <v>46179</v>
      </c>
      <c r="B125" s="164" t="s">
        <v>124</v>
      </c>
      <c r="C125" s="341">
        <v>0.55</v>
      </c>
      <c r="D125" s="341">
        <v>0.98</v>
      </c>
      <c r="E125" s="165">
        <v>192.295</v>
      </c>
      <c r="F125" s="10">
        <f t="shared" si="4"/>
        <v>184.9</v>
      </c>
      <c r="G125" s="10">
        <f t="shared" si="5"/>
        <v>7.39500000000001</v>
      </c>
      <c r="H125" s="10"/>
      <c r="I125" s="153">
        <f t="shared" si="6"/>
        <v>0.949946696481968</v>
      </c>
      <c r="J125" s="166">
        <v>19.22</v>
      </c>
      <c r="K125" s="166"/>
      <c r="L125" s="166">
        <v>182.67</v>
      </c>
      <c r="M125" s="166">
        <f t="shared" si="7"/>
        <v>21888.33</v>
      </c>
      <c r="N125" s="11"/>
      <c r="O125" s="343" t="s">
        <v>1611</v>
      </c>
      <c r="P125" s="343"/>
    </row>
    <row r="126" spans="1:16">
      <c r="A126" s="163">
        <v>46179</v>
      </c>
      <c r="B126" s="164" t="s">
        <v>339</v>
      </c>
      <c r="C126" s="341">
        <v>0.48</v>
      </c>
      <c r="D126" s="341">
        <v>0.99</v>
      </c>
      <c r="E126" s="165">
        <v>234.04</v>
      </c>
      <c r="F126" s="10">
        <f t="shared" si="4"/>
        <v>219.3</v>
      </c>
      <c r="G126" s="10">
        <f t="shared" si="5"/>
        <v>14.74</v>
      </c>
      <c r="H126" s="10"/>
      <c r="I126" s="153">
        <f t="shared" si="6"/>
        <v>0.949965817808922</v>
      </c>
      <c r="J126" s="166">
        <v>23.4</v>
      </c>
      <c r="K126" s="166"/>
      <c r="L126" s="166">
        <v>222.33</v>
      </c>
      <c r="M126" s="166">
        <f t="shared" si="7"/>
        <v>21666</v>
      </c>
      <c r="N126" s="11"/>
      <c r="O126" s="343" t="s">
        <v>1611</v>
      </c>
      <c r="P126" s="343"/>
    </row>
    <row r="127" spans="1:16">
      <c r="A127" s="163">
        <v>46179</v>
      </c>
      <c r="B127" s="164" t="s">
        <v>111</v>
      </c>
      <c r="C127" s="341">
        <v>0.44</v>
      </c>
      <c r="D127" s="341">
        <v>0.94</v>
      </c>
      <c r="E127" s="165">
        <v>206.763</v>
      </c>
      <c r="F127" s="10">
        <f t="shared" si="4"/>
        <v>215</v>
      </c>
      <c r="G127" s="10">
        <f t="shared" si="5"/>
        <v>-8.23699999999997</v>
      </c>
      <c r="H127" s="10"/>
      <c r="I127" s="153">
        <f t="shared" si="6"/>
        <v>0.949928178639312</v>
      </c>
      <c r="J127" s="166">
        <v>20.67</v>
      </c>
      <c r="K127" s="166"/>
      <c r="L127" s="166">
        <v>196.41</v>
      </c>
      <c r="M127" s="166">
        <f t="shared" si="7"/>
        <v>21469.59</v>
      </c>
      <c r="N127" s="11"/>
      <c r="O127" s="343" t="s">
        <v>1611</v>
      </c>
      <c r="P127" s="343"/>
    </row>
    <row r="128" spans="1:16">
      <c r="A128" s="163">
        <v>46179</v>
      </c>
      <c r="B128" s="164" t="s">
        <v>87</v>
      </c>
      <c r="C128" s="341">
        <v>0.38</v>
      </c>
      <c r="D128" s="341">
        <v>0.88</v>
      </c>
      <c r="E128" s="165">
        <v>232.947</v>
      </c>
      <c r="F128" s="10">
        <f t="shared" si="4"/>
        <v>215</v>
      </c>
      <c r="G128" s="10">
        <f t="shared" si="5"/>
        <v>17.947</v>
      </c>
      <c r="H128" s="10"/>
      <c r="I128" s="153">
        <f t="shared" si="6"/>
        <v>0.949958574267966</v>
      </c>
      <c r="J128" s="166">
        <v>23.29</v>
      </c>
      <c r="K128" s="166"/>
      <c r="L128" s="166">
        <v>221.29</v>
      </c>
      <c r="M128" s="166">
        <f t="shared" si="7"/>
        <v>21248.3</v>
      </c>
      <c r="N128" s="11"/>
      <c r="O128" s="343" t="s">
        <v>1611</v>
      </c>
      <c r="P128" s="343"/>
    </row>
    <row r="129" spans="1:16">
      <c r="A129" s="163">
        <v>46179</v>
      </c>
      <c r="B129" s="164" t="s">
        <v>81</v>
      </c>
      <c r="C129" s="341">
        <v>0.53</v>
      </c>
      <c r="D129" s="341">
        <v>0.9</v>
      </c>
      <c r="E129" s="165">
        <v>172.758</v>
      </c>
      <c r="F129" s="10">
        <f t="shared" si="4"/>
        <v>159.1</v>
      </c>
      <c r="G129" s="10">
        <f t="shared" si="5"/>
        <v>13.658</v>
      </c>
      <c r="H129" s="10"/>
      <c r="I129" s="153">
        <f t="shared" si="6"/>
        <v>0.9499415367161</v>
      </c>
      <c r="J129" s="166">
        <v>17.27</v>
      </c>
      <c r="K129" s="166"/>
      <c r="L129" s="166">
        <v>164.11</v>
      </c>
      <c r="M129" s="166">
        <f t="shared" si="7"/>
        <v>21084.19</v>
      </c>
      <c r="N129" s="11"/>
      <c r="O129" s="343" t="s">
        <v>1611</v>
      </c>
      <c r="P129" s="343"/>
    </row>
    <row r="130" spans="1:16">
      <c r="A130" s="163">
        <v>46179</v>
      </c>
      <c r="B130" s="164" t="s">
        <v>174</v>
      </c>
      <c r="C130" s="341">
        <v>0.38</v>
      </c>
      <c r="D130" s="341">
        <v>0.99</v>
      </c>
      <c r="E130" s="165">
        <v>278.471</v>
      </c>
      <c r="F130" s="10">
        <f t="shared" si="4"/>
        <v>262.3</v>
      </c>
      <c r="G130" s="10">
        <f t="shared" si="5"/>
        <v>16.171</v>
      </c>
      <c r="H130" s="10"/>
      <c r="I130" s="153">
        <f t="shared" si="6"/>
        <v>0.949973246765372</v>
      </c>
      <c r="J130" s="166">
        <v>27.84</v>
      </c>
      <c r="K130" s="166"/>
      <c r="L130" s="166">
        <v>264.54</v>
      </c>
      <c r="M130" s="166">
        <f t="shared" si="7"/>
        <v>20819.65</v>
      </c>
      <c r="N130" s="11"/>
      <c r="O130" s="343" t="s">
        <v>1611</v>
      </c>
      <c r="P130" s="343"/>
    </row>
    <row r="131" spans="1:16">
      <c r="A131" s="163">
        <v>46179</v>
      </c>
      <c r="B131" s="164" t="s">
        <v>177</v>
      </c>
      <c r="C131" s="341">
        <v>0.26</v>
      </c>
      <c r="D131" s="341">
        <v>0.99</v>
      </c>
      <c r="E131" s="165">
        <v>329.359</v>
      </c>
      <c r="F131" s="10">
        <f t="shared" ref="F131:F194" si="8">(D131-C131)*430</f>
        <v>313.9</v>
      </c>
      <c r="G131" s="10">
        <f t="shared" ref="G131:G194" si="9">E131-F131</f>
        <v>15.459</v>
      </c>
      <c r="H131" s="10"/>
      <c r="I131" s="153">
        <f t="shared" ref="I131:I194" si="10">L131/E131</f>
        <v>0.949966449983149</v>
      </c>
      <c r="J131" s="166">
        <v>32.93</v>
      </c>
      <c r="K131" s="166"/>
      <c r="L131" s="166">
        <v>312.88</v>
      </c>
      <c r="M131" s="166">
        <f t="shared" ref="M131:M194" si="11">M130+K131-L131</f>
        <v>20506.77</v>
      </c>
      <c r="N131" s="11"/>
      <c r="O131" s="343" t="s">
        <v>1611</v>
      </c>
      <c r="P131" s="343"/>
    </row>
    <row r="132" spans="1:16">
      <c r="A132" s="163">
        <v>46179</v>
      </c>
      <c r="B132" s="164" t="s">
        <v>114</v>
      </c>
      <c r="C132" s="341">
        <v>0.19</v>
      </c>
      <c r="D132" s="341">
        <v>0.86</v>
      </c>
      <c r="E132" s="165">
        <v>275.61</v>
      </c>
      <c r="F132" s="10">
        <f t="shared" si="8"/>
        <v>288.1</v>
      </c>
      <c r="G132" s="10">
        <f t="shared" si="9"/>
        <v>-12.49</v>
      </c>
      <c r="H132" s="10"/>
      <c r="I132" s="153">
        <f t="shared" si="10"/>
        <v>0.949965531003955</v>
      </c>
      <c r="J132" s="166">
        <v>27.56</v>
      </c>
      <c r="K132" s="166"/>
      <c r="L132" s="166">
        <v>261.82</v>
      </c>
      <c r="M132" s="166">
        <f t="shared" si="11"/>
        <v>20244.95</v>
      </c>
      <c r="N132" s="11"/>
      <c r="O132" s="343" t="s">
        <v>1611</v>
      </c>
      <c r="P132" s="343"/>
    </row>
    <row r="133" spans="1:16">
      <c r="A133" s="163">
        <v>46179</v>
      </c>
      <c r="B133" s="164" t="s">
        <v>166</v>
      </c>
      <c r="C133" s="341">
        <v>0.38</v>
      </c>
      <c r="D133" s="341">
        <v>0.96</v>
      </c>
      <c r="E133" s="165">
        <v>257.474</v>
      </c>
      <c r="F133" s="10">
        <f t="shared" si="8"/>
        <v>249.4</v>
      </c>
      <c r="G133" s="10">
        <f t="shared" si="9"/>
        <v>8.07400000000001</v>
      </c>
      <c r="H133" s="10"/>
      <c r="I133" s="153">
        <f t="shared" si="10"/>
        <v>0.949959995960757</v>
      </c>
      <c r="J133" s="166">
        <v>25.74</v>
      </c>
      <c r="K133" s="166"/>
      <c r="L133" s="166">
        <v>244.59</v>
      </c>
      <c r="M133" s="166">
        <f t="shared" si="11"/>
        <v>20000.36</v>
      </c>
      <c r="N133" s="11"/>
      <c r="O133" s="343" t="s">
        <v>1611</v>
      </c>
      <c r="P133" s="343"/>
    </row>
    <row r="134" spans="1:16">
      <c r="A134" s="163">
        <v>46180</v>
      </c>
      <c r="B134" s="164" t="s">
        <v>60</v>
      </c>
      <c r="C134" s="341">
        <v>0.48</v>
      </c>
      <c r="D134" s="341">
        <v>1</v>
      </c>
      <c r="E134" s="165">
        <v>213.286</v>
      </c>
      <c r="F134" s="10">
        <f t="shared" si="8"/>
        <v>223.6</v>
      </c>
      <c r="G134" s="10">
        <f t="shared" si="9"/>
        <v>-10.314</v>
      </c>
      <c r="H134" s="10"/>
      <c r="I134" s="153">
        <f t="shared" si="10"/>
        <v>0.819931922395281</v>
      </c>
      <c r="J134" s="166">
        <v>21.32</v>
      </c>
      <c r="K134" s="166"/>
      <c r="L134" s="166">
        <v>174.88</v>
      </c>
      <c r="M134" s="166">
        <f t="shared" si="11"/>
        <v>19825.48</v>
      </c>
      <c r="N134" s="11"/>
      <c r="O134" s="343" t="s">
        <v>1611</v>
      </c>
      <c r="P134" s="343"/>
    </row>
    <row r="135" spans="1:16">
      <c r="A135" s="163">
        <v>46180</v>
      </c>
      <c r="B135" s="164" t="s">
        <v>338</v>
      </c>
      <c r="C135" s="341">
        <v>0.53</v>
      </c>
      <c r="D135" s="341">
        <v>0.99</v>
      </c>
      <c r="E135" s="165">
        <v>210.442</v>
      </c>
      <c r="F135" s="10">
        <f t="shared" si="8"/>
        <v>197.8</v>
      </c>
      <c r="G135" s="10">
        <f t="shared" si="9"/>
        <v>12.642</v>
      </c>
      <c r="H135" s="10"/>
      <c r="I135" s="153">
        <f t="shared" si="10"/>
        <v>0.797226789329126</v>
      </c>
      <c r="J135" s="166">
        <v>21.03</v>
      </c>
      <c r="K135" s="166"/>
      <c r="L135" s="166">
        <v>167.77</v>
      </c>
      <c r="M135" s="166">
        <f t="shared" si="11"/>
        <v>19657.71</v>
      </c>
      <c r="N135" s="11"/>
      <c r="O135" s="343" t="s">
        <v>1611</v>
      </c>
      <c r="P135" s="343"/>
    </row>
    <row r="136" spans="1:16">
      <c r="A136" s="163">
        <v>46180</v>
      </c>
      <c r="B136" s="164" t="s">
        <v>163</v>
      </c>
      <c r="C136" s="341">
        <v>0.48</v>
      </c>
      <c r="D136" s="341">
        <v>0.99</v>
      </c>
      <c r="E136" s="165">
        <v>223.851</v>
      </c>
      <c r="F136" s="10">
        <f t="shared" si="8"/>
        <v>219.3</v>
      </c>
      <c r="G136" s="10">
        <f t="shared" si="9"/>
        <v>4.55099999999999</v>
      </c>
      <c r="H136" s="10"/>
      <c r="I136" s="153">
        <f t="shared" si="10"/>
        <v>0.793786938633287</v>
      </c>
      <c r="J136" s="166">
        <v>22.37</v>
      </c>
      <c r="K136" s="166"/>
      <c r="L136" s="166">
        <v>177.69</v>
      </c>
      <c r="M136" s="166">
        <f t="shared" si="11"/>
        <v>19480.02</v>
      </c>
      <c r="N136" s="11"/>
      <c r="O136" s="343" t="s">
        <v>1611</v>
      </c>
      <c r="P136" s="343"/>
    </row>
    <row r="137" spans="1:16">
      <c r="A137" s="163">
        <v>46180</v>
      </c>
      <c r="B137" s="164" t="s">
        <v>51</v>
      </c>
      <c r="C137" s="341">
        <v>0.47</v>
      </c>
      <c r="D137" s="341">
        <v>0.98</v>
      </c>
      <c r="E137" s="165">
        <v>219.755</v>
      </c>
      <c r="F137" s="10">
        <f t="shared" si="8"/>
        <v>219.3</v>
      </c>
      <c r="G137" s="10">
        <f t="shared" si="9"/>
        <v>0.454999999999984</v>
      </c>
      <c r="H137" s="10"/>
      <c r="I137" s="153">
        <f t="shared" si="10"/>
        <v>0.782416782325772</v>
      </c>
      <c r="J137" s="166">
        <v>21.96</v>
      </c>
      <c r="K137" s="166"/>
      <c r="L137" s="166">
        <v>171.94</v>
      </c>
      <c r="M137" s="166">
        <f t="shared" si="11"/>
        <v>19308.08</v>
      </c>
      <c r="N137" s="11"/>
      <c r="O137" s="343" t="s">
        <v>1611</v>
      </c>
      <c r="P137" s="343"/>
    </row>
    <row r="138" spans="1:16">
      <c r="A138" s="163">
        <v>46180</v>
      </c>
      <c r="B138" s="164" t="s">
        <v>154</v>
      </c>
      <c r="C138" s="341">
        <v>0.52</v>
      </c>
      <c r="D138" s="341">
        <v>1</v>
      </c>
      <c r="E138" s="165">
        <v>215.628</v>
      </c>
      <c r="F138" s="10">
        <f t="shared" si="8"/>
        <v>206.4</v>
      </c>
      <c r="G138" s="10">
        <f t="shared" si="9"/>
        <v>9.22799999999998</v>
      </c>
      <c r="H138" s="10"/>
      <c r="I138" s="153">
        <f t="shared" si="10"/>
        <v>0.747722930231695</v>
      </c>
      <c r="J138" s="166">
        <v>21.55</v>
      </c>
      <c r="K138" s="166"/>
      <c r="L138" s="166">
        <v>161.23</v>
      </c>
      <c r="M138" s="166">
        <f t="shared" si="11"/>
        <v>19146.85</v>
      </c>
      <c r="N138" s="11"/>
      <c r="O138" s="343" t="s">
        <v>1611</v>
      </c>
      <c r="P138" s="343"/>
    </row>
    <row r="139" spans="1:16">
      <c r="A139" s="163">
        <v>46180</v>
      </c>
      <c r="B139" s="164" t="s">
        <v>160</v>
      </c>
      <c r="C139" s="341">
        <v>0.51</v>
      </c>
      <c r="D139" s="341">
        <v>0.99</v>
      </c>
      <c r="E139" s="165">
        <v>223.459</v>
      </c>
      <c r="F139" s="10">
        <f t="shared" si="8"/>
        <v>206.4</v>
      </c>
      <c r="G139" s="10">
        <f t="shared" si="9"/>
        <v>17.059</v>
      </c>
      <c r="H139" s="10"/>
      <c r="I139" s="153">
        <f t="shared" si="10"/>
        <v>0.717670803145096</v>
      </c>
      <c r="J139" s="166">
        <v>22.33</v>
      </c>
      <c r="K139" s="166"/>
      <c r="L139" s="166">
        <v>160.37</v>
      </c>
      <c r="M139" s="166">
        <f t="shared" si="11"/>
        <v>18986.48</v>
      </c>
      <c r="N139" s="11"/>
      <c r="O139" s="343" t="s">
        <v>1611</v>
      </c>
      <c r="P139" s="343"/>
    </row>
    <row r="140" spans="1:16">
      <c r="A140" s="163">
        <v>46180</v>
      </c>
      <c r="B140" s="164" t="s">
        <v>90</v>
      </c>
      <c r="C140" s="341">
        <v>0.58</v>
      </c>
      <c r="D140" s="341">
        <v>0.95</v>
      </c>
      <c r="E140" s="165">
        <v>169.977</v>
      </c>
      <c r="F140" s="10">
        <f t="shared" si="8"/>
        <v>159.1</v>
      </c>
      <c r="G140" s="10">
        <f t="shared" si="9"/>
        <v>10.877</v>
      </c>
      <c r="H140" s="10"/>
      <c r="I140" s="153">
        <f t="shared" si="10"/>
        <v>0.669914164857598</v>
      </c>
      <c r="J140" s="166">
        <v>16.99</v>
      </c>
      <c r="K140" s="166"/>
      <c r="L140" s="166">
        <v>113.87</v>
      </c>
      <c r="M140" s="166">
        <f t="shared" si="11"/>
        <v>18872.61</v>
      </c>
      <c r="N140" s="11"/>
      <c r="O140" s="343" t="s">
        <v>1611</v>
      </c>
      <c r="P140" s="343"/>
    </row>
    <row r="141" spans="1:16">
      <c r="A141" s="163">
        <v>46180</v>
      </c>
      <c r="B141" s="164" t="s">
        <v>69</v>
      </c>
      <c r="C141" s="341">
        <v>0.4</v>
      </c>
      <c r="D141" s="341">
        <v>0.98</v>
      </c>
      <c r="E141" s="165">
        <v>281.802</v>
      </c>
      <c r="F141" s="10">
        <f t="shared" si="8"/>
        <v>249.4</v>
      </c>
      <c r="G141" s="247">
        <f t="shared" si="9"/>
        <v>32.402</v>
      </c>
      <c r="H141" s="10"/>
      <c r="I141" s="153">
        <f t="shared" si="10"/>
        <v>0.669973953343127</v>
      </c>
      <c r="J141" s="166">
        <v>28.18</v>
      </c>
      <c r="K141" s="166"/>
      <c r="L141" s="166">
        <v>188.8</v>
      </c>
      <c r="M141" s="166">
        <f t="shared" si="11"/>
        <v>18683.81</v>
      </c>
      <c r="N141" s="11"/>
      <c r="O141" s="343" t="s">
        <v>1611</v>
      </c>
      <c r="P141" s="343"/>
    </row>
    <row r="142" spans="1:16">
      <c r="A142" s="163">
        <v>46180</v>
      </c>
      <c r="B142" s="164" t="s">
        <v>127</v>
      </c>
      <c r="C142" s="341">
        <v>0.47</v>
      </c>
      <c r="D142" s="341">
        <v>0.99</v>
      </c>
      <c r="E142" s="165">
        <v>224.045</v>
      </c>
      <c r="F142" s="10">
        <f t="shared" si="8"/>
        <v>223.6</v>
      </c>
      <c r="G142" s="10">
        <f t="shared" si="9"/>
        <v>0.444999999999993</v>
      </c>
      <c r="H142" s="10"/>
      <c r="I142" s="153">
        <f t="shared" si="10"/>
        <v>0.693208953558437</v>
      </c>
      <c r="J142" s="166">
        <v>22.39</v>
      </c>
      <c r="K142" s="166"/>
      <c r="L142" s="166">
        <v>155.31</v>
      </c>
      <c r="M142" s="166">
        <f t="shared" si="11"/>
        <v>18528.5</v>
      </c>
      <c r="N142" s="11"/>
      <c r="O142" s="343" t="s">
        <v>1611</v>
      </c>
      <c r="P142" s="343"/>
    </row>
    <row r="143" spans="1:16">
      <c r="A143" s="163">
        <v>46180</v>
      </c>
      <c r="B143" s="164" t="s">
        <v>105</v>
      </c>
      <c r="C143" s="341">
        <v>0.37</v>
      </c>
      <c r="D143" s="341">
        <v>0.95</v>
      </c>
      <c r="E143" s="165">
        <v>275.424</v>
      </c>
      <c r="F143" s="10">
        <f t="shared" si="8"/>
        <v>249.4</v>
      </c>
      <c r="G143" s="247">
        <f t="shared" si="9"/>
        <v>26.024</v>
      </c>
      <c r="H143" s="10"/>
      <c r="I143" s="153">
        <f t="shared" si="10"/>
        <v>0.803887823864297</v>
      </c>
      <c r="J143" s="166">
        <v>27.53</v>
      </c>
      <c r="K143" s="166"/>
      <c r="L143" s="166">
        <v>221.41</v>
      </c>
      <c r="M143" s="166">
        <f t="shared" si="11"/>
        <v>18307.09</v>
      </c>
      <c r="N143" s="11"/>
      <c r="O143" s="343" t="s">
        <v>1611</v>
      </c>
      <c r="P143" s="343"/>
    </row>
    <row r="144" spans="1:16">
      <c r="A144" s="163">
        <v>46180</v>
      </c>
      <c r="B144" s="164" t="s">
        <v>72</v>
      </c>
      <c r="C144" s="341">
        <v>0.59</v>
      </c>
      <c r="D144" s="341">
        <v>0.94</v>
      </c>
      <c r="E144" s="165">
        <v>166.248</v>
      </c>
      <c r="F144" s="10">
        <f t="shared" si="8"/>
        <v>150.5</v>
      </c>
      <c r="G144" s="10">
        <f t="shared" si="9"/>
        <v>15.748</v>
      </c>
      <c r="H144" s="10"/>
      <c r="I144" s="153">
        <f t="shared" si="10"/>
        <v>0.852641836292767</v>
      </c>
      <c r="J144" s="166">
        <v>16.62</v>
      </c>
      <c r="K144" s="166"/>
      <c r="L144" s="166">
        <v>141.75</v>
      </c>
      <c r="M144" s="166">
        <f t="shared" si="11"/>
        <v>18165.34</v>
      </c>
      <c r="N144" s="11"/>
      <c r="O144" s="343" t="s">
        <v>1611</v>
      </c>
      <c r="P144" s="343"/>
    </row>
    <row r="145" spans="1:16">
      <c r="A145" s="163">
        <v>46180</v>
      </c>
      <c r="B145" s="164" t="s">
        <v>108</v>
      </c>
      <c r="C145" s="341">
        <v>0.34</v>
      </c>
      <c r="D145" s="341">
        <v>0.96</v>
      </c>
      <c r="E145" s="165">
        <v>294.942</v>
      </c>
      <c r="F145" s="10">
        <f t="shared" si="8"/>
        <v>266.6</v>
      </c>
      <c r="G145" s="247">
        <f t="shared" si="9"/>
        <v>28.342</v>
      </c>
      <c r="H145" s="10"/>
      <c r="I145" s="153">
        <f t="shared" si="10"/>
        <v>0.895294668104237</v>
      </c>
      <c r="J145" s="166">
        <v>29.48</v>
      </c>
      <c r="K145" s="166"/>
      <c r="L145" s="166">
        <v>264.06</v>
      </c>
      <c r="M145" s="166">
        <f t="shared" si="11"/>
        <v>17901.28</v>
      </c>
      <c r="N145" s="11"/>
      <c r="O145" s="343" t="s">
        <v>1611</v>
      </c>
      <c r="P145" s="343"/>
    </row>
    <row r="146" spans="1:16">
      <c r="A146" s="163">
        <v>46180</v>
      </c>
      <c r="B146" s="164" t="s">
        <v>111</v>
      </c>
      <c r="C146" s="341">
        <v>0.46</v>
      </c>
      <c r="D146" s="341">
        <v>0.93</v>
      </c>
      <c r="E146" s="165">
        <v>193.893</v>
      </c>
      <c r="F146" s="10">
        <f t="shared" si="8"/>
        <v>202.1</v>
      </c>
      <c r="G146" s="10">
        <f t="shared" si="9"/>
        <v>-8.20700000000002</v>
      </c>
      <c r="H146" s="10"/>
      <c r="I146" s="153">
        <f t="shared" si="10"/>
        <v>0.949905360172879</v>
      </c>
      <c r="J146" s="166">
        <v>19.38</v>
      </c>
      <c r="K146" s="166"/>
      <c r="L146" s="166">
        <v>184.18</v>
      </c>
      <c r="M146" s="166">
        <f t="shared" si="11"/>
        <v>17717.1</v>
      </c>
      <c r="N146" s="11"/>
      <c r="O146" s="343" t="s">
        <v>1611</v>
      </c>
      <c r="P146" s="343"/>
    </row>
    <row r="147" spans="1:16">
      <c r="A147" s="163">
        <v>46180</v>
      </c>
      <c r="B147" s="164" t="s">
        <v>102</v>
      </c>
      <c r="C147" s="341">
        <v>0.56</v>
      </c>
      <c r="D147" s="341">
        <v>0.9</v>
      </c>
      <c r="E147" s="165">
        <v>156.716</v>
      </c>
      <c r="F147" s="10">
        <f t="shared" si="8"/>
        <v>146.2</v>
      </c>
      <c r="G147" s="10">
        <f t="shared" si="9"/>
        <v>10.516</v>
      </c>
      <c r="H147" s="10"/>
      <c r="I147" s="153">
        <f t="shared" si="10"/>
        <v>0.949934914112152</v>
      </c>
      <c r="J147" s="166">
        <v>15.67</v>
      </c>
      <c r="K147" s="166"/>
      <c r="L147" s="166">
        <v>148.87</v>
      </c>
      <c r="M147" s="166">
        <f t="shared" si="11"/>
        <v>17568.23</v>
      </c>
      <c r="N147" s="11"/>
      <c r="O147" s="343" t="s">
        <v>1611</v>
      </c>
      <c r="P147" s="343"/>
    </row>
    <row r="148" spans="1:16">
      <c r="A148" s="163">
        <v>46180</v>
      </c>
      <c r="B148" s="164" t="s">
        <v>57</v>
      </c>
      <c r="C148" s="341">
        <v>0.48</v>
      </c>
      <c r="D148" s="341">
        <v>0.92</v>
      </c>
      <c r="E148" s="165">
        <v>183.257</v>
      </c>
      <c r="F148" s="10">
        <f t="shared" si="8"/>
        <v>189.2</v>
      </c>
      <c r="G148" s="10">
        <f t="shared" si="9"/>
        <v>-5.94300000000001</v>
      </c>
      <c r="H148" s="10"/>
      <c r="I148" s="153">
        <f t="shared" si="10"/>
        <v>0.94992278603273</v>
      </c>
      <c r="J148" s="166">
        <v>18.32</v>
      </c>
      <c r="K148" s="166"/>
      <c r="L148" s="166">
        <v>174.08</v>
      </c>
      <c r="M148" s="166">
        <f t="shared" si="11"/>
        <v>17394.15</v>
      </c>
      <c r="N148" s="11"/>
      <c r="O148" s="343" t="s">
        <v>1611</v>
      </c>
      <c r="P148" s="343"/>
    </row>
    <row r="149" spans="1:16">
      <c r="A149" s="163">
        <v>46180</v>
      </c>
      <c r="B149" s="164" t="s">
        <v>66</v>
      </c>
      <c r="C149" s="341">
        <v>0.58</v>
      </c>
      <c r="D149" s="341">
        <v>0.96</v>
      </c>
      <c r="E149" s="165">
        <v>190.636</v>
      </c>
      <c r="F149" s="10">
        <f t="shared" si="8"/>
        <v>163.4</v>
      </c>
      <c r="G149" s="247">
        <f t="shared" si="9"/>
        <v>27.236</v>
      </c>
      <c r="H149" s="10"/>
      <c r="I149" s="153">
        <f t="shared" si="10"/>
        <v>0.949977968484441</v>
      </c>
      <c r="J149" s="166">
        <v>19.06</v>
      </c>
      <c r="K149" s="166"/>
      <c r="L149" s="166">
        <v>181.1</v>
      </c>
      <c r="M149" s="166">
        <f t="shared" si="11"/>
        <v>17213.05</v>
      </c>
      <c r="N149" s="11"/>
      <c r="O149" s="343" t="s">
        <v>1611</v>
      </c>
      <c r="P149" s="343"/>
    </row>
    <row r="150" spans="1:16">
      <c r="A150" s="163">
        <v>46180</v>
      </c>
      <c r="B150" s="164" t="s">
        <v>99</v>
      </c>
      <c r="C150" s="341">
        <v>0.48</v>
      </c>
      <c r="D150" s="341">
        <v>0.91</v>
      </c>
      <c r="E150" s="165">
        <v>204.913</v>
      </c>
      <c r="F150" s="10">
        <f t="shared" si="8"/>
        <v>184.9</v>
      </c>
      <c r="G150" s="247">
        <f t="shared" si="9"/>
        <v>20.013</v>
      </c>
      <c r="H150" s="10"/>
      <c r="I150" s="153">
        <f t="shared" si="10"/>
        <v>0.94996413111906</v>
      </c>
      <c r="J150" s="166">
        <v>20.49</v>
      </c>
      <c r="K150" s="166"/>
      <c r="L150" s="166">
        <v>194.66</v>
      </c>
      <c r="M150" s="166">
        <f t="shared" si="11"/>
        <v>17018.39</v>
      </c>
      <c r="N150" s="11"/>
      <c r="O150" s="343" t="s">
        <v>1611</v>
      </c>
      <c r="P150" s="343"/>
    </row>
    <row r="151" spans="1:16">
      <c r="A151" s="163">
        <v>46180</v>
      </c>
      <c r="B151" s="164" t="s">
        <v>84</v>
      </c>
      <c r="C151" s="341">
        <v>0.32</v>
      </c>
      <c r="D151" s="341">
        <v>0.98</v>
      </c>
      <c r="E151" s="165">
        <v>297.896</v>
      </c>
      <c r="F151" s="10">
        <f t="shared" si="8"/>
        <v>283.8</v>
      </c>
      <c r="G151" s="10">
        <f t="shared" si="9"/>
        <v>14.0960000000001</v>
      </c>
      <c r="H151" s="10"/>
      <c r="I151" s="153">
        <f t="shared" si="10"/>
        <v>0.949962402986277</v>
      </c>
      <c r="J151" s="166">
        <v>29.78</v>
      </c>
      <c r="K151" s="166"/>
      <c r="L151" s="166">
        <v>282.99</v>
      </c>
      <c r="M151" s="166">
        <f t="shared" si="11"/>
        <v>16735.4</v>
      </c>
      <c r="N151" s="11"/>
      <c r="O151" s="343" t="s">
        <v>1611</v>
      </c>
      <c r="P151" s="343"/>
    </row>
    <row r="152" spans="1:16">
      <c r="A152" s="163">
        <v>46180</v>
      </c>
      <c r="B152" s="164" t="s">
        <v>96</v>
      </c>
      <c r="C152" s="341">
        <v>0.19</v>
      </c>
      <c r="D152" s="341">
        <v>0.91</v>
      </c>
      <c r="E152" s="165">
        <v>335.953</v>
      </c>
      <c r="F152" s="10">
        <f t="shared" si="8"/>
        <v>309.6</v>
      </c>
      <c r="G152" s="247">
        <f t="shared" si="9"/>
        <v>26.353</v>
      </c>
      <c r="H152" s="10"/>
      <c r="I152" s="153">
        <f t="shared" si="10"/>
        <v>0.94998407515337</v>
      </c>
      <c r="J152" s="166">
        <v>33.59</v>
      </c>
      <c r="K152" s="166"/>
      <c r="L152" s="166">
        <v>319.15</v>
      </c>
      <c r="M152" s="166">
        <f t="shared" si="11"/>
        <v>16416.25</v>
      </c>
      <c r="N152" s="11"/>
      <c r="O152" s="343" t="s">
        <v>1611</v>
      </c>
      <c r="P152" s="343"/>
    </row>
    <row r="153" spans="1:16">
      <c r="A153" s="163">
        <v>46180</v>
      </c>
      <c r="B153" s="164" t="s">
        <v>54</v>
      </c>
      <c r="C153" s="341">
        <v>0.44</v>
      </c>
      <c r="D153" s="341">
        <v>0.96</v>
      </c>
      <c r="E153" s="165">
        <v>214.449</v>
      </c>
      <c r="F153" s="10">
        <f t="shared" si="8"/>
        <v>223.6</v>
      </c>
      <c r="G153" s="10">
        <f t="shared" si="9"/>
        <v>-9.15099999999998</v>
      </c>
      <c r="H153" s="10"/>
      <c r="I153" s="153">
        <f t="shared" si="10"/>
        <v>0.949969456607398</v>
      </c>
      <c r="J153" s="166">
        <v>21.44</v>
      </c>
      <c r="K153" s="166"/>
      <c r="L153" s="166">
        <v>203.72</v>
      </c>
      <c r="M153" s="166">
        <f t="shared" si="11"/>
        <v>16212.53</v>
      </c>
      <c r="N153" s="11"/>
      <c r="O153" s="343" t="s">
        <v>1611</v>
      </c>
      <c r="P153" s="343"/>
    </row>
    <row r="154" spans="1:16">
      <c r="A154" s="163">
        <v>46180</v>
      </c>
      <c r="B154" s="164" t="s">
        <v>78</v>
      </c>
      <c r="C154" s="341">
        <v>0.55</v>
      </c>
      <c r="D154" s="341">
        <v>0.85</v>
      </c>
      <c r="E154" s="165">
        <v>146.559</v>
      </c>
      <c r="F154" s="10">
        <f t="shared" si="8"/>
        <v>129</v>
      </c>
      <c r="G154" s="10">
        <f t="shared" si="9"/>
        <v>17.559</v>
      </c>
      <c r="H154" s="10"/>
      <c r="I154" s="153">
        <f t="shared" si="10"/>
        <v>0.819942821662266</v>
      </c>
      <c r="J154" s="166">
        <v>14.65</v>
      </c>
      <c r="K154" s="166"/>
      <c r="L154" s="166">
        <v>120.17</v>
      </c>
      <c r="M154" s="166">
        <f t="shared" si="11"/>
        <v>16092.36</v>
      </c>
      <c r="N154" s="11"/>
      <c r="O154" s="343" t="s">
        <v>1611</v>
      </c>
      <c r="P154" s="343"/>
    </row>
    <row r="155" spans="1:16">
      <c r="A155" s="163">
        <v>46180</v>
      </c>
      <c r="B155" s="164" t="s">
        <v>135</v>
      </c>
      <c r="C155" s="341">
        <v>0.32</v>
      </c>
      <c r="D155" s="341">
        <v>0.91</v>
      </c>
      <c r="E155" s="165">
        <v>261.231</v>
      </c>
      <c r="F155" s="10">
        <f t="shared" si="8"/>
        <v>253.7</v>
      </c>
      <c r="G155" s="10">
        <f t="shared" si="9"/>
        <v>7.53099999999995</v>
      </c>
      <c r="H155" s="10"/>
      <c r="I155" s="153">
        <f t="shared" si="10"/>
        <v>0.820499864104949</v>
      </c>
      <c r="J155" s="166">
        <v>26.11</v>
      </c>
      <c r="K155" s="166"/>
      <c r="L155" s="166">
        <v>214.34</v>
      </c>
      <c r="M155" s="166">
        <f t="shared" si="11"/>
        <v>15878.02</v>
      </c>
      <c r="N155" s="11"/>
      <c r="O155" s="343" t="s">
        <v>1611</v>
      </c>
      <c r="P155" s="343"/>
    </row>
    <row r="156" spans="1:16">
      <c r="A156" s="163">
        <v>46180</v>
      </c>
      <c r="B156" s="164" t="s">
        <v>93</v>
      </c>
      <c r="C156" s="341">
        <v>0.54</v>
      </c>
      <c r="D156" s="341">
        <v>0.95</v>
      </c>
      <c r="E156" s="165">
        <v>196.932</v>
      </c>
      <c r="F156" s="10">
        <f t="shared" si="8"/>
        <v>176.3</v>
      </c>
      <c r="G156" s="247">
        <f t="shared" si="9"/>
        <v>20.632</v>
      </c>
      <c r="H156" s="10"/>
      <c r="I156" s="153">
        <f t="shared" si="10"/>
        <v>0.949972579367498</v>
      </c>
      <c r="J156" s="166">
        <v>19.69</v>
      </c>
      <c r="K156" s="166"/>
      <c r="L156" s="166">
        <v>187.08</v>
      </c>
      <c r="M156" s="166">
        <f t="shared" si="11"/>
        <v>15690.94</v>
      </c>
      <c r="N156" s="11"/>
      <c r="O156" s="343" t="s">
        <v>1611</v>
      </c>
      <c r="P156" s="343"/>
    </row>
    <row r="157" spans="1:16">
      <c r="A157" s="163">
        <v>46180</v>
      </c>
      <c r="B157" s="164" t="s">
        <v>151</v>
      </c>
      <c r="C157" s="341">
        <v>0.51</v>
      </c>
      <c r="D157" s="341">
        <v>0.99</v>
      </c>
      <c r="E157" s="165">
        <v>219.664</v>
      </c>
      <c r="F157" s="10">
        <f t="shared" si="8"/>
        <v>206.4</v>
      </c>
      <c r="G157" s="10">
        <f t="shared" si="9"/>
        <v>13.264</v>
      </c>
      <c r="H157" s="10"/>
      <c r="I157" s="153">
        <f t="shared" si="10"/>
        <v>0.94995083400102</v>
      </c>
      <c r="J157" s="166">
        <v>21.96</v>
      </c>
      <c r="K157" s="166"/>
      <c r="L157" s="166">
        <v>208.67</v>
      </c>
      <c r="M157" s="166">
        <f t="shared" si="11"/>
        <v>15482.27</v>
      </c>
      <c r="N157" s="11"/>
      <c r="O157" s="343" t="s">
        <v>1611</v>
      </c>
      <c r="P157" s="343"/>
    </row>
    <row r="158" spans="1:16">
      <c r="A158" s="163">
        <v>46180</v>
      </c>
      <c r="B158" s="164" t="s">
        <v>114</v>
      </c>
      <c r="C158" s="341">
        <v>0.48</v>
      </c>
      <c r="D158" s="341">
        <v>0.81</v>
      </c>
      <c r="E158" s="165">
        <v>138.296</v>
      </c>
      <c r="F158" s="10">
        <f t="shared" si="8"/>
        <v>141.9</v>
      </c>
      <c r="G158" s="10">
        <f t="shared" si="9"/>
        <v>-3.60400000000004</v>
      </c>
      <c r="H158" s="10"/>
      <c r="I158" s="153">
        <f t="shared" si="10"/>
        <v>0.949919014288193</v>
      </c>
      <c r="J158" s="166">
        <v>13.82</v>
      </c>
      <c r="K158" s="166"/>
      <c r="L158" s="166">
        <v>131.37</v>
      </c>
      <c r="M158" s="166">
        <f t="shared" si="11"/>
        <v>15350.9</v>
      </c>
      <c r="N158" s="11"/>
      <c r="O158" s="343" t="s">
        <v>1611</v>
      </c>
      <c r="P158" s="343"/>
    </row>
    <row r="159" spans="1:16">
      <c r="A159" s="163">
        <v>46180</v>
      </c>
      <c r="B159" s="164" t="s">
        <v>87</v>
      </c>
      <c r="C159" s="341">
        <v>0.56</v>
      </c>
      <c r="D159" s="341">
        <v>0.95</v>
      </c>
      <c r="E159" s="165">
        <v>187.6</v>
      </c>
      <c r="F159" s="10">
        <f t="shared" si="8"/>
        <v>167.7</v>
      </c>
      <c r="G159" s="10">
        <f t="shared" si="9"/>
        <v>19.9</v>
      </c>
      <c r="H159" s="10"/>
      <c r="I159" s="153">
        <f t="shared" si="10"/>
        <v>0.95</v>
      </c>
      <c r="J159" s="166">
        <v>18.76</v>
      </c>
      <c r="K159" s="166"/>
      <c r="L159" s="166">
        <v>178.22</v>
      </c>
      <c r="M159" s="166">
        <f t="shared" si="11"/>
        <v>15172.68</v>
      </c>
      <c r="N159" s="11"/>
      <c r="O159" s="343" t="s">
        <v>1611</v>
      </c>
      <c r="P159" s="343"/>
    </row>
    <row r="160" spans="1:16">
      <c r="A160" s="163">
        <v>46180</v>
      </c>
      <c r="B160" s="164" t="s">
        <v>90</v>
      </c>
      <c r="C160" s="341">
        <v>0.27</v>
      </c>
      <c r="D160" s="341">
        <v>0.9</v>
      </c>
      <c r="E160" s="165">
        <v>292.418</v>
      </c>
      <c r="F160" s="10">
        <f t="shared" si="8"/>
        <v>270.9</v>
      </c>
      <c r="G160" s="247">
        <f t="shared" si="9"/>
        <v>21.518</v>
      </c>
      <c r="H160" s="10"/>
      <c r="I160" s="153">
        <f t="shared" si="10"/>
        <v>0.949975719688938</v>
      </c>
      <c r="J160" s="166">
        <v>29.24</v>
      </c>
      <c r="K160" s="166"/>
      <c r="L160" s="166">
        <v>277.79</v>
      </c>
      <c r="M160" s="166">
        <f t="shared" si="11"/>
        <v>14894.89</v>
      </c>
      <c r="N160" s="11"/>
      <c r="O160" s="343" t="s">
        <v>1611</v>
      </c>
      <c r="P160" s="343"/>
    </row>
    <row r="161" spans="1:16">
      <c r="A161" s="156">
        <v>46181</v>
      </c>
      <c r="B161" s="168" t="s">
        <v>99</v>
      </c>
      <c r="C161" s="341">
        <v>0.25</v>
      </c>
      <c r="D161" s="341">
        <v>0.91</v>
      </c>
      <c r="E161" s="159">
        <v>313.499</v>
      </c>
      <c r="F161" s="10">
        <f t="shared" si="8"/>
        <v>283.8</v>
      </c>
      <c r="G161" s="247">
        <f t="shared" si="9"/>
        <v>29.699</v>
      </c>
      <c r="H161" s="10"/>
      <c r="I161" s="153">
        <f t="shared" si="10"/>
        <v>0.819938819581562</v>
      </c>
      <c r="J161" s="162">
        <v>31.34</v>
      </c>
      <c r="K161" s="166"/>
      <c r="L161" s="162">
        <v>257.05</v>
      </c>
      <c r="M161" s="166">
        <f t="shared" si="11"/>
        <v>14637.84</v>
      </c>
      <c r="N161" s="11"/>
      <c r="O161" s="343" t="s">
        <v>1611</v>
      </c>
      <c r="P161" s="343"/>
    </row>
    <row r="162" spans="1:16">
      <c r="A162" s="163">
        <v>46181</v>
      </c>
      <c r="B162" s="164" t="s">
        <v>54</v>
      </c>
      <c r="C162" s="341">
        <v>0.33</v>
      </c>
      <c r="D162" s="341">
        <v>0.93</v>
      </c>
      <c r="E162" s="165">
        <v>245.685</v>
      </c>
      <c r="F162" s="10">
        <f t="shared" si="8"/>
        <v>258</v>
      </c>
      <c r="G162" s="10">
        <f t="shared" si="9"/>
        <v>-12.3150000000001</v>
      </c>
      <c r="H162" s="10"/>
      <c r="I162" s="153">
        <f t="shared" si="10"/>
        <v>0.819952378045058</v>
      </c>
      <c r="J162" s="166">
        <v>24.56</v>
      </c>
      <c r="K162" s="166"/>
      <c r="L162" s="166">
        <v>201.45</v>
      </c>
      <c r="M162" s="166">
        <f t="shared" si="11"/>
        <v>14436.39</v>
      </c>
      <c r="N162" s="11"/>
      <c r="O162" s="343" t="s">
        <v>1611</v>
      </c>
      <c r="P162" s="343"/>
    </row>
    <row r="163" spans="1:16">
      <c r="A163" s="163">
        <v>46181</v>
      </c>
      <c r="B163" s="164" t="s">
        <v>130</v>
      </c>
      <c r="C163" s="341">
        <v>0.53</v>
      </c>
      <c r="D163" s="341">
        <v>0.99</v>
      </c>
      <c r="E163" s="165">
        <v>195.342</v>
      </c>
      <c r="F163" s="10">
        <f t="shared" si="8"/>
        <v>197.8</v>
      </c>
      <c r="G163" s="10">
        <f t="shared" si="9"/>
        <v>-2.45799999999997</v>
      </c>
      <c r="H163" s="10"/>
      <c r="I163" s="153">
        <f t="shared" si="10"/>
        <v>0.819946555272292</v>
      </c>
      <c r="J163" s="166">
        <v>19.53</v>
      </c>
      <c r="K163" s="166"/>
      <c r="L163" s="166">
        <v>160.17</v>
      </c>
      <c r="M163" s="166">
        <f t="shared" si="11"/>
        <v>14276.22</v>
      </c>
      <c r="N163" s="11"/>
      <c r="O163" s="343" t="s">
        <v>1611</v>
      </c>
      <c r="P163" s="343"/>
    </row>
    <row r="164" spans="1:16">
      <c r="A164" s="163">
        <v>46181</v>
      </c>
      <c r="B164" s="164" t="s">
        <v>138</v>
      </c>
      <c r="C164" s="341">
        <v>0.53</v>
      </c>
      <c r="D164" s="341">
        <v>0.99</v>
      </c>
      <c r="E164" s="165">
        <v>209.591</v>
      </c>
      <c r="F164" s="10">
        <f t="shared" si="8"/>
        <v>197.8</v>
      </c>
      <c r="G164" s="10">
        <f t="shared" si="9"/>
        <v>11.791</v>
      </c>
      <c r="H164" s="10"/>
      <c r="I164" s="153">
        <f t="shared" si="10"/>
        <v>0.819930245096402</v>
      </c>
      <c r="J164" s="166">
        <v>20.95</v>
      </c>
      <c r="K164" s="166"/>
      <c r="L164" s="166">
        <v>171.85</v>
      </c>
      <c r="M164" s="166">
        <f t="shared" si="11"/>
        <v>14104.37</v>
      </c>
      <c r="N164" s="11"/>
      <c r="O164" s="343" t="s">
        <v>1611</v>
      </c>
      <c r="P164" s="343"/>
    </row>
    <row r="165" spans="1:16">
      <c r="A165" s="163">
        <v>46181</v>
      </c>
      <c r="B165" s="164" t="s">
        <v>69</v>
      </c>
      <c r="C165" s="341">
        <v>0.6</v>
      </c>
      <c r="D165" s="341">
        <v>0.81</v>
      </c>
      <c r="E165" s="165">
        <v>99.266</v>
      </c>
      <c r="F165" s="10">
        <f t="shared" si="8"/>
        <v>90.3</v>
      </c>
      <c r="G165" s="10">
        <f t="shared" si="9"/>
        <v>8.96599999999998</v>
      </c>
      <c r="H165" s="10"/>
      <c r="I165" s="153">
        <f t="shared" si="10"/>
        <v>0.784961618278162</v>
      </c>
      <c r="J165" s="166">
        <v>9.92</v>
      </c>
      <c r="K165" s="166"/>
      <c r="L165" s="166">
        <v>77.92</v>
      </c>
      <c r="M165" s="166">
        <f t="shared" si="11"/>
        <v>14026.45</v>
      </c>
      <c r="N165" s="11"/>
      <c r="O165" s="343" t="s">
        <v>1611</v>
      </c>
      <c r="P165" s="343"/>
    </row>
    <row r="166" spans="1:16">
      <c r="A166" s="163">
        <v>46181</v>
      </c>
      <c r="B166" s="164" t="s">
        <v>124</v>
      </c>
      <c r="C166" s="341">
        <v>0.31</v>
      </c>
      <c r="D166" s="341">
        <v>0.91</v>
      </c>
      <c r="E166" s="165">
        <v>259.588</v>
      </c>
      <c r="F166" s="10">
        <f t="shared" si="8"/>
        <v>258</v>
      </c>
      <c r="G166" s="10">
        <f t="shared" si="9"/>
        <v>1.58799999999997</v>
      </c>
      <c r="H166" s="10"/>
      <c r="I166" s="153">
        <f t="shared" si="10"/>
        <v>0.755389309213061</v>
      </c>
      <c r="J166" s="166">
        <v>25.95</v>
      </c>
      <c r="K166" s="166"/>
      <c r="L166" s="166">
        <v>196.09</v>
      </c>
      <c r="M166" s="166">
        <f t="shared" si="11"/>
        <v>13830.36</v>
      </c>
      <c r="N166" s="11"/>
      <c r="O166" s="343" t="s">
        <v>1611</v>
      </c>
      <c r="P166" s="343"/>
    </row>
    <row r="167" spans="1:16">
      <c r="A167" s="163">
        <v>46181</v>
      </c>
      <c r="B167" s="164" t="s">
        <v>81</v>
      </c>
      <c r="C167" s="341">
        <v>0.19</v>
      </c>
      <c r="D167" s="341">
        <v>0.89</v>
      </c>
      <c r="E167" s="165">
        <v>325.771</v>
      </c>
      <c r="F167" s="10">
        <f t="shared" si="8"/>
        <v>301</v>
      </c>
      <c r="G167" s="247">
        <f t="shared" si="9"/>
        <v>24.771</v>
      </c>
      <c r="H167" s="10"/>
      <c r="I167" s="153">
        <f t="shared" si="10"/>
        <v>0.759183598294507</v>
      </c>
      <c r="J167" s="166">
        <v>32.57</v>
      </c>
      <c r="K167" s="166"/>
      <c r="L167" s="166">
        <v>247.32</v>
      </c>
      <c r="M167" s="166">
        <f t="shared" si="11"/>
        <v>13583.04</v>
      </c>
      <c r="N167" s="11"/>
      <c r="O167" s="343" t="s">
        <v>1611</v>
      </c>
      <c r="P167" s="343"/>
    </row>
    <row r="168" spans="1:16">
      <c r="A168" s="163">
        <v>46181</v>
      </c>
      <c r="B168" s="164" t="s">
        <v>141</v>
      </c>
      <c r="C168" s="341">
        <v>0.35</v>
      </c>
      <c r="D168" s="341">
        <v>1</v>
      </c>
      <c r="E168" s="165">
        <v>288.232</v>
      </c>
      <c r="F168" s="10">
        <f t="shared" si="8"/>
        <v>279.5</v>
      </c>
      <c r="G168" s="10">
        <f t="shared" si="9"/>
        <v>8.73200000000003</v>
      </c>
      <c r="H168" s="10"/>
      <c r="I168" s="153">
        <f t="shared" si="10"/>
        <v>0.669981126314913</v>
      </c>
      <c r="J168" s="166">
        <v>28.82</v>
      </c>
      <c r="K168" s="166"/>
      <c r="L168" s="166">
        <v>193.11</v>
      </c>
      <c r="M168" s="166">
        <f t="shared" si="11"/>
        <v>13389.93</v>
      </c>
      <c r="N168" s="11"/>
      <c r="O168" s="343" t="s">
        <v>1611</v>
      </c>
      <c r="P168" s="343"/>
    </row>
    <row r="169" spans="1:16">
      <c r="A169" s="163">
        <v>46181</v>
      </c>
      <c r="B169" s="164" t="s">
        <v>60</v>
      </c>
      <c r="C169" s="341">
        <v>0.14</v>
      </c>
      <c r="D169" s="341">
        <v>0.99</v>
      </c>
      <c r="E169" s="165">
        <v>356.968</v>
      </c>
      <c r="F169" s="10">
        <f t="shared" si="8"/>
        <v>365.5</v>
      </c>
      <c r="G169" s="10">
        <f t="shared" si="9"/>
        <v>-8.53199999999998</v>
      </c>
      <c r="H169" s="10"/>
      <c r="I169" s="153">
        <f t="shared" si="10"/>
        <v>0.669976020259519</v>
      </c>
      <c r="J169" s="166">
        <v>35.69</v>
      </c>
      <c r="K169" s="166"/>
      <c r="L169" s="166">
        <v>239.16</v>
      </c>
      <c r="M169" s="166">
        <f t="shared" si="11"/>
        <v>13150.77</v>
      </c>
      <c r="N169" s="11"/>
      <c r="O169" s="343" t="s">
        <v>1611</v>
      </c>
      <c r="P169" s="343"/>
    </row>
    <row r="170" spans="1:16">
      <c r="A170" s="163">
        <v>46181</v>
      </c>
      <c r="B170" s="164" t="s">
        <v>172</v>
      </c>
      <c r="C170" s="341">
        <v>0.38</v>
      </c>
      <c r="D170" s="341">
        <v>0.96</v>
      </c>
      <c r="E170" s="165">
        <v>255.654</v>
      </c>
      <c r="F170" s="10">
        <f t="shared" si="8"/>
        <v>249.4</v>
      </c>
      <c r="G170" s="10">
        <f t="shared" si="9"/>
        <v>6.25400000000002</v>
      </c>
      <c r="H170" s="10"/>
      <c r="I170" s="153">
        <f t="shared" si="10"/>
        <v>0.81997543554961</v>
      </c>
      <c r="J170" s="166">
        <v>25.56</v>
      </c>
      <c r="K170" s="166"/>
      <c r="L170" s="166">
        <v>209.63</v>
      </c>
      <c r="M170" s="166">
        <f t="shared" si="11"/>
        <v>12941.14</v>
      </c>
      <c r="N170" s="11"/>
      <c r="O170" s="343" t="s">
        <v>1611</v>
      </c>
      <c r="P170" s="343"/>
    </row>
    <row r="171" spans="1:16">
      <c r="A171" s="163">
        <v>46181</v>
      </c>
      <c r="B171" s="164" t="s">
        <v>72</v>
      </c>
      <c r="C171" s="341">
        <v>0.33</v>
      </c>
      <c r="D171" s="341">
        <v>0.85</v>
      </c>
      <c r="E171" s="165">
        <v>242.853</v>
      </c>
      <c r="F171" s="10">
        <f t="shared" si="8"/>
        <v>223.6</v>
      </c>
      <c r="G171" s="10">
        <f t="shared" si="9"/>
        <v>19.253</v>
      </c>
      <c r="H171" s="10"/>
      <c r="I171" s="153">
        <f t="shared" si="10"/>
        <v>0.878391454913054</v>
      </c>
      <c r="J171" s="166">
        <v>24.28</v>
      </c>
      <c r="K171" s="166"/>
      <c r="L171" s="166">
        <v>213.32</v>
      </c>
      <c r="M171" s="166">
        <f t="shared" si="11"/>
        <v>12727.82</v>
      </c>
      <c r="N171" s="11"/>
      <c r="O171" s="343" t="s">
        <v>1611</v>
      </c>
      <c r="P171" s="343"/>
    </row>
    <row r="172" spans="1:16">
      <c r="A172" s="163">
        <v>46181</v>
      </c>
      <c r="B172" s="164" t="s">
        <v>144</v>
      </c>
      <c r="C172" s="341">
        <v>0.34</v>
      </c>
      <c r="D172" s="341">
        <v>0.99</v>
      </c>
      <c r="E172" s="165">
        <v>291.56</v>
      </c>
      <c r="F172" s="10">
        <f t="shared" si="8"/>
        <v>279.5</v>
      </c>
      <c r="G172" s="10">
        <f t="shared" si="9"/>
        <v>12.0600000000001</v>
      </c>
      <c r="H172" s="10"/>
      <c r="I172" s="153">
        <f t="shared" si="10"/>
        <v>0.916243654822335</v>
      </c>
      <c r="J172" s="166">
        <v>29.14</v>
      </c>
      <c r="K172" s="166"/>
      <c r="L172" s="166">
        <v>267.14</v>
      </c>
      <c r="M172" s="166">
        <f t="shared" si="11"/>
        <v>12460.68</v>
      </c>
      <c r="N172" s="11"/>
      <c r="O172" s="343" t="s">
        <v>1611</v>
      </c>
      <c r="P172" s="343"/>
    </row>
    <row r="173" spans="1:16">
      <c r="A173" s="163">
        <v>46181</v>
      </c>
      <c r="B173" s="164" t="s">
        <v>66</v>
      </c>
      <c r="C173" s="341">
        <v>0.26</v>
      </c>
      <c r="D173" s="341">
        <v>1</v>
      </c>
      <c r="E173" s="165">
        <v>327.819</v>
      </c>
      <c r="F173" s="10">
        <f t="shared" si="8"/>
        <v>318.2</v>
      </c>
      <c r="G173" s="10">
        <f t="shared" si="9"/>
        <v>9.61900000000003</v>
      </c>
      <c r="H173" s="10"/>
      <c r="I173" s="153">
        <f t="shared" si="10"/>
        <v>0.940824052297152</v>
      </c>
      <c r="J173" s="166">
        <v>32.77</v>
      </c>
      <c r="K173" s="166"/>
      <c r="L173" s="166">
        <v>308.42</v>
      </c>
      <c r="M173" s="166">
        <f t="shared" si="11"/>
        <v>12152.26</v>
      </c>
      <c r="N173" s="11"/>
      <c r="O173" s="343" t="s">
        <v>1611</v>
      </c>
      <c r="P173" s="343"/>
    </row>
    <row r="174" spans="1:16">
      <c r="A174" s="163">
        <v>46181</v>
      </c>
      <c r="B174" s="164" t="s">
        <v>93</v>
      </c>
      <c r="C174" s="341">
        <v>0.38</v>
      </c>
      <c r="D174" s="341">
        <v>0.89</v>
      </c>
      <c r="E174" s="165">
        <v>241.03</v>
      </c>
      <c r="F174" s="10">
        <f t="shared" si="8"/>
        <v>219.3</v>
      </c>
      <c r="G174" s="247">
        <f t="shared" si="9"/>
        <v>21.73</v>
      </c>
      <c r="H174" s="10"/>
      <c r="I174" s="153">
        <f t="shared" si="10"/>
        <v>0.94996473468033</v>
      </c>
      <c r="J174" s="166">
        <v>24.1</v>
      </c>
      <c r="K174" s="166"/>
      <c r="L174" s="166">
        <v>228.97</v>
      </c>
      <c r="M174" s="166">
        <f t="shared" si="11"/>
        <v>11923.29</v>
      </c>
      <c r="N174" s="11"/>
      <c r="O174" s="343" t="s">
        <v>1611</v>
      </c>
      <c r="P174" s="343"/>
    </row>
    <row r="175" spans="1:16">
      <c r="A175" s="163">
        <v>46181</v>
      </c>
      <c r="B175" s="164" t="s">
        <v>166</v>
      </c>
      <c r="C175" s="341">
        <v>0.52</v>
      </c>
      <c r="D175" s="341">
        <v>0.94</v>
      </c>
      <c r="E175" s="165">
        <v>191.7</v>
      </c>
      <c r="F175" s="10">
        <f t="shared" si="8"/>
        <v>180.6</v>
      </c>
      <c r="G175" s="10">
        <f t="shared" si="9"/>
        <v>11.1</v>
      </c>
      <c r="H175" s="10"/>
      <c r="I175" s="153">
        <f t="shared" si="10"/>
        <v>0.949973917579552</v>
      </c>
      <c r="J175" s="166">
        <v>19.17</v>
      </c>
      <c r="K175" s="166"/>
      <c r="L175" s="166">
        <v>182.11</v>
      </c>
      <c r="M175" s="166">
        <f t="shared" si="11"/>
        <v>11741.18</v>
      </c>
      <c r="N175" s="11"/>
      <c r="O175" s="343" t="s">
        <v>1611</v>
      </c>
      <c r="P175" s="343"/>
    </row>
    <row r="176" spans="1:16">
      <c r="A176" s="163">
        <v>46181</v>
      </c>
      <c r="B176" s="164" t="s">
        <v>51</v>
      </c>
      <c r="C176" s="341">
        <v>0.45</v>
      </c>
      <c r="D176" s="341">
        <v>0.94</v>
      </c>
      <c r="E176" s="165">
        <v>200.653</v>
      </c>
      <c r="F176" s="10">
        <f t="shared" si="8"/>
        <v>210.7</v>
      </c>
      <c r="G176" s="10">
        <f t="shared" si="9"/>
        <v>-10.047</v>
      </c>
      <c r="H176" s="10"/>
      <c r="I176" s="153">
        <f t="shared" si="10"/>
        <v>0.949948418413879</v>
      </c>
      <c r="J176" s="166">
        <v>20.06</v>
      </c>
      <c r="K176" s="166"/>
      <c r="L176" s="166">
        <v>190.61</v>
      </c>
      <c r="M176" s="166">
        <f t="shared" si="11"/>
        <v>11550.57</v>
      </c>
      <c r="N176" s="11"/>
      <c r="O176" s="343" t="s">
        <v>1611</v>
      </c>
      <c r="P176" s="343"/>
    </row>
    <row r="177" spans="1:16">
      <c r="A177" s="163">
        <v>46181</v>
      </c>
      <c r="B177" s="164" t="s">
        <v>177</v>
      </c>
      <c r="C177" s="341">
        <v>0.49</v>
      </c>
      <c r="D177" s="341">
        <v>0.95</v>
      </c>
      <c r="E177" s="165">
        <v>208.985</v>
      </c>
      <c r="F177" s="10">
        <f t="shared" si="8"/>
        <v>197.8</v>
      </c>
      <c r="G177" s="10">
        <f t="shared" si="9"/>
        <v>11.185</v>
      </c>
      <c r="H177" s="10"/>
      <c r="I177" s="153">
        <f t="shared" si="10"/>
        <v>0.949924635739407</v>
      </c>
      <c r="J177" s="166">
        <v>20.89</v>
      </c>
      <c r="K177" s="166"/>
      <c r="L177" s="166">
        <v>198.52</v>
      </c>
      <c r="M177" s="166">
        <f t="shared" si="11"/>
        <v>11352.05</v>
      </c>
      <c r="N177" s="11"/>
      <c r="O177" s="343" t="s">
        <v>1611</v>
      </c>
      <c r="P177" s="343"/>
    </row>
    <row r="178" spans="1:16">
      <c r="A178" s="163">
        <v>46181</v>
      </c>
      <c r="B178" s="164" t="s">
        <v>154</v>
      </c>
      <c r="C178" s="341">
        <v>0.47</v>
      </c>
      <c r="D178" s="341">
        <v>0.9</v>
      </c>
      <c r="E178" s="165">
        <v>188.741</v>
      </c>
      <c r="F178" s="10">
        <f t="shared" si="8"/>
        <v>184.9</v>
      </c>
      <c r="G178" s="10">
        <f t="shared" si="9"/>
        <v>3.84099999999998</v>
      </c>
      <c r="H178" s="10"/>
      <c r="I178" s="153">
        <f t="shared" si="10"/>
        <v>0.949926089191008</v>
      </c>
      <c r="J178" s="166">
        <v>18.87</v>
      </c>
      <c r="K178" s="166"/>
      <c r="L178" s="166">
        <v>179.29</v>
      </c>
      <c r="M178" s="166">
        <f t="shared" si="11"/>
        <v>11172.76</v>
      </c>
      <c r="N178" s="11"/>
      <c r="O178" s="343" t="s">
        <v>1611</v>
      </c>
      <c r="P178" s="343"/>
    </row>
    <row r="179" spans="1:16">
      <c r="A179" s="163">
        <v>46181</v>
      </c>
      <c r="B179" s="164" t="s">
        <v>160</v>
      </c>
      <c r="C179" s="341">
        <v>0.48</v>
      </c>
      <c r="D179" s="341">
        <v>0.9</v>
      </c>
      <c r="E179" s="165">
        <v>188.53</v>
      </c>
      <c r="F179" s="10">
        <f t="shared" si="8"/>
        <v>180.6</v>
      </c>
      <c r="G179" s="10">
        <f t="shared" si="9"/>
        <v>7.92999999999998</v>
      </c>
      <c r="H179" s="10"/>
      <c r="I179" s="153">
        <f t="shared" si="10"/>
        <v>0.949981435315334</v>
      </c>
      <c r="J179" s="166">
        <v>18.85</v>
      </c>
      <c r="K179" s="166"/>
      <c r="L179" s="166">
        <v>179.1</v>
      </c>
      <c r="M179" s="166">
        <f t="shared" si="11"/>
        <v>10993.66</v>
      </c>
      <c r="N179" s="11"/>
      <c r="O179" s="343" t="s">
        <v>1611</v>
      </c>
      <c r="P179" s="343"/>
    </row>
    <row r="180" spans="1:16">
      <c r="A180" s="163">
        <v>46181</v>
      </c>
      <c r="B180" s="164" t="s">
        <v>163</v>
      </c>
      <c r="C180" s="341">
        <v>0.33</v>
      </c>
      <c r="D180" s="341">
        <v>0.88</v>
      </c>
      <c r="E180" s="165">
        <v>244.713</v>
      </c>
      <c r="F180" s="10">
        <f t="shared" si="8"/>
        <v>236.5</v>
      </c>
      <c r="G180" s="10">
        <f t="shared" si="9"/>
        <v>8.21299999999997</v>
      </c>
      <c r="H180" s="10"/>
      <c r="I180" s="153">
        <f t="shared" si="10"/>
        <v>0.949969964815927</v>
      </c>
      <c r="J180" s="166">
        <v>24.47</v>
      </c>
      <c r="K180" s="166"/>
      <c r="L180" s="166">
        <v>232.47</v>
      </c>
      <c r="M180" s="166">
        <f t="shared" si="11"/>
        <v>10761.19</v>
      </c>
      <c r="N180" s="11"/>
      <c r="O180" s="343" t="s">
        <v>1611</v>
      </c>
      <c r="P180" s="343"/>
    </row>
    <row r="181" spans="1:16">
      <c r="A181" s="163">
        <v>46181</v>
      </c>
      <c r="B181" s="164" t="s">
        <v>78</v>
      </c>
      <c r="C181" s="341">
        <v>0.24</v>
      </c>
      <c r="D181" s="341">
        <v>0.82</v>
      </c>
      <c r="E181" s="165">
        <v>274.576</v>
      </c>
      <c r="F181" s="10">
        <f t="shared" si="8"/>
        <v>249.4</v>
      </c>
      <c r="G181" s="247">
        <f t="shared" si="9"/>
        <v>25.176</v>
      </c>
      <c r="H181" s="10"/>
      <c r="I181" s="153">
        <f t="shared" si="10"/>
        <v>0.949937357962823</v>
      </c>
      <c r="J181" s="166">
        <v>27.45</v>
      </c>
      <c r="K181" s="166"/>
      <c r="L181" s="166">
        <v>260.83</v>
      </c>
      <c r="M181" s="166">
        <f t="shared" si="11"/>
        <v>10500.36</v>
      </c>
      <c r="N181" s="11"/>
      <c r="O181" s="343" t="s">
        <v>1611</v>
      </c>
      <c r="P181" s="343"/>
    </row>
    <row r="182" spans="1:16">
      <c r="A182" s="163">
        <v>46181</v>
      </c>
      <c r="B182" s="164" t="s">
        <v>338</v>
      </c>
      <c r="C182" s="341">
        <v>0.3</v>
      </c>
      <c r="D182" s="341">
        <v>0.87</v>
      </c>
      <c r="E182" s="165">
        <v>252.479</v>
      </c>
      <c r="F182" s="10">
        <f t="shared" si="8"/>
        <v>245.1</v>
      </c>
      <c r="G182" s="10">
        <f t="shared" si="9"/>
        <v>7.37899999999999</v>
      </c>
      <c r="H182" s="10"/>
      <c r="I182" s="153">
        <f t="shared" si="10"/>
        <v>0.949940391082031</v>
      </c>
      <c r="J182" s="166">
        <v>25.24</v>
      </c>
      <c r="K182" s="166"/>
      <c r="L182" s="166">
        <v>239.84</v>
      </c>
      <c r="M182" s="166">
        <f t="shared" si="11"/>
        <v>10260.52</v>
      </c>
      <c r="N182" s="11"/>
      <c r="O182" s="343" t="s">
        <v>1611</v>
      </c>
      <c r="P182" s="343"/>
    </row>
    <row r="183" spans="1:16">
      <c r="A183" s="163">
        <v>46181</v>
      </c>
      <c r="B183" s="164" t="s">
        <v>105</v>
      </c>
      <c r="C183" s="341">
        <v>0.68</v>
      </c>
      <c r="D183" s="341">
        <v>1</v>
      </c>
      <c r="E183" s="165">
        <v>146.664</v>
      </c>
      <c r="F183" s="10">
        <f t="shared" si="8"/>
        <v>137.6</v>
      </c>
      <c r="G183" s="10">
        <f t="shared" si="9"/>
        <v>9.06400000000002</v>
      </c>
      <c r="H183" s="10"/>
      <c r="I183" s="153">
        <f t="shared" si="10"/>
        <v>0.949926362297496</v>
      </c>
      <c r="J183" s="166">
        <v>14.66</v>
      </c>
      <c r="K183" s="166"/>
      <c r="L183" s="166">
        <v>139.32</v>
      </c>
      <c r="M183" s="166">
        <f t="shared" si="11"/>
        <v>10121.2</v>
      </c>
      <c r="N183" s="11"/>
      <c r="O183" s="343" t="s">
        <v>1611</v>
      </c>
      <c r="P183" s="343"/>
    </row>
    <row r="184" spans="1:16">
      <c r="A184" s="163">
        <v>46181</v>
      </c>
      <c r="B184" s="164" t="s">
        <v>63</v>
      </c>
      <c r="C184" s="341">
        <v>0.49</v>
      </c>
      <c r="D184" s="341">
        <v>0.97</v>
      </c>
      <c r="E184" s="165">
        <v>229.528</v>
      </c>
      <c r="F184" s="10">
        <f t="shared" si="8"/>
        <v>206.4</v>
      </c>
      <c r="G184" s="247">
        <f t="shared" si="9"/>
        <v>23.128</v>
      </c>
      <c r="H184" s="10"/>
      <c r="I184" s="153">
        <f t="shared" si="10"/>
        <v>0.949949461503607</v>
      </c>
      <c r="J184" s="166">
        <v>22.95</v>
      </c>
      <c r="K184" s="166"/>
      <c r="L184" s="166">
        <v>218.04</v>
      </c>
      <c r="M184" s="166">
        <f t="shared" si="11"/>
        <v>9903.15999999999</v>
      </c>
      <c r="N184" s="11"/>
      <c r="O184" s="343" t="s">
        <v>1611</v>
      </c>
      <c r="P184" s="343"/>
    </row>
    <row r="185" spans="1:16">
      <c r="A185" s="163">
        <v>46181</v>
      </c>
      <c r="B185" s="164" t="s">
        <v>87</v>
      </c>
      <c r="C185" s="341">
        <v>0.27</v>
      </c>
      <c r="D185" s="341">
        <v>0.87</v>
      </c>
      <c r="E185" s="165">
        <v>277.039</v>
      </c>
      <c r="F185" s="10">
        <f t="shared" si="8"/>
        <v>258</v>
      </c>
      <c r="G185" s="10">
        <f t="shared" si="9"/>
        <v>19.039</v>
      </c>
      <c r="H185" s="10"/>
      <c r="I185" s="153">
        <f t="shared" si="10"/>
        <v>0.949974552319349</v>
      </c>
      <c r="J185" s="166">
        <v>27.7</v>
      </c>
      <c r="K185" s="166"/>
      <c r="L185" s="166">
        <v>263.18</v>
      </c>
      <c r="M185" s="166">
        <f t="shared" si="11"/>
        <v>9639.97999999999</v>
      </c>
      <c r="N185" s="11"/>
      <c r="O185" s="343" t="s">
        <v>1611</v>
      </c>
      <c r="P185" s="343"/>
    </row>
    <row r="186" spans="1:16">
      <c r="A186" s="163">
        <v>46181</v>
      </c>
      <c r="B186" s="164" t="s">
        <v>180</v>
      </c>
      <c r="C186" s="341">
        <v>0.3</v>
      </c>
      <c r="D186" s="341">
        <v>0.98</v>
      </c>
      <c r="E186" s="165">
        <v>314.292</v>
      </c>
      <c r="F186" s="10">
        <f t="shared" si="8"/>
        <v>292.4</v>
      </c>
      <c r="G186" s="247">
        <f t="shared" si="9"/>
        <v>21.892</v>
      </c>
      <c r="H186" s="10"/>
      <c r="I186" s="153">
        <f t="shared" si="10"/>
        <v>0.949944637470887</v>
      </c>
      <c r="J186" s="166">
        <v>31.42</v>
      </c>
      <c r="K186" s="166"/>
      <c r="L186" s="166">
        <v>298.56</v>
      </c>
      <c r="M186" s="166">
        <f t="shared" si="11"/>
        <v>9341.41999999999</v>
      </c>
      <c r="N186" s="11"/>
      <c r="O186" s="343" t="s">
        <v>1611</v>
      </c>
      <c r="P186" s="343"/>
    </row>
    <row r="187" spans="1:16">
      <c r="A187" s="163">
        <v>46181</v>
      </c>
      <c r="B187" s="164" t="s">
        <v>57</v>
      </c>
      <c r="C187" s="341">
        <v>0.43</v>
      </c>
      <c r="D187" s="341">
        <v>0.95</v>
      </c>
      <c r="E187" s="165">
        <v>209.879</v>
      </c>
      <c r="F187" s="10">
        <f t="shared" si="8"/>
        <v>223.6</v>
      </c>
      <c r="G187" s="10">
        <f t="shared" si="9"/>
        <v>-13.721</v>
      </c>
      <c r="H187" s="10"/>
      <c r="I187" s="153">
        <f t="shared" si="10"/>
        <v>0.949928292015876</v>
      </c>
      <c r="J187" s="166">
        <v>20.98</v>
      </c>
      <c r="K187" s="166"/>
      <c r="L187" s="166">
        <v>199.37</v>
      </c>
      <c r="M187" s="166">
        <f t="shared" si="11"/>
        <v>9142.04999999999</v>
      </c>
      <c r="N187" s="11"/>
      <c r="O187" s="343" t="s">
        <v>1611</v>
      </c>
      <c r="P187" s="343"/>
    </row>
    <row r="188" spans="1:16">
      <c r="A188" s="163">
        <v>46181</v>
      </c>
      <c r="B188" s="164" t="s">
        <v>111</v>
      </c>
      <c r="C188" s="341">
        <v>0.39</v>
      </c>
      <c r="D188" s="341">
        <v>0.94</v>
      </c>
      <c r="E188" s="165">
        <v>221.727</v>
      </c>
      <c r="F188" s="10">
        <f t="shared" si="8"/>
        <v>236.5</v>
      </c>
      <c r="G188" s="10">
        <f t="shared" si="9"/>
        <v>-14.773</v>
      </c>
      <c r="H188" s="10"/>
      <c r="I188" s="153">
        <f t="shared" si="10"/>
        <v>0.9499519679606</v>
      </c>
      <c r="J188" s="166">
        <v>22.17</v>
      </c>
      <c r="K188" s="166"/>
      <c r="L188" s="166">
        <v>210.63</v>
      </c>
      <c r="M188" s="166">
        <f t="shared" si="11"/>
        <v>8931.41999999999</v>
      </c>
      <c r="N188" s="11"/>
      <c r="O188" s="343" t="s">
        <v>1611</v>
      </c>
      <c r="P188" s="343"/>
    </row>
    <row r="189" spans="1:16">
      <c r="A189" s="163">
        <v>46181</v>
      </c>
      <c r="B189" s="164" t="s">
        <v>96</v>
      </c>
      <c r="C189" s="341">
        <v>0.57</v>
      </c>
      <c r="D189" s="341">
        <v>0.96</v>
      </c>
      <c r="E189" s="165">
        <v>194.477</v>
      </c>
      <c r="F189" s="10">
        <f t="shared" si="8"/>
        <v>167.7</v>
      </c>
      <c r="G189" s="247">
        <f t="shared" si="9"/>
        <v>26.777</v>
      </c>
      <c r="H189" s="10"/>
      <c r="I189" s="153">
        <f t="shared" si="10"/>
        <v>0.949932382749631</v>
      </c>
      <c r="J189" s="166">
        <v>19.44</v>
      </c>
      <c r="K189" s="166"/>
      <c r="L189" s="166">
        <v>184.74</v>
      </c>
      <c r="M189" s="166">
        <f t="shared" si="11"/>
        <v>8746.67999999999</v>
      </c>
      <c r="N189" s="11"/>
      <c r="O189" s="343" t="s">
        <v>1611</v>
      </c>
      <c r="P189" s="343"/>
    </row>
    <row r="190" spans="1:16">
      <c r="A190" s="163">
        <v>46181</v>
      </c>
      <c r="B190" s="164" t="s">
        <v>108</v>
      </c>
      <c r="C190" s="341">
        <v>0.58</v>
      </c>
      <c r="D190" s="341">
        <v>0.82</v>
      </c>
      <c r="E190" s="165">
        <v>114.999</v>
      </c>
      <c r="F190" s="10">
        <f t="shared" si="8"/>
        <v>103.2</v>
      </c>
      <c r="G190" s="10">
        <f t="shared" si="9"/>
        <v>11.799</v>
      </c>
      <c r="H190" s="10"/>
      <c r="I190" s="153">
        <f t="shared" si="10"/>
        <v>0.949834346385621</v>
      </c>
      <c r="J190" s="166">
        <v>11.49</v>
      </c>
      <c r="K190" s="166"/>
      <c r="L190" s="166">
        <v>109.23</v>
      </c>
      <c r="M190" s="166">
        <f t="shared" si="11"/>
        <v>8637.44999999999</v>
      </c>
      <c r="N190" s="11"/>
      <c r="O190" s="343" t="s">
        <v>1611</v>
      </c>
      <c r="P190" s="343"/>
    </row>
    <row r="191" spans="1:16">
      <c r="A191" s="163">
        <v>46181</v>
      </c>
      <c r="B191" s="164" t="s">
        <v>84</v>
      </c>
      <c r="C191" s="341">
        <v>0.59</v>
      </c>
      <c r="D191" s="341">
        <v>1</v>
      </c>
      <c r="E191" s="165">
        <v>181.735</v>
      </c>
      <c r="F191" s="10">
        <f t="shared" si="8"/>
        <v>176.3</v>
      </c>
      <c r="G191" s="10">
        <f t="shared" si="9"/>
        <v>5.435</v>
      </c>
      <c r="H191" s="10"/>
      <c r="I191" s="153">
        <f t="shared" si="10"/>
        <v>0.949954604231436</v>
      </c>
      <c r="J191" s="166">
        <v>18.17</v>
      </c>
      <c r="K191" s="166"/>
      <c r="L191" s="166">
        <v>172.64</v>
      </c>
      <c r="M191" s="166">
        <f t="shared" si="11"/>
        <v>8464.80999999999</v>
      </c>
      <c r="N191" s="11"/>
      <c r="O191" s="343" t="s">
        <v>1611</v>
      </c>
      <c r="P191" s="343"/>
    </row>
    <row r="192" spans="1:16">
      <c r="A192" s="163">
        <v>46181</v>
      </c>
      <c r="B192" s="164" t="s">
        <v>114</v>
      </c>
      <c r="C192" s="341">
        <v>0.28</v>
      </c>
      <c r="D192" s="341">
        <v>0.87</v>
      </c>
      <c r="E192" s="165">
        <v>244.65</v>
      </c>
      <c r="F192" s="10">
        <f t="shared" si="8"/>
        <v>253.7</v>
      </c>
      <c r="G192" s="10">
        <f t="shared" si="9"/>
        <v>-9.04999999999998</v>
      </c>
      <c r="H192" s="10"/>
      <c r="I192" s="153">
        <f t="shared" si="10"/>
        <v>0.94996934396076</v>
      </c>
      <c r="J192" s="166">
        <v>24.46</v>
      </c>
      <c r="K192" s="166"/>
      <c r="L192" s="166">
        <v>232.41</v>
      </c>
      <c r="M192" s="166">
        <f t="shared" si="11"/>
        <v>8232.39999999999</v>
      </c>
      <c r="N192" s="11"/>
      <c r="O192" s="343" t="s">
        <v>1611</v>
      </c>
      <c r="P192" s="343"/>
    </row>
    <row r="193" spans="1:16">
      <c r="A193" s="163">
        <v>46181</v>
      </c>
      <c r="B193" s="164" t="s">
        <v>102</v>
      </c>
      <c r="C193" s="341">
        <v>0.43</v>
      </c>
      <c r="D193" s="341">
        <v>0.96</v>
      </c>
      <c r="E193" s="165">
        <v>257.807</v>
      </c>
      <c r="F193" s="10">
        <f t="shared" si="8"/>
        <v>227.9</v>
      </c>
      <c r="G193" s="247">
        <f t="shared" si="9"/>
        <v>29.907</v>
      </c>
      <c r="H193" s="10"/>
      <c r="I193" s="153">
        <f t="shared" si="10"/>
        <v>0.949974205510324</v>
      </c>
      <c r="J193" s="166">
        <v>25.78</v>
      </c>
      <c r="K193" s="166"/>
      <c r="L193" s="166">
        <v>244.91</v>
      </c>
      <c r="M193" s="166">
        <f t="shared" si="11"/>
        <v>7987.48999999999</v>
      </c>
      <c r="N193" s="11"/>
      <c r="O193" s="343" t="s">
        <v>1611</v>
      </c>
      <c r="P193" s="343"/>
    </row>
    <row r="194" spans="1:16">
      <c r="A194" s="163">
        <v>46181</v>
      </c>
      <c r="B194" s="164" t="s">
        <v>135</v>
      </c>
      <c r="C194" s="341">
        <v>0.57</v>
      </c>
      <c r="D194" s="341">
        <v>0.81</v>
      </c>
      <c r="E194" s="165">
        <v>110.462</v>
      </c>
      <c r="F194" s="10">
        <f t="shared" si="8"/>
        <v>103.2</v>
      </c>
      <c r="G194" s="10">
        <f t="shared" si="9"/>
        <v>7.26199999999996</v>
      </c>
      <c r="H194" s="10"/>
      <c r="I194" s="153">
        <f t="shared" si="10"/>
        <v>0.949919429306006</v>
      </c>
      <c r="J194" s="166">
        <v>11.04</v>
      </c>
      <c r="K194" s="166"/>
      <c r="L194" s="166">
        <v>104.93</v>
      </c>
      <c r="M194" s="166">
        <f t="shared" si="11"/>
        <v>7882.55999999999</v>
      </c>
      <c r="N194" s="11"/>
      <c r="O194" s="343" t="s">
        <v>1611</v>
      </c>
      <c r="P194" s="343"/>
    </row>
    <row r="195" spans="1:16">
      <c r="A195" s="163">
        <v>46181</v>
      </c>
      <c r="B195" s="164" t="s">
        <v>174</v>
      </c>
      <c r="C195" s="341">
        <v>0.38</v>
      </c>
      <c r="D195" s="341">
        <v>0.99</v>
      </c>
      <c r="E195" s="165">
        <v>279.337</v>
      </c>
      <c r="F195" s="10">
        <f t="shared" ref="F195:F258" si="12">(D195-C195)*430</f>
        <v>262.3</v>
      </c>
      <c r="G195" s="10">
        <f t="shared" ref="G195:G258" si="13">E195-F195</f>
        <v>17.037</v>
      </c>
      <c r="H195" s="10"/>
      <c r="I195" s="153">
        <f t="shared" ref="I195:I258" si="14">L195/E195</f>
        <v>0.949963663961452</v>
      </c>
      <c r="J195" s="166">
        <v>27.93</v>
      </c>
      <c r="K195" s="166"/>
      <c r="L195" s="166">
        <v>265.36</v>
      </c>
      <c r="M195" s="166">
        <f t="shared" ref="M195:M258" si="15">M194+K195-L195</f>
        <v>7617.19999999999</v>
      </c>
      <c r="N195" s="11"/>
      <c r="O195" s="343" t="s">
        <v>1611</v>
      </c>
      <c r="P195" s="343"/>
    </row>
    <row r="196" spans="1:16">
      <c r="A196" s="156">
        <v>46182</v>
      </c>
      <c r="B196" s="168" t="s">
        <v>132</v>
      </c>
      <c r="C196" s="341">
        <v>0.45</v>
      </c>
      <c r="D196" s="341">
        <v>0.86</v>
      </c>
      <c r="E196" s="159">
        <v>181.432</v>
      </c>
      <c r="F196" s="10">
        <f t="shared" si="12"/>
        <v>176.3</v>
      </c>
      <c r="G196" s="10">
        <f t="shared" si="13"/>
        <v>5.13200000000001</v>
      </c>
      <c r="H196" s="10"/>
      <c r="I196" s="153">
        <f t="shared" si="14"/>
        <v>0.819976630362891</v>
      </c>
      <c r="J196" s="162">
        <v>18.14</v>
      </c>
      <c r="K196" s="166">
        <v>20000</v>
      </c>
      <c r="L196" s="162">
        <v>148.77</v>
      </c>
      <c r="M196" s="166">
        <f t="shared" si="15"/>
        <v>27468.43</v>
      </c>
      <c r="N196" s="11"/>
      <c r="O196" s="343" t="s">
        <v>1611</v>
      </c>
    </row>
    <row r="197" spans="1:16">
      <c r="A197" s="163">
        <v>46182</v>
      </c>
      <c r="B197" s="164" t="s">
        <v>69</v>
      </c>
      <c r="C197" s="341">
        <v>0.59</v>
      </c>
      <c r="D197" s="341">
        <v>1</v>
      </c>
      <c r="E197" s="165">
        <v>191.144</v>
      </c>
      <c r="F197" s="10">
        <f t="shared" si="12"/>
        <v>176.3</v>
      </c>
      <c r="G197" s="10">
        <f t="shared" si="13"/>
        <v>14.844</v>
      </c>
      <c r="H197" s="10"/>
      <c r="I197" s="153">
        <f t="shared" si="14"/>
        <v>0.819957728204914</v>
      </c>
      <c r="J197" s="166">
        <v>19.11</v>
      </c>
      <c r="K197" s="166"/>
      <c r="L197" s="166">
        <v>156.73</v>
      </c>
      <c r="M197" s="166">
        <f t="shared" si="15"/>
        <v>27311.7</v>
      </c>
      <c r="N197" s="11"/>
      <c r="O197" s="343" t="s">
        <v>1611</v>
      </c>
    </row>
    <row r="198" spans="1:16">
      <c r="A198" s="163">
        <v>46182</v>
      </c>
      <c r="B198" s="164" t="s">
        <v>130</v>
      </c>
      <c r="C198" s="341">
        <v>0.32</v>
      </c>
      <c r="D198" s="341">
        <v>0.92</v>
      </c>
      <c r="E198" s="165">
        <v>246.288</v>
      </c>
      <c r="F198" s="10">
        <f t="shared" si="12"/>
        <v>258</v>
      </c>
      <c r="G198" s="10">
        <f t="shared" si="13"/>
        <v>-11.712</v>
      </c>
      <c r="H198" s="10"/>
      <c r="I198" s="153">
        <f t="shared" si="14"/>
        <v>0.66994737867862</v>
      </c>
      <c r="J198" s="166">
        <v>24.62</v>
      </c>
      <c r="K198" s="166"/>
      <c r="L198" s="166">
        <v>165</v>
      </c>
      <c r="M198" s="166">
        <f t="shared" si="15"/>
        <v>27146.7</v>
      </c>
      <c r="N198" s="11"/>
      <c r="O198" s="343" t="s">
        <v>1611</v>
      </c>
    </row>
    <row r="199" spans="1:16">
      <c r="A199" s="163">
        <v>46182</v>
      </c>
      <c r="B199" s="164" t="s">
        <v>138</v>
      </c>
      <c r="C199" s="341">
        <v>0.33</v>
      </c>
      <c r="D199" s="341">
        <v>0.91</v>
      </c>
      <c r="E199" s="165">
        <v>258.792</v>
      </c>
      <c r="F199" s="10">
        <f t="shared" si="12"/>
        <v>249.4</v>
      </c>
      <c r="G199" s="10">
        <f t="shared" si="13"/>
        <v>9.39199999999994</v>
      </c>
      <c r="H199" s="10"/>
      <c r="I199" s="153">
        <f t="shared" si="14"/>
        <v>0.72540882252929</v>
      </c>
      <c r="J199" s="166">
        <v>25.87</v>
      </c>
      <c r="K199" s="166"/>
      <c r="L199" s="166">
        <v>187.73</v>
      </c>
      <c r="M199" s="166">
        <f t="shared" si="15"/>
        <v>26958.97</v>
      </c>
      <c r="N199" s="11"/>
      <c r="O199" s="343" t="s">
        <v>1611</v>
      </c>
    </row>
    <row r="200" spans="1:16">
      <c r="A200" s="163">
        <v>46182</v>
      </c>
      <c r="B200" s="164" t="s">
        <v>141</v>
      </c>
      <c r="C200" s="341">
        <v>0.39</v>
      </c>
      <c r="D200" s="341">
        <v>0.99</v>
      </c>
      <c r="E200" s="165">
        <v>272.389</v>
      </c>
      <c r="F200" s="10">
        <f t="shared" si="12"/>
        <v>258</v>
      </c>
      <c r="G200" s="10">
        <f t="shared" si="13"/>
        <v>14.389</v>
      </c>
      <c r="H200" s="10"/>
      <c r="I200" s="153">
        <f t="shared" si="14"/>
        <v>0.819967032442573</v>
      </c>
      <c r="J200" s="166">
        <v>27.23</v>
      </c>
      <c r="K200" s="166"/>
      <c r="L200" s="166">
        <v>223.35</v>
      </c>
      <c r="M200" s="166">
        <f t="shared" si="15"/>
        <v>26735.62</v>
      </c>
      <c r="N200" s="11"/>
      <c r="O200" s="343" t="s">
        <v>1611</v>
      </c>
    </row>
    <row r="201" spans="1:16">
      <c r="A201" s="163">
        <v>46182</v>
      </c>
      <c r="B201" s="164" t="s">
        <v>144</v>
      </c>
      <c r="C201" s="341">
        <v>0.44</v>
      </c>
      <c r="D201" s="341">
        <v>0.99</v>
      </c>
      <c r="E201" s="165">
        <v>249.279</v>
      </c>
      <c r="F201" s="10">
        <f t="shared" si="12"/>
        <v>236.5</v>
      </c>
      <c r="G201" s="10">
        <f t="shared" si="13"/>
        <v>12.779</v>
      </c>
      <c r="H201" s="10"/>
      <c r="I201" s="153">
        <f t="shared" si="14"/>
        <v>0.949939625881041</v>
      </c>
      <c r="J201" s="166">
        <v>24.92</v>
      </c>
      <c r="K201" s="166"/>
      <c r="L201" s="166">
        <v>236.8</v>
      </c>
      <c r="M201" s="166">
        <f t="shared" si="15"/>
        <v>26498.82</v>
      </c>
      <c r="N201" s="11"/>
      <c r="O201" s="343" t="s">
        <v>1611</v>
      </c>
    </row>
    <row r="202" spans="1:16">
      <c r="A202" s="163">
        <v>46182</v>
      </c>
      <c r="B202" s="164" t="s">
        <v>105</v>
      </c>
      <c r="C202" s="341">
        <v>0.45</v>
      </c>
      <c r="D202" s="341">
        <v>0.97</v>
      </c>
      <c r="E202" s="165">
        <v>254.553</v>
      </c>
      <c r="F202" s="10">
        <f t="shared" si="12"/>
        <v>223.6</v>
      </c>
      <c r="G202" s="247">
        <f t="shared" si="13"/>
        <v>30.953</v>
      </c>
      <c r="H202" s="10"/>
      <c r="I202" s="153">
        <f t="shared" si="14"/>
        <v>0.949978982765868</v>
      </c>
      <c r="J202" s="166">
        <v>25.45</v>
      </c>
      <c r="K202" s="166"/>
      <c r="L202" s="166">
        <v>241.82</v>
      </c>
      <c r="M202" s="166">
        <f t="shared" si="15"/>
        <v>26257</v>
      </c>
      <c r="N202" s="11"/>
      <c r="O202" s="343" t="s">
        <v>1611</v>
      </c>
    </row>
    <row r="203" spans="1:16">
      <c r="A203" s="163">
        <v>46182</v>
      </c>
      <c r="B203" s="164" t="s">
        <v>102</v>
      </c>
      <c r="C203" s="341">
        <v>0.2</v>
      </c>
      <c r="D203" s="341">
        <v>0.9</v>
      </c>
      <c r="E203" s="165">
        <v>321.834</v>
      </c>
      <c r="F203" s="10">
        <f t="shared" si="12"/>
        <v>301</v>
      </c>
      <c r="G203" s="247">
        <f t="shared" si="13"/>
        <v>20.834</v>
      </c>
      <c r="H203" s="10"/>
      <c r="I203" s="153">
        <f t="shared" si="14"/>
        <v>0.949961781539551</v>
      </c>
      <c r="J203" s="166">
        <v>32.18</v>
      </c>
      <c r="K203" s="166"/>
      <c r="L203" s="166">
        <v>305.73</v>
      </c>
      <c r="M203" s="166">
        <f t="shared" si="15"/>
        <v>25951.27</v>
      </c>
      <c r="N203" s="11"/>
      <c r="O203" s="343" t="s">
        <v>1611</v>
      </c>
    </row>
    <row r="204" spans="1:16">
      <c r="A204" s="163">
        <v>46182</v>
      </c>
      <c r="B204" s="164" t="s">
        <v>57</v>
      </c>
      <c r="C204" s="341">
        <v>0.26</v>
      </c>
      <c r="D204" s="341">
        <v>0.9</v>
      </c>
      <c r="E204" s="165">
        <v>259.109</v>
      </c>
      <c r="F204" s="10">
        <f t="shared" si="12"/>
        <v>275.2</v>
      </c>
      <c r="G204" s="10">
        <f t="shared" si="13"/>
        <v>-16.091</v>
      </c>
      <c r="H204" s="10"/>
      <c r="I204" s="153">
        <f t="shared" si="14"/>
        <v>0.949986299202266</v>
      </c>
      <c r="J204" s="166">
        <v>25.91</v>
      </c>
      <c r="K204" s="166"/>
      <c r="L204" s="166">
        <v>246.15</v>
      </c>
      <c r="M204" s="166">
        <f t="shared" si="15"/>
        <v>25705.12</v>
      </c>
      <c r="N204" s="11"/>
      <c r="O204" s="343" t="s">
        <v>1611</v>
      </c>
    </row>
    <row r="205" spans="1:16">
      <c r="A205" s="163">
        <v>46182</v>
      </c>
      <c r="B205" s="164" t="s">
        <v>111</v>
      </c>
      <c r="C205" s="341">
        <v>0.28</v>
      </c>
      <c r="D205" s="341">
        <v>0.94</v>
      </c>
      <c r="E205" s="165">
        <v>269.592</v>
      </c>
      <c r="F205" s="10">
        <f t="shared" si="12"/>
        <v>283.8</v>
      </c>
      <c r="G205" s="10">
        <f t="shared" si="13"/>
        <v>-14.208</v>
      </c>
      <c r="H205" s="10"/>
      <c r="I205" s="153">
        <f t="shared" si="14"/>
        <v>0.949954004569869</v>
      </c>
      <c r="J205" s="166">
        <v>26.95</v>
      </c>
      <c r="K205" s="166"/>
      <c r="L205" s="166">
        <v>256.1</v>
      </c>
      <c r="M205" s="166">
        <f t="shared" si="15"/>
        <v>25449.02</v>
      </c>
      <c r="N205" s="11"/>
      <c r="O205" s="343" t="s">
        <v>1611</v>
      </c>
    </row>
    <row r="206" spans="1:16">
      <c r="A206" s="163">
        <v>46182</v>
      </c>
      <c r="B206" s="164" t="s">
        <v>75</v>
      </c>
      <c r="C206" s="341">
        <v>0.4</v>
      </c>
      <c r="D206" s="341">
        <v>0.93</v>
      </c>
      <c r="E206" s="165">
        <v>244.879</v>
      </c>
      <c r="F206" s="10">
        <f t="shared" si="12"/>
        <v>227.9</v>
      </c>
      <c r="G206" s="10">
        <f t="shared" si="13"/>
        <v>16.979</v>
      </c>
      <c r="H206" s="10"/>
      <c r="I206" s="153">
        <f t="shared" si="14"/>
        <v>0.949938541075388</v>
      </c>
      <c r="J206" s="166">
        <v>24.48</v>
      </c>
      <c r="K206" s="166"/>
      <c r="L206" s="166">
        <v>232.62</v>
      </c>
      <c r="M206" s="166">
        <f t="shared" si="15"/>
        <v>25216.4</v>
      </c>
      <c r="N206" s="11"/>
      <c r="O206" s="343" t="s">
        <v>1611</v>
      </c>
    </row>
    <row r="207" spans="1:16">
      <c r="A207" s="163">
        <v>46182</v>
      </c>
      <c r="B207" s="164" t="s">
        <v>135</v>
      </c>
      <c r="C207" s="341">
        <v>0.33</v>
      </c>
      <c r="D207" s="341">
        <v>0.87</v>
      </c>
      <c r="E207" s="165">
        <v>241.856</v>
      </c>
      <c r="F207" s="10">
        <f t="shared" si="12"/>
        <v>232.2</v>
      </c>
      <c r="G207" s="10">
        <f t="shared" si="13"/>
        <v>9.65599999999998</v>
      </c>
      <c r="H207" s="10"/>
      <c r="I207" s="153">
        <f t="shared" si="14"/>
        <v>0.876678684837259</v>
      </c>
      <c r="J207" s="166">
        <v>24.18</v>
      </c>
      <c r="K207" s="166"/>
      <c r="L207" s="166">
        <v>212.03</v>
      </c>
      <c r="M207" s="166">
        <f t="shared" si="15"/>
        <v>25004.37</v>
      </c>
      <c r="N207" s="11"/>
      <c r="O207" s="343" t="s">
        <v>1611</v>
      </c>
    </row>
    <row r="208" spans="1:16">
      <c r="A208" s="163">
        <v>46182</v>
      </c>
      <c r="B208" s="164" t="s">
        <v>96</v>
      </c>
      <c r="C208" s="341">
        <v>0.24</v>
      </c>
      <c r="D208" s="341">
        <v>0.98</v>
      </c>
      <c r="E208" s="165">
        <v>352.36</v>
      </c>
      <c r="F208" s="10">
        <f t="shared" si="12"/>
        <v>318.2</v>
      </c>
      <c r="G208" s="247">
        <f t="shared" si="13"/>
        <v>34.16</v>
      </c>
      <c r="H208" s="10"/>
      <c r="I208" s="153">
        <f t="shared" si="14"/>
        <v>0.823135429674197</v>
      </c>
      <c r="J208" s="166">
        <v>35.22</v>
      </c>
      <c r="K208" s="166"/>
      <c r="L208" s="166">
        <v>290.04</v>
      </c>
      <c r="M208" s="166">
        <f t="shared" si="15"/>
        <v>24714.33</v>
      </c>
      <c r="N208" s="11"/>
      <c r="O208" s="343" t="s">
        <v>1611</v>
      </c>
    </row>
    <row r="209" spans="1:15">
      <c r="A209" s="163">
        <v>46182</v>
      </c>
      <c r="B209" s="164" t="s">
        <v>127</v>
      </c>
      <c r="C209" s="341">
        <v>0.48</v>
      </c>
      <c r="D209" s="341">
        <v>0.95</v>
      </c>
      <c r="E209" s="165">
        <v>197.7</v>
      </c>
      <c r="F209" s="10">
        <f t="shared" si="12"/>
        <v>202.1</v>
      </c>
      <c r="G209" s="10">
        <f t="shared" si="13"/>
        <v>-4.40000000000001</v>
      </c>
      <c r="H209" s="10"/>
      <c r="I209" s="153">
        <f t="shared" si="14"/>
        <v>0.938644410723318</v>
      </c>
      <c r="J209" s="166">
        <v>19.76</v>
      </c>
      <c r="K209" s="166"/>
      <c r="L209" s="166">
        <v>185.57</v>
      </c>
      <c r="M209" s="166">
        <f t="shared" si="15"/>
        <v>24528.76</v>
      </c>
      <c r="N209" s="11"/>
      <c r="O209" s="343" t="s">
        <v>1611</v>
      </c>
    </row>
    <row r="210" spans="1:15">
      <c r="A210" s="163">
        <v>46182</v>
      </c>
      <c r="B210" s="164" t="s">
        <v>60</v>
      </c>
      <c r="C210" s="341">
        <v>0.53</v>
      </c>
      <c r="D210" s="341">
        <v>1</v>
      </c>
      <c r="E210" s="165">
        <v>194.554</v>
      </c>
      <c r="F210" s="10">
        <f t="shared" si="12"/>
        <v>202.1</v>
      </c>
      <c r="G210" s="10">
        <f t="shared" si="13"/>
        <v>-7.54599999999999</v>
      </c>
      <c r="H210" s="10"/>
      <c r="I210" s="153">
        <f t="shared" si="14"/>
        <v>0.902165979625194</v>
      </c>
      <c r="J210" s="166">
        <v>19.45</v>
      </c>
      <c r="K210" s="166"/>
      <c r="L210" s="166">
        <v>175.52</v>
      </c>
      <c r="M210" s="166">
        <f t="shared" si="15"/>
        <v>24353.24</v>
      </c>
      <c r="N210" s="11"/>
      <c r="O210" s="343" t="s">
        <v>1611</v>
      </c>
    </row>
    <row r="211" spans="1:15">
      <c r="A211" s="163">
        <v>46182</v>
      </c>
      <c r="B211" s="164" t="s">
        <v>151</v>
      </c>
      <c r="C211" s="341">
        <v>0.4</v>
      </c>
      <c r="D211" s="341">
        <v>0.76</v>
      </c>
      <c r="E211" s="165">
        <v>160.213</v>
      </c>
      <c r="F211" s="10">
        <f t="shared" si="12"/>
        <v>154.8</v>
      </c>
      <c r="G211" s="10">
        <f t="shared" si="13"/>
        <v>5.41300000000001</v>
      </c>
      <c r="H211" s="10"/>
      <c r="I211" s="153">
        <f t="shared" si="14"/>
        <v>0.949985332026739</v>
      </c>
      <c r="J211" s="166">
        <v>16.02</v>
      </c>
      <c r="K211" s="166"/>
      <c r="L211" s="166">
        <v>152.2</v>
      </c>
      <c r="M211" s="166">
        <f t="shared" si="15"/>
        <v>24201.04</v>
      </c>
      <c r="N211" s="11"/>
      <c r="O211" s="343" t="s">
        <v>1611</v>
      </c>
    </row>
    <row r="212" spans="1:15">
      <c r="A212" s="163">
        <v>46182</v>
      </c>
      <c r="B212" s="164" t="s">
        <v>72</v>
      </c>
      <c r="C212" s="341">
        <v>0.61</v>
      </c>
      <c r="D212" s="341">
        <v>0.92</v>
      </c>
      <c r="E212" s="165">
        <v>147.265</v>
      </c>
      <c r="F212" s="10">
        <f t="shared" si="12"/>
        <v>133.3</v>
      </c>
      <c r="G212" s="10">
        <f t="shared" si="13"/>
        <v>13.965</v>
      </c>
      <c r="H212" s="10"/>
      <c r="I212" s="153">
        <f t="shared" si="14"/>
        <v>0.949920211862968</v>
      </c>
      <c r="J212" s="166">
        <v>14.72</v>
      </c>
      <c r="K212" s="166"/>
      <c r="L212" s="166">
        <v>139.89</v>
      </c>
      <c r="M212" s="166">
        <f t="shared" si="15"/>
        <v>24061.15</v>
      </c>
      <c r="N212" s="11"/>
      <c r="O212" s="343" t="s">
        <v>1611</v>
      </c>
    </row>
    <row r="213" spans="1:15">
      <c r="A213" s="163">
        <v>46182</v>
      </c>
      <c r="B213" s="164" t="s">
        <v>93</v>
      </c>
      <c r="C213" s="341">
        <v>0.52</v>
      </c>
      <c r="D213" s="341">
        <v>0.94</v>
      </c>
      <c r="E213" s="165">
        <v>197.909</v>
      </c>
      <c r="F213" s="10">
        <f t="shared" si="12"/>
        <v>180.6</v>
      </c>
      <c r="G213" s="10">
        <f t="shared" si="13"/>
        <v>17.309</v>
      </c>
      <c r="H213" s="10"/>
      <c r="I213" s="153">
        <f t="shared" si="14"/>
        <v>0.949982062463051</v>
      </c>
      <c r="J213" s="166">
        <v>19.79</v>
      </c>
      <c r="K213" s="166"/>
      <c r="L213" s="166">
        <v>188.01</v>
      </c>
      <c r="M213" s="166">
        <f t="shared" si="15"/>
        <v>23873.14</v>
      </c>
      <c r="N213" s="11"/>
      <c r="O213" s="343" t="s">
        <v>1611</v>
      </c>
    </row>
    <row r="214" spans="1:15">
      <c r="A214" s="163">
        <v>46182</v>
      </c>
      <c r="B214" s="164" t="s">
        <v>54</v>
      </c>
      <c r="C214" s="341">
        <v>0.41</v>
      </c>
      <c r="D214" s="341">
        <v>0.95</v>
      </c>
      <c r="E214" s="165">
        <v>223.322</v>
      </c>
      <c r="F214" s="10">
        <f t="shared" si="12"/>
        <v>232.2</v>
      </c>
      <c r="G214" s="10">
        <f t="shared" si="13"/>
        <v>-8.87800000000001</v>
      </c>
      <c r="H214" s="10"/>
      <c r="I214" s="153">
        <f t="shared" si="14"/>
        <v>0.949973580748874</v>
      </c>
      <c r="J214" s="166">
        <v>22.33</v>
      </c>
      <c r="K214" s="166"/>
      <c r="L214" s="166">
        <v>212.15</v>
      </c>
      <c r="M214" s="166">
        <f t="shared" si="15"/>
        <v>23660.99</v>
      </c>
      <c r="N214" s="11"/>
      <c r="O214" s="343" t="s">
        <v>1611</v>
      </c>
    </row>
    <row r="215" spans="1:15">
      <c r="A215" s="163">
        <v>46182</v>
      </c>
      <c r="B215" s="164" t="s">
        <v>66</v>
      </c>
      <c r="C215" s="341">
        <v>0.62</v>
      </c>
      <c r="D215" s="341">
        <v>0.98</v>
      </c>
      <c r="E215" s="165">
        <v>182.622</v>
      </c>
      <c r="F215" s="10">
        <f t="shared" si="12"/>
        <v>154.8</v>
      </c>
      <c r="G215" s="247">
        <f t="shared" si="13"/>
        <v>27.822</v>
      </c>
      <c r="H215" s="10"/>
      <c r="I215" s="153">
        <f t="shared" si="14"/>
        <v>0.94994031387237</v>
      </c>
      <c r="J215" s="166">
        <v>18.26</v>
      </c>
      <c r="K215" s="166"/>
      <c r="L215" s="166">
        <v>173.48</v>
      </c>
      <c r="M215" s="166">
        <f t="shared" si="15"/>
        <v>23487.51</v>
      </c>
      <c r="N215" s="11"/>
      <c r="O215" s="343" t="s">
        <v>1611</v>
      </c>
    </row>
    <row r="216" spans="1:15">
      <c r="A216" s="163">
        <v>46182</v>
      </c>
      <c r="B216" s="164" t="s">
        <v>51</v>
      </c>
      <c r="C216" s="341">
        <v>0.41</v>
      </c>
      <c r="D216" s="341">
        <v>0.97</v>
      </c>
      <c r="E216" s="165">
        <v>240.324</v>
      </c>
      <c r="F216" s="10">
        <f t="shared" si="12"/>
        <v>240.8</v>
      </c>
      <c r="G216" s="10">
        <f t="shared" si="13"/>
        <v>-0.475999999999999</v>
      </c>
      <c r="H216" s="10"/>
      <c r="I216" s="153">
        <f t="shared" si="14"/>
        <v>0.949967543815849</v>
      </c>
      <c r="J216" s="166">
        <v>24.03</v>
      </c>
      <c r="K216" s="166"/>
      <c r="L216" s="166">
        <v>228.3</v>
      </c>
      <c r="M216" s="166">
        <f t="shared" si="15"/>
        <v>23259.21</v>
      </c>
      <c r="N216" s="11"/>
      <c r="O216" s="343" t="s">
        <v>1611</v>
      </c>
    </row>
    <row r="217" spans="1:15">
      <c r="A217" s="163">
        <v>46182</v>
      </c>
      <c r="B217" s="164" t="s">
        <v>339</v>
      </c>
      <c r="C217" s="341">
        <v>0.42</v>
      </c>
      <c r="D217" s="341">
        <v>0.99</v>
      </c>
      <c r="E217" s="165">
        <v>257.462</v>
      </c>
      <c r="F217" s="10">
        <f t="shared" si="12"/>
        <v>245.1</v>
      </c>
      <c r="G217" s="10">
        <f t="shared" si="13"/>
        <v>12.362</v>
      </c>
      <c r="H217" s="10"/>
      <c r="I217" s="153">
        <f t="shared" si="14"/>
        <v>0.949965431791876</v>
      </c>
      <c r="J217" s="166">
        <v>25.74</v>
      </c>
      <c r="K217" s="166"/>
      <c r="L217" s="166">
        <v>244.58</v>
      </c>
      <c r="M217" s="166">
        <f t="shared" si="15"/>
        <v>23014.63</v>
      </c>
      <c r="N217" s="11"/>
      <c r="O217" s="343" t="s">
        <v>1611</v>
      </c>
    </row>
    <row r="218" spans="1:15">
      <c r="A218" s="163">
        <v>46182</v>
      </c>
      <c r="B218" s="164" t="s">
        <v>172</v>
      </c>
      <c r="C218" s="341">
        <v>0.63</v>
      </c>
      <c r="D218" s="341">
        <v>0.63</v>
      </c>
      <c r="E218" s="165">
        <v>0.278</v>
      </c>
      <c r="F218" s="10">
        <f t="shared" si="12"/>
        <v>0</v>
      </c>
      <c r="G218" s="10">
        <f t="shared" si="13"/>
        <v>0.278</v>
      </c>
      <c r="H218" s="10"/>
      <c r="I218" s="153">
        <f t="shared" si="14"/>
        <v>0.899280575539568</v>
      </c>
      <c r="J218" s="166">
        <v>0.02</v>
      </c>
      <c r="K218" s="166"/>
      <c r="L218" s="166">
        <v>0.25</v>
      </c>
      <c r="M218" s="166">
        <f t="shared" si="15"/>
        <v>23014.38</v>
      </c>
      <c r="N218" s="11"/>
      <c r="O218" s="343" t="s">
        <v>1611</v>
      </c>
    </row>
    <row r="219" spans="1:15">
      <c r="A219" s="163">
        <v>46182</v>
      </c>
      <c r="B219" s="164" t="s">
        <v>114</v>
      </c>
      <c r="C219" s="341">
        <v>0.46</v>
      </c>
      <c r="D219" s="341">
        <v>0.78</v>
      </c>
      <c r="E219" s="165">
        <v>135.698</v>
      </c>
      <c r="F219" s="10">
        <f t="shared" si="12"/>
        <v>137.6</v>
      </c>
      <c r="G219" s="10">
        <f t="shared" si="13"/>
        <v>-1.90199999999999</v>
      </c>
      <c r="H219" s="10"/>
      <c r="I219" s="153">
        <f t="shared" si="14"/>
        <v>0.949903462099662</v>
      </c>
      <c r="J219" s="166">
        <v>13.56</v>
      </c>
      <c r="K219" s="166"/>
      <c r="L219" s="166">
        <v>128.9</v>
      </c>
      <c r="M219" s="166">
        <f t="shared" si="15"/>
        <v>22885.48</v>
      </c>
      <c r="N219" s="11"/>
      <c r="O219" s="343" t="s">
        <v>1611</v>
      </c>
    </row>
    <row r="220" spans="1:15">
      <c r="A220" s="163">
        <v>46182</v>
      </c>
      <c r="B220" s="164" t="s">
        <v>172</v>
      </c>
      <c r="C220" s="341">
        <v>0.64</v>
      </c>
      <c r="D220" s="341">
        <v>0.9</v>
      </c>
      <c r="E220" s="165">
        <v>113.064</v>
      </c>
      <c r="F220" s="10">
        <f t="shared" si="12"/>
        <v>111.8</v>
      </c>
      <c r="G220" s="10">
        <f t="shared" si="13"/>
        <v>1.264</v>
      </c>
      <c r="H220" s="10"/>
      <c r="I220" s="153">
        <f t="shared" si="14"/>
        <v>0.949904478879219</v>
      </c>
      <c r="J220" s="166">
        <v>11.3</v>
      </c>
      <c r="K220" s="166"/>
      <c r="L220" s="166">
        <v>107.4</v>
      </c>
      <c r="M220" s="166">
        <f t="shared" si="15"/>
        <v>22778.08</v>
      </c>
      <c r="N220" s="11"/>
      <c r="O220" s="343" t="s">
        <v>1611</v>
      </c>
    </row>
    <row r="221" spans="1:15">
      <c r="A221" s="163">
        <v>46182</v>
      </c>
      <c r="B221" s="164" t="s">
        <v>78</v>
      </c>
      <c r="C221" s="341">
        <v>0.33</v>
      </c>
      <c r="D221" s="341">
        <v>0.85</v>
      </c>
      <c r="E221" s="165">
        <v>242.311</v>
      </c>
      <c r="F221" s="10">
        <f t="shared" si="12"/>
        <v>223.6</v>
      </c>
      <c r="G221" s="10">
        <f t="shared" si="13"/>
        <v>18.711</v>
      </c>
      <c r="H221" s="10"/>
      <c r="I221" s="153">
        <f t="shared" si="14"/>
        <v>0.949977508243538</v>
      </c>
      <c r="J221" s="166">
        <v>24.23</v>
      </c>
      <c r="K221" s="166"/>
      <c r="L221" s="166">
        <v>230.19</v>
      </c>
      <c r="M221" s="166">
        <f t="shared" si="15"/>
        <v>22547.89</v>
      </c>
      <c r="N221" s="11"/>
      <c r="O221" s="343" t="s">
        <v>1611</v>
      </c>
    </row>
    <row r="222" spans="1:15">
      <c r="A222" s="163">
        <v>46182</v>
      </c>
      <c r="B222" s="164" t="s">
        <v>99</v>
      </c>
      <c r="C222" s="341">
        <v>0.43</v>
      </c>
      <c r="D222" s="341">
        <v>0.9</v>
      </c>
      <c r="E222" s="165">
        <v>220.401</v>
      </c>
      <c r="F222" s="10">
        <f t="shared" si="12"/>
        <v>202.1</v>
      </c>
      <c r="G222" s="10">
        <f t="shared" si="13"/>
        <v>18.301</v>
      </c>
      <c r="H222" s="10"/>
      <c r="I222" s="153">
        <f t="shared" si="14"/>
        <v>0.949995689674729</v>
      </c>
      <c r="J222" s="166">
        <v>22.04</v>
      </c>
      <c r="K222" s="166"/>
      <c r="L222" s="166">
        <v>209.38</v>
      </c>
      <c r="M222" s="166">
        <f t="shared" si="15"/>
        <v>22338.51</v>
      </c>
      <c r="N222" s="11"/>
      <c r="O222" s="343" t="s">
        <v>1611</v>
      </c>
    </row>
    <row r="223" spans="1:15">
      <c r="A223" s="163">
        <v>46182</v>
      </c>
      <c r="B223" s="164" t="s">
        <v>87</v>
      </c>
      <c r="C223" s="341">
        <v>0.61</v>
      </c>
      <c r="D223" s="341">
        <v>0.94</v>
      </c>
      <c r="E223" s="165">
        <v>155.796</v>
      </c>
      <c r="F223" s="10">
        <f t="shared" si="12"/>
        <v>141.9</v>
      </c>
      <c r="G223" s="10">
        <f t="shared" si="13"/>
        <v>13.896</v>
      </c>
      <c r="H223" s="10"/>
      <c r="I223" s="153">
        <f t="shared" si="14"/>
        <v>0.949896017869522</v>
      </c>
      <c r="J223" s="166">
        <v>15.57</v>
      </c>
      <c r="K223" s="166"/>
      <c r="L223" s="166">
        <v>147.99</v>
      </c>
      <c r="M223" s="166">
        <f t="shared" si="15"/>
        <v>22190.52</v>
      </c>
      <c r="N223" s="11"/>
      <c r="O223" s="343" t="s">
        <v>1611</v>
      </c>
    </row>
    <row r="224" spans="1:15">
      <c r="A224" s="163">
        <v>46182</v>
      </c>
      <c r="B224" s="164" t="s">
        <v>338</v>
      </c>
      <c r="C224" s="341">
        <v>0.53</v>
      </c>
      <c r="D224" s="341">
        <v>0.94</v>
      </c>
      <c r="E224" s="165">
        <v>186.243</v>
      </c>
      <c r="F224" s="10">
        <f t="shared" si="12"/>
        <v>176.3</v>
      </c>
      <c r="G224" s="10">
        <f t="shared" si="13"/>
        <v>9.94300000000004</v>
      </c>
      <c r="H224" s="10"/>
      <c r="I224" s="153">
        <f t="shared" si="14"/>
        <v>0.94994174277691</v>
      </c>
      <c r="J224" s="166">
        <v>18.62</v>
      </c>
      <c r="K224" s="166"/>
      <c r="L224" s="166">
        <v>176.92</v>
      </c>
      <c r="M224" s="166">
        <f t="shared" si="15"/>
        <v>22013.6</v>
      </c>
      <c r="N224" s="11"/>
      <c r="O224" s="343" t="s">
        <v>1611</v>
      </c>
    </row>
    <row r="225" spans="1:15">
      <c r="A225" s="163">
        <v>46182</v>
      </c>
      <c r="B225" s="164" t="s">
        <v>154</v>
      </c>
      <c r="C225" s="341">
        <v>0.53</v>
      </c>
      <c r="D225" s="341">
        <v>0.95</v>
      </c>
      <c r="E225" s="165">
        <v>187.827</v>
      </c>
      <c r="F225" s="10">
        <f t="shared" si="12"/>
        <v>180.6</v>
      </c>
      <c r="G225" s="10">
        <f t="shared" si="13"/>
        <v>7.22700000000003</v>
      </c>
      <c r="H225" s="10"/>
      <c r="I225" s="153">
        <f t="shared" si="14"/>
        <v>0.949969919127708</v>
      </c>
      <c r="J225" s="166">
        <v>18.78</v>
      </c>
      <c r="K225" s="166"/>
      <c r="L225" s="166">
        <v>178.43</v>
      </c>
      <c r="M225" s="166">
        <f t="shared" si="15"/>
        <v>21835.17</v>
      </c>
      <c r="N225" s="11"/>
      <c r="O225" s="343" t="s">
        <v>1611</v>
      </c>
    </row>
    <row r="226" spans="1:15">
      <c r="A226" s="163">
        <v>46182</v>
      </c>
      <c r="B226" s="164" t="s">
        <v>166</v>
      </c>
      <c r="C226" s="341">
        <v>0.46</v>
      </c>
      <c r="D226" s="341">
        <v>0.99</v>
      </c>
      <c r="E226" s="165">
        <v>240.168</v>
      </c>
      <c r="F226" s="10">
        <f t="shared" si="12"/>
        <v>227.9</v>
      </c>
      <c r="G226" s="10">
        <f t="shared" si="13"/>
        <v>12.268</v>
      </c>
      <c r="H226" s="10"/>
      <c r="I226" s="153">
        <f t="shared" si="14"/>
        <v>0.949960027980414</v>
      </c>
      <c r="J226" s="166">
        <v>24.01</v>
      </c>
      <c r="K226" s="166"/>
      <c r="L226" s="166">
        <v>228.15</v>
      </c>
      <c r="M226" s="166">
        <f t="shared" si="15"/>
        <v>21607.02</v>
      </c>
      <c r="N226" s="11"/>
      <c r="O226" s="343" t="s">
        <v>1611</v>
      </c>
    </row>
    <row r="227" spans="1:15">
      <c r="A227" s="163">
        <v>46182</v>
      </c>
      <c r="B227" s="164" t="s">
        <v>160</v>
      </c>
      <c r="C227" s="341">
        <v>0.52</v>
      </c>
      <c r="D227" s="341">
        <v>0.96</v>
      </c>
      <c r="E227" s="165">
        <v>195.066</v>
      </c>
      <c r="F227" s="10">
        <f t="shared" si="12"/>
        <v>189.2</v>
      </c>
      <c r="G227" s="10">
        <f t="shared" si="13"/>
        <v>5.86600000000001</v>
      </c>
      <c r="H227" s="10"/>
      <c r="I227" s="153">
        <f t="shared" si="14"/>
        <v>0.949934893830806</v>
      </c>
      <c r="J227" s="166">
        <v>19.5</v>
      </c>
      <c r="K227" s="166"/>
      <c r="L227" s="166">
        <v>185.3</v>
      </c>
      <c r="M227" s="166">
        <f t="shared" si="15"/>
        <v>21421.72</v>
      </c>
      <c r="N227" s="11"/>
      <c r="O227" s="343" t="s">
        <v>1611</v>
      </c>
    </row>
    <row r="228" spans="1:15">
      <c r="A228" s="163">
        <v>46182</v>
      </c>
      <c r="B228" s="164" t="s">
        <v>132</v>
      </c>
      <c r="C228" s="341">
        <v>0.27</v>
      </c>
      <c r="D228" s="341">
        <v>0.88</v>
      </c>
      <c r="E228" s="165">
        <v>273.414</v>
      </c>
      <c r="F228" s="10">
        <f t="shared" si="12"/>
        <v>262.3</v>
      </c>
      <c r="G228" s="10">
        <f t="shared" si="13"/>
        <v>11.114</v>
      </c>
      <c r="H228" s="10"/>
      <c r="I228" s="153">
        <f t="shared" si="14"/>
        <v>0.925592690937553</v>
      </c>
      <c r="J228" s="166">
        <v>27.33</v>
      </c>
      <c r="K228" s="166"/>
      <c r="L228" s="166">
        <v>253.07</v>
      </c>
      <c r="M228" s="166">
        <f t="shared" si="15"/>
        <v>21168.65</v>
      </c>
      <c r="N228" s="11"/>
      <c r="O228" s="343" t="s">
        <v>1611</v>
      </c>
    </row>
    <row r="229" spans="1:15">
      <c r="A229" s="156">
        <v>46183</v>
      </c>
      <c r="B229" s="168" t="s">
        <v>180</v>
      </c>
      <c r="C229" s="341">
        <v>0.43</v>
      </c>
      <c r="D229" s="341">
        <v>0.99</v>
      </c>
      <c r="E229" s="159">
        <v>247.623</v>
      </c>
      <c r="F229" s="10">
        <f t="shared" si="12"/>
        <v>240.8</v>
      </c>
      <c r="G229" s="10">
        <f t="shared" si="13"/>
        <v>6.82299999999998</v>
      </c>
      <c r="H229" s="10"/>
      <c r="I229" s="153">
        <f t="shared" si="14"/>
        <v>0.819956143007717</v>
      </c>
      <c r="J229" s="162">
        <v>24.76</v>
      </c>
      <c r="K229" s="166"/>
      <c r="L229" s="162">
        <v>203.04</v>
      </c>
      <c r="M229" s="166">
        <f t="shared" si="15"/>
        <v>20965.61</v>
      </c>
      <c r="N229" s="11"/>
      <c r="O229" s="343" t="s">
        <v>1611</v>
      </c>
    </row>
    <row r="230" spans="1:15">
      <c r="A230" s="163">
        <v>46183</v>
      </c>
      <c r="B230" s="164" t="s">
        <v>141</v>
      </c>
      <c r="C230" s="341">
        <v>0.39</v>
      </c>
      <c r="D230" s="341">
        <v>0.99</v>
      </c>
      <c r="E230" s="165">
        <v>266.096</v>
      </c>
      <c r="F230" s="10">
        <f t="shared" si="12"/>
        <v>258</v>
      </c>
      <c r="G230" s="10">
        <f t="shared" si="13"/>
        <v>8.096</v>
      </c>
      <c r="H230" s="10"/>
      <c r="I230" s="153">
        <f t="shared" si="14"/>
        <v>0.669946184835548</v>
      </c>
      <c r="J230" s="166">
        <v>26.6</v>
      </c>
      <c r="K230" s="166"/>
      <c r="L230" s="166">
        <v>178.27</v>
      </c>
      <c r="M230" s="166">
        <f t="shared" si="15"/>
        <v>20787.34</v>
      </c>
      <c r="N230" s="11"/>
      <c r="O230" s="343" t="s">
        <v>1611</v>
      </c>
    </row>
    <row r="231" spans="1:15">
      <c r="A231" s="163">
        <v>46183</v>
      </c>
      <c r="B231" s="164" t="s">
        <v>144</v>
      </c>
      <c r="C231" s="341">
        <v>0.4</v>
      </c>
      <c r="D231" s="341">
        <v>0.99</v>
      </c>
      <c r="E231" s="165">
        <v>264.748</v>
      </c>
      <c r="F231" s="10">
        <f t="shared" si="12"/>
        <v>253.7</v>
      </c>
      <c r="G231" s="10">
        <f t="shared" si="13"/>
        <v>11.048</v>
      </c>
      <c r="H231" s="10"/>
      <c r="I231" s="153">
        <f t="shared" si="14"/>
        <v>0.669957846707057</v>
      </c>
      <c r="J231" s="166">
        <v>26.47</v>
      </c>
      <c r="K231" s="166"/>
      <c r="L231" s="166">
        <v>177.37</v>
      </c>
      <c r="M231" s="166">
        <f t="shared" si="15"/>
        <v>20609.97</v>
      </c>
      <c r="N231" s="11"/>
      <c r="O231" s="343" t="s">
        <v>1611</v>
      </c>
    </row>
    <row r="232" spans="1:15">
      <c r="A232" s="163">
        <v>46183</v>
      </c>
      <c r="B232" s="164" t="s">
        <v>60</v>
      </c>
      <c r="C232" s="341">
        <v>0.51</v>
      </c>
      <c r="D232" s="341">
        <v>0.93</v>
      </c>
      <c r="E232" s="165">
        <v>173.783</v>
      </c>
      <c r="F232" s="10">
        <f t="shared" si="12"/>
        <v>180.6</v>
      </c>
      <c r="G232" s="10">
        <f t="shared" si="13"/>
        <v>-6.81700000000004</v>
      </c>
      <c r="H232" s="10"/>
      <c r="I232" s="153">
        <f t="shared" si="14"/>
        <v>0.669915929636386</v>
      </c>
      <c r="J232" s="166">
        <v>17.37</v>
      </c>
      <c r="K232" s="166"/>
      <c r="L232" s="166">
        <v>116.42</v>
      </c>
      <c r="M232" s="166">
        <f t="shared" si="15"/>
        <v>20493.55</v>
      </c>
      <c r="N232" s="11"/>
      <c r="O232" s="343" t="s">
        <v>1611</v>
      </c>
    </row>
    <row r="233" spans="1:15">
      <c r="A233" s="163">
        <v>46183</v>
      </c>
      <c r="B233" s="164" t="s">
        <v>81</v>
      </c>
      <c r="C233" s="341">
        <v>0.22</v>
      </c>
      <c r="D233" s="341">
        <v>0.96</v>
      </c>
      <c r="E233" s="165">
        <v>355.438</v>
      </c>
      <c r="F233" s="10">
        <f t="shared" si="12"/>
        <v>318.2</v>
      </c>
      <c r="G233" s="10">
        <f t="shared" si="13"/>
        <v>37.238</v>
      </c>
      <c r="H233" s="10"/>
      <c r="I233" s="153">
        <f t="shared" si="14"/>
        <v>0.669962131229638</v>
      </c>
      <c r="J233" s="166">
        <v>35.54</v>
      </c>
      <c r="K233" s="166"/>
      <c r="L233" s="166">
        <v>238.13</v>
      </c>
      <c r="M233" s="166">
        <f t="shared" si="15"/>
        <v>20255.42</v>
      </c>
      <c r="N233" s="11"/>
      <c r="O233" s="343" t="s">
        <v>1611</v>
      </c>
    </row>
    <row r="234" spans="1:15">
      <c r="A234" s="163">
        <v>46183</v>
      </c>
      <c r="B234" s="164" t="s">
        <v>108</v>
      </c>
      <c r="C234" s="341">
        <v>0.4</v>
      </c>
      <c r="D234" s="341">
        <v>0.91</v>
      </c>
      <c r="E234" s="165">
        <v>243.888</v>
      </c>
      <c r="F234" s="10">
        <f t="shared" si="12"/>
        <v>219.3</v>
      </c>
      <c r="G234" s="10">
        <f t="shared" si="13"/>
        <v>24.588</v>
      </c>
      <c r="H234" s="10"/>
      <c r="I234" s="153">
        <f t="shared" si="14"/>
        <v>0.669938660368694</v>
      </c>
      <c r="J234" s="166">
        <v>24.38</v>
      </c>
      <c r="K234" s="166"/>
      <c r="L234" s="166">
        <v>163.39</v>
      </c>
      <c r="M234" s="166">
        <f t="shared" si="15"/>
        <v>20092.03</v>
      </c>
      <c r="N234" s="11"/>
      <c r="O234" s="343" t="s">
        <v>1611</v>
      </c>
    </row>
    <row r="235" spans="1:15">
      <c r="A235" s="163">
        <v>46183</v>
      </c>
      <c r="B235" s="164" t="s">
        <v>84</v>
      </c>
      <c r="C235" s="341">
        <v>0.39</v>
      </c>
      <c r="D235" s="341">
        <v>1</v>
      </c>
      <c r="E235" s="165">
        <v>296.24</v>
      </c>
      <c r="F235" s="10">
        <f t="shared" si="12"/>
        <v>262.3</v>
      </c>
      <c r="G235" s="10">
        <f t="shared" si="13"/>
        <v>33.94</v>
      </c>
      <c r="H235" s="10"/>
      <c r="I235" s="153">
        <f t="shared" si="14"/>
        <v>0.77470969484202</v>
      </c>
      <c r="J235" s="166">
        <v>29.61</v>
      </c>
      <c r="K235" s="166"/>
      <c r="L235" s="166">
        <v>229.5</v>
      </c>
      <c r="M235" s="166">
        <f t="shared" si="15"/>
        <v>19862.53</v>
      </c>
      <c r="N235" s="11"/>
      <c r="O235" s="343" t="s">
        <v>1611</v>
      </c>
    </row>
    <row r="236" spans="1:15">
      <c r="A236" s="163">
        <v>46183</v>
      </c>
      <c r="B236" s="164" t="s">
        <v>172</v>
      </c>
      <c r="C236" s="341">
        <v>0.39</v>
      </c>
      <c r="D236" s="341">
        <v>1</v>
      </c>
      <c r="E236" s="165">
        <v>252.727</v>
      </c>
      <c r="F236" s="10">
        <f t="shared" si="12"/>
        <v>262.3</v>
      </c>
      <c r="G236" s="10">
        <f t="shared" si="13"/>
        <v>-9.57300000000001</v>
      </c>
      <c r="H236" s="10"/>
      <c r="I236" s="153">
        <f t="shared" si="14"/>
        <v>0.949957859666755</v>
      </c>
      <c r="J236" s="166">
        <v>25.27</v>
      </c>
      <c r="K236" s="166"/>
      <c r="L236" s="166">
        <v>240.08</v>
      </c>
      <c r="M236" s="166">
        <f t="shared" si="15"/>
        <v>19622.45</v>
      </c>
      <c r="N236" s="11"/>
      <c r="O236" s="343" t="s">
        <v>1611</v>
      </c>
    </row>
    <row r="237" spans="1:15">
      <c r="A237" s="163">
        <v>46183</v>
      </c>
      <c r="B237" s="164" t="s">
        <v>54</v>
      </c>
      <c r="C237" s="341">
        <v>0.29</v>
      </c>
      <c r="D237" s="341">
        <v>0.95</v>
      </c>
      <c r="E237" s="165">
        <v>266.61</v>
      </c>
      <c r="F237" s="10">
        <f t="shared" si="12"/>
        <v>283.8</v>
      </c>
      <c r="G237" s="10">
        <f t="shared" si="13"/>
        <v>-17.1899999999999</v>
      </c>
      <c r="H237" s="10"/>
      <c r="I237" s="153">
        <f t="shared" si="14"/>
        <v>0.949964367428078</v>
      </c>
      <c r="J237" s="166">
        <v>26.66</v>
      </c>
      <c r="K237" s="166"/>
      <c r="L237" s="166">
        <v>253.27</v>
      </c>
      <c r="M237" s="166">
        <f t="shared" si="15"/>
        <v>19369.18</v>
      </c>
      <c r="N237" s="11"/>
      <c r="O237" s="343" t="s">
        <v>1611</v>
      </c>
    </row>
    <row r="238" spans="1:15">
      <c r="A238" s="163">
        <v>46183</v>
      </c>
      <c r="B238" s="164" t="s">
        <v>177</v>
      </c>
      <c r="C238" s="341">
        <v>0.13</v>
      </c>
      <c r="D238" s="341">
        <v>0.93</v>
      </c>
      <c r="E238" s="165">
        <v>351.763</v>
      </c>
      <c r="F238" s="10">
        <f t="shared" si="12"/>
        <v>344</v>
      </c>
      <c r="G238" s="10">
        <f t="shared" si="13"/>
        <v>7.76299999999998</v>
      </c>
      <c r="H238" s="10"/>
      <c r="I238" s="153">
        <f t="shared" si="14"/>
        <v>0.947058104462379</v>
      </c>
      <c r="J238" s="166">
        <v>35.17</v>
      </c>
      <c r="K238" s="166"/>
      <c r="L238" s="166">
        <v>333.14</v>
      </c>
      <c r="M238" s="166">
        <f t="shared" si="15"/>
        <v>19036.04</v>
      </c>
      <c r="N238" s="11"/>
      <c r="O238" s="343" t="s">
        <v>1611</v>
      </c>
    </row>
    <row r="239" spans="1:15">
      <c r="A239" s="163">
        <v>46183</v>
      </c>
      <c r="B239" s="164" t="s">
        <v>163</v>
      </c>
      <c r="C239" s="341">
        <v>0.47</v>
      </c>
      <c r="D239" s="341">
        <v>0.96</v>
      </c>
      <c r="E239" s="165">
        <v>218.656</v>
      </c>
      <c r="F239" s="10">
        <f t="shared" si="12"/>
        <v>210.7</v>
      </c>
      <c r="G239" s="10">
        <f t="shared" si="13"/>
        <v>7.95600000000002</v>
      </c>
      <c r="H239" s="10"/>
      <c r="I239" s="153">
        <f t="shared" si="14"/>
        <v>0.857008268696034</v>
      </c>
      <c r="J239" s="166">
        <v>21.86</v>
      </c>
      <c r="K239" s="166"/>
      <c r="L239" s="166">
        <v>187.39</v>
      </c>
      <c r="M239" s="166">
        <f t="shared" si="15"/>
        <v>18848.65</v>
      </c>
      <c r="N239" s="11"/>
      <c r="O239" s="343" t="s">
        <v>1611</v>
      </c>
    </row>
    <row r="240" spans="1:15">
      <c r="A240" s="163">
        <v>46183</v>
      </c>
      <c r="B240" s="164" t="s">
        <v>117</v>
      </c>
      <c r="C240" s="341">
        <v>0.46</v>
      </c>
      <c r="D240" s="341">
        <v>0.6</v>
      </c>
      <c r="E240" s="165">
        <v>62.53</v>
      </c>
      <c r="F240" s="10">
        <f t="shared" si="12"/>
        <v>60.2</v>
      </c>
      <c r="G240" s="10">
        <f t="shared" si="13"/>
        <v>2.33000000000002</v>
      </c>
      <c r="H240" s="10"/>
      <c r="I240" s="153">
        <f t="shared" si="14"/>
        <v>0.949944026867104</v>
      </c>
      <c r="J240" s="166">
        <v>6.25</v>
      </c>
      <c r="K240" s="166"/>
      <c r="L240" s="166">
        <v>59.4</v>
      </c>
      <c r="M240" s="166">
        <f t="shared" si="15"/>
        <v>18789.25</v>
      </c>
      <c r="N240" s="11"/>
      <c r="O240" s="343" t="s">
        <v>1611</v>
      </c>
    </row>
    <row r="241" spans="1:15">
      <c r="A241" s="163">
        <v>46183</v>
      </c>
      <c r="B241" s="164" t="s">
        <v>72</v>
      </c>
      <c r="C241" s="341">
        <v>0.29</v>
      </c>
      <c r="D241" s="341">
        <v>0.9</v>
      </c>
      <c r="E241" s="165">
        <v>287.733</v>
      </c>
      <c r="F241" s="10">
        <f t="shared" si="12"/>
        <v>262.3</v>
      </c>
      <c r="G241" s="10">
        <f t="shared" si="13"/>
        <v>25.4329999999999</v>
      </c>
      <c r="H241" s="10"/>
      <c r="I241" s="153">
        <f t="shared" si="14"/>
        <v>0.949977930929021</v>
      </c>
      <c r="J241" s="166">
        <v>28.77</v>
      </c>
      <c r="K241" s="166"/>
      <c r="L241" s="166">
        <v>273.34</v>
      </c>
      <c r="M241" s="166">
        <f t="shared" si="15"/>
        <v>18515.91</v>
      </c>
      <c r="N241" s="11"/>
      <c r="O241" s="343" t="s">
        <v>1611</v>
      </c>
    </row>
    <row r="242" spans="1:15">
      <c r="A242" s="163">
        <v>46183</v>
      </c>
      <c r="B242" s="164" t="s">
        <v>93</v>
      </c>
      <c r="C242" s="341">
        <v>0.27</v>
      </c>
      <c r="D242" s="341">
        <v>0.91</v>
      </c>
      <c r="E242" s="165">
        <v>301.61</v>
      </c>
      <c r="F242" s="10">
        <f t="shared" si="12"/>
        <v>275.2</v>
      </c>
      <c r="G242" s="10">
        <f t="shared" si="13"/>
        <v>26.41</v>
      </c>
      <c r="H242" s="10"/>
      <c r="I242" s="153">
        <f t="shared" si="14"/>
        <v>0.949968502370611</v>
      </c>
      <c r="J242" s="166">
        <v>30.16</v>
      </c>
      <c r="K242" s="166"/>
      <c r="L242" s="166">
        <v>286.52</v>
      </c>
      <c r="M242" s="166">
        <f t="shared" si="15"/>
        <v>18229.39</v>
      </c>
      <c r="N242" s="11"/>
      <c r="O242" s="343" t="s">
        <v>1611</v>
      </c>
    </row>
    <row r="243" spans="1:15">
      <c r="A243" s="163">
        <v>46183</v>
      </c>
      <c r="B243" s="164" t="s">
        <v>96</v>
      </c>
      <c r="C243" s="341">
        <v>0.53</v>
      </c>
      <c r="D243" s="341">
        <v>0.98</v>
      </c>
      <c r="E243" s="165">
        <v>216.541</v>
      </c>
      <c r="F243" s="10">
        <f t="shared" si="12"/>
        <v>193.5</v>
      </c>
      <c r="G243" s="10">
        <f t="shared" si="13"/>
        <v>23.041</v>
      </c>
      <c r="H243" s="10"/>
      <c r="I243" s="153">
        <f t="shared" si="14"/>
        <v>0.949935578019867</v>
      </c>
      <c r="J243" s="166">
        <v>21.65</v>
      </c>
      <c r="K243" s="166"/>
      <c r="L243" s="166">
        <v>205.7</v>
      </c>
      <c r="M243" s="166">
        <f t="shared" si="15"/>
        <v>18023.69</v>
      </c>
      <c r="N243" s="11"/>
      <c r="O243" s="343" t="s">
        <v>1611</v>
      </c>
    </row>
    <row r="244" spans="1:15">
      <c r="A244" s="163">
        <v>46183</v>
      </c>
      <c r="B244" s="164" t="s">
        <v>111</v>
      </c>
      <c r="C244" s="341">
        <v>0.45</v>
      </c>
      <c r="D244" s="341">
        <v>0.94</v>
      </c>
      <c r="E244" s="165">
        <v>199.745</v>
      </c>
      <c r="F244" s="10">
        <f t="shared" si="12"/>
        <v>210.7</v>
      </c>
      <c r="G244" s="10">
        <f t="shared" si="13"/>
        <v>-10.955</v>
      </c>
      <c r="H244" s="10"/>
      <c r="I244" s="153">
        <f t="shared" si="14"/>
        <v>0.949961200530677</v>
      </c>
      <c r="J244" s="166">
        <v>19.97</v>
      </c>
      <c r="K244" s="166"/>
      <c r="L244" s="166">
        <v>189.75</v>
      </c>
      <c r="M244" s="166">
        <f t="shared" si="15"/>
        <v>17833.94</v>
      </c>
      <c r="N244" s="11"/>
      <c r="O244" s="343" t="s">
        <v>1611</v>
      </c>
    </row>
    <row r="245" spans="1:15">
      <c r="A245" s="163">
        <v>46183</v>
      </c>
      <c r="B245" s="164" t="s">
        <v>124</v>
      </c>
      <c r="C245" s="341">
        <v>0.46</v>
      </c>
      <c r="D245" s="341">
        <v>0.96</v>
      </c>
      <c r="E245" s="165">
        <v>215.56</v>
      </c>
      <c r="F245" s="10">
        <f t="shared" si="12"/>
        <v>215</v>
      </c>
      <c r="G245" s="10">
        <f t="shared" si="13"/>
        <v>0.560000000000031</v>
      </c>
      <c r="H245" s="10"/>
      <c r="I245" s="153">
        <f t="shared" si="14"/>
        <v>0.949944331044721</v>
      </c>
      <c r="J245" s="166">
        <v>21.55</v>
      </c>
      <c r="K245" s="166"/>
      <c r="L245" s="166">
        <v>204.77</v>
      </c>
      <c r="M245" s="166">
        <f t="shared" si="15"/>
        <v>17629.17</v>
      </c>
      <c r="N245" s="11"/>
      <c r="O245" s="343" t="s">
        <v>1611</v>
      </c>
    </row>
    <row r="246" spans="1:15">
      <c r="A246" s="163">
        <v>46183</v>
      </c>
      <c r="B246" s="164" t="s">
        <v>174</v>
      </c>
      <c r="C246" s="341">
        <v>0.45</v>
      </c>
      <c r="D246" s="341">
        <v>0.99</v>
      </c>
      <c r="E246" s="165">
        <v>245.668</v>
      </c>
      <c r="F246" s="10">
        <f t="shared" si="12"/>
        <v>232.2</v>
      </c>
      <c r="G246" s="10">
        <f t="shared" si="13"/>
        <v>13.468</v>
      </c>
      <c r="H246" s="10"/>
      <c r="I246" s="153">
        <f t="shared" si="14"/>
        <v>0.949940570200433</v>
      </c>
      <c r="J246" s="166">
        <v>24.56</v>
      </c>
      <c r="K246" s="166"/>
      <c r="L246" s="166">
        <v>233.37</v>
      </c>
      <c r="M246" s="166">
        <f t="shared" si="15"/>
        <v>17395.8</v>
      </c>
      <c r="N246" s="11"/>
      <c r="O246" s="343" t="s">
        <v>1611</v>
      </c>
    </row>
    <row r="247" spans="1:15">
      <c r="A247" s="163">
        <v>46183</v>
      </c>
      <c r="B247" s="164" t="s">
        <v>57</v>
      </c>
      <c r="C247" s="341">
        <v>0.44</v>
      </c>
      <c r="D247" s="341">
        <v>0.94</v>
      </c>
      <c r="E247" s="165">
        <v>208.515</v>
      </c>
      <c r="F247" s="10">
        <f t="shared" si="12"/>
        <v>215</v>
      </c>
      <c r="G247" s="10">
        <f t="shared" si="13"/>
        <v>-6.48499999999999</v>
      </c>
      <c r="H247" s="10"/>
      <c r="I247" s="153">
        <f t="shared" si="14"/>
        <v>0.949955638683069</v>
      </c>
      <c r="J247" s="166">
        <v>20.85</v>
      </c>
      <c r="K247" s="166"/>
      <c r="L247" s="166">
        <v>198.08</v>
      </c>
      <c r="M247" s="166">
        <f t="shared" si="15"/>
        <v>17197.72</v>
      </c>
      <c r="N247" s="10"/>
      <c r="O247" s="343" t="s">
        <v>1611</v>
      </c>
    </row>
    <row r="248" spans="1:15">
      <c r="A248" s="163">
        <v>46183</v>
      </c>
      <c r="B248" s="164" t="s">
        <v>102</v>
      </c>
      <c r="C248" s="341">
        <v>0.5</v>
      </c>
      <c r="D248" s="341">
        <v>0.97</v>
      </c>
      <c r="E248" s="165">
        <v>225.371</v>
      </c>
      <c r="F248" s="10">
        <f t="shared" si="12"/>
        <v>202.1</v>
      </c>
      <c r="G248" s="10">
        <f t="shared" si="13"/>
        <v>23.271</v>
      </c>
      <c r="H248" s="105"/>
      <c r="I248" s="153">
        <f t="shared" si="14"/>
        <v>0.949944757754991</v>
      </c>
      <c r="J248" s="166">
        <v>22.53</v>
      </c>
      <c r="K248" s="166"/>
      <c r="L248" s="166">
        <v>214.09</v>
      </c>
      <c r="M248" s="166">
        <f t="shared" si="15"/>
        <v>16983.63</v>
      </c>
      <c r="N248" s="105"/>
      <c r="O248" s="150" t="s">
        <v>1611</v>
      </c>
    </row>
    <row r="249" spans="1:15">
      <c r="A249" s="163">
        <v>46183</v>
      </c>
      <c r="B249" s="164" t="s">
        <v>105</v>
      </c>
      <c r="C249" s="341">
        <v>0.6</v>
      </c>
      <c r="D249" s="341">
        <v>0.95</v>
      </c>
      <c r="E249" s="165">
        <v>175.318</v>
      </c>
      <c r="F249" s="10">
        <f t="shared" si="12"/>
        <v>150.5</v>
      </c>
      <c r="G249" s="10">
        <f t="shared" si="13"/>
        <v>24.818</v>
      </c>
      <c r="H249" s="105"/>
      <c r="I249" s="153">
        <f t="shared" si="14"/>
        <v>0.949988021766162</v>
      </c>
      <c r="J249" s="166">
        <v>17.53</v>
      </c>
      <c r="K249" s="166"/>
      <c r="L249" s="166">
        <v>166.55</v>
      </c>
      <c r="M249" s="166">
        <f t="shared" si="15"/>
        <v>16817.08</v>
      </c>
      <c r="N249" s="105"/>
      <c r="O249" s="150" t="s">
        <v>1611</v>
      </c>
    </row>
    <row r="250" spans="1:15">
      <c r="A250" s="163">
        <v>46183</v>
      </c>
      <c r="B250" s="164" t="s">
        <v>66</v>
      </c>
      <c r="C250" s="341">
        <v>0.24</v>
      </c>
      <c r="D250" s="341">
        <v>1</v>
      </c>
      <c r="E250" s="165">
        <v>332.305</v>
      </c>
      <c r="F250" s="10">
        <f t="shared" si="12"/>
        <v>326.8</v>
      </c>
      <c r="G250" s="10">
        <f t="shared" si="13"/>
        <v>5.505</v>
      </c>
      <c r="H250" s="105"/>
      <c r="I250" s="153">
        <f t="shared" si="14"/>
        <v>0.94997065948451</v>
      </c>
      <c r="J250" s="166">
        <v>33.23</v>
      </c>
      <c r="K250" s="166"/>
      <c r="L250" s="166">
        <v>315.68</v>
      </c>
      <c r="M250" s="166">
        <f t="shared" si="15"/>
        <v>16501.4</v>
      </c>
      <c r="N250" s="105"/>
      <c r="O250" s="150" t="s">
        <v>1611</v>
      </c>
    </row>
    <row r="251" spans="1:15">
      <c r="A251" s="163">
        <v>46183</v>
      </c>
      <c r="B251" s="164" t="s">
        <v>135</v>
      </c>
      <c r="C251" s="341">
        <v>0.48</v>
      </c>
      <c r="D251" s="341">
        <v>0.95</v>
      </c>
      <c r="E251" s="165">
        <v>209.96</v>
      </c>
      <c r="F251" s="10">
        <f t="shared" si="12"/>
        <v>202.1</v>
      </c>
      <c r="G251" s="10">
        <f t="shared" si="13"/>
        <v>7.86000000000001</v>
      </c>
      <c r="H251" s="105"/>
      <c r="I251" s="153">
        <f t="shared" si="14"/>
        <v>0.94994284625643</v>
      </c>
      <c r="J251" s="166">
        <v>20.99</v>
      </c>
      <c r="K251" s="166"/>
      <c r="L251" s="166">
        <v>199.45</v>
      </c>
      <c r="M251" s="166">
        <f t="shared" si="15"/>
        <v>16301.95</v>
      </c>
      <c r="N251" s="105"/>
      <c r="O251" s="150" t="s">
        <v>1611</v>
      </c>
    </row>
    <row r="252" spans="1:15">
      <c r="A252" s="163">
        <v>46183</v>
      </c>
      <c r="B252" s="164" t="s">
        <v>99</v>
      </c>
      <c r="C252" s="341">
        <v>0.36</v>
      </c>
      <c r="D252" s="341">
        <v>0.91</v>
      </c>
      <c r="E252" s="165">
        <v>255.612</v>
      </c>
      <c r="F252" s="10">
        <f t="shared" si="12"/>
        <v>236.5</v>
      </c>
      <c r="G252" s="10">
        <f t="shared" si="13"/>
        <v>19.112</v>
      </c>
      <c r="H252" s="105"/>
      <c r="I252" s="153">
        <f t="shared" si="14"/>
        <v>0.949994522948844</v>
      </c>
      <c r="J252" s="166">
        <v>25.56</v>
      </c>
      <c r="K252" s="166"/>
      <c r="L252" s="166">
        <v>242.83</v>
      </c>
      <c r="M252" s="166">
        <f t="shared" si="15"/>
        <v>16059.12</v>
      </c>
      <c r="N252" s="105"/>
      <c r="O252" s="150" t="s">
        <v>1611</v>
      </c>
    </row>
    <row r="253" spans="1:15">
      <c r="A253" s="163">
        <v>46183</v>
      </c>
      <c r="B253" s="164" t="s">
        <v>130</v>
      </c>
      <c r="C253" s="341">
        <v>0.52</v>
      </c>
      <c r="D253" s="341">
        <v>0.96</v>
      </c>
      <c r="E253" s="165">
        <v>187.705</v>
      </c>
      <c r="F253" s="10">
        <f t="shared" si="12"/>
        <v>189.2</v>
      </c>
      <c r="G253" s="10">
        <f t="shared" si="13"/>
        <v>-1.49499999999998</v>
      </c>
      <c r="H253" s="105"/>
      <c r="I253" s="153">
        <f t="shared" si="14"/>
        <v>0.949948056791242</v>
      </c>
      <c r="J253" s="166">
        <v>18.77</v>
      </c>
      <c r="K253" s="166"/>
      <c r="L253" s="166">
        <v>178.31</v>
      </c>
      <c r="M253" s="166">
        <f t="shared" si="15"/>
        <v>15880.81</v>
      </c>
      <c r="N253" s="105"/>
      <c r="O253" s="150" t="s">
        <v>1611</v>
      </c>
    </row>
    <row r="254" spans="1:15">
      <c r="A254" s="163">
        <v>46183</v>
      </c>
      <c r="B254" s="164" t="s">
        <v>138</v>
      </c>
      <c r="C254" s="341">
        <v>0.55</v>
      </c>
      <c r="D254" s="341">
        <v>0.96</v>
      </c>
      <c r="E254" s="165">
        <v>190.517</v>
      </c>
      <c r="F254" s="10">
        <f t="shared" si="12"/>
        <v>176.3</v>
      </c>
      <c r="G254" s="10">
        <f t="shared" si="13"/>
        <v>14.217</v>
      </c>
      <c r="H254" s="105"/>
      <c r="I254" s="153">
        <f t="shared" si="14"/>
        <v>0.949941475038973</v>
      </c>
      <c r="J254" s="166">
        <v>19.05</v>
      </c>
      <c r="K254" s="166"/>
      <c r="L254" s="166">
        <v>180.98</v>
      </c>
      <c r="M254" s="166">
        <f t="shared" si="15"/>
        <v>15699.83</v>
      </c>
      <c r="N254" s="105"/>
      <c r="O254" s="150" t="s">
        <v>1611</v>
      </c>
    </row>
    <row r="255" spans="1:15">
      <c r="A255" s="163">
        <v>46183</v>
      </c>
      <c r="B255" s="164" t="s">
        <v>138</v>
      </c>
      <c r="C255" s="341">
        <v>0.96</v>
      </c>
      <c r="D255" s="341">
        <v>0.96</v>
      </c>
      <c r="E255" s="165">
        <v>1.864</v>
      </c>
      <c r="F255" s="10">
        <f t="shared" si="12"/>
        <v>0</v>
      </c>
      <c r="G255" s="10">
        <f t="shared" si="13"/>
        <v>1.864</v>
      </c>
      <c r="H255" s="105"/>
      <c r="I255" s="153">
        <f t="shared" si="14"/>
        <v>0.944206008583691</v>
      </c>
      <c r="J255" s="166">
        <v>0.18</v>
      </c>
      <c r="K255" s="166"/>
      <c r="L255" s="166">
        <v>1.76</v>
      </c>
      <c r="M255" s="166">
        <f t="shared" si="15"/>
        <v>15698.07</v>
      </c>
      <c r="N255" s="105"/>
      <c r="O255" s="150" t="s">
        <v>1611</v>
      </c>
    </row>
    <row r="256" spans="1:15">
      <c r="A256" s="163">
        <v>46183</v>
      </c>
      <c r="B256" s="164" t="s">
        <v>114</v>
      </c>
      <c r="C256" s="341">
        <v>0.23</v>
      </c>
      <c r="D256" s="341">
        <v>0.8</v>
      </c>
      <c r="E256" s="165">
        <v>232.91</v>
      </c>
      <c r="F256" s="10">
        <f t="shared" si="12"/>
        <v>245.1</v>
      </c>
      <c r="G256" s="10">
        <f t="shared" si="13"/>
        <v>-12.19</v>
      </c>
      <c r="H256" s="105"/>
      <c r="I256" s="153">
        <f t="shared" si="14"/>
        <v>0.949980679232321</v>
      </c>
      <c r="J256" s="166">
        <v>23.29</v>
      </c>
      <c r="K256" s="166"/>
      <c r="L256" s="166">
        <v>221.26</v>
      </c>
      <c r="M256" s="166">
        <f t="shared" si="15"/>
        <v>15476.81</v>
      </c>
      <c r="N256" s="105"/>
      <c r="O256" s="150" t="s">
        <v>1611</v>
      </c>
    </row>
    <row r="257" spans="1:15">
      <c r="A257" s="163">
        <v>46183</v>
      </c>
      <c r="B257" s="164" t="s">
        <v>63</v>
      </c>
      <c r="C257" s="341">
        <v>0.49</v>
      </c>
      <c r="D257" s="341">
        <v>0.96</v>
      </c>
      <c r="E257" s="165">
        <v>232.108</v>
      </c>
      <c r="F257" s="10">
        <f t="shared" si="12"/>
        <v>202.1</v>
      </c>
      <c r="G257" s="10">
        <f t="shared" si="13"/>
        <v>30.008</v>
      </c>
      <c r="H257" s="105"/>
      <c r="I257" s="153">
        <f t="shared" si="14"/>
        <v>0.946843710686405</v>
      </c>
      <c r="J257" s="166">
        <v>23.2</v>
      </c>
      <c r="K257" s="166"/>
      <c r="L257" s="166">
        <v>219.77</v>
      </c>
      <c r="M257" s="166">
        <f t="shared" si="15"/>
        <v>15257.04</v>
      </c>
      <c r="N257" s="105"/>
      <c r="O257" s="150" t="s">
        <v>1611</v>
      </c>
    </row>
    <row r="258" spans="1:15">
      <c r="A258" s="163">
        <v>46183</v>
      </c>
      <c r="B258" s="164" t="s">
        <v>78</v>
      </c>
      <c r="C258" s="341">
        <v>0.27</v>
      </c>
      <c r="D258" s="341">
        <v>0.86</v>
      </c>
      <c r="E258" s="165">
        <v>278.787</v>
      </c>
      <c r="F258" s="10">
        <f t="shared" si="12"/>
        <v>253.7</v>
      </c>
      <c r="G258" s="10">
        <f t="shared" si="13"/>
        <v>25.087</v>
      </c>
      <c r="H258" s="105"/>
      <c r="I258" s="153">
        <f t="shared" si="14"/>
        <v>0.926298572028108</v>
      </c>
      <c r="J258" s="166">
        <v>27.87</v>
      </c>
      <c r="K258" s="166"/>
      <c r="L258" s="166">
        <v>258.24</v>
      </c>
      <c r="M258" s="166">
        <f t="shared" si="15"/>
        <v>14998.8</v>
      </c>
      <c r="N258" s="105"/>
      <c r="O258" s="150" t="s">
        <v>1611</v>
      </c>
    </row>
    <row r="259" spans="1:15">
      <c r="A259" s="156">
        <v>46184</v>
      </c>
      <c r="B259" s="168" t="s">
        <v>51</v>
      </c>
      <c r="C259" s="341">
        <v>0.52</v>
      </c>
      <c r="D259" s="341">
        <v>0.96</v>
      </c>
      <c r="E259" s="159">
        <v>187.907</v>
      </c>
      <c r="F259" s="10">
        <v>189.2</v>
      </c>
      <c r="G259" s="10">
        <v>-1.29299999999998</v>
      </c>
      <c r="H259" s="105"/>
      <c r="I259" s="153">
        <f t="shared" ref="I259:I322" si="16">L259/E259</f>
        <v>0.669959075500114</v>
      </c>
      <c r="J259" s="162">
        <v>18.79</v>
      </c>
      <c r="K259" s="166"/>
      <c r="L259" s="162">
        <v>125.89</v>
      </c>
      <c r="M259" s="166">
        <f t="shared" ref="M259:M322" si="17">M258+K259-L259</f>
        <v>14872.91</v>
      </c>
      <c r="N259" s="105"/>
      <c r="O259" s="150" t="s">
        <v>1611</v>
      </c>
    </row>
    <row r="260" spans="1:15">
      <c r="A260" s="163">
        <v>46184</v>
      </c>
      <c r="B260" s="164" t="s">
        <v>151</v>
      </c>
      <c r="C260" s="341">
        <v>0.55</v>
      </c>
      <c r="D260" s="341">
        <v>0.9</v>
      </c>
      <c r="E260" s="165">
        <v>158.502</v>
      </c>
      <c r="F260" s="10">
        <v>150.5</v>
      </c>
      <c r="G260" s="10">
        <v>8.00200000000001</v>
      </c>
      <c r="H260" s="105"/>
      <c r="I260" s="153">
        <f t="shared" si="16"/>
        <v>0.858664243984303</v>
      </c>
      <c r="J260" s="166">
        <v>15.84</v>
      </c>
      <c r="K260" s="166"/>
      <c r="L260" s="166">
        <v>136.1</v>
      </c>
      <c r="M260" s="166">
        <f t="shared" si="17"/>
        <v>14736.81</v>
      </c>
      <c r="N260" s="105"/>
      <c r="O260" s="150" t="s">
        <v>1611</v>
      </c>
    </row>
    <row r="261" spans="1:15">
      <c r="A261" s="163">
        <v>46184</v>
      </c>
      <c r="B261" s="164" t="s">
        <v>87</v>
      </c>
      <c r="C261" s="341">
        <v>0.18</v>
      </c>
      <c r="D261" s="341">
        <v>0.96</v>
      </c>
      <c r="E261" s="165">
        <v>374.96</v>
      </c>
      <c r="F261" s="10">
        <v>335.4</v>
      </c>
      <c r="G261" s="10">
        <v>39.5599999999999</v>
      </c>
      <c r="H261" s="105"/>
      <c r="I261" s="153">
        <f t="shared" si="16"/>
        <v>0.949967996586303</v>
      </c>
      <c r="J261" s="166">
        <v>37.49</v>
      </c>
      <c r="K261" s="166"/>
      <c r="L261" s="166">
        <v>356.2</v>
      </c>
      <c r="M261" s="166">
        <f t="shared" si="17"/>
        <v>14380.61</v>
      </c>
      <c r="N261" s="105"/>
      <c r="O261" s="150" t="s">
        <v>1611</v>
      </c>
    </row>
    <row r="262" spans="1:15">
      <c r="A262" s="163">
        <v>46184</v>
      </c>
      <c r="B262" s="164" t="s">
        <v>102</v>
      </c>
      <c r="C262" s="341">
        <v>0.25</v>
      </c>
      <c r="D262" s="341">
        <v>0.91</v>
      </c>
      <c r="E262" s="165">
        <v>304.026</v>
      </c>
      <c r="F262" s="10">
        <v>283.8</v>
      </c>
      <c r="G262" s="10">
        <v>20.226</v>
      </c>
      <c r="H262" s="105"/>
      <c r="I262" s="153">
        <f t="shared" si="16"/>
        <v>0.819962766342352</v>
      </c>
      <c r="J262" s="166">
        <v>30.4</v>
      </c>
      <c r="K262" s="166"/>
      <c r="L262" s="166">
        <v>249.29</v>
      </c>
      <c r="M262" s="166">
        <f t="shared" si="17"/>
        <v>14131.32</v>
      </c>
      <c r="N262" s="105"/>
      <c r="O262" s="150" t="s">
        <v>1611</v>
      </c>
    </row>
    <row r="263" spans="1:15">
      <c r="A263" s="163">
        <v>46184</v>
      </c>
      <c r="B263" s="164" t="s">
        <v>108</v>
      </c>
      <c r="C263" s="341">
        <v>0.56</v>
      </c>
      <c r="D263" s="341">
        <v>0.9</v>
      </c>
      <c r="E263" s="165">
        <v>163.161</v>
      </c>
      <c r="F263" s="10">
        <v>146.2</v>
      </c>
      <c r="G263" s="10">
        <v>16.961</v>
      </c>
      <c r="H263" s="105"/>
      <c r="I263" s="153">
        <f t="shared" si="16"/>
        <v>0.853328920514093</v>
      </c>
      <c r="J263" s="166">
        <v>16.31</v>
      </c>
      <c r="K263" s="166"/>
      <c r="L263" s="166">
        <v>139.23</v>
      </c>
      <c r="M263" s="166">
        <f t="shared" si="17"/>
        <v>13992.09</v>
      </c>
      <c r="N263" s="105"/>
      <c r="O263" s="150" t="s">
        <v>1611</v>
      </c>
    </row>
    <row r="264" spans="1:15">
      <c r="A264" s="163">
        <v>46184</v>
      </c>
      <c r="B264" s="164" t="s">
        <v>141</v>
      </c>
      <c r="C264" s="341">
        <v>0.39</v>
      </c>
      <c r="D264" s="341">
        <v>0.95</v>
      </c>
      <c r="E264" s="165">
        <v>253.392</v>
      </c>
      <c r="F264" s="10">
        <v>240.8</v>
      </c>
      <c r="G264" s="10">
        <v>12.592</v>
      </c>
      <c r="H264" s="105"/>
      <c r="I264" s="153">
        <f t="shared" si="16"/>
        <v>0.881835259203132</v>
      </c>
      <c r="J264" s="166">
        <v>25.33</v>
      </c>
      <c r="K264" s="166"/>
      <c r="L264" s="166">
        <v>223.45</v>
      </c>
      <c r="M264" s="166">
        <f t="shared" si="17"/>
        <v>13768.64</v>
      </c>
      <c r="N264" s="105"/>
      <c r="O264" s="150" t="s">
        <v>1611</v>
      </c>
    </row>
    <row r="265" spans="1:15">
      <c r="A265" s="163">
        <v>46184</v>
      </c>
      <c r="B265" s="164" t="s">
        <v>144</v>
      </c>
      <c r="C265" s="341">
        <v>0.39</v>
      </c>
      <c r="D265" s="341">
        <v>0.95</v>
      </c>
      <c r="E265" s="165">
        <v>248.613</v>
      </c>
      <c r="F265" s="10">
        <v>240.8</v>
      </c>
      <c r="G265" s="10">
        <v>7.81300000000002</v>
      </c>
      <c r="H265" s="105"/>
      <c r="I265" s="153">
        <f t="shared" si="16"/>
        <v>0.893396564137837</v>
      </c>
      <c r="J265" s="166">
        <v>24.85</v>
      </c>
      <c r="K265" s="166"/>
      <c r="L265" s="166">
        <v>222.11</v>
      </c>
      <c r="M265" s="166">
        <f t="shared" si="17"/>
        <v>13546.53</v>
      </c>
      <c r="N265" s="105"/>
      <c r="O265" s="150" t="s">
        <v>1611</v>
      </c>
    </row>
    <row r="266" spans="1:15">
      <c r="A266" s="163">
        <v>46184</v>
      </c>
      <c r="B266" s="164" t="s">
        <v>132</v>
      </c>
      <c r="C266" s="341">
        <v>0.46</v>
      </c>
      <c r="D266" s="341">
        <v>0.86</v>
      </c>
      <c r="E266" s="165">
        <v>177.426</v>
      </c>
      <c r="F266" s="10">
        <v>172</v>
      </c>
      <c r="G266" s="10">
        <v>5.42600000000002</v>
      </c>
      <c r="H266" s="105"/>
      <c r="I266" s="153">
        <f t="shared" si="16"/>
        <v>0.949973510083077</v>
      </c>
      <c r="J266" s="166">
        <v>17.74</v>
      </c>
      <c r="K266" s="166"/>
      <c r="L266" s="166">
        <v>168.55</v>
      </c>
      <c r="M266" s="166">
        <f t="shared" si="17"/>
        <v>13377.98</v>
      </c>
      <c r="N266" s="105"/>
      <c r="O266" s="150" t="s">
        <v>1611</v>
      </c>
    </row>
    <row r="267" spans="1:15">
      <c r="A267" s="163">
        <v>46184</v>
      </c>
      <c r="B267" s="164" t="s">
        <v>69</v>
      </c>
      <c r="C267" s="341">
        <v>0.39</v>
      </c>
      <c r="D267" s="341">
        <v>0.91</v>
      </c>
      <c r="E267" s="165">
        <v>241.061</v>
      </c>
      <c r="F267" s="10">
        <v>223.6</v>
      </c>
      <c r="G267" s="10">
        <v>17.461</v>
      </c>
      <c r="H267" s="105"/>
      <c r="I267" s="153">
        <f t="shared" si="16"/>
        <v>0.949967020795566</v>
      </c>
      <c r="J267" s="166">
        <v>24.1</v>
      </c>
      <c r="K267" s="166"/>
      <c r="L267" s="166">
        <v>229</v>
      </c>
      <c r="M267" s="166">
        <f t="shared" si="17"/>
        <v>13148.98</v>
      </c>
      <c r="N267" s="105"/>
      <c r="O267" s="150" t="s">
        <v>1611</v>
      </c>
    </row>
    <row r="268" spans="1:15">
      <c r="A268" s="163">
        <v>46184</v>
      </c>
      <c r="B268" s="164" t="s">
        <v>57</v>
      </c>
      <c r="C268" s="341">
        <v>0.32</v>
      </c>
      <c r="D268" s="341">
        <v>0.92</v>
      </c>
      <c r="E268" s="165">
        <v>246.296</v>
      </c>
      <c r="F268" s="10">
        <v>258</v>
      </c>
      <c r="G268" s="10">
        <v>-11.7040000000001</v>
      </c>
      <c r="H268" s="105"/>
      <c r="I268" s="153">
        <f t="shared" si="16"/>
        <v>0.949954526261084</v>
      </c>
      <c r="J268" s="166">
        <v>24.62</v>
      </c>
      <c r="K268" s="166"/>
      <c r="L268" s="166">
        <v>233.97</v>
      </c>
      <c r="M268" s="166">
        <f t="shared" si="17"/>
        <v>12915.01</v>
      </c>
      <c r="N268" s="105"/>
      <c r="O268" s="150" t="s">
        <v>1611</v>
      </c>
    </row>
    <row r="269" spans="1:15">
      <c r="A269" s="163">
        <v>46184</v>
      </c>
      <c r="B269" s="164" t="s">
        <v>60</v>
      </c>
      <c r="C269" s="341">
        <v>0.62</v>
      </c>
      <c r="D269" s="341">
        <v>0.99</v>
      </c>
      <c r="E269" s="165">
        <v>157.35</v>
      </c>
      <c r="F269" s="10">
        <v>159.1</v>
      </c>
      <c r="G269" s="10">
        <v>-1.75</v>
      </c>
      <c r="H269" s="105"/>
      <c r="I269" s="153">
        <f t="shared" si="16"/>
        <v>0.94992055926279</v>
      </c>
      <c r="J269" s="166">
        <v>15.73</v>
      </c>
      <c r="K269" s="166"/>
      <c r="L269" s="166">
        <v>149.47</v>
      </c>
      <c r="M269" s="166">
        <f t="shared" si="17"/>
        <v>12765.54</v>
      </c>
      <c r="N269" s="105"/>
      <c r="O269" s="150" t="s">
        <v>1611</v>
      </c>
    </row>
    <row r="270" spans="1:15">
      <c r="A270" s="163">
        <v>46184</v>
      </c>
      <c r="B270" s="164" t="s">
        <v>172</v>
      </c>
      <c r="C270" s="341">
        <v>0.57</v>
      </c>
      <c r="D270" s="341">
        <v>0.99</v>
      </c>
      <c r="E270" s="165">
        <v>181.397</v>
      </c>
      <c r="F270" s="10">
        <v>180.6</v>
      </c>
      <c r="G270" s="10">
        <v>0.796999999999969</v>
      </c>
      <c r="H270" s="105"/>
      <c r="I270" s="153">
        <f t="shared" si="16"/>
        <v>0.949905455988798</v>
      </c>
      <c r="J270" s="166">
        <v>18.13</v>
      </c>
      <c r="K270" s="166"/>
      <c r="L270" s="166">
        <v>172.31</v>
      </c>
      <c r="M270" s="166">
        <f t="shared" si="17"/>
        <v>12593.23</v>
      </c>
      <c r="N270" s="105"/>
      <c r="O270" s="150" t="s">
        <v>1611</v>
      </c>
    </row>
    <row r="271" spans="1:15">
      <c r="A271" s="163">
        <v>46184</v>
      </c>
      <c r="B271" s="164" t="s">
        <v>72</v>
      </c>
      <c r="C271" s="341">
        <v>0.61</v>
      </c>
      <c r="D271" s="341">
        <v>0.94</v>
      </c>
      <c r="E271" s="165">
        <v>156.715</v>
      </c>
      <c r="F271" s="10">
        <v>141.9</v>
      </c>
      <c r="G271" s="10">
        <v>14.815</v>
      </c>
      <c r="H271" s="105"/>
      <c r="I271" s="153">
        <f t="shared" si="16"/>
        <v>0.949940975656446</v>
      </c>
      <c r="J271" s="166">
        <v>15.67</v>
      </c>
      <c r="K271" s="166"/>
      <c r="L271" s="166">
        <v>148.87</v>
      </c>
      <c r="M271" s="166">
        <f t="shared" si="17"/>
        <v>12444.36</v>
      </c>
      <c r="N271" s="105"/>
      <c r="O271" s="150" t="s">
        <v>1611</v>
      </c>
    </row>
    <row r="272" spans="1:15">
      <c r="A272" s="163">
        <v>46184</v>
      </c>
      <c r="B272" s="164" t="s">
        <v>166</v>
      </c>
      <c r="C272" s="341">
        <v>0.47</v>
      </c>
      <c r="D272" s="341">
        <v>0.92</v>
      </c>
      <c r="E272" s="165">
        <v>199.939</v>
      </c>
      <c r="F272" s="10">
        <v>193.5</v>
      </c>
      <c r="G272" s="10">
        <v>6.43899999999996</v>
      </c>
      <c r="H272" s="105"/>
      <c r="I272" s="153">
        <f t="shared" si="16"/>
        <v>0.949939731618144</v>
      </c>
      <c r="J272" s="166">
        <v>19.99</v>
      </c>
      <c r="K272" s="166"/>
      <c r="L272" s="166">
        <v>189.93</v>
      </c>
      <c r="M272" s="166">
        <f t="shared" si="17"/>
        <v>12254.43</v>
      </c>
      <c r="N272" s="105"/>
      <c r="O272" s="150" t="s">
        <v>1611</v>
      </c>
    </row>
    <row r="273" spans="1:15">
      <c r="A273" s="163">
        <v>46184</v>
      </c>
      <c r="B273" s="164" t="s">
        <v>111</v>
      </c>
      <c r="C273" s="341">
        <v>0.33</v>
      </c>
      <c r="D273" s="341">
        <v>0.92</v>
      </c>
      <c r="E273" s="165">
        <v>242.136</v>
      </c>
      <c r="F273" s="10">
        <v>253.7</v>
      </c>
      <c r="G273" s="10">
        <v>-11.564</v>
      </c>
      <c r="H273" s="105"/>
      <c r="I273" s="153">
        <f t="shared" si="16"/>
        <v>0.949962004823735</v>
      </c>
      <c r="J273" s="166">
        <v>24.21</v>
      </c>
      <c r="K273" s="166"/>
      <c r="L273" s="166">
        <v>230.02</v>
      </c>
      <c r="M273" s="166">
        <f t="shared" si="17"/>
        <v>12024.41</v>
      </c>
      <c r="N273" s="105"/>
      <c r="O273" s="150" t="s">
        <v>1611</v>
      </c>
    </row>
    <row r="274" spans="1:15">
      <c r="A274" s="163">
        <v>46184</v>
      </c>
      <c r="B274" s="164" t="s">
        <v>180</v>
      </c>
      <c r="C274" s="341">
        <v>0.21</v>
      </c>
      <c r="D274" s="341">
        <v>0.97</v>
      </c>
      <c r="E274" s="165">
        <v>341.196</v>
      </c>
      <c r="F274" s="10">
        <v>326.8</v>
      </c>
      <c r="G274" s="10">
        <v>14.396</v>
      </c>
      <c r="H274" s="105"/>
      <c r="I274" s="153">
        <f t="shared" si="16"/>
        <v>0.949952519959202</v>
      </c>
      <c r="J274" s="166">
        <v>34.11</v>
      </c>
      <c r="K274" s="166"/>
      <c r="L274" s="166">
        <v>324.12</v>
      </c>
      <c r="M274" s="166">
        <f t="shared" si="17"/>
        <v>11700.29</v>
      </c>
      <c r="N274" s="105"/>
      <c r="O274" s="150" t="s">
        <v>1611</v>
      </c>
    </row>
    <row r="275" spans="1:15">
      <c r="A275" s="163">
        <v>46184</v>
      </c>
      <c r="B275" s="164" t="s">
        <v>177</v>
      </c>
      <c r="C275" s="341">
        <v>0.48</v>
      </c>
      <c r="D275" s="341">
        <v>0.91</v>
      </c>
      <c r="E275" s="165">
        <v>194.958</v>
      </c>
      <c r="F275" s="10">
        <v>184.9</v>
      </c>
      <c r="G275" s="10">
        <v>10.058</v>
      </c>
      <c r="H275" s="105"/>
      <c r="I275" s="153">
        <f t="shared" si="16"/>
        <v>0.949948193969983</v>
      </c>
      <c r="J275" s="166">
        <v>19.49</v>
      </c>
      <c r="K275" s="166"/>
      <c r="L275" s="166">
        <v>185.2</v>
      </c>
      <c r="M275" s="166">
        <f t="shared" si="17"/>
        <v>11515.09</v>
      </c>
      <c r="N275" s="105"/>
      <c r="O275" s="150" t="s">
        <v>1611</v>
      </c>
    </row>
    <row r="276" spans="1:15">
      <c r="A276" s="163">
        <v>46184</v>
      </c>
      <c r="B276" s="164" t="s">
        <v>93</v>
      </c>
      <c r="C276" s="341">
        <v>0.58</v>
      </c>
      <c r="D276" s="341">
        <v>0.95</v>
      </c>
      <c r="E276" s="165">
        <v>178.227</v>
      </c>
      <c r="F276" s="10">
        <v>159.1</v>
      </c>
      <c r="G276" s="10">
        <v>19.127</v>
      </c>
      <c r="H276" s="105"/>
      <c r="I276" s="153">
        <f t="shared" si="16"/>
        <v>0.949968298854831</v>
      </c>
      <c r="J276" s="166">
        <v>17.82</v>
      </c>
      <c r="K276" s="166"/>
      <c r="L276" s="166">
        <v>169.31</v>
      </c>
      <c r="M276" s="166">
        <f t="shared" si="17"/>
        <v>11345.78</v>
      </c>
      <c r="N276" s="105"/>
      <c r="O276" s="150" t="s">
        <v>1611</v>
      </c>
    </row>
    <row r="277" spans="1:15">
      <c r="A277" s="163">
        <v>46184</v>
      </c>
      <c r="B277" s="164" t="s">
        <v>127</v>
      </c>
      <c r="C277" s="341">
        <v>0.5</v>
      </c>
      <c r="D277" s="341">
        <v>0.95</v>
      </c>
      <c r="E277" s="165">
        <v>192.91</v>
      </c>
      <c r="F277" s="10">
        <v>193.5</v>
      </c>
      <c r="G277" s="10">
        <v>-0.589999999999975</v>
      </c>
      <c r="H277" s="105"/>
      <c r="I277" s="153">
        <f t="shared" si="16"/>
        <v>0.949976673059976</v>
      </c>
      <c r="J277" s="166">
        <v>19.29</v>
      </c>
      <c r="K277" s="166"/>
      <c r="L277" s="166">
        <v>183.26</v>
      </c>
      <c r="M277" s="166">
        <f t="shared" si="17"/>
        <v>11162.52</v>
      </c>
      <c r="N277" s="105"/>
      <c r="O277" s="150" t="s">
        <v>1611</v>
      </c>
    </row>
    <row r="278" spans="1:15">
      <c r="A278" s="163">
        <v>46184</v>
      </c>
      <c r="B278" s="164" t="s">
        <v>117</v>
      </c>
      <c r="C278" s="341">
        <v>0.44</v>
      </c>
      <c r="D278" s="341">
        <v>0.95</v>
      </c>
      <c r="E278" s="165">
        <v>216.783</v>
      </c>
      <c r="F278" s="10">
        <v>219.3</v>
      </c>
      <c r="G278" s="10">
        <v>-2.51700000000002</v>
      </c>
      <c r="H278" s="105"/>
      <c r="I278" s="153">
        <f t="shared" si="16"/>
        <v>0.949936111226434</v>
      </c>
      <c r="J278" s="166">
        <v>21.67</v>
      </c>
      <c r="K278" s="166"/>
      <c r="L278" s="166">
        <v>205.93</v>
      </c>
      <c r="M278" s="166">
        <f t="shared" si="17"/>
        <v>10956.59</v>
      </c>
      <c r="N278" s="105"/>
      <c r="O278" s="150" t="s">
        <v>1611</v>
      </c>
    </row>
    <row r="279" spans="1:15">
      <c r="A279" s="163">
        <v>46184</v>
      </c>
      <c r="B279" s="164" t="s">
        <v>338</v>
      </c>
      <c r="C279" s="341">
        <v>0.5</v>
      </c>
      <c r="D279" s="341">
        <v>0.89</v>
      </c>
      <c r="E279" s="165">
        <v>176.027</v>
      </c>
      <c r="F279" s="10">
        <v>167.7</v>
      </c>
      <c r="G279" s="10">
        <v>8.32699999999997</v>
      </c>
      <c r="H279" s="105"/>
      <c r="I279" s="153">
        <f t="shared" si="16"/>
        <v>0.949967902651298</v>
      </c>
      <c r="J279" s="166">
        <v>17.6</v>
      </c>
      <c r="K279" s="166"/>
      <c r="L279" s="166">
        <v>167.22</v>
      </c>
      <c r="M279" s="166">
        <f t="shared" si="17"/>
        <v>10789.37</v>
      </c>
      <c r="N279" s="105"/>
      <c r="O279" s="150" t="s">
        <v>1611</v>
      </c>
    </row>
    <row r="280" spans="1:15">
      <c r="A280" s="163">
        <v>46184</v>
      </c>
      <c r="B280" s="164" t="s">
        <v>96</v>
      </c>
      <c r="C280" s="341">
        <v>0.23</v>
      </c>
      <c r="D280" s="341">
        <v>0.94</v>
      </c>
      <c r="E280" s="165">
        <v>330.43</v>
      </c>
      <c r="F280" s="10">
        <v>305.3</v>
      </c>
      <c r="G280" s="10">
        <v>25.13</v>
      </c>
      <c r="H280" s="105"/>
      <c r="I280" s="153">
        <f t="shared" si="16"/>
        <v>0.949974275943468</v>
      </c>
      <c r="J280" s="166">
        <v>33.04</v>
      </c>
      <c r="K280" s="166"/>
      <c r="L280" s="166">
        <v>313.9</v>
      </c>
      <c r="M280" s="166">
        <f t="shared" si="17"/>
        <v>10475.47</v>
      </c>
      <c r="N280" s="105"/>
      <c r="O280" s="150" t="s">
        <v>1611</v>
      </c>
    </row>
    <row r="281" spans="1:15">
      <c r="A281" s="163">
        <v>46184</v>
      </c>
      <c r="B281" s="164" t="s">
        <v>160</v>
      </c>
      <c r="C281" s="341">
        <v>0.23</v>
      </c>
      <c r="D281" s="341">
        <v>0.89</v>
      </c>
      <c r="E281" s="165">
        <v>293.113</v>
      </c>
      <c r="F281" s="10">
        <v>283.8</v>
      </c>
      <c r="G281" s="10">
        <v>9.31299999999999</v>
      </c>
      <c r="H281" s="105"/>
      <c r="I281" s="153">
        <f t="shared" si="16"/>
        <v>0.949974924346583</v>
      </c>
      <c r="J281" s="166">
        <v>29.31</v>
      </c>
      <c r="K281" s="166"/>
      <c r="L281" s="166">
        <v>278.45</v>
      </c>
      <c r="M281" s="166">
        <f t="shared" si="17"/>
        <v>10197.02</v>
      </c>
      <c r="N281" s="105"/>
      <c r="O281" s="150" t="s">
        <v>1611</v>
      </c>
    </row>
    <row r="282" spans="1:15">
      <c r="A282" s="163">
        <v>46184</v>
      </c>
      <c r="B282" s="164" t="s">
        <v>84</v>
      </c>
      <c r="C282" s="341">
        <v>0.54</v>
      </c>
      <c r="D282" s="341">
        <v>0.96</v>
      </c>
      <c r="E282" s="165">
        <v>209.462</v>
      </c>
      <c r="F282" s="10">
        <v>180.6</v>
      </c>
      <c r="G282" s="10">
        <v>28.862</v>
      </c>
      <c r="H282" s="105"/>
      <c r="I282" s="153">
        <f t="shared" si="16"/>
        <v>0.94995751019278</v>
      </c>
      <c r="J282" s="166">
        <v>20.94</v>
      </c>
      <c r="K282" s="166"/>
      <c r="L282" s="166">
        <v>198.98</v>
      </c>
      <c r="M282" s="166">
        <f t="shared" si="17"/>
        <v>9998.04</v>
      </c>
      <c r="N282" s="105"/>
      <c r="O282" s="150" t="s">
        <v>1611</v>
      </c>
    </row>
    <row r="283" spans="1:15">
      <c r="A283" s="163">
        <v>46184</v>
      </c>
      <c r="B283" s="164" t="s">
        <v>54</v>
      </c>
      <c r="C283" s="341">
        <v>0.46</v>
      </c>
      <c r="D283" s="341">
        <v>0.95</v>
      </c>
      <c r="E283" s="165">
        <v>206.131</v>
      </c>
      <c r="F283" s="10">
        <v>210.7</v>
      </c>
      <c r="G283" s="10">
        <v>-4.56899999999996</v>
      </c>
      <c r="H283" s="105"/>
      <c r="I283" s="153">
        <f t="shared" si="16"/>
        <v>0.935084970237373</v>
      </c>
      <c r="J283" s="166">
        <v>20.61</v>
      </c>
      <c r="K283" s="166"/>
      <c r="L283" s="166">
        <v>192.75</v>
      </c>
      <c r="M283" s="166">
        <f t="shared" si="17"/>
        <v>9805.29</v>
      </c>
      <c r="N283" s="105"/>
      <c r="O283" s="150" t="s">
        <v>1611</v>
      </c>
    </row>
    <row r="284" spans="1:15">
      <c r="A284" s="163">
        <v>46184</v>
      </c>
      <c r="B284" s="164" t="s">
        <v>154</v>
      </c>
      <c r="C284" s="341">
        <v>0.13</v>
      </c>
      <c r="D284" s="341">
        <v>0.88</v>
      </c>
      <c r="E284" s="165">
        <v>334.748</v>
      </c>
      <c r="F284" s="10">
        <v>322.5</v>
      </c>
      <c r="G284" s="10">
        <v>12.248</v>
      </c>
      <c r="H284" s="105"/>
      <c r="I284" s="153">
        <f t="shared" si="16"/>
        <v>0.881558665025631</v>
      </c>
      <c r="J284" s="166">
        <v>33.47</v>
      </c>
      <c r="K284" s="166"/>
      <c r="L284" s="166">
        <v>295.1</v>
      </c>
      <c r="M284" s="166">
        <f t="shared" si="17"/>
        <v>9510.19</v>
      </c>
      <c r="N284" s="105"/>
      <c r="O284" s="150" t="s">
        <v>1611</v>
      </c>
    </row>
    <row r="285" spans="1:15">
      <c r="A285" s="156">
        <v>46185</v>
      </c>
      <c r="B285" s="168" t="s">
        <v>148</v>
      </c>
      <c r="C285" s="341">
        <v>0.56</v>
      </c>
      <c r="D285" s="341">
        <v>0.97</v>
      </c>
      <c r="E285" s="159">
        <v>181.993</v>
      </c>
      <c r="F285" s="10">
        <v>176.3</v>
      </c>
      <c r="G285" s="10">
        <v>5.69300000000004</v>
      </c>
      <c r="H285" s="105"/>
      <c r="I285" s="153">
        <f t="shared" si="16"/>
        <v>0.819921645338007</v>
      </c>
      <c r="J285" s="162">
        <v>18.19</v>
      </c>
      <c r="K285" s="166">
        <v>20000</v>
      </c>
      <c r="L285" s="162">
        <v>149.22</v>
      </c>
      <c r="M285" s="166">
        <f t="shared" si="17"/>
        <v>29360.97</v>
      </c>
      <c r="N285" s="105"/>
      <c r="O285" s="150" t="s">
        <v>1611</v>
      </c>
    </row>
    <row r="286" spans="1:15">
      <c r="A286" s="163">
        <v>46185</v>
      </c>
      <c r="B286" s="164" t="s">
        <v>114</v>
      </c>
      <c r="C286" s="341">
        <v>0.49</v>
      </c>
      <c r="D286" s="341">
        <v>0.79</v>
      </c>
      <c r="E286" s="165">
        <v>126.719</v>
      </c>
      <c r="F286" s="10">
        <v>129</v>
      </c>
      <c r="G286" s="10">
        <v>-2.28100000000003</v>
      </c>
      <c r="H286" s="105"/>
      <c r="I286" s="153">
        <f t="shared" si="16"/>
        <v>0.669907432981637</v>
      </c>
      <c r="J286" s="166">
        <v>12.67</v>
      </c>
      <c r="K286" s="166"/>
      <c r="L286" s="166">
        <v>84.89</v>
      </c>
      <c r="M286" s="166">
        <f t="shared" si="17"/>
        <v>29276.08</v>
      </c>
      <c r="N286" s="105"/>
      <c r="O286" s="150" t="s">
        <v>1611</v>
      </c>
    </row>
    <row r="287" spans="1:15">
      <c r="A287" s="163">
        <v>46185</v>
      </c>
      <c r="B287" s="164" t="s">
        <v>163</v>
      </c>
      <c r="C287" s="341">
        <v>0.15</v>
      </c>
      <c r="D287" s="341">
        <v>0.87</v>
      </c>
      <c r="E287" s="165">
        <v>321.54</v>
      </c>
      <c r="F287" s="10">
        <v>309.6</v>
      </c>
      <c r="G287" s="10">
        <v>11.9400000000001</v>
      </c>
      <c r="H287" s="105"/>
      <c r="I287" s="153">
        <f t="shared" si="16"/>
        <v>0.669963301610997</v>
      </c>
      <c r="J287" s="166">
        <v>32.15</v>
      </c>
      <c r="K287" s="166"/>
      <c r="L287" s="166">
        <v>215.42</v>
      </c>
      <c r="M287" s="166">
        <f t="shared" si="17"/>
        <v>29060.66</v>
      </c>
      <c r="N287" s="105"/>
      <c r="O287" s="150" t="s">
        <v>1611</v>
      </c>
    </row>
    <row r="288" spans="1:15">
      <c r="A288" s="163">
        <v>46185</v>
      </c>
      <c r="B288" s="164" t="s">
        <v>81</v>
      </c>
      <c r="C288" s="341">
        <v>0.35</v>
      </c>
      <c r="D288" s="341">
        <v>0.93</v>
      </c>
      <c r="E288" s="165">
        <v>272.695</v>
      </c>
      <c r="F288" s="10">
        <v>249.4</v>
      </c>
      <c r="G288" s="10">
        <v>23.295</v>
      </c>
      <c r="H288" s="105"/>
      <c r="I288" s="153">
        <f t="shared" si="16"/>
        <v>0.819963695703992</v>
      </c>
      <c r="J288" s="166">
        <v>27.26</v>
      </c>
      <c r="K288" s="166"/>
      <c r="L288" s="166">
        <v>223.6</v>
      </c>
      <c r="M288" s="166">
        <f t="shared" si="17"/>
        <v>28837.06</v>
      </c>
      <c r="N288" s="105"/>
      <c r="O288" s="150" t="s">
        <v>1611</v>
      </c>
    </row>
    <row r="289" spans="1:15">
      <c r="A289" s="163">
        <v>46185</v>
      </c>
      <c r="B289" s="164" t="s">
        <v>66</v>
      </c>
      <c r="C289" s="341">
        <v>0.62</v>
      </c>
      <c r="D289" s="341">
        <v>0.95</v>
      </c>
      <c r="E289" s="165">
        <v>160.766</v>
      </c>
      <c r="F289" s="10">
        <v>141.9</v>
      </c>
      <c r="G289" s="10">
        <v>18.866</v>
      </c>
      <c r="H289" s="105"/>
      <c r="I289" s="153">
        <f t="shared" si="16"/>
        <v>0.949952104300661</v>
      </c>
      <c r="J289" s="166">
        <v>16.07</v>
      </c>
      <c r="K289" s="166"/>
      <c r="L289" s="166">
        <v>152.72</v>
      </c>
      <c r="M289" s="166">
        <f t="shared" si="17"/>
        <v>28684.34</v>
      </c>
      <c r="N289" s="105"/>
      <c r="O289" s="150" t="s">
        <v>1611</v>
      </c>
    </row>
    <row r="290" spans="1:15">
      <c r="A290" s="163">
        <v>46185</v>
      </c>
      <c r="B290" s="164" t="s">
        <v>99</v>
      </c>
      <c r="C290" s="341">
        <v>0.48</v>
      </c>
      <c r="D290" s="341">
        <v>0.9</v>
      </c>
      <c r="E290" s="165">
        <v>197.157</v>
      </c>
      <c r="F290" s="10">
        <v>180.6</v>
      </c>
      <c r="G290" s="10">
        <v>16.557</v>
      </c>
      <c r="H290" s="105"/>
      <c r="I290" s="153">
        <f t="shared" si="16"/>
        <v>0.949953590285914</v>
      </c>
      <c r="J290" s="166">
        <v>19.71</v>
      </c>
      <c r="K290" s="166"/>
      <c r="L290" s="166">
        <v>187.29</v>
      </c>
      <c r="M290" s="166">
        <f t="shared" si="17"/>
        <v>28497.05</v>
      </c>
      <c r="N290" s="117"/>
      <c r="O290" s="343" t="s">
        <v>1611</v>
      </c>
    </row>
    <row r="291" spans="1:15">
      <c r="A291" s="163">
        <v>46185</v>
      </c>
      <c r="B291" s="164" t="s">
        <v>124</v>
      </c>
      <c r="C291" s="341">
        <v>0.41</v>
      </c>
      <c r="D291" s="341">
        <v>0.88</v>
      </c>
      <c r="E291" s="165">
        <v>199.603</v>
      </c>
      <c r="F291" s="10">
        <v>202.1</v>
      </c>
      <c r="G291" s="10">
        <v>-2.49699999999999</v>
      </c>
      <c r="H291" s="105"/>
      <c r="I291" s="153">
        <f t="shared" si="16"/>
        <v>0.94998572165749</v>
      </c>
      <c r="J291" s="166">
        <v>19.96</v>
      </c>
      <c r="K291" s="166"/>
      <c r="L291" s="166">
        <v>189.62</v>
      </c>
      <c r="M291" s="166">
        <f t="shared" si="17"/>
        <v>28307.43</v>
      </c>
      <c r="N291" s="117"/>
      <c r="O291" s="343" t="s">
        <v>1611</v>
      </c>
    </row>
    <row r="292" spans="1:15">
      <c r="A292" s="163">
        <v>46185</v>
      </c>
      <c r="B292" s="164" t="s">
        <v>132</v>
      </c>
      <c r="C292" s="341">
        <v>0.34</v>
      </c>
      <c r="D292" s="341">
        <v>0.86</v>
      </c>
      <c r="E292" s="165">
        <v>229.526</v>
      </c>
      <c r="F292" s="10">
        <v>223.6</v>
      </c>
      <c r="G292" s="10">
        <v>5.92600000000002</v>
      </c>
      <c r="H292" s="105"/>
      <c r="I292" s="153">
        <f t="shared" si="16"/>
        <v>0.949957738992532</v>
      </c>
      <c r="J292" s="166">
        <v>22.95</v>
      </c>
      <c r="K292" s="166"/>
      <c r="L292" s="166">
        <v>218.04</v>
      </c>
      <c r="M292" s="166">
        <f t="shared" si="17"/>
        <v>28089.39</v>
      </c>
      <c r="N292" s="117"/>
      <c r="O292" s="343" t="s">
        <v>1611</v>
      </c>
    </row>
    <row r="293" spans="1:15">
      <c r="A293" s="163">
        <v>46185</v>
      </c>
      <c r="B293" s="164" t="s">
        <v>141</v>
      </c>
      <c r="C293" s="341">
        <v>0.37</v>
      </c>
      <c r="D293" s="341">
        <v>0.37</v>
      </c>
      <c r="E293" s="165">
        <v>0.655</v>
      </c>
      <c r="F293" s="10">
        <v>0</v>
      </c>
      <c r="G293" s="10">
        <v>0.655</v>
      </c>
      <c r="H293" s="105"/>
      <c r="I293" s="153">
        <f t="shared" si="16"/>
        <v>0.931297709923664</v>
      </c>
      <c r="J293" s="166">
        <v>0.06</v>
      </c>
      <c r="K293" s="166"/>
      <c r="L293" s="166">
        <v>0.61</v>
      </c>
      <c r="M293" s="166">
        <f t="shared" si="17"/>
        <v>28088.78</v>
      </c>
      <c r="N293" s="117"/>
      <c r="O293" s="343" t="s">
        <v>1611</v>
      </c>
    </row>
    <row r="294" spans="1:15">
      <c r="A294" s="163">
        <v>46185</v>
      </c>
      <c r="B294" s="164" t="s">
        <v>144</v>
      </c>
      <c r="C294" s="341">
        <v>0.46</v>
      </c>
      <c r="D294" s="341">
        <v>0.87</v>
      </c>
      <c r="E294" s="165">
        <v>180.155</v>
      </c>
      <c r="F294" s="10">
        <v>176.3</v>
      </c>
      <c r="G294" s="10">
        <v>3.85500000000002</v>
      </c>
      <c r="H294" s="105"/>
      <c r="I294" s="153">
        <f t="shared" si="16"/>
        <v>0.949959756876023</v>
      </c>
      <c r="J294" s="166">
        <v>18.01</v>
      </c>
      <c r="K294" s="166"/>
      <c r="L294" s="166">
        <v>171.14</v>
      </c>
      <c r="M294" s="166">
        <f t="shared" si="17"/>
        <v>27917.64</v>
      </c>
      <c r="N294" s="117"/>
      <c r="O294" s="343" t="s">
        <v>1611</v>
      </c>
    </row>
    <row r="295" spans="1:15">
      <c r="A295" s="163">
        <v>46185</v>
      </c>
      <c r="B295" s="164" t="s">
        <v>60</v>
      </c>
      <c r="C295" s="341">
        <v>0.5</v>
      </c>
      <c r="D295" s="341">
        <v>0.89</v>
      </c>
      <c r="E295" s="165">
        <v>162.528</v>
      </c>
      <c r="F295" s="10">
        <v>167.7</v>
      </c>
      <c r="G295" s="10">
        <v>-5.17200000000003</v>
      </c>
      <c r="H295" s="105"/>
      <c r="I295" s="153">
        <f t="shared" si="16"/>
        <v>0.949928627682615</v>
      </c>
      <c r="J295" s="166">
        <v>16.25</v>
      </c>
      <c r="K295" s="166"/>
      <c r="L295" s="166">
        <v>154.39</v>
      </c>
      <c r="M295" s="166">
        <f t="shared" si="17"/>
        <v>27763.25</v>
      </c>
      <c r="N295" s="117"/>
      <c r="O295" s="343" t="s">
        <v>1611</v>
      </c>
    </row>
    <row r="296" spans="1:15">
      <c r="A296" s="163">
        <v>46185</v>
      </c>
      <c r="B296" s="164" t="s">
        <v>339</v>
      </c>
      <c r="C296" s="341">
        <v>0.05</v>
      </c>
      <c r="D296" s="341">
        <v>1</v>
      </c>
      <c r="E296" s="165">
        <v>422.029</v>
      </c>
      <c r="F296" s="10">
        <v>408.5</v>
      </c>
      <c r="G296" s="10">
        <v>13.529</v>
      </c>
      <c r="H296" s="105"/>
      <c r="I296" s="153">
        <f t="shared" si="16"/>
        <v>0.949982110234131</v>
      </c>
      <c r="J296" s="166">
        <v>42.2</v>
      </c>
      <c r="K296" s="166"/>
      <c r="L296" s="166">
        <v>400.92</v>
      </c>
      <c r="M296" s="166">
        <f t="shared" si="17"/>
        <v>27362.33</v>
      </c>
      <c r="N296" s="117"/>
      <c r="O296" s="343" t="s">
        <v>1611</v>
      </c>
    </row>
    <row r="297" spans="1:15">
      <c r="A297" s="163">
        <v>46185</v>
      </c>
      <c r="B297" s="164" t="s">
        <v>141</v>
      </c>
      <c r="C297" s="341">
        <v>0.38</v>
      </c>
      <c r="D297" s="341">
        <v>0.9</v>
      </c>
      <c r="E297" s="165">
        <v>234.247</v>
      </c>
      <c r="F297" s="10">
        <v>223.6</v>
      </c>
      <c r="G297" s="10">
        <v>10.647</v>
      </c>
      <c r="H297" s="105"/>
      <c r="I297" s="153">
        <f t="shared" si="16"/>
        <v>0.935422865607671</v>
      </c>
      <c r="J297" s="166">
        <v>23.42</v>
      </c>
      <c r="K297" s="166"/>
      <c r="L297" s="166">
        <v>219.12</v>
      </c>
      <c r="M297" s="166">
        <f t="shared" si="17"/>
        <v>27143.21</v>
      </c>
      <c r="N297" s="117"/>
      <c r="O297" s="343" t="s">
        <v>1611</v>
      </c>
    </row>
    <row r="298" spans="1:15">
      <c r="A298" s="163">
        <v>46185</v>
      </c>
      <c r="B298" s="164" t="s">
        <v>87</v>
      </c>
      <c r="C298" s="341">
        <v>0.5</v>
      </c>
      <c r="D298" s="341">
        <v>0.94</v>
      </c>
      <c r="E298" s="165">
        <v>207.073</v>
      </c>
      <c r="F298" s="10">
        <v>189.2</v>
      </c>
      <c r="G298" s="10">
        <v>17.873</v>
      </c>
      <c r="H298" s="105"/>
      <c r="I298" s="153">
        <f t="shared" si="16"/>
        <v>0.949954846841452</v>
      </c>
      <c r="J298" s="166">
        <v>20.7</v>
      </c>
      <c r="K298" s="166"/>
      <c r="L298" s="166">
        <v>196.71</v>
      </c>
      <c r="M298" s="166">
        <f t="shared" si="17"/>
        <v>26946.5</v>
      </c>
      <c r="N298" s="117"/>
      <c r="O298" s="343" t="s">
        <v>1611</v>
      </c>
    </row>
    <row r="299" spans="1:15">
      <c r="A299" s="163">
        <v>46185</v>
      </c>
      <c r="B299" s="164" t="s">
        <v>151</v>
      </c>
      <c r="C299" s="341">
        <v>0.43</v>
      </c>
      <c r="D299" s="341">
        <v>0.77</v>
      </c>
      <c r="E299" s="165">
        <v>150.409</v>
      </c>
      <c r="F299" s="10">
        <v>146.2</v>
      </c>
      <c r="G299" s="10">
        <v>4.20899999999997</v>
      </c>
      <c r="H299" s="105"/>
      <c r="I299" s="153">
        <f t="shared" si="16"/>
        <v>0.949943154997374</v>
      </c>
      <c r="J299" s="166">
        <v>15.04</v>
      </c>
      <c r="K299" s="166"/>
      <c r="L299" s="166">
        <v>142.88</v>
      </c>
      <c r="M299" s="166">
        <f t="shared" si="17"/>
        <v>26803.62</v>
      </c>
      <c r="N299" s="117"/>
      <c r="O299" s="343" t="s">
        <v>1611</v>
      </c>
    </row>
    <row r="300" spans="1:15">
      <c r="A300" s="163">
        <v>46185</v>
      </c>
      <c r="B300" s="164" t="s">
        <v>78</v>
      </c>
      <c r="C300" s="341">
        <v>0.45</v>
      </c>
      <c r="D300" s="341">
        <v>0.84</v>
      </c>
      <c r="E300" s="165">
        <v>182.903</v>
      </c>
      <c r="F300" s="10">
        <v>167.7</v>
      </c>
      <c r="G300" s="10">
        <v>15.203</v>
      </c>
      <c r="H300" s="105"/>
      <c r="I300" s="153">
        <f t="shared" si="16"/>
        <v>0.949957081075761</v>
      </c>
      <c r="J300" s="166">
        <v>18.29</v>
      </c>
      <c r="K300" s="166"/>
      <c r="L300" s="166">
        <v>173.75</v>
      </c>
      <c r="M300" s="166">
        <f t="shared" si="17"/>
        <v>26629.87</v>
      </c>
      <c r="N300" s="117"/>
      <c r="O300" s="343" t="s">
        <v>1611</v>
      </c>
    </row>
    <row r="301" spans="1:15">
      <c r="A301" s="163">
        <v>46185</v>
      </c>
      <c r="B301" s="164" t="s">
        <v>111</v>
      </c>
      <c r="C301" s="341">
        <v>0.4</v>
      </c>
      <c r="D301" s="341">
        <v>0.97</v>
      </c>
      <c r="E301" s="165">
        <v>239.118</v>
      </c>
      <c r="F301" s="10">
        <v>245.1</v>
      </c>
      <c r="G301" s="10">
        <v>-5.98199999999997</v>
      </c>
      <c r="H301" s="105"/>
      <c r="I301" s="153">
        <f t="shared" si="16"/>
        <v>0.94999121772514</v>
      </c>
      <c r="J301" s="166">
        <v>23.91</v>
      </c>
      <c r="K301" s="166"/>
      <c r="L301" s="166">
        <v>227.16</v>
      </c>
      <c r="M301" s="166">
        <f t="shared" si="17"/>
        <v>26402.71</v>
      </c>
      <c r="N301" s="117"/>
      <c r="O301" s="343" t="s">
        <v>1611</v>
      </c>
    </row>
    <row r="302" spans="1:15">
      <c r="A302" s="163">
        <v>46185</v>
      </c>
      <c r="B302" s="164" t="s">
        <v>57</v>
      </c>
      <c r="C302" s="341">
        <v>0.41</v>
      </c>
      <c r="D302" s="341">
        <v>0.96</v>
      </c>
      <c r="E302" s="165">
        <v>234.137</v>
      </c>
      <c r="F302" s="10">
        <v>236.5</v>
      </c>
      <c r="G302" s="10">
        <v>-2.36299999999997</v>
      </c>
      <c r="H302" s="105"/>
      <c r="I302" s="153">
        <f t="shared" si="16"/>
        <v>0.949956649312155</v>
      </c>
      <c r="J302" s="166">
        <v>23.41</v>
      </c>
      <c r="K302" s="166"/>
      <c r="L302" s="166">
        <v>222.42</v>
      </c>
      <c r="M302" s="166">
        <f t="shared" si="17"/>
        <v>26180.29</v>
      </c>
      <c r="N302" s="117"/>
      <c r="O302" s="343" t="s">
        <v>1611</v>
      </c>
    </row>
    <row r="303" spans="1:15">
      <c r="A303" s="163">
        <v>46185</v>
      </c>
      <c r="B303" s="164" t="s">
        <v>102</v>
      </c>
      <c r="C303" s="341">
        <v>0.49</v>
      </c>
      <c r="D303" s="341">
        <v>0.95</v>
      </c>
      <c r="E303" s="165">
        <v>219.93</v>
      </c>
      <c r="F303" s="10">
        <v>197.8</v>
      </c>
      <c r="G303" s="10">
        <v>22.13</v>
      </c>
      <c r="H303" s="105"/>
      <c r="I303" s="153">
        <f t="shared" si="16"/>
        <v>0.949984085845496</v>
      </c>
      <c r="J303" s="166">
        <v>21.99</v>
      </c>
      <c r="K303" s="166"/>
      <c r="L303" s="166">
        <v>208.93</v>
      </c>
      <c r="M303" s="166">
        <f t="shared" si="17"/>
        <v>25971.36</v>
      </c>
      <c r="N303" s="117"/>
      <c r="O303" s="343" t="s">
        <v>1611</v>
      </c>
    </row>
    <row r="304" spans="1:15">
      <c r="A304" s="163">
        <v>46185</v>
      </c>
      <c r="B304" s="164" t="s">
        <v>51</v>
      </c>
      <c r="C304" s="341">
        <v>0.37</v>
      </c>
      <c r="D304" s="341">
        <v>0.95</v>
      </c>
      <c r="E304" s="165">
        <v>240.056</v>
      </c>
      <c r="F304" s="10">
        <v>249.4</v>
      </c>
      <c r="G304" s="10">
        <v>-9.34400000000002</v>
      </c>
      <c r="H304" s="105"/>
      <c r="I304" s="153">
        <f t="shared" si="16"/>
        <v>0.949945012830339</v>
      </c>
      <c r="J304" s="166">
        <v>24</v>
      </c>
      <c r="K304" s="166"/>
      <c r="L304" s="166">
        <v>228.04</v>
      </c>
      <c r="M304" s="166">
        <f t="shared" si="17"/>
        <v>25743.32</v>
      </c>
      <c r="N304" s="117"/>
      <c r="O304" s="343" t="s">
        <v>1611</v>
      </c>
    </row>
    <row r="305" spans="1:15">
      <c r="A305" s="163">
        <v>46185</v>
      </c>
      <c r="B305" s="164" t="s">
        <v>172</v>
      </c>
      <c r="C305" s="341">
        <v>0.38</v>
      </c>
      <c r="D305" s="341">
        <v>0.9</v>
      </c>
      <c r="E305" s="165">
        <v>217.757</v>
      </c>
      <c r="F305" s="10">
        <v>223.6</v>
      </c>
      <c r="G305" s="10">
        <v>-5.84299999999999</v>
      </c>
      <c r="H305" s="105"/>
      <c r="I305" s="153">
        <f t="shared" si="16"/>
        <v>0.949957980684892</v>
      </c>
      <c r="J305" s="166">
        <v>21.77</v>
      </c>
      <c r="K305" s="166"/>
      <c r="L305" s="166">
        <v>206.86</v>
      </c>
      <c r="M305" s="166">
        <f t="shared" si="17"/>
        <v>25536.46</v>
      </c>
      <c r="N305" s="117"/>
      <c r="O305" s="343" t="s">
        <v>1611</v>
      </c>
    </row>
    <row r="306" spans="1:15">
      <c r="A306" s="163">
        <v>46185</v>
      </c>
      <c r="B306" s="164" t="s">
        <v>72</v>
      </c>
      <c r="C306" s="341">
        <v>0.4</v>
      </c>
      <c r="D306" s="341">
        <v>0.9</v>
      </c>
      <c r="E306" s="165">
        <v>236.384</v>
      </c>
      <c r="F306" s="10">
        <v>215</v>
      </c>
      <c r="G306" s="10">
        <v>21.384</v>
      </c>
      <c r="H306" s="105"/>
      <c r="I306" s="153">
        <f t="shared" si="16"/>
        <v>0.949937390009476</v>
      </c>
      <c r="J306" s="166">
        <v>23.63</v>
      </c>
      <c r="K306" s="166"/>
      <c r="L306" s="166">
        <v>224.55</v>
      </c>
      <c r="M306" s="166">
        <f t="shared" si="17"/>
        <v>25311.91</v>
      </c>
      <c r="N306" s="117"/>
      <c r="O306" s="343" t="s">
        <v>1611</v>
      </c>
    </row>
    <row r="307" spans="1:15">
      <c r="A307" s="163">
        <v>46185</v>
      </c>
      <c r="B307" s="164" t="s">
        <v>105</v>
      </c>
      <c r="C307" s="341">
        <v>0.3</v>
      </c>
      <c r="D307" s="341">
        <v>0.9</v>
      </c>
      <c r="E307" s="165">
        <v>281.013</v>
      </c>
      <c r="F307" s="10">
        <v>258</v>
      </c>
      <c r="G307" s="10">
        <v>23.0129999999999</v>
      </c>
      <c r="H307" s="105"/>
      <c r="I307" s="153">
        <f t="shared" si="16"/>
        <v>0.949991637397558</v>
      </c>
      <c r="J307" s="166">
        <v>28.1</v>
      </c>
      <c r="K307" s="166"/>
      <c r="L307" s="166">
        <v>266.96</v>
      </c>
      <c r="M307" s="166">
        <f t="shared" si="17"/>
        <v>25044.95</v>
      </c>
      <c r="N307" s="117"/>
      <c r="O307" s="343" t="s">
        <v>1611</v>
      </c>
    </row>
    <row r="308" spans="1:15">
      <c r="A308" s="163">
        <v>46185</v>
      </c>
      <c r="B308" s="164" t="s">
        <v>174</v>
      </c>
      <c r="C308" s="341">
        <v>0.36</v>
      </c>
      <c r="D308" s="341">
        <v>0.99</v>
      </c>
      <c r="E308" s="165">
        <v>287.232</v>
      </c>
      <c r="F308" s="10">
        <v>270.9</v>
      </c>
      <c r="G308" s="10">
        <v>16.3320000000001</v>
      </c>
      <c r="H308" s="105"/>
      <c r="I308" s="153">
        <f t="shared" si="16"/>
        <v>0.949963792335116</v>
      </c>
      <c r="J308" s="166">
        <v>28.72</v>
      </c>
      <c r="K308" s="166"/>
      <c r="L308" s="166">
        <v>272.86</v>
      </c>
      <c r="M308" s="166">
        <f t="shared" si="17"/>
        <v>24772.09</v>
      </c>
      <c r="N308" s="117"/>
      <c r="O308" s="343" t="s">
        <v>1611</v>
      </c>
    </row>
    <row r="309" spans="1:15">
      <c r="A309" s="163">
        <v>46185</v>
      </c>
      <c r="B309" s="164" t="s">
        <v>130</v>
      </c>
      <c r="C309" s="341">
        <v>0.35</v>
      </c>
      <c r="D309" s="341">
        <v>0.96</v>
      </c>
      <c r="E309" s="165">
        <v>255.064</v>
      </c>
      <c r="F309" s="10">
        <v>262.3</v>
      </c>
      <c r="G309" s="10">
        <v>-7.23599999999996</v>
      </c>
      <c r="H309" s="105"/>
      <c r="I309" s="153">
        <f t="shared" si="16"/>
        <v>0.949957657685914</v>
      </c>
      <c r="J309" s="166">
        <v>25.5</v>
      </c>
      <c r="K309" s="166"/>
      <c r="L309" s="166">
        <v>242.3</v>
      </c>
      <c r="M309" s="166">
        <f t="shared" si="17"/>
        <v>24529.79</v>
      </c>
      <c r="N309" s="117"/>
      <c r="O309" s="343" t="s">
        <v>1611</v>
      </c>
    </row>
    <row r="310" spans="1:15">
      <c r="A310" s="163">
        <v>46185</v>
      </c>
      <c r="B310" s="164" t="s">
        <v>138</v>
      </c>
      <c r="C310" s="341">
        <v>0.2</v>
      </c>
      <c r="D310" s="341">
        <v>0.91</v>
      </c>
      <c r="E310" s="165">
        <v>313.946</v>
      </c>
      <c r="F310" s="10">
        <v>305.3</v>
      </c>
      <c r="G310" s="10">
        <v>8.64600000000001</v>
      </c>
      <c r="H310" s="105"/>
      <c r="I310" s="153">
        <f t="shared" si="16"/>
        <v>0.949972288227912</v>
      </c>
      <c r="J310" s="166">
        <v>31.39</v>
      </c>
      <c r="K310" s="166"/>
      <c r="L310" s="166">
        <v>298.24</v>
      </c>
      <c r="M310" s="166">
        <f t="shared" si="17"/>
        <v>24231.55</v>
      </c>
      <c r="N310" s="117"/>
      <c r="O310" s="343" t="s">
        <v>1611</v>
      </c>
    </row>
    <row r="311" spans="1:15">
      <c r="A311" s="163">
        <v>46185</v>
      </c>
      <c r="B311" s="164" t="s">
        <v>180</v>
      </c>
      <c r="C311" s="341">
        <v>0.54</v>
      </c>
      <c r="D311" s="341">
        <v>0.95</v>
      </c>
      <c r="E311" s="165">
        <v>186.06</v>
      </c>
      <c r="F311" s="10">
        <v>176.3</v>
      </c>
      <c r="G311" s="10">
        <v>9.75999999999999</v>
      </c>
      <c r="H311" s="105"/>
      <c r="I311" s="153">
        <f t="shared" si="16"/>
        <v>0.949962377727615</v>
      </c>
      <c r="J311" s="166">
        <v>18.6</v>
      </c>
      <c r="K311" s="166"/>
      <c r="L311" s="166">
        <v>176.75</v>
      </c>
      <c r="M311" s="166">
        <f t="shared" si="17"/>
        <v>24054.8</v>
      </c>
      <c r="N311" s="117"/>
      <c r="O311" s="343" t="s">
        <v>1611</v>
      </c>
    </row>
    <row r="312" spans="1:15">
      <c r="A312" s="163">
        <v>46185</v>
      </c>
      <c r="B312" s="164" t="s">
        <v>108</v>
      </c>
      <c r="C312" s="341">
        <v>0.28</v>
      </c>
      <c r="D312" s="341">
        <v>0.77</v>
      </c>
      <c r="E312" s="165">
        <v>234.426</v>
      </c>
      <c r="F312" s="10">
        <v>210.7</v>
      </c>
      <c r="G312" s="10">
        <v>23.726</v>
      </c>
      <c r="H312" s="105"/>
      <c r="I312" s="153">
        <f t="shared" si="16"/>
        <v>0.949979951029323</v>
      </c>
      <c r="J312" s="166">
        <v>23.44</v>
      </c>
      <c r="K312" s="166"/>
      <c r="L312" s="166">
        <v>222.7</v>
      </c>
      <c r="M312" s="166">
        <f t="shared" si="17"/>
        <v>23832.1</v>
      </c>
      <c r="N312" s="117"/>
      <c r="O312" s="343" t="s">
        <v>1611</v>
      </c>
    </row>
    <row r="313" spans="1:15">
      <c r="A313" s="163">
        <v>46185</v>
      </c>
      <c r="B313" s="164" t="s">
        <v>135</v>
      </c>
      <c r="C313" s="341">
        <v>0.33</v>
      </c>
      <c r="D313" s="341">
        <v>0.92</v>
      </c>
      <c r="E313" s="165">
        <v>261.056</v>
      </c>
      <c r="F313" s="10">
        <v>253.7</v>
      </c>
      <c r="G313" s="10">
        <v>7.35599999999994</v>
      </c>
      <c r="H313" s="105"/>
      <c r="I313" s="153">
        <f t="shared" si="16"/>
        <v>0.949949436136308</v>
      </c>
      <c r="J313" s="166">
        <v>26.1</v>
      </c>
      <c r="K313" s="166"/>
      <c r="L313" s="166">
        <v>247.99</v>
      </c>
      <c r="M313" s="166">
        <f t="shared" si="17"/>
        <v>23584.11</v>
      </c>
      <c r="N313" s="117"/>
      <c r="O313" s="343" t="s">
        <v>1611</v>
      </c>
    </row>
    <row r="314" spans="1:15">
      <c r="A314" s="163">
        <v>46185</v>
      </c>
      <c r="B314" s="164" t="s">
        <v>108</v>
      </c>
      <c r="C314" s="341">
        <v>0.77</v>
      </c>
      <c r="D314" s="341">
        <v>0.91</v>
      </c>
      <c r="E314" s="165">
        <v>70.097</v>
      </c>
      <c r="F314" s="10">
        <v>60.2</v>
      </c>
      <c r="G314" s="10">
        <v>9.89699999999999</v>
      </c>
      <c r="H314" s="105"/>
      <c r="I314" s="153">
        <f t="shared" si="16"/>
        <v>0.949826668759005</v>
      </c>
      <c r="J314" s="166">
        <v>7</v>
      </c>
      <c r="K314" s="166"/>
      <c r="L314" s="166">
        <v>66.58</v>
      </c>
      <c r="M314" s="166">
        <f t="shared" si="17"/>
        <v>23517.53</v>
      </c>
      <c r="N314" s="117"/>
      <c r="O314" s="343" t="s">
        <v>1611</v>
      </c>
    </row>
    <row r="315" spans="1:15">
      <c r="A315" s="163">
        <v>46185</v>
      </c>
      <c r="B315" s="164" t="s">
        <v>166</v>
      </c>
      <c r="C315" s="341">
        <v>0.53</v>
      </c>
      <c r="D315" s="341">
        <v>0.92</v>
      </c>
      <c r="E315" s="165">
        <v>174.546</v>
      </c>
      <c r="F315" s="10">
        <v>167.7</v>
      </c>
      <c r="G315" s="10">
        <v>6.84599999999998</v>
      </c>
      <c r="H315" s="105"/>
      <c r="I315" s="153">
        <f t="shared" si="16"/>
        <v>0.949950156405761</v>
      </c>
      <c r="J315" s="166">
        <v>17.45</v>
      </c>
      <c r="K315" s="166"/>
      <c r="L315" s="166">
        <v>165.81</v>
      </c>
      <c r="M315" s="166">
        <f t="shared" si="17"/>
        <v>23351.72</v>
      </c>
      <c r="N315" s="117"/>
      <c r="O315" s="343" t="s">
        <v>1611</v>
      </c>
    </row>
    <row r="316" spans="1:15">
      <c r="A316" s="156">
        <v>46186</v>
      </c>
      <c r="B316" s="157" t="s">
        <v>1612</v>
      </c>
      <c r="C316" s="341">
        <v>0.25</v>
      </c>
      <c r="D316" s="341">
        <v>0.92</v>
      </c>
      <c r="E316" s="159">
        <v>310.95</v>
      </c>
      <c r="F316" s="10">
        <f t="shared" ref="F316:F379" si="18">(D316-C316)*430</f>
        <v>288.1</v>
      </c>
      <c r="G316" s="10">
        <f t="shared" ref="G316:G379" si="19">E316-F316</f>
        <v>22.85</v>
      </c>
      <c r="H316" s="4"/>
      <c r="I316" s="153">
        <f t="shared" si="16"/>
        <v>0.819971056439942</v>
      </c>
      <c r="J316" s="162">
        <v>31.09</v>
      </c>
      <c r="K316" s="166"/>
      <c r="L316" s="162">
        <v>254.97</v>
      </c>
      <c r="M316" s="166">
        <f t="shared" si="17"/>
        <v>23096.75</v>
      </c>
      <c r="N316" s="55"/>
      <c r="O316" s="343" t="s">
        <v>1611</v>
      </c>
    </row>
    <row r="317" spans="1:15">
      <c r="A317" s="163">
        <v>46186</v>
      </c>
      <c r="B317" s="344" t="s">
        <v>1613</v>
      </c>
      <c r="C317" s="341">
        <v>0.65</v>
      </c>
      <c r="D317" s="341">
        <v>0.81</v>
      </c>
      <c r="E317" s="165">
        <v>75.662</v>
      </c>
      <c r="F317" s="10">
        <f t="shared" si="18"/>
        <v>68.8</v>
      </c>
      <c r="G317" s="10">
        <f t="shared" si="19"/>
        <v>6.86199999999999</v>
      </c>
      <c r="H317" s="4"/>
      <c r="I317" s="153">
        <f t="shared" si="16"/>
        <v>0.949882371600011</v>
      </c>
      <c r="J317" s="166">
        <v>7.56</v>
      </c>
      <c r="K317" s="166"/>
      <c r="L317" s="166">
        <v>71.87</v>
      </c>
      <c r="M317" s="166">
        <f t="shared" si="17"/>
        <v>23024.88</v>
      </c>
      <c r="N317" s="55"/>
      <c r="O317" s="343" t="s">
        <v>1611</v>
      </c>
    </row>
    <row r="318" spans="1:15">
      <c r="A318" s="163">
        <v>46186</v>
      </c>
      <c r="B318" s="344" t="s">
        <v>1614</v>
      </c>
      <c r="C318" s="341">
        <v>0.33</v>
      </c>
      <c r="D318" s="341">
        <v>1</v>
      </c>
      <c r="E318" s="165">
        <v>312.563</v>
      </c>
      <c r="F318" s="10">
        <f t="shared" si="18"/>
        <v>288.1</v>
      </c>
      <c r="G318" s="10">
        <f t="shared" si="19"/>
        <v>24.463</v>
      </c>
      <c r="H318" s="4"/>
      <c r="I318" s="153">
        <f t="shared" si="16"/>
        <v>0.949952489578101</v>
      </c>
      <c r="J318" s="166">
        <v>31.25</v>
      </c>
      <c r="K318" s="166"/>
      <c r="L318" s="166">
        <v>296.92</v>
      </c>
      <c r="M318" s="166">
        <f t="shared" si="17"/>
        <v>22727.96</v>
      </c>
      <c r="N318" s="55"/>
      <c r="O318" s="343" t="s">
        <v>1611</v>
      </c>
    </row>
    <row r="319" spans="1:15">
      <c r="A319" s="163">
        <v>46186</v>
      </c>
      <c r="B319" s="344" t="s">
        <v>1615</v>
      </c>
      <c r="C319" s="341">
        <v>0.38</v>
      </c>
      <c r="D319" s="341">
        <v>0.98</v>
      </c>
      <c r="E319" s="165">
        <v>252.719</v>
      </c>
      <c r="F319" s="10">
        <f t="shared" si="18"/>
        <v>258</v>
      </c>
      <c r="G319" s="10">
        <f t="shared" si="19"/>
        <v>-5.28100000000001</v>
      </c>
      <c r="H319" s="4"/>
      <c r="I319" s="153">
        <f t="shared" si="16"/>
        <v>0.94998793125962</v>
      </c>
      <c r="J319" s="166">
        <v>25.27</v>
      </c>
      <c r="K319" s="166"/>
      <c r="L319" s="166">
        <v>240.08</v>
      </c>
      <c r="M319" s="166">
        <f t="shared" si="17"/>
        <v>22487.88</v>
      </c>
      <c r="N319" s="55"/>
      <c r="O319" s="343" t="s">
        <v>1611</v>
      </c>
    </row>
    <row r="320" spans="1:15">
      <c r="A320" s="163">
        <v>46186</v>
      </c>
      <c r="B320" s="344" t="s">
        <v>1616</v>
      </c>
      <c r="C320" s="341">
        <v>0.35</v>
      </c>
      <c r="D320" s="341">
        <v>0.91</v>
      </c>
      <c r="E320" s="165">
        <v>260.23</v>
      </c>
      <c r="F320" s="10">
        <f t="shared" si="18"/>
        <v>240.8</v>
      </c>
      <c r="G320" s="10">
        <f t="shared" si="19"/>
        <v>19.43</v>
      </c>
      <c r="H320" s="4"/>
      <c r="I320" s="153">
        <f t="shared" si="16"/>
        <v>0.949967336586865</v>
      </c>
      <c r="J320" s="166">
        <v>26.02</v>
      </c>
      <c r="K320" s="166"/>
      <c r="L320" s="166">
        <v>247.21</v>
      </c>
      <c r="M320" s="166">
        <f t="shared" si="17"/>
        <v>22240.67</v>
      </c>
      <c r="N320" s="55"/>
      <c r="O320" s="343" t="s">
        <v>1611</v>
      </c>
    </row>
    <row r="321" spans="1:15">
      <c r="A321" s="163">
        <v>46186</v>
      </c>
      <c r="B321" s="344" t="s">
        <v>1617</v>
      </c>
      <c r="C321" s="341">
        <v>0.45</v>
      </c>
      <c r="D321" s="341">
        <v>1</v>
      </c>
      <c r="E321" s="165">
        <v>249.941</v>
      </c>
      <c r="F321" s="10">
        <f t="shared" si="18"/>
        <v>236.5</v>
      </c>
      <c r="G321" s="10">
        <f t="shared" si="19"/>
        <v>13.441</v>
      </c>
      <c r="H321" s="4"/>
      <c r="I321" s="153">
        <f t="shared" si="16"/>
        <v>0.949944186828091</v>
      </c>
      <c r="J321" s="166">
        <v>24.99</v>
      </c>
      <c r="K321" s="166"/>
      <c r="L321" s="166">
        <v>237.43</v>
      </c>
      <c r="M321" s="166">
        <f t="shared" si="17"/>
        <v>22003.24</v>
      </c>
      <c r="N321" s="55"/>
      <c r="O321" s="343" t="s">
        <v>1611</v>
      </c>
    </row>
    <row r="322" spans="1:15">
      <c r="A322" s="163">
        <v>46186</v>
      </c>
      <c r="B322" s="344" t="s">
        <v>1618</v>
      </c>
      <c r="C322" s="341">
        <v>0.46</v>
      </c>
      <c r="D322" s="341">
        <v>0.99</v>
      </c>
      <c r="E322" s="165">
        <v>242.706</v>
      </c>
      <c r="F322" s="10">
        <f t="shared" si="18"/>
        <v>227.9</v>
      </c>
      <c r="G322" s="10">
        <f t="shared" si="19"/>
        <v>14.806</v>
      </c>
      <c r="H322" s="4"/>
      <c r="I322" s="153">
        <f t="shared" si="16"/>
        <v>0.949997115852101</v>
      </c>
      <c r="J322" s="166">
        <v>24.27</v>
      </c>
      <c r="K322" s="166"/>
      <c r="L322" s="166">
        <v>230.57</v>
      </c>
      <c r="M322" s="166">
        <f t="shared" si="17"/>
        <v>21772.67</v>
      </c>
      <c r="N322" s="55"/>
      <c r="O322" s="343" t="s">
        <v>1611</v>
      </c>
    </row>
    <row r="323" spans="1:15">
      <c r="A323" s="163">
        <v>46186</v>
      </c>
      <c r="B323" s="344" t="s">
        <v>1619</v>
      </c>
      <c r="C323" s="341">
        <v>0.46</v>
      </c>
      <c r="D323" s="341">
        <v>0.99</v>
      </c>
      <c r="E323" s="165">
        <v>242.279</v>
      </c>
      <c r="F323" s="10">
        <f t="shared" si="18"/>
        <v>227.9</v>
      </c>
      <c r="G323" s="10">
        <f t="shared" si="19"/>
        <v>14.379</v>
      </c>
      <c r="H323" s="4"/>
      <c r="I323" s="153">
        <f t="shared" ref="I323:I386" si="20">L323/E323</f>
        <v>0.949937881533274</v>
      </c>
      <c r="J323" s="166">
        <v>24.22</v>
      </c>
      <c r="K323" s="166"/>
      <c r="L323" s="166">
        <v>230.15</v>
      </c>
      <c r="M323" s="166">
        <f t="shared" ref="M323:M386" si="21">M322+K323-L323</f>
        <v>21542.52</v>
      </c>
      <c r="N323" s="55"/>
      <c r="O323" s="343" t="s">
        <v>1611</v>
      </c>
    </row>
    <row r="324" spans="1:15">
      <c r="A324" s="163">
        <v>46186</v>
      </c>
      <c r="B324" s="344" t="s">
        <v>1620</v>
      </c>
      <c r="C324" s="341">
        <v>0.47</v>
      </c>
      <c r="D324" s="341">
        <v>0.86</v>
      </c>
      <c r="E324" s="165">
        <v>157.06</v>
      </c>
      <c r="F324" s="10">
        <f t="shared" si="18"/>
        <v>167.7</v>
      </c>
      <c r="G324" s="10">
        <f t="shared" si="19"/>
        <v>-10.64</v>
      </c>
      <c r="H324" s="4"/>
      <c r="I324" s="153">
        <f t="shared" si="20"/>
        <v>0.94995543104546</v>
      </c>
      <c r="J324" s="166">
        <v>15.7</v>
      </c>
      <c r="K324" s="166"/>
      <c r="L324" s="166">
        <v>149.2</v>
      </c>
      <c r="M324" s="166">
        <f t="shared" si="21"/>
        <v>21393.32</v>
      </c>
      <c r="N324" s="55"/>
      <c r="O324" s="343" t="s">
        <v>1611</v>
      </c>
    </row>
    <row r="325" spans="1:15">
      <c r="A325" s="163">
        <v>46186</v>
      </c>
      <c r="B325" s="344" t="s">
        <v>1621</v>
      </c>
      <c r="C325" s="341">
        <v>0.15</v>
      </c>
      <c r="D325" s="341">
        <v>0.95</v>
      </c>
      <c r="E325" s="165">
        <v>333.203</v>
      </c>
      <c r="F325" s="10">
        <f t="shared" si="18"/>
        <v>344</v>
      </c>
      <c r="G325" s="10">
        <f t="shared" si="19"/>
        <v>-10.797</v>
      </c>
      <c r="H325" s="4"/>
      <c r="I325" s="153">
        <f t="shared" si="20"/>
        <v>0.949991446655643</v>
      </c>
      <c r="J325" s="166">
        <v>33.32</v>
      </c>
      <c r="K325" s="166"/>
      <c r="L325" s="166">
        <v>316.54</v>
      </c>
      <c r="M325" s="166">
        <f t="shared" si="21"/>
        <v>21076.78</v>
      </c>
      <c r="N325" s="55"/>
      <c r="O325" s="343" t="s">
        <v>1611</v>
      </c>
    </row>
    <row r="326" spans="1:15">
      <c r="A326" s="163">
        <v>46186</v>
      </c>
      <c r="B326" s="344" t="s">
        <v>157</v>
      </c>
      <c r="C326" s="341">
        <v>0.5</v>
      </c>
      <c r="D326" s="341">
        <v>0.94</v>
      </c>
      <c r="E326" s="165">
        <v>198.7</v>
      </c>
      <c r="F326" s="10">
        <f t="shared" si="18"/>
        <v>189.2</v>
      </c>
      <c r="G326" s="10">
        <f t="shared" si="19"/>
        <v>9.5</v>
      </c>
      <c r="H326" s="4"/>
      <c r="I326" s="153">
        <f t="shared" si="20"/>
        <v>0.949974836436839</v>
      </c>
      <c r="J326" s="166">
        <v>19.87</v>
      </c>
      <c r="K326" s="166"/>
      <c r="L326" s="166">
        <v>188.76</v>
      </c>
      <c r="M326" s="166">
        <f t="shared" si="21"/>
        <v>20888.02</v>
      </c>
      <c r="N326" s="55"/>
      <c r="O326" s="343" t="s">
        <v>1611</v>
      </c>
    </row>
    <row r="327" spans="1:15">
      <c r="A327" s="163">
        <v>46186</v>
      </c>
      <c r="B327" s="344" t="s">
        <v>1622</v>
      </c>
      <c r="C327" s="341">
        <v>0.52</v>
      </c>
      <c r="D327" s="341">
        <v>0.72</v>
      </c>
      <c r="E327" s="165">
        <v>95.015</v>
      </c>
      <c r="F327" s="10">
        <f t="shared" si="18"/>
        <v>86</v>
      </c>
      <c r="G327" s="10">
        <f t="shared" si="19"/>
        <v>9.01500000000001</v>
      </c>
      <c r="H327" s="4"/>
      <c r="I327" s="153">
        <f t="shared" si="20"/>
        <v>0.949955270220492</v>
      </c>
      <c r="J327" s="166">
        <v>9.5</v>
      </c>
      <c r="K327" s="166"/>
      <c r="L327" s="166">
        <v>90.26</v>
      </c>
      <c r="M327" s="166">
        <f t="shared" si="21"/>
        <v>20797.76</v>
      </c>
      <c r="N327" s="55"/>
      <c r="O327" s="343" t="s">
        <v>1611</v>
      </c>
    </row>
    <row r="328" spans="1:15">
      <c r="A328" s="163">
        <v>46186</v>
      </c>
      <c r="B328" s="344" t="s">
        <v>1623</v>
      </c>
      <c r="C328" s="341">
        <v>0.26</v>
      </c>
      <c r="D328" s="341">
        <v>0.9</v>
      </c>
      <c r="E328" s="165">
        <v>299.712</v>
      </c>
      <c r="F328" s="10">
        <f t="shared" si="18"/>
        <v>275.2</v>
      </c>
      <c r="G328" s="10">
        <f t="shared" si="19"/>
        <v>24.512</v>
      </c>
      <c r="H328" s="4"/>
      <c r="I328" s="153">
        <f t="shared" si="20"/>
        <v>0.942938554345505</v>
      </c>
      <c r="J328" s="166">
        <v>29.96</v>
      </c>
      <c r="K328" s="166"/>
      <c r="L328" s="166">
        <v>282.61</v>
      </c>
      <c r="M328" s="166">
        <f t="shared" si="21"/>
        <v>20515.15</v>
      </c>
      <c r="N328" s="55"/>
      <c r="O328" s="343" t="s">
        <v>1611</v>
      </c>
    </row>
    <row r="329" spans="1:15">
      <c r="A329" s="163">
        <v>46186</v>
      </c>
      <c r="B329" s="344" t="s">
        <v>1624</v>
      </c>
      <c r="C329" s="341">
        <v>0.3</v>
      </c>
      <c r="D329" s="341">
        <v>0.95</v>
      </c>
      <c r="E329" s="165">
        <v>307.27</v>
      </c>
      <c r="F329" s="10">
        <f t="shared" si="18"/>
        <v>279.5</v>
      </c>
      <c r="G329" s="10">
        <f t="shared" si="19"/>
        <v>27.77</v>
      </c>
      <c r="H329" s="4"/>
      <c r="I329" s="153">
        <f t="shared" si="20"/>
        <v>0.907312786799883</v>
      </c>
      <c r="J329" s="166">
        <v>30.72</v>
      </c>
      <c r="K329" s="166"/>
      <c r="L329" s="166">
        <v>278.79</v>
      </c>
      <c r="M329" s="166">
        <f t="shared" si="21"/>
        <v>20236.36</v>
      </c>
      <c r="N329" s="55"/>
      <c r="O329" s="343" t="s">
        <v>1611</v>
      </c>
    </row>
    <row r="330" spans="1:15">
      <c r="A330" s="163">
        <v>46186</v>
      </c>
      <c r="B330" s="344" t="s">
        <v>1625</v>
      </c>
      <c r="C330" s="341">
        <v>0.19</v>
      </c>
      <c r="D330" s="341">
        <v>0.91</v>
      </c>
      <c r="E330" s="165">
        <v>333.741</v>
      </c>
      <c r="F330" s="10">
        <f t="shared" si="18"/>
        <v>309.6</v>
      </c>
      <c r="G330" s="10">
        <f t="shared" si="19"/>
        <v>24.141</v>
      </c>
      <c r="H330" s="4"/>
      <c r="I330" s="153">
        <f t="shared" si="20"/>
        <v>0.907080640376819</v>
      </c>
      <c r="J330" s="166">
        <v>33.36</v>
      </c>
      <c r="K330" s="166"/>
      <c r="L330" s="166">
        <v>302.73</v>
      </c>
      <c r="M330" s="166">
        <f t="shared" si="21"/>
        <v>19933.63</v>
      </c>
      <c r="N330" s="55"/>
      <c r="O330" s="343" t="s">
        <v>1611</v>
      </c>
    </row>
    <row r="331" spans="1:15">
      <c r="A331" s="163">
        <v>46186</v>
      </c>
      <c r="B331" s="344" t="s">
        <v>1626</v>
      </c>
      <c r="C331" s="341">
        <v>0.65</v>
      </c>
      <c r="D331" s="341">
        <v>0.97</v>
      </c>
      <c r="E331" s="165">
        <v>147.164</v>
      </c>
      <c r="F331" s="10">
        <f t="shared" si="18"/>
        <v>137.6</v>
      </c>
      <c r="G331" s="10">
        <f t="shared" si="19"/>
        <v>9.56400000000002</v>
      </c>
      <c r="H331" s="4"/>
      <c r="I331" s="153">
        <f t="shared" si="20"/>
        <v>0.819901606371123</v>
      </c>
      <c r="J331" s="166">
        <v>14.71</v>
      </c>
      <c r="K331" s="166"/>
      <c r="L331" s="166">
        <v>120.66</v>
      </c>
      <c r="M331" s="166">
        <f t="shared" si="21"/>
        <v>19812.97</v>
      </c>
      <c r="N331" s="55"/>
      <c r="O331" s="343" t="s">
        <v>1611</v>
      </c>
    </row>
    <row r="332" spans="1:15">
      <c r="A332" s="163">
        <v>46186</v>
      </c>
      <c r="B332" s="344" t="s">
        <v>1627</v>
      </c>
      <c r="C332" s="341">
        <v>0.48</v>
      </c>
      <c r="D332" s="341">
        <v>0.96</v>
      </c>
      <c r="E332" s="165">
        <v>206.037</v>
      </c>
      <c r="F332" s="10">
        <f t="shared" si="18"/>
        <v>206.4</v>
      </c>
      <c r="G332" s="10">
        <f t="shared" si="19"/>
        <v>-0.363</v>
      </c>
      <c r="H332" s="4"/>
      <c r="I332" s="153">
        <f t="shared" si="20"/>
        <v>0.828831714692021</v>
      </c>
      <c r="J332" s="166">
        <v>20.6</v>
      </c>
      <c r="K332" s="166"/>
      <c r="L332" s="166">
        <v>170.77</v>
      </c>
      <c r="M332" s="166">
        <f t="shared" si="21"/>
        <v>19642.2</v>
      </c>
      <c r="N332" s="55"/>
      <c r="O332" s="343" t="s">
        <v>1611</v>
      </c>
    </row>
    <row r="333" spans="1:15">
      <c r="A333" s="163">
        <v>46186</v>
      </c>
      <c r="B333" s="344" t="s">
        <v>1628</v>
      </c>
      <c r="C333" s="341">
        <v>0.39</v>
      </c>
      <c r="D333" s="341">
        <v>0.95</v>
      </c>
      <c r="E333" s="165">
        <v>249.326</v>
      </c>
      <c r="F333" s="10">
        <f t="shared" si="18"/>
        <v>240.8</v>
      </c>
      <c r="G333" s="10">
        <f t="shared" si="19"/>
        <v>8.52600000000001</v>
      </c>
      <c r="H333" s="4"/>
      <c r="I333" s="153">
        <f t="shared" si="20"/>
        <v>0.949961095112423</v>
      </c>
      <c r="J333" s="166">
        <v>24.93</v>
      </c>
      <c r="K333" s="166"/>
      <c r="L333" s="166">
        <v>236.85</v>
      </c>
      <c r="M333" s="166">
        <f t="shared" si="21"/>
        <v>19405.35</v>
      </c>
      <c r="N333" s="55"/>
      <c r="O333" s="343" t="s">
        <v>1611</v>
      </c>
    </row>
    <row r="334" spans="1:15">
      <c r="A334" s="163">
        <v>46186</v>
      </c>
      <c r="B334" s="344" t="s">
        <v>1629</v>
      </c>
      <c r="C334" s="341">
        <v>0.26</v>
      </c>
      <c r="D334" s="341">
        <v>0.9</v>
      </c>
      <c r="E334" s="165">
        <v>292.863</v>
      </c>
      <c r="F334" s="10">
        <f t="shared" si="18"/>
        <v>275.2</v>
      </c>
      <c r="G334" s="10">
        <f t="shared" si="19"/>
        <v>17.663</v>
      </c>
      <c r="H334" s="4"/>
      <c r="I334" s="153">
        <f t="shared" si="20"/>
        <v>0.949966366526328</v>
      </c>
      <c r="J334" s="166">
        <v>29.28</v>
      </c>
      <c r="K334" s="166"/>
      <c r="L334" s="166">
        <v>278.21</v>
      </c>
      <c r="M334" s="166">
        <f t="shared" si="21"/>
        <v>19127.14</v>
      </c>
      <c r="N334" s="55"/>
      <c r="O334" s="343" t="s">
        <v>1611</v>
      </c>
    </row>
    <row r="335" spans="1:15">
      <c r="A335" s="163">
        <v>46186</v>
      </c>
      <c r="B335" s="344" t="s">
        <v>1630</v>
      </c>
      <c r="C335" s="341">
        <v>0.41</v>
      </c>
      <c r="D335" s="341">
        <v>0.92</v>
      </c>
      <c r="E335" s="165">
        <v>208.095</v>
      </c>
      <c r="F335" s="10">
        <f t="shared" si="18"/>
        <v>219.3</v>
      </c>
      <c r="G335" s="10">
        <f t="shared" si="19"/>
        <v>-11.205</v>
      </c>
      <c r="H335" s="4"/>
      <c r="I335" s="153">
        <f t="shared" si="20"/>
        <v>0.949950743650737</v>
      </c>
      <c r="J335" s="166">
        <v>20.8</v>
      </c>
      <c r="K335" s="166"/>
      <c r="L335" s="166">
        <v>197.68</v>
      </c>
      <c r="M335" s="166">
        <f t="shared" si="21"/>
        <v>18929.46</v>
      </c>
      <c r="N335" s="55"/>
      <c r="O335" s="343" t="s">
        <v>1611</v>
      </c>
    </row>
    <row r="336" spans="1:15">
      <c r="A336" s="163">
        <v>46186</v>
      </c>
      <c r="B336" s="344" t="s">
        <v>1631</v>
      </c>
      <c r="C336" s="341">
        <v>0.25</v>
      </c>
      <c r="D336" s="341">
        <v>0.92</v>
      </c>
      <c r="E336" s="165">
        <v>274.243</v>
      </c>
      <c r="F336" s="10">
        <f t="shared" si="18"/>
        <v>288.1</v>
      </c>
      <c r="G336" s="10">
        <f t="shared" si="19"/>
        <v>-13.857</v>
      </c>
      <c r="H336" s="4"/>
      <c r="I336" s="153">
        <f t="shared" si="20"/>
        <v>0.94996043654715</v>
      </c>
      <c r="J336" s="166">
        <v>27.42</v>
      </c>
      <c r="K336" s="166"/>
      <c r="L336" s="166">
        <v>260.52</v>
      </c>
      <c r="M336" s="166">
        <f t="shared" si="21"/>
        <v>18668.94</v>
      </c>
      <c r="N336" s="55"/>
      <c r="O336" s="343" t="s">
        <v>1611</v>
      </c>
    </row>
    <row r="337" spans="1:15">
      <c r="A337" s="163">
        <v>46186</v>
      </c>
      <c r="B337" s="344" t="s">
        <v>1632</v>
      </c>
      <c r="C337" s="341">
        <v>0.51</v>
      </c>
      <c r="D337" s="341">
        <v>0.94</v>
      </c>
      <c r="E337" s="165">
        <v>197.905</v>
      </c>
      <c r="F337" s="10">
        <f t="shared" si="18"/>
        <v>184.9</v>
      </c>
      <c r="G337" s="10">
        <f t="shared" si="19"/>
        <v>13.005</v>
      </c>
      <c r="H337" s="4"/>
      <c r="I337" s="153">
        <f t="shared" si="20"/>
        <v>0.949950733938001</v>
      </c>
      <c r="J337" s="166">
        <v>19.79</v>
      </c>
      <c r="K337" s="166"/>
      <c r="L337" s="166">
        <v>188</v>
      </c>
      <c r="M337" s="166">
        <f t="shared" si="21"/>
        <v>18480.94</v>
      </c>
      <c r="N337" s="55"/>
      <c r="O337" s="343" t="s">
        <v>1611</v>
      </c>
    </row>
    <row r="338" spans="1:15">
      <c r="A338" s="163">
        <v>46186</v>
      </c>
      <c r="B338" s="344" t="s">
        <v>1633</v>
      </c>
      <c r="C338" s="341">
        <v>0.54</v>
      </c>
      <c r="D338" s="341">
        <v>0.99</v>
      </c>
      <c r="E338" s="165">
        <v>192.532</v>
      </c>
      <c r="F338" s="10">
        <f t="shared" si="18"/>
        <v>193.5</v>
      </c>
      <c r="G338" s="10">
        <f t="shared" si="19"/>
        <v>-0.967999999999961</v>
      </c>
      <c r="H338" s="4"/>
      <c r="I338" s="153">
        <f t="shared" si="20"/>
        <v>0.949971952714354</v>
      </c>
      <c r="J338" s="166">
        <v>19.25</v>
      </c>
      <c r="K338" s="166"/>
      <c r="L338" s="166">
        <v>182.9</v>
      </c>
      <c r="M338" s="166">
        <f t="shared" si="21"/>
        <v>18298.04</v>
      </c>
      <c r="N338" s="55"/>
      <c r="O338" s="343" t="s">
        <v>1611</v>
      </c>
    </row>
    <row r="339" spans="1:15">
      <c r="A339" s="163">
        <v>46186</v>
      </c>
      <c r="B339" s="344" t="s">
        <v>1634</v>
      </c>
      <c r="C339" s="341">
        <v>0.6</v>
      </c>
      <c r="D339" s="341">
        <v>0.95</v>
      </c>
      <c r="E339" s="165">
        <v>178.35</v>
      </c>
      <c r="F339" s="10">
        <f t="shared" si="18"/>
        <v>150.5</v>
      </c>
      <c r="G339" s="10">
        <f t="shared" si="19"/>
        <v>27.85</v>
      </c>
      <c r="H339" s="4"/>
      <c r="I339" s="153">
        <f t="shared" si="20"/>
        <v>0.949929913092234</v>
      </c>
      <c r="J339" s="166">
        <v>17.83</v>
      </c>
      <c r="K339" s="166"/>
      <c r="L339" s="166">
        <v>169.42</v>
      </c>
      <c r="M339" s="166">
        <f t="shared" si="21"/>
        <v>18128.62</v>
      </c>
      <c r="N339" s="55"/>
      <c r="O339" s="343" t="s">
        <v>1611</v>
      </c>
    </row>
    <row r="340" spans="1:15">
      <c r="A340" s="163">
        <v>46186</v>
      </c>
      <c r="B340" s="344" t="s">
        <v>1635</v>
      </c>
      <c r="C340" s="341">
        <v>0.62</v>
      </c>
      <c r="D340" s="341">
        <v>0.95</v>
      </c>
      <c r="E340" s="165">
        <v>159.678</v>
      </c>
      <c r="F340" s="10">
        <f t="shared" si="18"/>
        <v>141.9</v>
      </c>
      <c r="G340" s="10">
        <f t="shared" si="19"/>
        <v>17.778</v>
      </c>
      <c r="H340" s="4"/>
      <c r="I340" s="153">
        <f t="shared" si="20"/>
        <v>0.949911697290798</v>
      </c>
      <c r="J340" s="166">
        <v>15.96</v>
      </c>
      <c r="K340" s="166"/>
      <c r="L340" s="166">
        <v>151.68</v>
      </c>
      <c r="M340" s="166">
        <f t="shared" si="21"/>
        <v>17976.94</v>
      </c>
      <c r="N340" s="55"/>
      <c r="O340" s="343" t="s">
        <v>1611</v>
      </c>
    </row>
    <row r="341" spans="1:15">
      <c r="A341" s="163">
        <v>46186</v>
      </c>
      <c r="B341" s="344" t="s">
        <v>1636</v>
      </c>
      <c r="C341" s="341">
        <v>0.4</v>
      </c>
      <c r="D341" s="341">
        <v>0.88</v>
      </c>
      <c r="E341" s="165">
        <v>224.95</v>
      </c>
      <c r="F341" s="10">
        <f t="shared" si="18"/>
        <v>206.4</v>
      </c>
      <c r="G341" s="10">
        <f t="shared" si="19"/>
        <v>18.55</v>
      </c>
      <c r="H341" s="4"/>
      <c r="I341" s="153">
        <f t="shared" si="20"/>
        <v>0.949944432096021</v>
      </c>
      <c r="J341" s="166">
        <v>22.49</v>
      </c>
      <c r="K341" s="166"/>
      <c r="L341" s="166">
        <v>213.69</v>
      </c>
      <c r="M341" s="166">
        <f t="shared" si="21"/>
        <v>17763.25</v>
      </c>
      <c r="N341" s="55"/>
      <c r="O341" s="343" t="s">
        <v>1611</v>
      </c>
    </row>
    <row r="342" spans="1:15">
      <c r="A342" s="163">
        <v>46186</v>
      </c>
      <c r="B342" s="344" t="s">
        <v>1637</v>
      </c>
      <c r="C342" s="341">
        <v>0.25</v>
      </c>
      <c r="D342" s="341">
        <v>0.88</v>
      </c>
      <c r="E342" s="165">
        <v>293.07</v>
      </c>
      <c r="F342" s="10">
        <f t="shared" si="18"/>
        <v>270.9</v>
      </c>
      <c r="G342" s="10">
        <f t="shared" si="19"/>
        <v>22.17</v>
      </c>
      <c r="H342" s="4"/>
      <c r="I342" s="153">
        <f t="shared" si="20"/>
        <v>0.949943699457467</v>
      </c>
      <c r="J342" s="166">
        <v>29.3</v>
      </c>
      <c r="K342" s="166"/>
      <c r="L342" s="166">
        <v>278.4</v>
      </c>
      <c r="M342" s="166">
        <f t="shared" si="21"/>
        <v>17484.85</v>
      </c>
      <c r="N342" s="55"/>
      <c r="O342" s="343" t="s">
        <v>1611</v>
      </c>
    </row>
    <row r="343" spans="1:15">
      <c r="A343" s="163">
        <v>46186</v>
      </c>
      <c r="B343" s="344" t="s">
        <v>1638</v>
      </c>
      <c r="C343" s="341">
        <v>0.46</v>
      </c>
      <c r="D343" s="341">
        <v>0.93</v>
      </c>
      <c r="E343" s="165">
        <v>193.895</v>
      </c>
      <c r="F343" s="10">
        <f t="shared" si="18"/>
        <v>202.1</v>
      </c>
      <c r="G343" s="10">
        <f t="shared" si="19"/>
        <v>-8.20500000000001</v>
      </c>
      <c r="H343" s="4"/>
      <c r="I343" s="153">
        <f t="shared" si="20"/>
        <v>0.949947136336677</v>
      </c>
      <c r="J343" s="166">
        <v>19.38</v>
      </c>
      <c r="K343" s="166"/>
      <c r="L343" s="166">
        <v>184.19</v>
      </c>
      <c r="M343" s="166">
        <f t="shared" si="21"/>
        <v>17300.66</v>
      </c>
      <c r="N343" s="55"/>
      <c r="O343" s="343" t="s">
        <v>1611</v>
      </c>
    </row>
    <row r="344" spans="1:15">
      <c r="A344" s="163">
        <v>46187</v>
      </c>
      <c r="B344" s="344" t="s">
        <v>1613</v>
      </c>
      <c r="C344" s="341">
        <v>0.39</v>
      </c>
      <c r="D344" s="341">
        <v>0.88</v>
      </c>
      <c r="E344" s="165">
        <v>230.608</v>
      </c>
      <c r="F344" s="10">
        <f t="shared" si="18"/>
        <v>210.7</v>
      </c>
      <c r="G344" s="10">
        <f t="shared" si="19"/>
        <v>19.908</v>
      </c>
      <c r="H344" s="4"/>
      <c r="I344" s="153">
        <f t="shared" si="20"/>
        <v>0.819962880732672</v>
      </c>
      <c r="J344" s="166">
        <v>23.06</v>
      </c>
      <c r="K344" s="166"/>
      <c r="L344" s="166">
        <v>189.09</v>
      </c>
      <c r="M344" s="166">
        <f t="shared" si="21"/>
        <v>17111.57</v>
      </c>
      <c r="N344" s="55"/>
      <c r="O344" s="343" t="s">
        <v>1611</v>
      </c>
    </row>
    <row r="345" spans="1:15">
      <c r="A345" s="163">
        <v>46187</v>
      </c>
      <c r="B345" s="344" t="s">
        <v>1639</v>
      </c>
      <c r="C345" s="341">
        <v>0.33</v>
      </c>
      <c r="D345" s="341">
        <v>0.92</v>
      </c>
      <c r="E345" s="165">
        <v>260.02</v>
      </c>
      <c r="F345" s="10">
        <f t="shared" si="18"/>
        <v>253.7</v>
      </c>
      <c r="G345" s="10">
        <f t="shared" si="19"/>
        <v>6.31999999999994</v>
      </c>
      <c r="H345" s="4"/>
      <c r="I345" s="153">
        <f t="shared" si="20"/>
        <v>0.669986924082763</v>
      </c>
      <c r="J345" s="166">
        <v>26</v>
      </c>
      <c r="K345" s="166"/>
      <c r="L345" s="166">
        <v>174.21</v>
      </c>
      <c r="M345" s="166">
        <f t="shared" si="21"/>
        <v>16937.36</v>
      </c>
      <c r="N345" s="55"/>
      <c r="O345" s="343" t="s">
        <v>1611</v>
      </c>
    </row>
    <row r="346" spans="1:15">
      <c r="A346" s="163">
        <v>46187</v>
      </c>
      <c r="B346" s="344" t="s">
        <v>1619</v>
      </c>
      <c r="C346" s="341">
        <v>0.44</v>
      </c>
      <c r="D346" s="341">
        <v>1</v>
      </c>
      <c r="E346" s="165">
        <v>246.004</v>
      </c>
      <c r="F346" s="10">
        <f t="shared" si="18"/>
        <v>240.8</v>
      </c>
      <c r="G346" s="10">
        <f t="shared" si="19"/>
        <v>5.20399999999998</v>
      </c>
      <c r="H346" s="4"/>
      <c r="I346" s="153">
        <f t="shared" si="20"/>
        <v>0.924212614429034</v>
      </c>
      <c r="J346" s="166">
        <v>24.6</v>
      </c>
      <c r="K346" s="166"/>
      <c r="L346" s="166">
        <v>227.36</v>
      </c>
      <c r="M346" s="166">
        <f t="shared" si="21"/>
        <v>16710</v>
      </c>
      <c r="N346" s="55"/>
      <c r="O346" s="343" t="s">
        <v>1611</v>
      </c>
    </row>
    <row r="347" spans="1:15">
      <c r="A347" s="163">
        <v>46187</v>
      </c>
      <c r="B347" s="344" t="s">
        <v>1628</v>
      </c>
      <c r="C347" s="341">
        <v>0.46</v>
      </c>
      <c r="D347" s="341">
        <v>0.98</v>
      </c>
      <c r="E347" s="165">
        <v>232.522</v>
      </c>
      <c r="F347" s="10">
        <f t="shared" si="18"/>
        <v>223.6</v>
      </c>
      <c r="G347" s="10">
        <f t="shared" si="19"/>
        <v>8.922</v>
      </c>
      <c r="H347" s="4"/>
      <c r="I347" s="153">
        <f t="shared" si="20"/>
        <v>0.949974626056889</v>
      </c>
      <c r="J347" s="166">
        <v>23.25</v>
      </c>
      <c r="K347" s="166"/>
      <c r="L347" s="166">
        <v>220.89</v>
      </c>
      <c r="M347" s="166">
        <f t="shared" si="21"/>
        <v>16489.11</v>
      </c>
      <c r="N347" s="55"/>
      <c r="O347" s="343" t="s">
        <v>1611</v>
      </c>
    </row>
    <row r="348" spans="1:15">
      <c r="A348" s="163">
        <v>46187</v>
      </c>
      <c r="B348" s="344" t="s">
        <v>1622</v>
      </c>
      <c r="C348" s="341">
        <v>0.42</v>
      </c>
      <c r="D348" s="341">
        <v>0.94</v>
      </c>
      <c r="E348" s="165">
        <v>243.751</v>
      </c>
      <c r="F348" s="10">
        <f t="shared" si="18"/>
        <v>223.6</v>
      </c>
      <c r="G348" s="10">
        <f t="shared" si="19"/>
        <v>20.151</v>
      </c>
      <c r="H348" s="4"/>
      <c r="I348" s="153">
        <f t="shared" si="20"/>
        <v>0.949944820739197</v>
      </c>
      <c r="J348" s="166">
        <v>24.37</v>
      </c>
      <c r="K348" s="166"/>
      <c r="L348" s="166">
        <v>231.55</v>
      </c>
      <c r="M348" s="166">
        <f t="shared" si="21"/>
        <v>16257.56</v>
      </c>
      <c r="N348" s="55"/>
      <c r="O348" s="343" t="s">
        <v>1611</v>
      </c>
    </row>
    <row r="349" spans="1:15">
      <c r="A349" s="163">
        <v>46187</v>
      </c>
      <c r="B349" s="344" t="s">
        <v>1640</v>
      </c>
      <c r="C349" s="341">
        <v>0.59</v>
      </c>
      <c r="D349" s="341">
        <v>0.87</v>
      </c>
      <c r="E349" s="165">
        <v>135.037</v>
      </c>
      <c r="F349" s="10">
        <f t="shared" si="18"/>
        <v>120.4</v>
      </c>
      <c r="G349" s="10">
        <f t="shared" si="19"/>
        <v>14.637</v>
      </c>
      <c r="H349" s="4"/>
      <c r="I349" s="153">
        <f t="shared" si="20"/>
        <v>0.949961862304405</v>
      </c>
      <c r="J349" s="166">
        <v>13.5</v>
      </c>
      <c r="K349" s="166"/>
      <c r="L349" s="166">
        <v>128.28</v>
      </c>
      <c r="M349" s="166">
        <f t="shared" si="21"/>
        <v>16129.28</v>
      </c>
      <c r="N349" s="55"/>
      <c r="O349" s="343" t="s">
        <v>1611</v>
      </c>
    </row>
    <row r="350" spans="1:15">
      <c r="A350" s="163">
        <v>46187</v>
      </c>
      <c r="B350" s="344" t="s">
        <v>1641</v>
      </c>
      <c r="C350" s="341">
        <v>0.48</v>
      </c>
      <c r="D350" s="341">
        <v>0.77</v>
      </c>
      <c r="E350" s="165">
        <v>130.66</v>
      </c>
      <c r="F350" s="10">
        <f t="shared" si="18"/>
        <v>124.7</v>
      </c>
      <c r="G350" s="10">
        <f t="shared" si="19"/>
        <v>5.95999999999998</v>
      </c>
      <c r="H350" s="4"/>
      <c r="I350" s="153">
        <f t="shared" si="20"/>
        <v>0.949946425838053</v>
      </c>
      <c r="J350" s="166">
        <v>13.06</v>
      </c>
      <c r="K350" s="166"/>
      <c r="L350" s="166">
        <v>124.12</v>
      </c>
      <c r="M350" s="166">
        <f t="shared" si="21"/>
        <v>16005.16</v>
      </c>
      <c r="N350" s="55"/>
      <c r="O350" s="343" t="s">
        <v>1611</v>
      </c>
    </row>
    <row r="351" spans="1:15">
      <c r="A351" s="163">
        <v>46187</v>
      </c>
      <c r="B351" s="344" t="s">
        <v>1626</v>
      </c>
      <c r="C351" s="341">
        <v>0.53</v>
      </c>
      <c r="D351" s="341">
        <v>0.89</v>
      </c>
      <c r="E351" s="165">
        <v>151.151</v>
      </c>
      <c r="F351" s="10">
        <f t="shared" si="18"/>
        <v>154.8</v>
      </c>
      <c r="G351" s="10">
        <f t="shared" si="19"/>
        <v>-3.64899999999997</v>
      </c>
      <c r="H351" s="4"/>
      <c r="I351" s="153">
        <f t="shared" si="20"/>
        <v>0.949911016136182</v>
      </c>
      <c r="J351" s="166">
        <v>15.11</v>
      </c>
      <c r="K351" s="166"/>
      <c r="L351" s="166">
        <v>143.58</v>
      </c>
      <c r="M351" s="166">
        <f t="shared" si="21"/>
        <v>15861.58</v>
      </c>
      <c r="N351" s="55"/>
      <c r="O351" s="343" t="s">
        <v>1611</v>
      </c>
    </row>
    <row r="352" spans="1:15">
      <c r="A352" s="163">
        <v>46187</v>
      </c>
      <c r="B352" s="344" t="s">
        <v>1642</v>
      </c>
      <c r="C352" s="341">
        <v>0.29</v>
      </c>
      <c r="D352" s="341">
        <v>0.89</v>
      </c>
      <c r="E352" s="165">
        <v>264.486</v>
      </c>
      <c r="F352" s="10">
        <f t="shared" si="18"/>
        <v>258</v>
      </c>
      <c r="G352" s="10">
        <f t="shared" si="19"/>
        <v>6.48599999999993</v>
      </c>
      <c r="H352" s="4"/>
      <c r="I352" s="153">
        <f t="shared" si="20"/>
        <v>0.94995576325401</v>
      </c>
      <c r="J352" s="166">
        <v>26.44</v>
      </c>
      <c r="K352" s="166"/>
      <c r="L352" s="166">
        <v>251.25</v>
      </c>
      <c r="M352" s="166">
        <f t="shared" si="21"/>
        <v>15610.33</v>
      </c>
      <c r="N352" s="55"/>
      <c r="O352" s="343" t="s">
        <v>1611</v>
      </c>
    </row>
    <row r="353" spans="1:15">
      <c r="A353" s="163">
        <v>46187</v>
      </c>
      <c r="B353" s="344" t="s">
        <v>1643</v>
      </c>
      <c r="C353" s="341">
        <v>0.48</v>
      </c>
      <c r="D353" s="341">
        <v>0.93</v>
      </c>
      <c r="E353" s="165">
        <v>203.772</v>
      </c>
      <c r="F353" s="10">
        <f t="shared" si="18"/>
        <v>193.5</v>
      </c>
      <c r="G353" s="10">
        <f t="shared" si="19"/>
        <v>10.272</v>
      </c>
      <c r="H353" s="4"/>
      <c r="I353" s="153">
        <f t="shared" si="20"/>
        <v>0.861551145397798</v>
      </c>
      <c r="J353" s="166">
        <v>20.37</v>
      </c>
      <c r="K353" s="166"/>
      <c r="L353" s="166">
        <v>175.56</v>
      </c>
      <c r="M353" s="166">
        <f t="shared" si="21"/>
        <v>15434.77</v>
      </c>
      <c r="N353" s="55"/>
      <c r="O353" s="343" t="s">
        <v>1611</v>
      </c>
    </row>
    <row r="354" spans="1:15">
      <c r="A354" s="163">
        <v>46187</v>
      </c>
      <c r="B354" s="344" t="s">
        <v>169</v>
      </c>
      <c r="C354" s="341">
        <v>0.51</v>
      </c>
      <c r="D354" s="341">
        <v>1</v>
      </c>
      <c r="E354" s="165">
        <v>218.983</v>
      </c>
      <c r="F354" s="10">
        <f t="shared" si="18"/>
        <v>210.7</v>
      </c>
      <c r="G354" s="10">
        <f t="shared" si="19"/>
        <v>8.28300000000002</v>
      </c>
      <c r="H354" s="4"/>
      <c r="I354" s="153">
        <f t="shared" si="20"/>
        <v>0.878378686930036</v>
      </c>
      <c r="J354" s="166">
        <v>21.89</v>
      </c>
      <c r="K354" s="166"/>
      <c r="L354" s="166">
        <v>192.35</v>
      </c>
      <c r="M354" s="166">
        <f t="shared" si="21"/>
        <v>15242.42</v>
      </c>
      <c r="N354" s="55"/>
      <c r="O354" s="343" t="s">
        <v>1611</v>
      </c>
    </row>
    <row r="355" spans="1:15">
      <c r="A355" s="163">
        <v>46187</v>
      </c>
      <c r="B355" s="344" t="s">
        <v>1644</v>
      </c>
      <c r="C355" s="341">
        <v>0.46</v>
      </c>
      <c r="D355" s="341">
        <v>0.99</v>
      </c>
      <c r="E355" s="165">
        <v>224.577</v>
      </c>
      <c r="F355" s="10">
        <f t="shared" si="18"/>
        <v>227.9</v>
      </c>
      <c r="G355" s="10">
        <f t="shared" si="19"/>
        <v>-3.32300000000001</v>
      </c>
      <c r="H355" s="4"/>
      <c r="I355" s="153">
        <f t="shared" si="20"/>
        <v>0.866785111565298</v>
      </c>
      <c r="J355" s="166">
        <v>22.45</v>
      </c>
      <c r="K355" s="166"/>
      <c r="L355" s="166">
        <v>194.66</v>
      </c>
      <c r="M355" s="166">
        <f t="shared" si="21"/>
        <v>15047.76</v>
      </c>
      <c r="N355" s="55"/>
      <c r="O355" s="343" t="s">
        <v>1611</v>
      </c>
    </row>
    <row r="356" spans="1:15">
      <c r="A356" s="163">
        <v>46187</v>
      </c>
      <c r="B356" s="344" t="s">
        <v>1620</v>
      </c>
      <c r="C356" s="341">
        <v>0.51</v>
      </c>
      <c r="D356" s="341">
        <v>0.78</v>
      </c>
      <c r="E356" s="165">
        <v>115.672</v>
      </c>
      <c r="F356" s="10">
        <f t="shared" si="18"/>
        <v>116.1</v>
      </c>
      <c r="G356" s="10">
        <f t="shared" si="19"/>
        <v>-0.428000000000011</v>
      </c>
      <c r="H356" s="4"/>
      <c r="I356" s="153">
        <f t="shared" si="20"/>
        <v>0.819904557714918</v>
      </c>
      <c r="J356" s="166">
        <v>11.56</v>
      </c>
      <c r="K356" s="166"/>
      <c r="L356" s="166">
        <v>94.84</v>
      </c>
      <c r="M356" s="166">
        <f t="shared" si="21"/>
        <v>14952.92</v>
      </c>
      <c r="N356" s="55"/>
      <c r="O356" s="343" t="s">
        <v>1611</v>
      </c>
    </row>
    <row r="357" spans="1:15">
      <c r="A357" s="163">
        <v>46187</v>
      </c>
      <c r="B357" s="344" t="s">
        <v>1645</v>
      </c>
      <c r="C357" s="341">
        <v>0.4</v>
      </c>
      <c r="D357" s="341">
        <v>0.92</v>
      </c>
      <c r="E357" s="165">
        <v>234.245</v>
      </c>
      <c r="F357" s="10">
        <f t="shared" si="18"/>
        <v>223.6</v>
      </c>
      <c r="G357" s="10">
        <f t="shared" si="19"/>
        <v>10.645</v>
      </c>
      <c r="H357" s="4"/>
      <c r="I357" s="153">
        <f t="shared" si="20"/>
        <v>0.949945569809388</v>
      </c>
      <c r="J357" s="166">
        <v>23.42</v>
      </c>
      <c r="K357" s="166"/>
      <c r="L357" s="166">
        <v>222.52</v>
      </c>
      <c r="M357" s="166">
        <f t="shared" si="21"/>
        <v>14730.4</v>
      </c>
      <c r="N357" s="55"/>
      <c r="O357" s="343" t="s">
        <v>1611</v>
      </c>
    </row>
    <row r="358" spans="1:15">
      <c r="A358" s="163">
        <v>46187</v>
      </c>
      <c r="B358" s="344" t="s">
        <v>1612</v>
      </c>
      <c r="C358" s="341">
        <v>0.56</v>
      </c>
      <c r="D358" s="341">
        <v>0.96</v>
      </c>
      <c r="E358" s="165">
        <v>210.843</v>
      </c>
      <c r="F358" s="10">
        <f t="shared" si="18"/>
        <v>172</v>
      </c>
      <c r="G358" s="10">
        <f t="shared" si="19"/>
        <v>38.843</v>
      </c>
      <c r="H358" s="4"/>
      <c r="I358" s="153">
        <f t="shared" si="20"/>
        <v>0.949948539908842</v>
      </c>
      <c r="J358" s="166">
        <v>21.08</v>
      </c>
      <c r="K358" s="166"/>
      <c r="L358" s="166">
        <v>200.29</v>
      </c>
      <c r="M358" s="166">
        <f t="shared" si="21"/>
        <v>14530.11</v>
      </c>
      <c r="N358" s="55"/>
      <c r="O358" s="343" t="s">
        <v>1611</v>
      </c>
    </row>
    <row r="359" spans="1:15">
      <c r="A359" s="163">
        <v>46187</v>
      </c>
      <c r="B359" s="344" t="s">
        <v>1616</v>
      </c>
      <c r="C359" s="341">
        <v>0.46</v>
      </c>
      <c r="D359" s="341">
        <v>0.95</v>
      </c>
      <c r="E359" s="165">
        <v>240.123</v>
      </c>
      <c r="F359" s="10">
        <f t="shared" si="18"/>
        <v>210.7</v>
      </c>
      <c r="G359" s="10">
        <f t="shared" si="19"/>
        <v>29.423</v>
      </c>
      <c r="H359" s="4"/>
      <c r="I359" s="153">
        <f t="shared" si="20"/>
        <v>0.949971472953445</v>
      </c>
      <c r="J359" s="166">
        <v>24.01</v>
      </c>
      <c r="K359" s="166"/>
      <c r="L359" s="166">
        <v>228.11</v>
      </c>
      <c r="M359" s="166">
        <f t="shared" si="21"/>
        <v>14302</v>
      </c>
      <c r="N359" s="55"/>
      <c r="O359" s="343" t="s">
        <v>1611</v>
      </c>
    </row>
    <row r="360" spans="1:15">
      <c r="A360" s="163">
        <v>46187</v>
      </c>
      <c r="B360" s="344" t="s">
        <v>1646</v>
      </c>
      <c r="C360" s="341">
        <v>0.31</v>
      </c>
      <c r="D360" s="341">
        <v>0.96</v>
      </c>
      <c r="E360" s="165">
        <v>292.934</v>
      </c>
      <c r="F360" s="10">
        <f t="shared" si="18"/>
        <v>279.5</v>
      </c>
      <c r="G360" s="10">
        <f t="shared" si="19"/>
        <v>13.4340000000001</v>
      </c>
      <c r="H360" s="4"/>
      <c r="I360" s="153">
        <f t="shared" si="20"/>
        <v>0.949975079710788</v>
      </c>
      <c r="J360" s="166">
        <v>29.29</v>
      </c>
      <c r="K360" s="166"/>
      <c r="L360" s="166">
        <v>278.28</v>
      </c>
      <c r="M360" s="166">
        <f t="shared" si="21"/>
        <v>14023.72</v>
      </c>
      <c r="N360" s="55"/>
      <c r="O360" s="343" t="s">
        <v>1611</v>
      </c>
    </row>
    <row r="361" spans="1:15">
      <c r="A361" s="163">
        <v>46187</v>
      </c>
      <c r="B361" s="344" t="s">
        <v>1634</v>
      </c>
      <c r="C361" s="341">
        <v>0.27</v>
      </c>
      <c r="D361" s="341">
        <v>0.91</v>
      </c>
      <c r="E361" s="165">
        <v>298.619</v>
      </c>
      <c r="F361" s="10">
        <f t="shared" si="18"/>
        <v>275.2</v>
      </c>
      <c r="G361" s="10">
        <f t="shared" si="19"/>
        <v>23.419</v>
      </c>
      <c r="H361" s="4"/>
      <c r="I361" s="153">
        <f t="shared" si="20"/>
        <v>0.949973042572643</v>
      </c>
      <c r="J361" s="166">
        <v>29.86</v>
      </c>
      <c r="K361" s="166"/>
      <c r="L361" s="166">
        <v>283.68</v>
      </c>
      <c r="M361" s="166">
        <f t="shared" si="21"/>
        <v>13740.04</v>
      </c>
      <c r="N361" s="55"/>
      <c r="O361" s="343" t="s">
        <v>1611</v>
      </c>
    </row>
    <row r="362" spans="1:15">
      <c r="A362" s="163">
        <v>46187</v>
      </c>
      <c r="B362" s="344" t="s">
        <v>1635</v>
      </c>
      <c r="C362" s="341">
        <v>0.27</v>
      </c>
      <c r="D362" s="341">
        <v>0.92</v>
      </c>
      <c r="E362" s="165">
        <v>304.839</v>
      </c>
      <c r="F362" s="10">
        <f t="shared" si="18"/>
        <v>279.5</v>
      </c>
      <c r="G362" s="10">
        <f t="shared" si="19"/>
        <v>25.339</v>
      </c>
      <c r="H362" s="4"/>
      <c r="I362" s="153">
        <f t="shared" si="20"/>
        <v>0.949976873037899</v>
      </c>
      <c r="J362" s="166">
        <v>30.48</v>
      </c>
      <c r="K362" s="166"/>
      <c r="L362" s="166">
        <v>289.59</v>
      </c>
      <c r="M362" s="166">
        <f t="shared" si="21"/>
        <v>13450.45</v>
      </c>
      <c r="N362" s="55"/>
      <c r="O362" s="343" t="s">
        <v>1611</v>
      </c>
    </row>
    <row r="363" spans="1:15">
      <c r="A363" s="163">
        <v>46187</v>
      </c>
      <c r="B363" s="344" t="s">
        <v>1647</v>
      </c>
      <c r="C363" s="341">
        <v>0.43</v>
      </c>
      <c r="D363" s="341">
        <v>0.99</v>
      </c>
      <c r="E363" s="165">
        <v>256.059</v>
      </c>
      <c r="F363" s="10">
        <f t="shared" si="18"/>
        <v>240.8</v>
      </c>
      <c r="G363" s="10">
        <f t="shared" si="19"/>
        <v>15.259</v>
      </c>
      <c r="H363" s="4"/>
      <c r="I363" s="153">
        <f t="shared" si="20"/>
        <v>0.94997637263287</v>
      </c>
      <c r="J363" s="166">
        <v>25.6</v>
      </c>
      <c r="K363" s="166"/>
      <c r="L363" s="166">
        <v>243.25</v>
      </c>
      <c r="M363" s="166">
        <f t="shared" si="21"/>
        <v>13207.2</v>
      </c>
      <c r="N363" s="55"/>
      <c r="O363" s="343" t="s">
        <v>1611</v>
      </c>
    </row>
    <row r="364" spans="1:15">
      <c r="A364" s="163">
        <v>46187</v>
      </c>
      <c r="B364" s="344" t="s">
        <v>1621</v>
      </c>
      <c r="C364" s="341">
        <v>0.45</v>
      </c>
      <c r="D364" s="341">
        <v>0.95</v>
      </c>
      <c r="E364" s="165">
        <v>217.404</v>
      </c>
      <c r="F364" s="10">
        <f t="shared" si="18"/>
        <v>215</v>
      </c>
      <c r="G364" s="10">
        <f t="shared" si="19"/>
        <v>2.40400000000002</v>
      </c>
      <c r="H364" s="4"/>
      <c r="I364" s="153">
        <f t="shared" si="20"/>
        <v>0.949982521020772</v>
      </c>
      <c r="J364" s="166">
        <v>21.74</v>
      </c>
      <c r="K364" s="166"/>
      <c r="L364" s="166">
        <v>206.53</v>
      </c>
      <c r="M364" s="166">
        <f t="shared" si="21"/>
        <v>13000.67</v>
      </c>
      <c r="N364" s="55"/>
      <c r="O364" s="343" t="s">
        <v>1611</v>
      </c>
    </row>
    <row r="365" spans="1:15">
      <c r="A365" s="163">
        <v>46187</v>
      </c>
      <c r="B365" s="344" t="s">
        <v>1648</v>
      </c>
      <c r="C365" s="341">
        <v>0.52</v>
      </c>
      <c r="D365" s="341">
        <v>0.94</v>
      </c>
      <c r="E365" s="165">
        <v>199.392</v>
      </c>
      <c r="F365" s="10">
        <f t="shared" si="18"/>
        <v>180.6</v>
      </c>
      <c r="G365" s="10">
        <f t="shared" si="19"/>
        <v>18.792</v>
      </c>
      <c r="H365" s="4"/>
      <c r="I365" s="153">
        <f t="shared" si="20"/>
        <v>0.949937810945274</v>
      </c>
      <c r="J365" s="166">
        <v>19.93</v>
      </c>
      <c r="K365" s="166"/>
      <c r="L365" s="166">
        <v>189.41</v>
      </c>
      <c r="M365" s="166">
        <f t="shared" si="21"/>
        <v>12811.26</v>
      </c>
      <c r="N365" s="55"/>
      <c r="O365" s="343" t="s">
        <v>1611</v>
      </c>
    </row>
    <row r="366" spans="1:15">
      <c r="A366" s="163">
        <v>46187</v>
      </c>
      <c r="B366" s="344" t="s">
        <v>1649</v>
      </c>
      <c r="C366" s="341">
        <v>0.34</v>
      </c>
      <c r="D366" s="341">
        <v>0.99</v>
      </c>
      <c r="E366" s="165">
        <v>292.424</v>
      </c>
      <c r="F366" s="10">
        <f t="shared" si="18"/>
        <v>279.5</v>
      </c>
      <c r="G366" s="10">
        <f t="shared" si="19"/>
        <v>12.924</v>
      </c>
      <c r="H366" s="4"/>
      <c r="I366" s="153">
        <f t="shared" si="20"/>
        <v>0.949990424862528</v>
      </c>
      <c r="J366" s="166">
        <v>29.24</v>
      </c>
      <c r="K366" s="166"/>
      <c r="L366" s="166">
        <v>277.8</v>
      </c>
      <c r="M366" s="166">
        <f t="shared" si="21"/>
        <v>12533.46</v>
      </c>
      <c r="N366" s="55"/>
      <c r="O366" s="343" t="s">
        <v>1611</v>
      </c>
    </row>
    <row r="367" spans="1:15">
      <c r="A367" s="163">
        <v>46187</v>
      </c>
      <c r="B367" s="344" t="s">
        <v>1650</v>
      </c>
      <c r="C367" s="341">
        <v>0.29</v>
      </c>
      <c r="D367" s="341">
        <v>0.92</v>
      </c>
      <c r="E367" s="165">
        <v>280.167</v>
      </c>
      <c r="F367" s="10">
        <f t="shared" si="18"/>
        <v>270.9</v>
      </c>
      <c r="G367" s="10">
        <f t="shared" si="19"/>
        <v>9.26699999999994</v>
      </c>
      <c r="H367" s="4"/>
      <c r="I367" s="153">
        <f t="shared" si="20"/>
        <v>0.949969125557257</v>
      </c>
      <c r="J367" s="166">
        <v>28.01</v>
      </c>
      <c r="K367" s="166"/>
      <c r="L367" s="166">
        <v>266.15</v>
      </c>
      <c r="M367" s="166">
        <f t="shared" si="21"/>
        <v>12267.31</v>
      </c>
      <c r="N367" s="55"/>
      <c r="O367" s="343" t="s">
        <v>1611</v>
      </c>
    </row>
    <row r="368" spans="1:15">
      <c r="A368" s="163">
        <v>46187</v>
      </c>
      <c r="B368" s="344" t="s">
        <v>1651</v>
      </c>
      <c r="C368" s="341">
        <v>0.05</v>
      </c>
      <c r="D368" s="341">
        <v>0.87</v>
      </c>
      <c r="E368" s="165">
        <v>361.544</v>
      </c>
      <c r="F368" s="10">
        <f t="shared" si="18"/>
        <v>352.6</v>
      </c>
      <c r="G368" s="10">
        <f t="shared" si="19"/>
        <v>8.94400000000002</v>
      </c>
      <c r="H368" s="4"/>
      <c r="I368" s="153">
        <f t="shared" si="20"/>
        <v>0.949981191777488</v>
      </c>
      <c r="J368" s="166">
        <v>36.15</v>
      </c>
      <c r="K368" s="166"/>
      <c r="L368" s="166">
        <v>343.46</v>
      </c>
      <c r="M368" s="166">
        <f t="shared" si="21"/>
        <v>11923.85</v>
      </c>
      <c r="N368" s="55"/>
      <c r="O368" s="343" t="s">
        <v>1611</v>
      </c>
    </row>
    <row r="369" spans="1:15">
      <c r="A369" s="163">
        <v>46187</v>
      </c>
      <c r="B369" s="344" t="s">
        <v>1625</v>
      </c>
      <c r="C369" s="341">
        <v>0.21</v>
      </c>
      <c r="D369" s="341">
        <v>0.91</v>
      </c>
      <c r="E369" s="165">
        <v>328.986</v>
      </c>
      <c r="F369" s="10">
        <f t="shared" si="18"/>
        <v>301</v>
      </c>
      <c r="G369" s="10">
        <f t="shared" si="19"/>
        <v>27.9859999999999</v>
      </c>
      <c r="H369" s="4"/>
      <c r="I369" s="153">
        <f t="shared" si="20"/>
        <v>0.949949237961494</v>
      </c>
      <c r="J369" s="166">
        <v>32.89</v>
      </c>
      <c r="K369" s="166"/>
      <c r="L369" s="166">
        <v>312.52</v>
      </c>
      <c r="M369" s="166">
        <f t="shared" si="21"/>
        <v>11611.33</v>
      </c>
      <c r="N369" s="55"/>
      <c r="O369" s="343" t="s">
        <v>1611</v>
      </c>
    </row>
    <row r="370" spans="1:15">
      <c r="A370" s="163">
        <v>46187</v>
      </c>
      <c r="B370" s="344" t="s">
        <v>1618</v>
      </c>
      <c r="C370" s="341">
        <v>0.49</v>
      </c>
      <c r="D370" s="341">
        <v>1</v>
      </c>
      <c r="E370" s="165">
        <v>228.977</v>
      </c>
      <c r="F370" s="10">
        <f t="shared" si="18"/>
        <v>219.3</v>
      </c>
      <c r="G370" s="10">
        <f t="shared" si="19"/>
        <v>9.67699999999999</v>
      </c>
      <c r="H370" s="4"/>
      <c r="I370" s="153">
        <f t="shared" si="20"/>
        <v>0.949964406905497</v>
      </c>
      <c r="J370" s="166">
        <v>22.89</v>
      </c>
      <c r="K370" s="166"/>
      <c r="L370" s="166">
        <v>217.52</v>
      </c>
      <c r="M370" s="166">
        <f t="shared" si="21"/>
        <v>11393.81</v>
      </c>
      <c r="N370" s="55"/>
      <c r="O370" s="343" t="s">
        <v>1611</v>
      </c>
    </row>
    <row r="371" spans="1:15">
      <c r="A371" s="163">
        <v>46187</v>
      </c>
      <c r="B371" s="344" t="s">
        <v>1652</v>
      </c>
      <c r="C371" s="341">
        <v>0.5</v>
      </c>
      <c r="D371" s="341">
        <v>0.9</v>
      </c>
      <c r="E371" s="165">
        <v>180.576</v>
      </c>
      <c r="F371" s="10">
        <f t="shared" si="18"/>
        <v>172</v>
      </c>
      <c r="G371" s="10">
        <f t="shared" si="19"/>
        <v>8.57599999999999</v>
      </c>
      <c r="H371" s="4"/>
      <c r="I371" s="153">
        <f t="shared" si="20"/>
        <v>0.949904749246855</v>
      </c>
      <c r="J371" s="166">
        <v>18.05</v>
      </c>
      <c r="K371" s="166"/>
      <c r="L371" s="166">
        <v>171.53</v>
      </c>
      <c r="M371" s="166">
        <f t="shared" si="21"/>
        <v>11222.28</v>
      </c>
      <c r="N371" s="55"/>
      <c r="O371" s="343" t="s">
        <v>1611</v>
      </c>
    </row>
    <row r="372" spans="1:15">
      <c r="A372" s="156">
        <v>46188</v>
      </c>
      <c r="B372" s="168" t="s">
        <v>66</v>
      </c>
      <c r="C372" s="341">
        <v>0.61</v>
      </c>
      <c r="D372" s="341">
        <v>0.95</v>
      </c>
      <c r="E372" s="159">
        <v>167.549</v>
      </c>
      <c r="F372" s="10">
        <f t="shared" si="18"/>
        <v>146.2</v>
      </c>
      <c r="G372" s="10">
        <f t="shared" si="19"/>
        <v>21.349</v>
      </c>
      <c r="H372" s="105"/>
      <c r="I372" s="153">
        <f t="shared" si="20"/>
        <v>0.949931064942196</v>
      </c>
      <c r="J372" s="162">
        <v>16.75</v>
      </c>
      <c r="K372" s="166"/>
      <c r="L372" s="162">
        <v>159.16</v>
      </c>
      <c r="M372" s="166">
        <f t="shared" si="21"/>
        <v>11063.12</v>
      </c>
      <c r="N372" s="117"/>
      <c r="O372" s="343" t="s">
        <v>1611</v>
      </c>
    </row>
    <row r="373" spans="1:15">
      <c r="A373" s="163">
        <v>46188</v>
      </c>
      <c r="B373" s="164" t="s">
        <v>51</v>
      </c>
      <c r="C373" s="341">
        <v>0.44</v>
      </c>
      <c r="D373" s="341">
        <v>0.96</v>
      </c>
      <c r="E373" s="165">
        <v>220.73</v>
      </c>
      <c r="F373" s="10">
        <f t="shared" si="18"/>
        <v>223.6</v>
      </c>
      <c r="G373" s="10">
        <f t="shared" si="19"/>
        <v>-2.87</v>
      </c>
      <c r="H373" s="105"/>
      <c r="I373" s="153">
        <f t="shared" si="20"/>
        <v>0.949984143523762</v>
      </c>
      <c r="J373" s="166">
        <v>22.07</v>
      </c>
      <c r="K373" s="166"/>
      <c r="L373" s="166">
        <v>209.69</v>
      </c>
      <c r="M373" s="166">
        <f t="shared" si="21"/>
        <v>10853.43</v>
      </c>
      <c r="N373" s="117"/>
      <c r="O373" s="343" t="s">
        <v>1611</v>
      </c>
    </row>
    <row r="374" spans="1:15">
      <c r="A374" s="163">
        <v>46188</v>
      </c>
      <c r="B374" s="164" t="s">
        <v>102</v>
      </c>
      <c r="C374" s="341">
        <v>0.51</v>
      </c>
      <c r="D374" s="341">
        <v>0.95</v>
      </c>
      <c r="E374" s="165">
        <v>212.748</v>
      </c>
      <c r="F374" s="10">
        <f t="shared" si="18"/>
        <v>189.2</v>
      </c>
      <c r="G374" s="10">
        <f t="shared" si="19"/>
        <v>23.548</v>
      </c>
      <c r="H374" s="105"/>
      <c r="I374" s="153">
        <f t="shared" si="20"/>
        <v>0.877470058472935</v>
      </c>
      <c r="J374" s="166">
        <v>21.26</v>
      </c>
      <c r="K374" s="166"/>
      <c r="L374" s="166">
        <v>186.68</v>
      </c>
      <c r="M374" s="166">
        <f t="shared" si="21"/>
        <v>10666.75</v>
      </c>
      <c r="N374" s="117"/>
      <c r="O374" s="343" t="s">
        <v>1611</v>
      </c>
    </row>
    <row r="375" spans="1:15">
      <c r="A375" s="163">
        <v>46188</v>
      </c>
      <c r="B375" s="164" t="s">
        <v>111</v>
      </c>
      <c r="C375" s="341">
        <v>0.38</v>
      </c>
      <c r="D375" s="341">
        <v>0.92</v>
      </c>
      <c r="E375" s="165">
        <v>227.614</v>
      </c>
      <c r="F375" s="10">
        <f t="shared" si="18"/>
        <v>232.2</v>
      </c>
      <c r="G375" s="10">
        <f t="shared" si="19"/>
        <v>-4.58600000000001</v>
      </c>
      <c r="H375" s="105"/>
      <c r="I375" s="153">
        <f t="shared" si="20"/>
        <v>0.87824123296458</v>
      </c>
      <c r="J375" s="166">
        <v>22.75</v>
      </c>
      <c r="K375" s="166"/>
      <c r="L375" s="166">
        <v>199.9</v>
      </c>
      <c r="M375" s="166">
        <f t="shared" si="21"/>
        <v>10466.85</v>
      </c>
      <c r="N375" s="117"/>
      <c r="O375" s="343" t="s">
        <v>1611</v>
      </c>
    </row>
    <row r="376" spans="1:15">
      <c r="A376" s="163">
        <v>46188</v>
      </c>
      <c r="B376" s="164" t="s">
        <v>57</v>
      </c>
      <c r="C376" s="341">
        <v>0.44</v>
      </c>
      <c r="D376" s="341">
        <v>0.93</v>
      </c>
      <c r="E376" s="165">
        <v>203.139</v>
      </c>
      <c r="F376" s="10">
        <f t="shared" si="18"/>
        <v>210.7</v>
      </c>
      <c r="G376" s="10">
        <f t="shared" si="19"/>
        <v>-7.56100000000001</v>
      </c>
      <c r="H376" s="105"/>
      <c r="I376" s="153">
        <f t="shared" si="20"/>
        <v>0.864875774715835</v>
      </c>
      <c r="J376" s="166">
        <v>20.3</v>
      </c>
      <c r="K376" s="166"/>
      <c r="L376" s="166">
        <v>175.69</v>
      </c>
      <c r="M376" s="166">
        <f t="shared" si="21"/>
        <v>10291.16</v>
      </c>
      <c r="N376" s="117"/>
      <c r="O376" s="343" t="s">
        <v>1611</v>
      </c>
    </row>
    <row r="377" spans="1:15">
      <c r="A377" s="163">
        <v>46188</v>
      </c>
      <c r="B377" s="164" t="s">
        <v>148</v>
      </c>
      <c r="C377" s="341">
        <v>0.64</v>
      </c>
      <c r="D377" s="341">
        <v>0.95</v>
      </c>
      <c r="E377" s="165">
        <v>146.71</v>
      </c>
      <c r="F377" s="10">
        <f t="shared" si="18"/>
        <v>133.3</v>
      </c>
      <c r="G377" s="10">
        <f t="shared" si="19"/>
        <v>13.41</v>
      </c>
      <c r="H377" s="105"/>
      <c r="I377" s="153">
        <f t="shared" si="20"/>
        <v>0.819985004430509</v>
      </c>
      <c r="J377" s="166">
        <v>14.67</v>
      </c>
      <c r="K377" s="166"/>
      <c r="L377" s="166">
        <v>120.3</v>
      </c>
      <c r="M377" s="166">
        <f t="shared" si="21"/>
        <v>10170.86</v>
      </c>
      <c r="N377" s="117"/>
      <c r="O377" s="343" t="s">
        <v>1611</v>
      </c>
    </row>
    <row r="378" spans="1:15">
      <c r="A378" s="163">
        <v>46188</v>
      </c>
      <c r="B378" s="164" t="s">
        <v>96</v>
      </c>
      <c r="C378" s="341">
        <v>0.53</v>
      </c>
      <c r="D378" s="341">
        <v>0.95</v>
      </c>
      <c r="E378" s="165">
        <v>196.803</v>
      </c>
      <c r="F378" s="10">
        <f t="shared" si="18"/>
        <v>180.6</v>
      </c>
      <c r="G378" s="10">
        <f t="shared" si="19"/>
        <v>16.203</v>
      </c>
      <c r="H378" s="105"/>
      <c r="I378" s="153">
        <f t="shared" si="20"/>
        <v>0.836521800988806</v>
      </c>
      <c r="J378" s="166">
        <v>19.67</v>
      </c>
      <c r="K378" s="166"/>
      <c r="L378" s="166">
        <v>164.63</v>
      </c>
      <c r="M378" s="166">
        <f t="shared" si="21"/>
        <v>10006.23</v>
      </c>
      <c r="N378" s="117"/>
      <c r="O378" s="343" t="s">
        <v>1611</v>
      </c>
    </row>
    <row r="379" spans="1:15">
      <c r="A379" s="163">
        <v>46188</v>
      </c>
      <c r="B379" s="164" t="s">
        <v>141</v>
      </c>
      <c r="C379" s="341">
        <v>0.29</v>
      </c>
      <c r="D379" s="341">
        <v>0.29</v>
      </c>
      <c r="E379" s="165">
        <v>1.685</v>
      </c>
      <c r="F379" s="10">
        <f t="shared" si="18"/>
        <v>0</v>
      </c>
      <c r="G379" s="10">
        <f t="shared" si="19"/>
        <v>1.685</v>
      </c>
      <c r="H379" s="105"/>
      <c r="I379" s="153">
        <f t="shared" si="20"/>
        <v>0.943620178041543</v>
      </c>
      <c r="J379" s="166">
        <v>0.16</v>
      </c>
      <c r="K379" s="166"/>
      <c r="L379" s="166">
        <v>1.59</v>
      </c>
      <c r="M379" s="166">
        <f t="shared" si="21"/>
        <v>10004.64</v>
      </c>
      <c r="N379" s="117"/>
      <c r="O379" s="343" t="s">
        <v>1611</v>
      </c>
    </row>
    <row r="380" spans="1:15">
      <c r="A380" s="163">
        <v>46188</v>
      </c>
      <c r="B380" s="164" t="s">
        <v>141</v>
      </c>
      <c r="C380" s="341">
        <v>0.29</v>
      </c>
      <c r="D380" s="341">
        <v>0.29</v>
      </c>
      <c r="E380" s="165">
        <v>0.933</v>
      </c>
      <c r="F380" s="10">
        <f t="shared" ref="F380:F443" si="22">(D380-C380)*430</f>
        <v>0</v>
      </c>
      <c r="G380" s="10">
        <f t="shared" ref="G380:G443" si="23">E380-F380</f>
        <v>0.933</v>
      </c>
      <c r="H380" s="105"/>
      <c r="I380" s="153">
        <f t="shared" si="20"/>
        <v>0.943193997856377</v>
      </c>
      <c r="J380" s="166">
        <v>0.09</v>
      </c>
      <c r="K380" s="166"/>
      <c r="L380" s="166">
        <v>0.88</v>
      </c>
      <c r="M380" s="166">
        <f t="shared" si="21"/>
        <v>10003.76</v>
      </c>
      <c r="N380" s="117"/>
      <c r="O380" s="343" t="s">
        <v>1611</v>
      </c>
    </row>
    <row r="381" spans="1:15">
      <c r="A381" s="163">
        <v>46188</v>
      </c>
      <c r="B381" s="164" t="s">
        <v>69</v>
      </c>
      <c r="C381" s="341">
        <v>0.28</v>
      </c>
      <c r="D381" s="341">
        <v>0.92</v>
      </c>
      <c r="E381" s="165">
        <v>295.637</v>
      </c>
      <c r="F381" s="10">
        <f t="shared" si="22"/>
        <v>275.2</v>
      </c>
      <c r="G381" s="10">
        <f t="shared" si="23"/>
        <v>20.437</v>
      </c>
      <c r="H381" s="105"/>
      <c r="I381" s="153">
        <f t="shared" si="20"/>
        <v>0.925053359356238</v>
      </c>
      <c r="J381" s="166">
        <v>29.56</v>
      </c>
      <c r="K381" s="166"/>
      <c r="L381" s="166">
        <v>273.48</v>
      </c>
      <c r="M381" s="166">
        <f t="shared" si="21"/>
        <v>9730.28</v>
      </c>
      <c r="N381" s="117"/>
      <c r="O381" s="343" t="s">
        <v>1611</v>
      </c>
    </row>
    <row r="382" spans="1:15">
      <c r="A382" s="163">
        <v>46188</v>
      </c>
      <c r="B382" s="164" t="s">
        <v>87</v>
      </c>
      <c r="C382" s="341">
        <v>0.49</v>
      </c>
      <c r="D382" s="341">
        <v>0.86</v>
      </c>
      <c r="E382" s="165">
        <v>173.533</v>
      </c>
      <c r="F382" s="10">
        <f t="shared" si="22"/>
        <v>159.1</v>
      </c>
      <c r="G382" s="10">
        <f t="shared" si="23"/>
        <v>14.433</v>
      </c>
      <c r="H382" s="105"/>
      <c r="I382" s="153">
        <f t="shared" si="20"/>
        <v>0.949963407536319</v>
      </c>
      <c r="J382" s="166">
        <v>17.35</v>
      </c>
      <c r="K382" s="166"/>
      <c r="L382" s="166">
        <v>164.85</v>
      </c>
      <c r="M382" s="166">
        <f t="shared" si="21"/>
        <v>9565.43</v>
      </c>
      <c r="N382" s="117"/>
      <c r="O382" s="343" t="s">
        <v>1611</v>
      </c>
    </row>
    <row r="383" spans="1:15">
      <c r="A383" s="163">
        <v>46188</v>
      </c>
      <c r="B383" s="164" t="s">
        <v>78</v>
      </c>
      <c r="C383" s="341">
        <v>0.28</v>
      </c>
      <c r="D383" s="341">
        <v>0.85</v>
      </c>
      <c r="E383" s="165">
        <v>266.247</v>
      </c>
      <c r="F383" s="10">
        <f t="shared" si="22"/>
        <v>245.1</v>
      </c>
      <c r="G383" s="10">
        <f t="shared" si="23"/>
        <v>21.147</v>
      </c>
      <c r="H383" s="105"/>
      <c r="I383" s="153">
        <f t="shared" si="20"/>
        <v>0.949944975905832</v>
      </c>
      <c r="J383" s="166">
        <v>26.62</v>
      </c>
      <c r="K383" s="166"/>
      <c r="L383" s="166">
        <v>252.92</v>
      </c>
      <c r="M383" s="166">
        <f t="shared" si="21"/>
        <v>9312.51</v>
      </c>
      <c r="N383" s="117"/>
      <c r="O383" s="343" t="s">
        <v>1611</v>
      </c>
    </row>
    <row r="384" spans="1:15">
      <c r="A384" s="163">
        <v>46188</v>
      </c>
      <c r="B384" s="164" t="s">
        <v>54</v>
      </c>
      <c r="C384" s="341">
        <v>0.45</v>
      </c>
      <c r="D384" s="341">
        <v>0.91</v>
      </c>
      <c r="E384" s="165">
        <v>192.055</v>
      </c>
      <c r="F384" s="10">
        <f t="shared" si="22"/>
        <v>197.8</v>
      </c>
      <c r="G384" s="10">
        <f t="shared" si="23"/>
        <v>-5.745</v>
      </c>
      <c r="H384" s="105"/>
      <c r="I384" s="153">
        <f t="shared" si="20"/>
        <v>0.949936216188071</v>
      </c>
      <c r="J384" s="166">
        <v>19.2</v>
      </c>
      <c r="K384" s="166"/>
      <c r="L384" s="166">
        <v>182.44</v>
      </c>
      <c r="M384" s="166">
        <f t="shared" si="21"/>
        <v>9130.07</v>
      </c>
      <c r="N384" s="117"/>
      <c r="O384" s="343" t="s">
        <v>1611</v>
      </c>
    </row>
    <row r="385" spans="1:15">
      <c r="A385" s="163">
        <v>46188</v>
      </c>
      <c r="B385" s="164" t="s">
        <v>60</v>
      </c>
      <c r="C385" s="341">
        <v>0.63</v>
      </c>
      <c r="D385" s="341">
        <v>0.99</v>
      </c>
      <c r="E385" s="165">
        <v>151.588</v>
      </c>
      <c r="F385" s="10">
        <f t="shared" si="22"/>
        <v>154.8</v>
      </c>
      <c r="G385" s="10">
        <f t="shared" si="23"/>
        <v>-3.21199999999999</v>
      </c>
      <c r="H385" s="105"/>
      <c r="I385" s="153">
        <f t="shared" si="20"/>
        <v>0.949877298994643</v>
      </c>
      <c r="J385" s="166">
        <v>15.15</v>
      </c>
      <c r="K385" s="166"/>
      <c r="L385" s="166">
        <v>143.99</v>
      </c>
      <c r="M385" s="166">
        <f t="shared" si="21"/>
        <v>8986.08</v>
      </c>
      <c r="N385" s="117"/>
      <c r="O385" s="343" t="s">
        <v>1611</v>
      </c>
    </row>
    <row r="386" spans="1:15">
      <c r="A386" s="163">
        <v>46188</v>
      </c>
      <c r="B386" s="164" t="s">
        <v>141</v>
      </c>
      <c r="C386" s="341">
        <v>0.3</v>
      </c>
      <c r="D386" s="341">
        <v>0.95</v>
      </c>
      <c r="E386" s="165">
        <v>289.831</v>
      </c>
      <c r="F386" s="10">
        <f t="shared" si="22"/>
        <v>279.5</v>
      </c>
      <c r="G386" s="10">
        <f t="shared" si="23"/>
        <v>10.3310000000001</v>
      </c>
      <c r="H386" s="105"/>
      <c r="I386" s="153">
        <f t="shared" si="20"/>
        <v>0.949967394792137</v>
      </c>
      <c r="J386" s="166">
        <v>28.98</v>
      </c>
      <c r="K386" s="166"/>
      <c r="L386" s="166">
        <v>275.33</v>
      </c>
      <c r="M386" s="166">
        <f t="shared" si="21"/>
        <v>8710.75</v>
      </c>
      <c r="N386" s="117"/>
      <c r="O386" s="343" t="s">
        <v>1611</v>
      </c>
    </row>
    <row r="387" spans="1:15">
      <c r="A387" s="163">
        <v>46188</v>
      </c>
      <c r="B387" s="164" t="s">
        <v>124</v>
      </c>
      <c r="C387" s="341">
        <v>0.37</v>
      </c>
      <c r="D387" s="341">
        <v>0.92</v>
      </c>
      <c r="E387" s="165">
        <v>233.521</v>
      </c>
      <c r="F387" s="10">
        <f t="shared" si="22"/>
        <v>236.5</v>
      </c>
      <c r="G387" s="10">
        <f t="shared" si="23"/>
        <v>-2.97900000000004</v>
      </c>
      <c r="H387" s="105"/>
      <c r="I387" s="153">
        <f t="shared" ref="I387:I450" si="24">L387/E387</f>
        <v>0.949978802762921</v>
      </c>
      <c r="J387" s="166">
        <v>23.35</v>
      </c>
      <c r="K387" s="166"/>
      <c r="L387" s="166">
        <v>221.84</v>
      </c>
      <c r="M387" s="166">
        <f t="shared" ref="M387:M450" si="25">M386+K387-L387</f>
        <v>8488.91</v>
      </c>
      <c r="N387" s="117"/>
      <c r="O387" s="343" t="s">
        <v>1611</v>
      </c>
    </row>
    <row r="388" spans="1:15">
      <c r="A388" s="163">
        <v>46188</v>
      </c>
      <c r="B388" s="164" t="s">
        <v>144</v>
      </c>
      <c r="C388" s="341">
        <v>0.33</v>
      </c>
      <c r="D388" s="341">
        <v>0.99</v>
      </c>
      <c r="E388" s="165">
        <v>291.896</v>
      </c>
      <c r="F388" s="10">
        <f t="shared" si="22"/>
        <v>283.8</v>
      </c>
      <c r="G388" s="10">
        <f t="shared" si="23"/>
        <v>8.09600000000006</v>
      </c>
      <c r="H388" s="105"/>
      <c r="I388" s="153">
        <f t="shared" si="24"/>
        <v>0.94996163016965</v>
      </c>
      <c r="J388" s="166">
        <v>29.18</v>
      </c>
      <c r="K388" s="166"/>
      <c r="L388" s="166">
        <v>277.29</v>
      </c>
      <c r="M388" s="166">
        <f t="shared" si="25"/>
        <v>8211.62</v>
      </c>
      <c r="N388" s="117"/>
      <c r="O388" s="343" t="s">
        <v>1611</v>
      </c>
    </row>
    <row r="389" spans="1:15">
      <c r="A389" s="163">
        <v>46188</v>
      </c>
      <c r="B389" s="164" t="s">
        <v>132</v>
      </c>
      <c r="C389" s="341">
        <v>0.54</v>
      </c>
      <c r="D389" s="341">
        <v>0.85</v>
      </c>
      <c r="E389" s="165">
        <v>143.184</v>
      </c>
      <c r="F389" s="10">
        <f t="shared" si="22"/>
        <v>133.3</v>
      </c>
      <c r="G389" s="10">
        <f t="shared" si="23"/>
        <v>9.88400000000001</v>
      </c>
      <c r="H389" s="105"/>
      <c r="I389" s="153">
        <f t="shared" si="24"/>
        <v>0.949896636495698</v>
      </c>
      <c r="J389" s="166">
        <v>14.31</v>
      </c>
      <c r="K389" s="166"/>
      <c r="L389" s="166">
        <v>136.01</v>
      </c>
      <c r="M389" s="166">
        <f t="shared" si="25"/>
        <v>8075.61</v>
      </c>
      <c r="N389" s="117"/>
      <c r="O389" s="343" t="s">
        <v>1611</v>
      </c>
    </row>
    <row r="390" spans="1:15">
      <c r="A390" s="163">
        <v>46188</v>
      </c>
      <c r="B390" s="164" t="s">
        <v>127</v>
      </c>
      <c r="C390" s="341">
        <v>0.43</v>
      </c>
      <c r="D390" s="341">
        <v>0.96</v>
      </c>
      <c r="E390" s="165">
        <v>224.503</v>
      </c>
      <c r="F390" s="10">
        <f t="shared" si="22"/>
        <v>227.9</v>
      </c>
      <c r="G390" s="10">
        <f t="shared" si="23"/>
        <v>-3.39700000000002</v>
      </c>
      <c r="H390" s="105"/>
      <c r="I390" s="153">
        <f t="shared" si="24"/>
        <v>0.949965033874826</v>
      </c>
      <c r="J390" s="166">
        <v>22.45</v>
      </c>
      <c r="K390" s="166"/>
      <c r="L390" s="166">
        <v>213.27</v>
      </c>
      <c r="M390" s="166">
        <f t="shared" si="25"/>
        <v>7862.34</v>
      </c>
      <c r="N390" s="117"/>
      <c r="O390" s="343" t="s">
        <v>1611</v>
      </c>
    </row>
    <row r="391" spans="1:15">
      <c r="A391" s="163">
        <v>46188</v>
      </c>
      <c r="B391" s="164" t="s">
        <v>117</v>
      </c>
      <c r="C391" s="341">
        <v>0.38</v>
      </c>
      <c r="D391" s="341">
        <v>0.89</v>
      </c>
      <c r="E391" s="165">
        <v>215.534</v>
      </c>
      <c r="F391" s="10">
        <f t="shared" si="22"/>
        <v>219.3</v>
      </c>
      <c r="G391" s="10">
        <f t="shared" si="23"/>
        <v>-3.76600000000002</v>
      </c>
      <c r="H391" s="105"/>
      <c r="I391" s="153">
        <f t="shared" si="24"/>
        <v>0.949966130633682</v>
      </c>
      <c r="J391" s="166">
        <v>21.55</v>
      </c>
      <c r="K391" s="166"/>
      <c r="L391" s="166">
        <v>204.75</v>
      </c>
      <c r="M391" s="166">
        <f t="shared" si="25"/>
        <v>7657.59</v>
      </c>
      <c r="N391" s="117"/>
      <c r="O391" s="343" t="s">
        <v>1611</v>
      </c>
    </row>
    <row r="392" spans="1:15">
      <c r="A392" s="163">
        <v>46188</v>
      </c>
      <c r="B392" s="164" t="s">
        <v>138</v>
      </c>
      <c r="C392" s="341">
        <v>0.17</v>
      </c>
      <c r="D392" s="341">
        <v>0.9</v>
      </c>
      <c r="E392" s="165">
        <v>322.435</v>
      </c>
      <c r="F392" s="10">
        <f t="shared" si="22"/>
        <v>313.9</v>
      </c>
      <c r="G392" s="10">
        <f t="shared" si="23"/>
        <v>8.53500000000002</v>
      </c>
      <c r="H392" s="105"/>
      <c r="I392" s="153">
        <f t="shared" si="24"/>
        <v>0.94995890644626</v>
      </c>
      <c r="J392" s="166">
        <v>32.24</v>
      </c>
      <c r="K392" s="166"/>
      <c r="L392" s="166">
        <v>306.3</v>
      </c>
      <c r="M392" s="166">
        <f t="shared" si="25"/>
        <v>7351.29</v>
      </c>
      <c r="N392" s="117"/>
      <c r="O392" s="343" t="s">
        <v>1611</v>
      </c>
    </row>
    <row r="393" spans="1:15">
      <c r="A393" s="163">
        <v>46188</v>
      </c>
      <c r="B393" s="164" t="s">
        <v>151</v>
      </c>
      <c r="C393" s="341">
        <v>0.25</v>
      </c>
      <c r="D393" s="341">
        <v>0.62</v>
      </c>
      <c r="E393" s="165">
        <v>165.797</v>
      </c>
      <c r="F393" s="10">
        <f t="shared" si="22"/>
        <v>159.1</v>
      </c>
      <c r="G393" s="10">
        <f t="shared" si="23"/>
        <v>6.697</v>
      </c>
      <c r="H393" s="105"/>
      <c r="I393" s="153">
        <f t="shared" si="24"/>
        <v>0.949896560251392</v>
      </c>
      <c r="J393" s="166">
        <v>16.57</v>
      </c>
      <c r="K393" s="166"/>
      <c r="L393" s="166">
        <v>157.49</v>
      </c>
      <c r="M393" s="166">
        <f t="shared" si="25"/>
        <v>7193.8</v>
      </c>
      <c r="N393" s="117"/>
      <c r="O393" s="343" t="s">
        <v>1611</v>
      </c>
    </row>
    <row r="394" spans="1:15">
      <c r="A394" s="163">
        <v>46188</v>
      </c>
      <c r="B394" s="164" t="s">
        <v>63</v>
      </c>
      <c r="C394" s="341">
        <v>0.52</v>
      </c>
      <c r="D394" s="341">
        <v>0.95</v>
      </c>
      <c r="E394" s="165">
        <v>213.714</v>
      </c>
      <c r="F394" s="10">
        <f t="shared" si="22"/>
        <v>184.9</v>
      </c>
      <c r="G394" s="10">
        <f t="shared" si="23"/>
        <v>28.814</v>
      </c>
      <c r="H394" s="105"/>
      <c r="I394" s="153">
        <f t="shared" si="24"/>
        <v>0.949961163049683</v>
      </c>
      <c r="J394" s="166">
        <v>21.37</v>
      </c>
      <c r="K394" s="166"/>
      <c r="L394" s="166">
        <v>203.02</v>
      </c>
      <c r="M394" s="166">
        <f t="shared" si="25"/>
        <v>6990.78</v>
      </c>
      <c r="N394" s="117"/>
      <c r="O394" s="343" t="s">
        <v>1611</v>
      </c>
    </row>
    <row r="395" spans="1:15">
      <c r="A395" s="163">
        <v>46188</v>
      </c>
      <c r="B395" s="164" t="s">
        <v>90</v>
      </c>
      <c r="C395" s="341">
        <v>0.39</v>
      </c>
      <c r="D395" s="341">
        <v>0.9</v>
      </c>
      <c r="E395" s="165">
        <v>235.034</v>
      </c>
      <c r="F395" s="10">
        <f t="shared" si="22"/>
        <v>219.3</v>
      </c>
      <c r="G395" s="10">
        <f t="shared" si="23"/>
        <v>15.734</v>
      </c>
      <c r="H395" s="105"/>
      <c r="I395" s="153">
        <f t="shared" si="24"/>
        <v>0.94994766714603</v>
      </c>
      <c r="J395" s="166">
        <v>23.5</v>
      </c>
      <c r="K395" s="166"/>
      <c r="L395" s="166">
        <v>223.27</v>
      </c>
      <c r="M395" s="166">
        <f t="shared" si="25"/>
        <v>6767.51</v>
      </c>
      <c r="N395" s="117"/>
      <c r="O395" s="343" t="s">
        <v>1611</v>
      </c>
    </row>
    <row r="396" spans="1:15">
      <c r="A396" s="163">
        <v>46188</v>
      </c>
      <c r="B396" s="164" t="s">
        <v>84</v>
      </c>
      <c r="C396" s="341">
        <v>0.37</v>
      </c>
      <c r="D396" s="341">
        <v>0.92</v>
      </c>
      <c r="E396" s="165">
        <v>257.808</v>
      </c>
      <c r="F396" s="10">
        <f t="shared" si="22"/>
        <v>236.5</v>
      </c>
      <c r="G396" s="10">
        <f t="shared" si="23"/>
        <v>21.308</v>
      </c>
      <c r="H396" s="105"/>
      <c r="I396" s="153">
        <f t="shared" si="24"/>
        <v>0.949970520697573</v>
      </c>
      <c r="J396" s="166">
        <v>25.78</v>
      </c>
      <c r="K396" s="166"/>
      <c r="L396" s="166">
        <v>244.91</v>
      </c>
      <c r="M396" s="166">
        <f t="shared" si="25"/>
        <v>6522.6</v>
      </c>
      <c r="N396" s="117"/>
      <c r="O396" s="343" t="s">
        <v>1611</v>
      </c>
    </row>
    <row r="397" spans="1:15">
      <c r="A397" s="163">
        <v>46188</v>
      </c>
      <c r="B397" s="164" t="s">
        <v>93</v>
      </c>
      <c r="C397" s="341">
        <v>0.29</v>
      </c>
      <c r="D397" s="341">
        <v>0.9</v>
      </c>
      <c r="E397" s="165">
        <v>282.161</v>
      </c>
      <c r="F397" s="10">
        <f t="shared" si="22"/>
        <v>262.3</v>
      </c>
      <c r="G397" s="10">
        <f t="shared" si="23"/>
        <v>19.8609999999999</v>
      </c>
      <c r="H397" s="105"/>
      <c r="I397" s="153">
        <f t="shared" si="24"/>
        <v>0.949954104217096</v>
      </c>
      <c r="J397" s="166">
        <v>28.21</v>
      </c>
      <c r="K397" s="166"/>
      <c r="L397" s="166">
        <v>268.04</v>
      </c>
      <c r="M397" s="166">
        <f t="shared" si="25"/>
        <v>6254.56</v>
      </c>
      <c r="N397" s="117"/>
      <c r="O397" s="343" t="s">
        <v>1611</v>
      </c>
    </row>
    <row r="398" spans="1:15">
      <c r="A398" s="163">
        <v>46188</v>
      </c>
      <c r="B398" s="164" t="s">
        <v>75</v>
      </c>
      <c r="C398" s="341">
        <v>0.36</v>
      </c>
      <c r="D398" s="341">
        <v>0.6</v>
      </c>
      <c r="E398" s="165">
        <v>112.171</v>
      </c>
      <c r="F398" s="10">
        <f t="shared" si="22"/>
        <v>103.2</v>
      </c>
      <c r="G398" s="10">
        <f t="shared" si="23"/>
        <v>8.971</v>
      </c>
      <c r="H398" s="105"/>
      <c r="I398" s="153">
        <f t="shared" si="24"/>
        <v>0.949889008745576</v>
      </c>
      <c r="J398" s="166">
        <v>11.21</v>
      </c>
      <c r="K398" s="166"/>
      <c r="L398" s="166">
        <v>106.55</v>
      </c>
      <c r="M398" s="166">
        <f t="shared" si="25"/>
        <v>6148.01</v>
      </c>
      <c r="N398" s="117"/>
      <c r="O398" s="343" t="s">
        <v>1611</v>
      </c>
    </row>
    <row r="399" spans="1:15">
      <c r="A399" s="163">
        <v>46188</v>
      </c>
      <c r="B399" s="164" t="s">
        <v>177</v>
      </c>
      <c r="C399" s="341">
        <v>0.38</v>
      </c>
      <c r="D399" s="341">
        <v>0.92</v>
      </c>
      <c r="E399" s="165">
        <v>240.439</v>
      </c>
      <c r="F399" s="10">
        <f t="shared" si="22"/>
        <v>232.2</v>
      </c>
      <c r="G399" s="10">
        <f t="shared" si="23"/>
        <v>8.23899999999998</v>
      </c>
      <c r="H399" s="105"/>
      <c r="I399" s="153">
        <f t="shared" si="24"/>
        <v>0.949970678633666</v>
      </c>
      <c r="J399" s="166">
        <v>24.04</v>
      </c>
      <c r="K399" s="166"/>
      <c r="L399" s="166">
        <v>228.41</v>
      </c>
      <c r="M399" s="166">
        <f t="shared" si="25"/>
        <v>5919.6</v>
      </c>
      <c r="N399" s="117"/>
      <c r="O399" s="343" t="s">
        <v>1611</v>
      </c>
    </row>
    <row r="400" spans="1:15">
      <c r="A400" s="163">
        <v>46188</v>
      </c>
      <c r="B400" s="164" t="s">
        <v>108</v>
      </c>
      <c r="C400" s="341">
        <v>0.35</v>
      </c>
      <c r="D400" s="341">
        <v>0.96</v>
      </c>
      <c r="E400" s="165">
        <v>290.181</v>
      </c>
      <c r="F400" s="10">
        <f t="shared" si="22"/>
        <v>262.3</v>
      </c>
      <c r="G400" s="10">
        <f t="shared" si="23"/>
        <v>27.881</v>
      </c>
      <c r="H400" s="105"/>
      <c r="I400" s="153">
        <f t="shared" si="24"/>
        <v>0.949958818806193</v>
      </c>
      <c r="J400" s="166">
        <v>29.01</v>
      </c>
      <c r="K400" s="166"/>
      <c r="L400" s="166">
        <v>275.66</v>
      </c>
      <c r="M400" s="166">
        <f t="shared" si="25"/>
        <v>5643.94</v>
      </c>
      <c r="N400" s="117"/>
      <c r="O400" s="343" t="s">
        <v>1611</v>
      </c>
    </row>
    <row r="401" spans="1:15">
      <c r="A401" s="163">
        <v>46188</v>
      </c>
      <c r="B401" s="164" t="s">
        <v>160</v>
      </c>
      <c r="C401" s="341">
        <v>0.25</v>
      </c>
      <c r="D401" s="341">
        <v>0.9</v>
      </c>
      <c r="E401" s="165">
        <v>289.859</v>
      </c>
      <c r="F401" s="10">
        <f t="shared" si="22"/>
        <v>279.5</v>
      </c>
      <c r="G401" s="10">
        <f t="shared" si="23"/>
        <v>10.359</v>
      </c>
      <c r="H401" s="105"/>
      <c r="I401" s="153">
        <f t="shared" si="24"/>
        <v>0.949979127782819</v>
      </c>
      <c r="J401" s="166">
        <v>28.98</v>
      </c>
      <c r="K401" s="166"/>
      <c r="L401" s="166">
        <v>275.36</v>
      </c>
      <c r="M401" s="166">
        <f t="shared" si="25"/>
        <v>5368.58</v>
      </c>
      <c r="N401" s="117"/>
      <c r="O401" s="343" t="s">
        <v>1611</v>
      </c>
    </row>
    <row r="402" spans="1:15">
      <c r="A402" s="163">
        <v>46188</v>
      </c>
      <c r="B402" s="164" t="s">
        <v>66</v>
      </c>
      <c r="C402" s="341">
        <v>0.36</v>
      </c>
      <c r="D402" s="341">
        <v>0.98</v>
      </c>
      <c r="E402" s="165">
        <v>298.397</v>
      </c>
      <c r="F402" s="10">
        <f t="shared" si="22"/>
        <v>266.6</v>
      </c>
      <c r="G402" s="10">
        <f t="shared" si="23"/>
        <v>31.797</v>
      </c>
      <c r="H402" s="105"/>
      <c r="I402" s="153">
        <f t="shared" si="24"/>
        <v>0.949942526231832</v>
      </c>
      <c r="J402" s="166">
        <v>29.83</v>
      </c>
      <c r="K402" s="166"/>
      <c r="L402" s="166">
        <v>283.46</v>
      </c>
      <c r="M402" s="166">
        <f t="shared" si="25"/>
        <v>5085.12</v>
      </c>
      <c r="N402" s="117"/>
      <c r="O402" s="343" t="s">
        <v>1611</v>
      </c>
    </row>
    <row r="403" spans="1:15">
      <c r="A403" s="163">
        <v>46188</v>
      </c>
      <c r="B403" s="164" t="s">
        <v>99</v>
      </c>
      <c r="C403" s="341">
        <v>0.2</v>
      </c>
      <c r="D403" s="341">
        <v>0.92</v>
      </c>
      <c r="E403" s="165">
        <v>334.236</v>
      </c>
      <c r="F403" s="10">
        <f t="shared" si="22"/>
        <v>309.6</v>
      </c>
      <c r="G403" s="10">
        <f t="shared" si="23"/>
        <v>24.636</v>
      </c>
      <c r="H403" s="105"/>
      <c r="I403" s="153">
        <f t="shared" si="24"/>
        <v>0.94998743402865</v>
      </c>
      <c r="J403" s="166">
        <v>33.42</v>
      </c>
      <c r="K403" s="166"/>
      <c r="L403" s="166">
        <v>317.52</v>
      </c>
      <c r="M403" s="166">
        <f t="shared" si="25"/>
        <v>4767.6</v>
      </c>
      <c r="N403" s="117"/>
      <c r="O403" s="343" t="s">
        <v>1611</v>
      </c>
    </row>
    <row r="404" spans="1:15">
      <c r="A404" s="163">
        <v>46188</v>
      </c>
      <c r="B404" s="164" t="s">
        <v>163</v>
      </c>
      <c r="C404" s="341">
        <v>0.19</v>
      </c>
      <c r="D404" s="341">
        <v>0.88</v>
      </c>
      <c r="E404" s="165">
        <v>310.014</v>
      </c>
      <c r="F404" s="10">
        <f t="shared" si="22"/>
        <v>296.7</v>
      </c>
      <c r="G404" s="10">
        <f t="shared" si="23"/>
        <v>13.314</v>
      </c>
      <c r="H404" s="105"/>
      <c r="I404" s="153">
        <f t="shared" si="24"/>
        <v>0.949989355319437</v>
      </c>
      <c r="J404" s="166">
        <v>31</v>
      </c>
      <c r="K404" s="166"/>
      <c r="L404" s="166">
        <v>294.51</v>
      </c>
      <c r="M404" s="166">
        <f t="shared" si="25"/>
        <v>4473.09</v>
      </c>
      <c r="N404" s="117"/>
      <c r="O404" s="343" t="s">
        <v>1611</v>
      </c>
    </row>
    <row r="405" spans="1:15">
      <c r="A405" s="163">
        <v>46188</v>
      </c>
      <c r="B405" s="164" t="s">
        <v>201</v>
      </c>
      <c r="C405" s="341">
        <v>0.43</v>
      </c>
      <c r="D405" s="341">
        <v>0.91</v>
      </c>
      <c r="E405" s="165">
        <v>215.518</v>
      </c>
      <c r="F405" s="10">
        <f t="shared" si="22"/>
        <v>206.4</v>
      </c>
      <c r="G405" s="10">
        <f t="shared" si="23"/>
        <v>9.11799999999999</v>
      </c>
      <c r="H405" s="105"/>
      <c r="I405" s="153">
        <f t="shared" si="24"/>
        <v>0.949990256034299</v>
      </c>
      <c r="J405" s="166">
        <v>21.55</v>
      </c>
      <c r="K405" s="166"/>
      <c r="L405" s="166">
        <v>204.74</v>
      </c>
      <c r="M405" s="166">
        <f t="shared" si="25"/>
        <v>4268.35</v>
      </c>
      <c r="N405" s="117"/>
      <c r="O405" s="343" t="s">
        <v>1611</v>
      </c>
    </row>
    <row r="406" spans="1:15">
      <c r="A406" s="163">
        <v>46188</v>
      </c>
      <c r="B406" s="164" t="s">
        <v>204</v>
      </c>
      <c r="C406" s="341">
        <v>0.24</v>
      </c>
      <c r="D406" s="341">
        <v>0.9</v>
      </c>
      <c r="E406" s="165">
        <v>292.59</v>
      </c>
      <c r="F406" s="10">
        <f t="shared" si="22"/>
        <v>283.8</v>
      </c>
      <c r="G406" s="10">
        <f t="shared" si="23"/>
        <v>8.78999999999996</v>
      </c>
      <c r="H406" s="105"/>
      <c r="I406" s="153">
        <f t="shared" si="24"/>
        <v>0.94996411360607</v>
      </c>
      <c r="J406" s="166">
        <v>29.25</v>
      </c>
      <c r="K406" s="166"/>
      <c r="L406" s="166">
        <v>277.95</v>
      </c>
      <c r="M406" s="166">
        <f t="shared" si="25"/>
        <v>3990.4</v>
      </c>
      <c r="N406" s="117"/>
      <c r="O406" s="343" t="s">
        <v>1611</v>
      </c>
    </row>
    <row r="407" spans="1:15">
      <c r="A407" s="163">
        <v>46188</v>
      </c>
      <c r="B407" s="164" t="s">
        <v>338</v>
      </c>
      <c r="C407" s="341">
        <v>0.17</v>
      </c>
      <c r="D407" s="341">
        <v>0.89</v>
      </c>
      <c r="E407" s="165">
        <v>316.73</v>
      </c>
      <c r="F407" s="10">
        <f t="shared" si="22"/>
        <v>309.6</v>
      </c>
      <c r="G407" s="10">
        <f t="shared" si="23"/>
        <v>7.13000000000005</v>
      </c>
      <c r="H407" s="105"/>
      <c r="I407" s="153">
        <f t="shared" si="24"/>
        <v>0.882360370031257</v>
      </c>
      <c r="J407" s="166">
        <v>31.66</v>
      </c>
      <c r="K407" s="166"/>
      <c r="L407" s="166">
        <v>279.47</v>
      </c>
      <c r="M407" s="166">
        <f t="shared" si="25"/>
        <v>3710.93</v>
      </c>
      <c r="N407" s="117"/>
      <c r="O407" s="343" t="s">
        <v>1611</v>
      </c>
    </row>
    <row r="408" spans="1:15">
      <c r="A408" s="163">
        <v>46188</v>
      </c>
      <c r="B408" s="164" t="s">
        <v>166</v>
      </c>
      <c r="C408" s="341">
        <v>0.55</v>
      </c>
      <c r="D408" s="341">
        <v>0.93</v>
      </c>
      <c r="E408" s="165">
        <v>170.623</v>
      </c>
      <c r="F408" s="10">
        <f t="shared" si="22"/>
        <v>163.4</v>
      </c>
      <c r="G408" s="10">
        <f t="shared" si="23"/>
        <v>7.22299999999998</v>
      </c>
      <c r="H408" s="105"/>
      <c r="I408" s="153">
        <f t="shared" si="24"/>
        <v>0.820815482086237</v>
      </c>
      <c r="J408" s="166">
        <v>17.05</v>
      </c>
      <c r="K408" s="166"/>
      <c r="L408" s="166">
        <v>140.05</v>
      </c>
      <c r="M408" s="166">
        <f t="shared" si="25"/>
        <v>3570.88</v>
      </c>
      <c r="N408" s="117"/>
      <c r="O408" s="343" t="s">
        <v>1611</v>
      </c>
    </row>
    <row r="409" spans="1:15">
      <c r="A409" s="156">
        <v>46189</v>
      </c>
      <c r="B409" s="168" t="s">
        <v>96</v>
      </c>
      <c r="C409" s="341">
        <v>0.22</v>
      </c>
      <c r="D409" s="341">
        <v>0.95</v>
      </c>
      <c r="E409" s="159">
        <v>335.304</v>
      </c>
      <c r="F409" s="10">
        <f t="shared" si="22"/>
        <v>313.9</v>
      </c>
      <c r="G409" s="10">
        <f t="shared" si="23"/>
        <v>21.404</v>
      </c>
      <c r="H409" s="105"/>
      <c r="I409" s="153">
        <f t="shared" si="24"/>
        <v>0.819972323622742</v>
      </c>
      <c r="J409" s="162">
        <v>33.53</v>
      </c>
      <c r="K409" s="166">
        <v>10000</v>
      </c>
      <c r="L409" s="162">
        <v>274.94</v>
      </c>
      <c r="M409" s="166">
        <f t="shared" si="25"/>
        <v>13295.94</v>
      </c>
      <c r="N409" s="117"/>
      <c r="O409" s="343" t="s">
        <v>1611</v>
      </c>
    </row>
    <row r="410" spans="1:15">
      <c r="A410" s="163">
        <v>46189</v>
      </c>
      <c r="B410" s="164" t="s">
        <v>102</v>
      </c>
      <c r="C410" s="341">
        <v>0.21</v>
      </c>
      <c r="D410" s="341">
        <v>0.98</v>
      </c>
      <c r="E410" s="165">
        <v>366.834</v>
      </c>
      <c r="F410" s="10">
        <f t="shared" si="22"/>
        <v>331.1</v>
      </c>
      <c r="G410" s="10">
        <f t="shared" si="23"/>
        <v>35.734</v>
      </c>
      <c r="H410" s="105"/>
      <c r="I410" s="153">
        <f t="shared" si="24"/>
        <v>0.758490216283114</v>
      </c>
      <c r="J410" s="166">
        <v>36.67</v>
      </c>
      <c r="K410" s="166"/>
      <c r="L410" s="166">
        <v>278.24</v>
      </c>
      <c r="M410" s="166">
        <f t="shared" si="25"/>
        <v>13017.7</v>
      </c>
      <c r="N410" s="117"/>
      <c r="O410" s="343" t="s">
        <v>1611</v>
      </c>
    </row>
    <row r="411" spans="1:15">
      <c r="A411" s="163">
        <v>46189</v>
      </c>
      <c r="B411" s="164" t="s">
        <v>114</v>
      </c>
      <c r="C411" s="341">
        <v>0.23</v>
      </c>
      <c r="D411" s="341">
        <v>0.87</v>
      </c>
      <c r="E411" s="165">
        <v>263.712</v>
      </c>
      <c r="F411" s="10">
        <f t="shared" si="22"/>
        <v>275.2</v>
      </c>
      <c r="G411" s="10">
        <f t="shared" si="23"/>
        <v>-11.488</v>
      </c>
      <c r="H411" s="105"/>
      <c r="I411" s="153">
        <f t="shared" si="24"/>
        <v>0.669973304210654</v>
      </c>
      <c r="J411" s="166">
        <v>26.37</v>
      </c>
      <c r="K411" s="166"/>
      <c r="L411" s="166">
        <v>176.68</v>
      </c>
      <c r="M411" s="166">
        <f t="shared" si="25"/>
        <v>12841.02</v>
      </c>
      <c r="N411" s="117"/>
      <c r="O411" s="343" t="s">
        <v>1611</v>
      </c>
    </row>
    <row r="412" spans="1:15">
      <c r="A412" s="163">
        <v>46189</v>
      </c>
      <c r="B412" s="164" t="s">
        <v>51</v>
      </c>
      <c r="C412" s="341">
        <v>0.28</v>
      </c>
      <c r="D412" s="341">
        <v>0.92</v>
      </c>
      <c r="E412" s="165">
        <v>262.309</v>
      </c>
      <c r="F412" s="10">
        <f t="shared" si="22"/>
        <v>275.2</v>
      </c>
      <c r="G412" s="10">
        <f t="shared" si="23"/>
        <v>-12.891</v>
      </c>
      <c r="H412" s="105"/>
      <c r="I412" s="153">
        <f t="shared" si="24"/>
        <v>0.93138245351856</v>
      </c>
      <c r="J412" s="166">
        <v>26.23</v>
      </c>
      <c r="K412" s="166"/>
      <c r="L412" s="166">
        <v>244.31</v>
      </c>
      <c r="M412" s="166">
        <f t="shared" si="25"/>
        <v>12596.71</v>
      </c>
      <c r="N412" s="117"/>
      <c r="O412" s="343" t="s">
        <v>1611</v>
      </c>
    </row>
    <row r="413" spans="1:15">
      <c r="A413" s="163">
        <v>46189</v>
      </c>
      <c r="B413" s="164" t="s">
        <v>81</v>
      </c>
      <c r="C413" s="341">
        <v>0.2</v>
      </c>
      <c r="D413" s="341">
        <v>0.93</v>
      </c>
      <c r="E413" s="165">
        <v>340.728</v>
      </c>
      <c r="F413" s="10">
        <f t="shared" si="22"/>
        <v>313.9</v>
      </c>
      <c r="G413" s="10">
        <f t="shared" si="23"/>
        <v>26.828</v>
      </c>
      <c r="H413" s="105"/>
      <c r="I413" s="153">
        <f t="shared" si="24"/>
        <v>0.949965955248761</v>
      </c>
      <c r="J413" s="166">
        <v>34.07</v>
      </c>
      <c r="K413" s="166"/>
      <c r="L413" s="166">
        <v>323.68</v>
      </c>
      <c r="M413" s="166">
        <f t="shared" si="25"/>
        <v>12273.03</v>
      </c>
      <c r="N413" s="117"/>
      <c r="O413" s="343" t="s">
        <v>1611</v>
      </c>
    </row>
    <row r="414" spans="1:15">
      <c r="A414" s="163">
        <v>46189</v>
      </c>
      <c r="B414" s="164" t="s">
        <v>111</v>
      </c>
      <c r="C414" s="341">
        <v>0.48</v>
      </c>
      <c r="D414" s="341">
        <v>0.94</v>
      </c>
      <c r="E414" s="165">
        <v>186.855</v>
      </c>
      <c r="F414" s="10">
        <f t="shared" si="22"/>
        <v>197.8</v>
      </c>
      <c r="G414" s="10">
        <f t="shared" si="23"/>
        <v>-10.945</v>
      </c>
      <c r="H414" s="105"/>
      <c r="I414" s="153">
        <f t="shared" si="24"/>
        <v>0.949934441144203</v>
      </c>
      <c r="J414" s="166">
        <v>18.68</v>
      </c>
      <c r="K414" s="166"/>
      <c r="L414" s="166">
        <v>177.5</v>
      </c>
      <c r="M414" s="166">
        <f t="shared" si="25"/>
        <v>12095.53</v>
      </c>
      <c r="N414" s="117"/>
      <c r="O414" s="343" t="s">
        <v>1611</v>
      </c>
    </row>
    <row r="415" spans="1:15">
      <c r="A415" s="163">
        <v>46189</v>
      </c>
      <c r="B415" s="164" t="s">
        <v>78</v>
      </c>
      <c r="C415" s="341">
        <v>0.24</v>
      </c>
      <c r="D415" s="341">
        <v>0.81</v>
      </c>
      <c r="E415" s="165">
        <v>268.869</v>
      </c>
      <c r="F415" s="10">
        <f t="shared" si="22"/>
        <v>245.1</v>
      </c>
      <c r="G415" s="10">
        <f t="shared" si="23"/>
        <v>23.769</v>
      </c>
      <c r="H415" s="105"/>
      <c r="I415" s="153">
        <f t="shared" si="24"/>
        <v>0.94994216514362</v>
      </c>
      <c r="J415" s="166">
        <v>26.88</v>
      </c>
      <c r="K415" s="166"/>
      <c r="L415" s="166">
        <v>255.41</v>
      </c>
      <c r="M415" s="166">
        <f t="shared" si="25"/>
        <v>11840.12</v>
      </c>
      <c r="N415" s="117"/>
      <c r="O415" s="343" t="s">
        <v>1611</v>
      </c>
    </row>
    <row r="416" spans="1:15">
      <c r="A416" s="163">
        <v>46189</v>
      </c>
      <c r="B416" s="164" t="s">
        <v>174</v>
      </c>
      <c r="C416" s="341">
        <v>0.36</v>
      </c>
      <c r="D416" s="341">
        <v>1</v>
      </c>
      <c r="E416" s="165">
        <v>283.536</v>
      </c>
      <c r="F416" s="10">
        <f t="shared" si="22"/>
        <v>275.2</v>
      </c>
      <c r="G416" s="10">
        <f t="shared" si="23"/>
        <v>8.33600000000001</v>
      </c>
      <c r="H416" s="105"/>
      <c r="I416" s="153">
        <f t="shared" si="24"/>
        <v>0.949967552621184</v>
      </c>
      <c r="J416" s="166">
        <v>28.35</v>
      </c>
      <c r="K416" s="166"/>
      <c r="L416" s="166">
        <v>269.35</v>
      </c>
      <c r="M416" s="166">
        <f t="shared" si="25"/>
        <v>11570.77</v>
      </c>
      <c r="N416" s="117"/>
      <c r="O416" s="343" t="s">
        <v>1611</v>
      </c>
    </row>
    <row r="417" spans="1:15">
      <c r="A417" s="163">
        <v>46189</v>
      </c>
      <c r="B417" s="164" t="s">
        <v>144</v>
      </c>
      <c r="C417" s="341">
        <v>0.49</v>
      </c>
      <c r="D417" s="341">
        <v>0.99</v>
      </c>
      <c r="E417" s="165">
        <v>226.325</v>
      </c>
      <c r="F417" s="10">
        <f t="shared" si="22"/>
        <v>215</v>
      </c>
      <c r="G417" s="10">
        <f t="shared" si="23"/>
        <v>11.325</v>
      </c>
      <c r="H417" s="105"/>
      <c r="I417" s="153">
        <f t="shared" si="24"/>
        <v>0.949961338782724</v>
      </c>
      <c r="J417" s="166">
        <v>22.63</v>
      </c>
      <c r="K417" s="166"/>
      <c r="L417" s="166">
        <v>215</v>
      </c>
      <c r="M417" s="166">
        <f t="shared" si="25"/>
        <v>11355.77</v>
      </c>
      <c r="N417" s="117"/>
      <c r="O417" s="343" t="s">
        <v>1611</v>
      </c>
    </row>
    <row r="418" spans="1:15">
      <c r="A418" s="163">
        <v>46189</v>
      </c>
      <c r="B418" s="164" t="s">
        <v>87</v>
      </c>
      <c r="C418" s="341">
        <v>0.37</v>
      </c>
      <c r="D418" s="341">
        <v>0.87</v>
      </c>
      <c r="E418" s="165">
        <v>232.792</v>
      </c>
      <c r="F418" s="10">
        <f t="shared" si="22"/>
        <v>215</v>
      </c>
      <c r="G418" s="10">
        <f t="shared" si="23"/>
        <v>17.792</v>
      </c>
      <c r="H418" s="105"/>
      <c r="I418" s="153">
        <f t="shared" si="24"/>
        <v>0.949946733564727</v>
      </c>
      <c r="J418" s="166">
        <v>23.27</v>
      </c>
      <c r="K418" s="166"/>
      <c r="L418" s="166">
        <v>221.14</v>
      </c>
      <c r="M418" s="166">
        <f t="shared" si="25"/>
        <v>11134.63</v>
      </c>
      <c r="N418" s="117"/>
      <c r="O418" s="343" t="s">
        <v>1611</v>
      </c>
    </row>
    <row r="419" spans="1:15">
      <c r="A419" s="163">
        <v>46189</v>
      </c>
      <c r="B419" s="164" t="s">
        <v>141</v>
      </c>
      <c r="C419" s="341">
        <v>0.24</v>
      </c>
      <c r="D419" s="341">
        <v>0.96</v>
      </c>
      <c r="E419" s="165">
        <v>321.424</v>
      </c>
      <c r="F419" s="10">
        <f t="shared" si="22"/>
        <v>309.6</v>
      </c>
      <c r="G419" s="10">
        <f t="shared" si="23"/>
        <v>11.824</v>
      </c>
      <c r="H419" s="105"/>
      <c r="I419" s="153">
        <f t="shared" si="24"/>
        <v>0.949991288764996</v>
      </c>
      <c r="J419" s="166">
        <v>32.14</v>
      </c>
      <c r="K419" s="105"/>
      <c r="L419" s="166">
        <v>305.35</v>
      </c>
      <c r="M419" s="166">
        <f t="shared" si="25"/>
        <v>10829.28</v>
      </c>
      <c r="N419" s="117"/>
      <c r="O419" s="343" t="s">
        <v>1611</v>
      </c>
    </row>
    <row r="420" spans="1:15">
      <c r="A420" s="163">
        <v>46189</v>
      </c>
      <c r="B420" s="164" t="s">
        <v>105</v>
      </c>
      <c r="C420" s="341">
        <v>0.55</v>
      </c>
      <c r="D420" s="341">
        <v>0.95</v>
      </c>
      <c r="E420" s="165">
        <v>195.959</v>
      </c>
      <c r="F420" s="10">
        <f t="shared" si="22"/>
        <v>172</v>
      </c>
      <c r="G420" s="10">
        <f t="shared" si="23"/>
        <v>23.959</v>
      </c>
      <c r="H420" s="105"/>
      <c r="I420" s="153">
        <f t="shared" si="24"/>
        <v>0.949943610653249</v>
      </c>
      <c r="J420" s="166">
        <v>19.59</v>
      </c>
      <c r="K420" s="105"/>
      <c r="L420" s="166">
        <v>186.15</v>
      </c>
      <c r="M420" s="166">
        <f t="shared" si="25"/>
        <v>10643.13</v>
      </c>
      <c r="N420" s="117"/>
      <c r="O420" s="343" t="s">
        <v>1611</v>
      </c>
    </row>
    <row r="421" spans="1:15">
      <c r="A421" s="163">
        <v>46189</v>
      </c>
      <c r="B421" s="164" t="s">
        <v>192</v>
      </c>
      <c r="C421" s="341">
        <v>0.51</v>
      </c>
      <c r="D421" s="341">
        <v>0.99</v>
      </c>
      <c r="E421" s="165">
        <v>221.401</v>
      </c>
      <c r="F421" s="10">
        <f t="shared" si="22"/>
        <v>206.4</v>
      </c>
      <c r="G421" s="10">
        <f t="shared" si="23"/>
        <v>15.001</v>
      </c>
      <c r="H421" s="105"/>
      <c r="I421" s="153">
        <f t="shared" si="24"/>
        <v>0.949995709143138</v>
      </c>
      <c r="J421" s="166">
        <v>22.14</v>
      </c>
      <c r="K421" s="105"/>
      <c r="L421" s="166">
        <v>210.33</v>
      </c>
      <c r="M421" s="166">
        <f t="shared" si="25"/>
        <v>10432.8</v>
      </c>
      <c r="N421" s="117"/>
      <c r="O421" s="343" t="s">
        <v>1611</v>
      </c>
    </row>
    <row r="422" spans="1:15">
      <c r="A422" s="163">
        <v>46189</v>
      </c>
      <c r="B422" s="164" t="s">
        <v>339</v>
      </c>
      <c r="C422" s="341">
        <v>0.52</v>
      </c>
      <c r="D422" s="341">
        <v>0.99</v>
      </c>
      <c r="E422" s="165">
        <v>215.787</v>
      </c>
      <c r="F422" s="10">
        <f t="shared" si="22"/>
        <v>202.1</v>
      </c>
      <c r="G422" s="10">
        <f t="shared" si="23"/>
        <v>13.687</v>
      </c>
      <c r="H422" s="105"/>
      <c r="I422" s="153">
        <f t="shared" si="24"/>
        <v>0.949918206379439</v>
      </c>
      <c r="J422" s="166">
        <v>21.57</v>
      </c>
      <c r="K422" s="105"/>
      <c r="L422" s="166">
        <v>204.98</v>
      </c>
      <c r="M422" s="166">
        <f t="shared" si="25"/>
        <v>10227.82</v>
      </c>
      <c r="N422" s="117"/>
      <c r="O422" s="343" t="s">
        <v>1611</v>
      </c>
    </row>
    <row r="423" spans="1:15">
      <c r="A423" s="163">
        <v>46189</v>
      </c>
      <c r="B423" s="164" t="s">
        <v>57</v>
      </c>
      <c r="C423" s="341">
        <v>0.33</v>
      </c>
      <c r="D423" s="341">
        <v>0.86</v>
      </c>
      <c r="E423" s="165">
        <v>218.332</v>
      </c>
      <c r="F423" s="10">
        <f t="shared" si="22"/>
        <v>227.9</v>
      </c>
      <c r="G423" s="10">
        <f t="shared" si="23"/>
        <v>-9.56800000000001</v>
      </c>
      <c r="H423" s="105"/>
      <c r="I423" s="153">
        <f t="shared" si="24"/>
        <v>0.949975267024531</v>
      </c>
      <c r="J423" s="166">
        <v>21.83</v>
      </c>
      <c r="K423" s="105"/>
      <c r="L423" s="166">
        <v>207.41</v>
      </c>
      <c r="M423" s="166">
        <f t="shared" si="25"/>
        <v>10020.41</v>
      </c>
      <c r="N423" s="117"/>
      <c r="O423" s="343" t="s">
        <v>1611</v>
      </c>
    </row>
    <row r="424" spans="1:15">
      <c r="A424" s="163">
        <v>46189</v>
      </c>
      <c r="B424" s="164" t="s">
        <v>132</v>
      </c>
      <c r="C424" s="341">
        <v>0.35</v>
      </c>
      <c r="D424" s="341">
        <v>0.38</v>
      </c>
      <c r="E424" s="165">
        <v>19.495</v>
      </c>
      <c r="F424" s="10">
        <f t="shared" si="22"/>
        <v>12.9</v>
      </c>
      <c r="G424" s="10">
        <f t="shared" si="23"/>
        <v>6.59499999999999</v>
      </c>
      <c r="H424" s="105"/>
      <c r="I424" s="153">
        <f t="shared" si="24"/>
        <v>0.949474224160041</v>
      </c>
      <c r="J424" s="166">
        <v>1.94</v>
      </c>
      <c r="K424" s="105"/>
      <c r="L424" s="166">
        <v>18.51</v>
      </c>
      <c r="M424" s="166">
        <f t="shared" si="25"/>
        <v>10001.9</v>
      </c>
      <c r="N424" s="117"/>
      <c r="O424" s="343" t="s">
        <v>1611</v>
      </c>
    </row>
    <row r="425" spans="1:15">
      <c r="A425" s="163">
        <v>46189</v>
      </c>
      <c r="B425" s="164" t="s">
        <v>132</v>
      </c>
      <c r="C425" s="341">
        <v>0.65</v>
      </c>
      <c r="D425" s="341">
        <v>0.86</v>
      </c>
      <c r="E425" s="165">
        <v>98.461</v>
      </c>
      <c r="F425" s="10">
        <f t="shared" si="22"/>
        <v>90.3</v>
      </c>
      <c r="G425" s="10">
        <f t="shared" si="23"/>
        <v>8.16100000000002</v>
      </c>
      <c r="H425" s="105"/>
      <c r="I425" s="153">
        <f t="shared" si="24"/>
        <v>0.949919257370939</v>
      </c>
      <c r="J425" s="166">
        <v>9.84</v>
      </c>
      <c r="K425" s="105"/>
      <c r="L425" s="166">
        <v>93.53</v>
      </c>
      <c r="M425" s="166">
        <f t="shared" si="25"/>
        <v>9908.37</v>
      </c>
      <c r="N425" s="117"/>
      <c r="O425" s="343" t="s">
        <v>1611</v>
      </c>
    </row>
    <row r="426" spans="1:15">
      <c r="A426" s="163">
        <v>46189</v>
      </c>
      <c r="B426" s="164" t="s">
        <v>207</v>
      </c>
      <c r="C426" s="341">
        <v>0.38</v>
      </c>
      <c r="D426" s="341">
        <v>1</v>
      </c>
      <c r="E426" s="165">
        <v>278.224</v>
      </c>
      <c r="F426" s="10">
        <f t="shared" si="22"/>
        <v>266.6</v>
      </c>
      <c r="G426" s="10">
        <f t="shared" si="23"/>
        <v>11.624</v>
      </c>
      <c r="H426" s="105"/>
      <c r="I426" s="153">
        <f t="shared" si="24"/>
        <v>0.949989936166542</v>
      </c>
      <c r="J426" s="166">
        <v>27.82</v>
      </c>
      <c r="K426" s="105"/>
      <c r="L426" s="166">
        <v>264.31</v>
      </c>
      <c r="M426" s="166">
        <f t="shared" si="25"/>
        <v>9644.06</v>
      </c>
      <c r="N426" s="117"/>
      <c r="O426" s="343" t="s">
        <v>1611</v>
      </c>
    </row>
    <row r="427" spans="1:15">
      <c r="A427" s="163">
        <v>46189</v>
      </c>
      <c r="B427" s="164" t="s">
        <v>54</v>
      </c>
      <c r="C427" s="341">
        <v>0.46</v>
      </c>
      <c r="D427" s="341">
        <v>0.96</v>
      </c>
      <c r="E427" s="165">
        <v>208.419</v>
      </c>
      <c r="F427" s="10">
        <f t="shared" si="22"/>
        <v>215</v>
      </c>
      <c r="G427" s="10">
        <f t="shared" si="23"/>
        <v>-6.58099999999996</v>
      </c>
      <c r="H427" s="105"/>
      <c r="I427" s="153">
        <f t="shared" si="24"/>
        <v>0.949961375882237</v>
      </c>
      <c r="J427" s="166">
        <v>20.84</v>
      </c>
      <c r="K427" s="105"/>
      <c r="L427" s="166">
        <v>197.99</v>
      </c>
      <c r="M427" s="166">
        <f t="shared" si="25"/>
        <v>9446.07</v>
      </c>
      <c r="N427" s="117"/>
      <c r="O427" s="343" t="s">
        <v>1611</v>
      </c>
    </row>
    <row r="428" spans="1:15">
      <c r="A428" s="163">
        <v>46189</v>
      </c>
      <c r="B428" s="164" t="s">
        <v>138</v>
      </c>
      <c r="C428" s="341">
        <v>0.49</v>
      </c>
      <c r="D428" s="341">
        <v>0.99</v>
      </c>
      <c r="E428" s="165">
        <v>224.954</v>
      </c>
      <c r="F428" s="10">
        <f t="shared" si="22"/>
        <v>215</v>
      </c>
      <c r="G428" s="10">
        <f t="shared" si="23"/>
        <v>9.95400000000001</v>
      </c>
      <c r="H428" s="105"/>
      <c r="I428" s="153">
        <f t="shared" si="24"/>
        <v>0.949971994274385</v>
      </c>
      <c r="J428" s="166">
        <v>22.49</v>
      </c>
      <c r="K428" s="105"/>
      <c r="L428" s="166">
        <v>213.7</v>
      </c>
      <c r="M428" s="166">
        <f t="shared" si="25"/>
        <v>9232.37</v>
      </c>
      <c r="N428" s="117"/>
      <c r="O428" s="343" t="s">
        <v>1611</v>
      </c>
    </row>
    <row r="429" spans="1:15">
      <c r="A429" s="163">
        <v>46189</v>
      </c>
      <c r="B429" s="164" t="s">
        <v>124</v>
      </c>
      <c r="C429" s="341">
        <v>0.57</v>
      </c>
      <c r="D429" s="341">
        <v>0.99</v>
      </c>
      <c r="E429" s="165">
        <v>186.031</v>
      </c>
      <c r="F429" s="10">
        <f t="shared" si="22"/>
        <v>180.6</v>
      </c>
      <c r="G429" s="10">
        <f t="shared" si="23"/>
        <v>5.43099999999998</v>
      </c>
      <c r="H429" s="105"/>
      <c r="I429" s="153">
        <f t="shared" si="24"/>
        <v>0.949949202014718</v>
      </c>
      <c r="J429" s="166">
        <v>18.6</v>
      </c>
      <c r="K429" s="105"/>
      <c r="L429" s="166">
        <v>176.72</v>
      </c>
      <c r="M429" s="166">
        <f t="shared" si="25"/>
        <v>9055.65</v>
      </c>
      <c r="N429" s="117"/>
      <c r="O429" s="343" t="s">
        <v>1611</v>
      </c>
    </row>
    <row r="430" spans="1:15">
      <c r="A430" s="163">
        <v>46189</v>
      </c>
      <c r="B430" s="164" t="s">
        <v>60</v>
      </c>
      <c r="C430" s="341">
        <v>0.28</v>
      </c>
      <c r="D430" s="341">
        <v>0.97</v>
      </c>
      <c r="E430" s="165">
        <v>287.921</v>
      </c>
      <c r="F430" s="10">
        <f t="shared" si="22"/>
        <v>296.7</v>
      </c>
      <c r="G430" s="10">
        <f t="shared" si="23"/>
        <v>-8.779</v>
      </c>
      <c r="H430" s="105"/>
      <c r="I430" s="153">
        <f t="shared" si="24"/>
        <v>0.914834277458053</v>
      </c>
      <c r="J430" s="166">
        <v>28.78</v>
      </c>
      <c r="K430" s="105"/>
      <c r="L430" s="166">
        <v>263.4</v>
      </c>
      <c r="M430" s="166">
        <f t="shared" si="25"/>
        <v>8792.25</v>
      </c>
      <c r="N430" s="117"/>
      <c r="O430" s="343" t="s">
        <v>1611</v>
      </c>
    </row>
    <row r="431" spans="1:15">
      <c r="A431" s="156">
        <v>46190</v>
      </c>
      <c r="B431" s="168" t="s">
        <v>93</v>
      </c>
      <c r="C431" s="341">
        <v>0.54</v>
      </c>
      <c r="D431" s="341">
        <v>0.91</v>
      </c>
      <c r="E431" s="159">
        <v>173.984</v>
      </c>
      <c r="F431" s="10">
        <f t="shared" si="22"/>
        <v>159.1</v>
      </c>
      <c r="G431" s="10">
        <f t="shared" si="23"/>
        <v>14.884</v>
      </c>
      <c r="H431" s="105"/>
      <c r="I431" s="153">
        <f t="shared" si="24"/>
        <v>0.81990297958433</v>
      </c>
      <c r="J431" s="162">
        <v>17.39</v>
      </c>
      <c r="K431" s="105">
        <v>10000</v>
      </c>
      <c r="L431" s="162">
        <v>142.65</v>
      </c>
      <c r="M431" s="166">
        <f t="shared" si="25"/>
        <v>18649.6</v>
      </c>
      <c r="N431" s="117"/>
      <c r="O431" s="343" t="s">
        <v>1611</v>
      </c>
    </row>
    <row r="432" spans="1:15">
      <c r="A432" s="163">
        <v>46190</v>
      </c>
      <c r="B432" s="164" t="s">
        <v>198</v>
      </c>
      <c r="C432" s="341">
        <v>0.41</v>
      </c>
      <c r="D432" s="341">
        <v>0.92</v>
      </c>
      <c r="E432" s="165">
        <v>227.793</v>
      </c>
      <c r="F432" s="10">
        <f t="shared" si="22"/>
        <v>219.3</v>
      </c>
      <c r="G432" s="10">
        <f t="shared" si="23"/>
        <v>8.49299999999999</v>
      </c>
      <c r="H432" s="105"/>
      <c r="I432" s="153">
        <f t="shared" si="24"/>
        <v>0.669950349659559</v>
      </c>
      <c r="J432" s="166">
        <v>22.77</v>
      </c>
      <c r="K432" s="105"/>
      <c r="L432" s="166">
        <v>152.61</v>
      </c>
      <c r="M432" s="166">
        <f t="shared" si="25"/>
        <v>18496.99</v>
      </c>
      <c r="N432" s="117"/>
      <c r="O432" s="343" t="s">
        <v>1611</v>
      </c>
    </row>
    <row r="433" spans="1:15">
      <c r="A433" s="163">
        <v>46190</v>
      </c>
      <c r="B433" s="164" t="s">
        <v>84</v>
      </c>
      <c r="C433" s="341">
        <v>0.58</v>
      </c>
      <c r="D433" s="341">
        <v>1</v>
      </c>
      <c r="E433" s="165">
        <v>198.872</v>
      </c>
      <c r="F433" s="10">
        <f t="shared" si="22"/>
        <v>180.6</v>
      </c>
      <c r="G433" s="10">
        <f t="shared" si="23"/>
        <v>18.272</v>
      </c>
      <c r="H433" s="105"/>
      <c r="I433" s="153">
        <f t="shared" si="24"/>
        <v>0.949957761776419</v>
      </c>
      <c r="J433" s="166">
        <v>19.88</v>
      </c>
      <c r="K433" s="105"/>
      <c r="L433" s="166">
        <v>188.92</v>
      </c>
      <c r="M433" s="166">
        <f t="shared" si="25"/>
        <v>18308.07</v>
      </c>
      <c r="N433" s="117"/>
      <c r="O433" s="343" t="s">
        <v>1611</v>
      </c>
    </row>
    <row r="434" spans="1:15">
      <c r="A434" s="163">
        <v>46190</v>
      </c>
      <c r="B434" s="164" t="s">
        <v>195</v>
      </c>
      <c r="C434" s="341">
        <v>0.44</v>
      </c>
      <c r="D434" s="341">
        <v>0.77</v>
      </c>
      <c r="E434" s="165">
        <v>150.147</v>
      </c>
      <c r="F434" s="10">
        <f t="shared" si="22"/>
        <v>141.9</v>
      </c>
      <c r="G434" s="10">
        <f t="shared" si="23"/>
        <v>8.24699999999999</v>
      </c>
      <c r="H434" s="105"/>
      <c r="I434" s="153">
        <f t="shared" si="24"/>
        <v>0.949935729651608</v>
      </c>
      <c r="J434" s="166">
        <v>15.01</v>
      </c>
      <c r="K434" s="105"/>
      <c r="L434" s="166">
        <v>142.63</v>
      </c>
      <c r="M434" s="166">
        <f t="shared" si="25"/>
        <v>18165.44</v>
      </c>
      <c r="N434" s="117"/>
      <c r="O434" s="343" t="s">
        <v>1611</v>
      </c>
    </row>
    <row r="435" spans="1:15">
      <c r="A435" s="163">
        <v>46190</v>
      </c>
      <c r="B435" s="164" t="s">
        <v>189</v>
      </c>
      <c r="C435" s="341">
        <v>0.43</v>
      </c>
      <c r="D435" s="341">
        <v>1</v>
      </c>
      <c r="E435" s="165">
        <v>251.387</v>
      </c>
      <c r="F435" s="10">
        <f t="shared" si="22"/>
        <v>245.1</v>
      </c>
      <c r="G435" s="10">
        <f t="shared" si="23"/>
        <v>6.28699999999998</v>
      </c>
      <c r="H435" s="105"/>
      <c r="I435" s="153">
        <f t="shared" si="24"/>
        <v>0.9499297895277</v>
      </c>
      <c r="J435" s="166">
        <v>25.13</v>
      </c>
      <c r="K435" s="105"/>
      <c r="L435" s="166">
        <v>238.8</v>
      </c>
      <c r="M435" s="166">
        <f t="shared" si="25"/>
        <v>17926.64</v>
      </c>
      <c r="N435" s="117"/>
      <c r="O435" s="343" t="s">
        <v>1611</v>
      </c>
    </row>
    <row r="436" spans="1:15">
      <c r="A436" s="163">
        <v>46190</v>
      </c>
      <c r="B436" s="164" t="s">
        <v>151</v>
      </c>
      <c r="C436" s="341">
        <v>0.42</v>
      </c>
      <c r="D436" s="341">
        <v>0.99</v>
      </c>
      <c r="E436" s="165">
        <v>259.265</v>
      </c>
      <c r="F436" s="10">
        <f t="shared" si="22"/>
        <v>245.1</v>
      </c>
      <c r="G436" s="10">
        <f t="shared" si="23"/>
        <v>14.165</v>
      </c>
      <c r="H436" s="105"/>
      <c r="I436" s="153">
        <f t="shared" si="24"/>
        <v>0.949954679574952</v>
      </c>
      <c r="J436" s="166">
        <v>25.92</v>
      </c>
      <c r="K436" s="105"/>
      <c r="L436" s="166">
        <v>246.29</v>
      </c>
      <c r="M436" s="166">
        <f t="shared" si="25"/>
        <v>17680.35</v>
      </c>
      <c r="N436" s="117"/>
      <c r="O436" s="343" t="s">
        <v>1611</v>
      </c>
    </row>
    <row r="437" spans="1:15">
      <c r="A437" s="163">
        <v>46190</v>
      </c>
      <c r="B437" s="164" t="s">
        <v>195</v>
      </c>
      <c r="C437" s="341">
        <v>0.78</v>
      </c>
      <c r="D437" s="341">
        <v>0.97</v>
      </c>
      <c r="E437" s="165">
        <v>97.52</v>
      </c>
      <c r="F437" s="10">
        <f t="shared" si="22"/>
        <v>81.7</v>
      </c>
      <c r="G437" s="10">
        <f t="shared" si="23"/>
        <v>15.82</v>
      </c>
      <c r="H437" s="105"/>
      <c r="I437" s="153">
        <f t="shared" si="24"/>
        <v>0.949958982772765</v>
      </c>
      <c r="J437" s="166">
        <v>9.75</v>
      </c>
      <c r="K437" s="105"/>
      <c r="L437" s="166">
        <v>92.64</v>
      </c>
      <c r="M437" s="166">
        <f t="shared" si="25"/>
        <v>17587.71</v>
      </c>
      <c r="N437" s="117"/>
      <c r="O437" s="343" t="s">
        <v>1611</v>
      </c>
    </row>
    <row r="438" spans="1:15">
      <c r="A438" s="163">
        <v>46190</v>
      </c>
      <c r="B438" s="164" t="s">
        <v>130</v>
      </c>
      <c r="C438" s="341">
        <v>0.51</v>
      </c>
      <c r="D438" s="341">
        <v>0.86</v>
      </c>
      <c r="E438" s="165">
        <v>146.797</v>
      </c>
      <c r="F438" s="10">
        <f t="shared" si="22"/>
        <v>150.5</v>
      </c>
      <c r="G438" s="10">
        <f t="shared" si="23"/>
        <v>-3.703</v>
      </c>
      <c r="H438" s="105"/>
      <c r="I438" s="153">
        <f t="shared" si="24"/>
        <v>0.85907750158382</v>
      </c>
      <c r="J438" s="166">
        <v>14.67</v>
      </c>
      <c r="K438" s="105"/>
      <c r="L438" s="166">
        <v>126.11</v>
      </c>
      <c r="M438" s="166">
        <f t="shared" si="25"/>
        <v>17461.6</v>
      </c>
      <c r="N438" s="117"/>
      <c r="O438" s="343" t="s">
        <v>1611</v>
      </c>
    </row>
    <row r="439" spans="1:15">
      <c r="A439" s="163">
        <v>46190</v>
      </c>
      <c r="B439" s="164" t="s">
        <v>154</v>
      </c>
      <c r="C439" s="341">
        <v>0.49</v>
      </c>
      <c r="D439" s="341">
        <v>0.96</v>
      </c>
      <c r="E439" s="165">
        <v>209.838</v>
      </c>
      <c r="F439" s="10">
        <f t="shared" si="22"/>
        <v>202.1</v>
      </c>
      <c r="G439" s="10">
        <f t="shared" si="23"/>
        <v>7.738</v>
      </c>
      <c r="H439" s="105"/>
      <c r="I439" s="153">
        <f t="shared" si="24"/>
        <v>0.824826771128204</v>
      </c>
      <c r="J439" s="166">
        <v>20.97</v>
      </c>
      <c r="K439" s="105"/>
      <c r="L439" s="166">
        <v>173.08</v>
      </c>
      <c r="M439" s="166">
        <f t="shared" si="25"/>
        <v>17288.52</v>
      </c>
      <c r="N439" s="117"/>
      <c r="O439" s="343" t="s">
        <v>1611</v>
      </c>
    </row>
    <row r="440" spans="1:15">
      <c r="A440" s="163">
        <v>46190</v>
      </c>
      <c r="B440" s="164" t="s">
        <v>144</v>
      </c>
      <c r="C440" s="341">
        <v>0.47</v>
      </c>
      <c r="D440" s="341">
        <v>0.99</v>
      </c>
      <c r="E440" s="165">
        <v>238.704</v>
      </c>
      <c r="F440" s="10">
        <f t="shared" si="22"/>
        <v>223.6</v>
      </c>
      <c r="G440" s="10">
        <f t="shared" si="23"/>
        <v>15.104</v>
      </c>
      <c r="H440" s="105"/>
      <c r="I440" s="153">
        <f t="shared" si="24"/>
        <v>0.825457470339835</v>
      </c>
      <c r="J440" s="166">
        <v>23.86</v>
      </c>
      <c r="K440" s="105"/>
      <c r="L440" s="166">
        <v>197.04</v>
      </c>
      <c r="M440" s="166">
        <f t="shared" si="25"/>
        <v>17091.48</v>
      </c>
      <c r="N440" s="117"/>
      <c r="O440" s="343" t="s">
        <v>1611</v>
      </c>
    </row>
    <row r="441" spans="1:15">
      <c r="A441" s="163">
        <v>46190</v>
      </c>
      <c r="B441" s="164" t="s">
        <v>108</v>
      </c>
      <c r="C441" s="341">
        <v>0.58</v>
      </c>
      <c r="D441" s="341">
        <v>0.84</v>
      </c>
      <c r="E441" s="165">
        <v>130.147</v>
      </c>
      <c r="F441" s="10">
        <f t="shared" si="22"/>
        <v>111.8</v>
      </c>
      <c r="G441" s="10">
        <f t="shared" si="23"/>
        <v>18.347</v>
      </c>
      <c r="H441" s="105"/>
      <c r="I441" s="153">
        <f t="shared" si="24"/>
        <v>0.949925853073832</v>
      </c>
      <c r="J441" s="166">
        <v>13.01</v>
      </c>
      <c r="K441" s="105"/>
      <c r="L441" s="166">
        <v>123.63</v>
      </c>
      <c r="M441" s="166">
        <f t="shared" si="25"/>
        <v>16967.85</v>
      </c>
      <c r="N441" s="117"/>
      <c r="O441" s="343" t="s">
        <v>1611</v>
      </c>
    </row>
    <row r="442" spans="1:15">
      <c r="A442" s="163">
        <v>46190</v>
      </c>
      <c r="B442" s="164" t="s">
        <v>148</v>
      </c>
      <c r="C442" s="341">
        <v>0.48</v>
      </c>
      <c r="D442" s="341">
        <v>0.85</v>
      </c>
      <c r="E442" s="165">
        <v>170.187</v>
      </c>
      <c r="F442" s="10">
        <f t="shared" si="22"/>
        <v>159.1</v>
      </c>
      <c r="G442" s="10">
        <f t="shared" si="23"/>
        <v>11.087</v>
      </c>
      <c r="H442" s="105"/>
      <c r="I442" s="153">
        <f t="shared" si="24"/>
        <v>0.949896290550982</v>
      </c>
      <c r="J442" s="166">
        <v>17.01</v>
      </c>
      <c r="K442" s="105"/>
      <c r="L442" s="166">
        <v>161.66</v>
      </c>
      <c r="M442" s="166">
        <f t="shared" si="25"/>
        <v>16806.19</v>
      </c>
      <c r="N442" s="117"/>
      <c r="O442" s="343" t="s">
        <v>1611</v>
      </c>
    </row>
    <row r="443" spans="1:15">
      <c r="A443" s="163">
        <v>46190</v>
      </c>
      <c r="B443" s="164" t="s">
        <v>160</v>
      </c>
      <c r="C443" s="341">
        <v>0.5</v>
      </c>
      <c r="D443" s="341">
        <v>1</v>
      </c>
      <c r="E443" s="165">
        <v>223.18</v>
      </c>
      <c r="F443" s="10">
        <f t="shared" si="22"/>
        <v>215</v>
      </c>
      <c r="G443" s="10">
        <f t="shared" si="23"/>
        <v>8.18000000000001</v>
      </c>
      <c r="H443" s="105"/>
      <c r="I443" s="153">
        <f t="shared" si="24"/>
        <v>0.949950712429429</v>
      </c>
      <c r="J443" s="166">
        <v>22.31</v>
      </c>
      <c r="K443" s="105"/>
      <c r="L443" s="166">
        <v>212.01</v>
      </c>
      <c r="M443" s="166">
        <f t="shared" si="25"/>
        <v>16594.18</v>
      </c>
      <c r="N443" s="117"/>
      <c r="O443" s="343" t="s">
        <v>1611</v>
      </c>
    </row>
    <row r="444" spans="1:15">
      <c r="A444" s="163">
        <v>46190</v>
      </c>
      <c r="B444" s="164" t="s">
        <v>163</v>
      </c>
      <c r="C444" s="341">
        <v>0.43</v>
      </c>
      <c r="D444" s="341">
        <v>0.99</v>
      </c>
      <c r="E444" s="165">
        <v>237.844</v>
      </c>
      <c r="F444" s="10">
        <f t="shared" ref="F444:F507" si="26">(D444-C444)*430</f>
        <v>240.8</v>
      </c>
      <c r="G444" s="10">
        <f t="shared" ref="G444:G507" si="27">E444-F444</f>
        <v>-2.95600000000002</v>
      </c>
      <c r="H444" s="105"/>
      <c r="I444" s="153">
        <f t="shared" si="24"/>
        <v>0.949950387649047</v>
      </c>
      <c r="J444" s="166">
        <v>23.78</v>
      </c>
      <c r="K444" s="105"/>
      <c r="L444" s="166">
        <v>225.94</v>
      </c>
      <c r="M444" s="166">
        <f t="shared" si="25"/>
        <v>16368.24</v>
      </c>
      <c r="N444" s="117"/>
      <c r="O444" s="343" t="s">
        <v>1611</v>
      </c>
    </row>
    <row r="445" spans="1:15">
      <c r="A445" s="163">
        <v>46190</v>
      </c>
      <c r="B445" s="164" t="s">
        <v>338</v>
      </c>
      <c r="C445" s="341">
        <v>0.36</v>
      </c>
      <c r="D445" s="341">
        <v>0.95</v>
      </c>
      <c r="E445" s="165">
        <v>262.581</v>
      </c>
      <c r="F445" s="10">
        <f t="shared" si="26"/>
        <v>253.7</v>
      </c>
      <c r="G445" s="10">
        <f t="shared" si="27"/>
        <v>8.88100000000003</v>
      </c>
      <c r="H445" s="105"/>
      <c r="I445" s="153">
        <f t="shared" si="24"/>
        <v>0.94995449023349</v>
      </c>
      <c r="J445" s="166">
        <v>26.25</v>
      </c>
      <c r="K445" s="105"/>
      <c r="L445" s="166">
        <v>249.44</v>
      </c>
      <c r="M445" s="166">
        <f t="shared" si="25"/>
        <v>16118.8</v>
      </c>
      <c r="N445" s="117"/>
      <c r="O445" s="343" t="s">
        <v>1611</v>
      </c>
    </row>
    <row r="446" spans="1:15">
      <c r="A446" s="163">
        <v>46190</v>
      </c>
      <c r="B446" s="164" t="s">
        <v>183</v>
      </c>
      <c r="C446" s="341">
        <v>0.48</v>
      </c>
      <c r="D446" s="341">
        <v>0.87</v>
      </c>
      <c r="E446" s="165">
        <v>177.551</v>
      </c>
      <c r="F446" s="10">
        <f t="shared" si="26"/>
        <v>167.7</v>
      </c>
      <c r="G446" s="10">
        <f t="shared" si="27"/>
        <v>9.851</v>
      </c>
      <c r="H446" s="105"/>
      <c r="I446" s="153">
        <f t="shared" si="24"/>
        <v>0.94992424711773</v>
      </c>
      <c r="J446" s="166">
        <v>17.75</v>
      </c>
      <c r="K446" s="105"/>
      <c r="L446" s="166">
        <v>168.66</v>
      </c>
      <c r="M446" s="166">
        <f t="shared" si="25"/>
        <v>15950.14</v>
      </c>
      <c r="N446" s="117"/>
      <c r="O446" s="343" t="s">
        <v>1611</v>
      </c>
    </row>
    <row r="447" spans="1:15">
      <c r="A447" s="163">
        <v>46190</v>
      </c>
      <c r="B447" s="164" t="s">
        <v>99</v>
      </c>
      <c r="C447" s="341">
        <v>0.51</v>
      </c>
      <c r="D447" s="341">
        <v>0.9</v>
      </c>
      <c r="E447" s="165">
        <v>183.509</v>
      </c>
      <c r="F447" s="10">
        <f t="shared" si="26"/>
        <v>167.7</v>
      </c>
      <c r="G447" s="10">
        <f t="shared" si="27"/>
        <v>15.809</v>
      </c>
      <c r="H447" s="105"/>
      <c r="I447" s="153">
        <f t="shared" si="24"/>
        <v>0.94998065489976</v>
      </c>
      <c r="J447" s="166">
        <v>18.35</v>
      </c>
      <c r="K447" s="105"/>
      <c r="L447" s="166">
        <v>174.33</v>
      </c>
      <c r="M447" s="166">
        <f t="shared" si="25"/>
        <v>15775.81</v>
      </c>
      <c r="N447" s="117"/>
      <c r="O447" s="343" t="s">
        <v>1611</v>
      </c>
    </row>
    <row r="448" spans="1:15">
      <c r="A448" s="163">
        <v>46190</v>
      </c>
      <c r="B448" s="164" t="s">
        <v>66</v>
      </c>
      <c r="C448" s="341">
        <v>0.59</v>
      </c>
      <c r="D448" s="341">
        <v>0.96</v>
      </c>
      <c r="E448" s="165">
        <v>179.787</v>
      </c>
      <c r="F448" s="10">
        <f t="shared" si="26"/>
        <v>159.1</v>
      </c>
      <c r="G448" s="10">
        <f t="shared" si="27"/>
        <v>20.687</v>
      </c>
      <c r="H448" s="105"/>
      <c r="I448" s="153">
        <f t="shared" si="24"/>
        <v>0.949901828274569</v>
      </c>
      <c r="J448" s="166">
        <v>17.97</v>
      </c>
      <c r="K448" s="105"/>
      <c r="L448" s="166">
        <v>170.78</v>
      </c>
      <c r="M448" s="166">
        <f t="shared" si="25"/>
        <v>15605.03</v>
      </c>
      <c r="N448" s="117"/>
      <c r="O448" s="343" t="s">
        <v>1611</v>
      </c>
    </row>
    <row r="449" spans="1:15">
      <c r="A449" s="163">
        <v>46190</v>
      </c>
      <c r="B449" s="164" t="s">
        <v>72</v>
      </c>
      <c r="C449" s="341">
        <v>0.39</v>
      </c>
      <c r="D449" s="341">
        <v>0.9</v>
      </c>
      <c r="E449" s="165">
        <v>237.056</v>
      </c>
      <c r="F449" s="10">
        <f t="shared" si="26"/>
        <v>219.3</v>
      </c>
      <c r="G449" s="10">
        <f t="shared" si="27"/>
        <v>17.756</v>
      </c>
      <c r="H449" s="105"/>
      <c r="I449" s="153">
        <f t="shared" si="24"/>
        <v>0.949944316954644</v>
      </c>
      <c r="J449" s="166">
        <v>23.7</v>
      </c>
      <c r="K449" s="105"/>
      <c r="L449" s="166">
        <v>225.19</v>
      </c>
      <c r="M449" s="166">
        <f t="shared" si="25"/>
        <v>15379.84</v>
      </c>
      <c r="N449" s="117"/>
      <c r="O449" s="343" t="s">
        <v>1611</v>
      </c>
    </row>
    <row r="450" spans="1:15">
      <c r="A450" s="163">
        <v>46190</v>
      </c>
      <c r="B450" s="164" t="s">
        <v>180</v>
      </c>
      <c r="C450" s="341">
        <v>0.49</v>
      </c>
      <c r="D450" s="341">
        <v>0.99</v>
      </c>
      <c r="E450" s="165">
        <v>211.128</v>
      </c>
      <c r="F450" s="10">
        <f t="shared" si="26"/>
        <v>215</v>
      </c>
      <c r="G450" s="10">
        <f t="shared" si="27"/>
        <v>-3.87200000000001</v>
      </c>
      <c r="H450" s="105"/>
      <c r="I450" s="153">
        <f t="shared" si="24"/>
        <v>0.949945057027017</v>
      </c>
      <c r="J450" s="166">
        <v>21.11</v>
      </c>
      <c r="K450" s="105"/>
      <c r="L450" s="166">
        <v>200.56</v>
      </c>
      <c r="M450" s="166">
        <f t="shared" si="25"/>
        <v>15179.28</v>
      </c>
      <c r="N450" s="117"/>
      <c r="O450" s="343" t="s">
        <v>1611</v>
      </c>
    </row>
    <row r="451" spans="1:15">
      <c r="A451" s="163">
        <v>46190</v>
      </c>
      <c r="B451" s="164" t="s">
        <v>135</v>
      </c>
      <c r="C451" s="341">
        <v>0.43</v>
      </c>
      <c r="D451" s="341">
        <v>0.98</v>
      </c>
      <c r="E451" s="165">
        <v>245.374</v>
      </c>
      <c r="F451" s="10">
        <f t="shared" si="26"/>
        <v>236.5</v>
      </c>
      <c r="G451" s="10">
        <f t="shared" si="27"/>
        <v>8.874</v>
      </c>
      <c r="H451" s="105"/>
      <c r="I451" s="153">
        <f t="shared" ref="I451:I514" si="28">L451/E451</f>
        <v>0.949937646205384</v>
      </c>
      <c r="J451" s="166">
        <v>24.53</v>
      </c>
      <c r="K451" s="105"/>
      <c r="L451" s="166">
        <v>233.09</v>
      </c>
      <c r="M451" s="166">
        <f t="shared" ref="M451:M514" si="29">M450+K451-L451</f>
        <v>14946.19</v>
      </c>
      <c r="N451" s="117"/>
      <c r="O451" s="343" t="s">
        <v>1611</v>
      </c>
    </row>
    <row r="452" spans="1:15">
      <c r="A452" s="163">
        <v>46190</v>
      </c>
      <c r="B452" s="164" t="s">
        <v>111</v>
      </c>
      <c r="C452" s="341">
        <v>0.44</v>
      </c>
      <c r="D452" s="341">
        <v>0.97</v>
      </c>
      <c r="E452" s="165">
        <v>222.336</v>
      </c>
      <c r="F452" s="10">
        <f t="shared" si="26"/>
        <v>227.9</v>
      </c>
      <c r="G452" s="10">
        <f t="shared" si="27"/>
        <v>-5.56399999999999</v>
      </c>
      <c r="H452" s="105"/>
      <c r="I452" s="153">
        <f t="shared" si="28"/>
        <v>0.949958621185953</v>
      </c>
      <c r="J452" s="166">
        <v>22.23</v>
      </c>
      <c r="K452" s="105"/>
      <c r="L452" s="166">
        <v>211.21</v>
      </c>
      <c r="M452" s="166">
        <f t="shared" si="29"/>
        <v>14734.98</v>
      </c>
      <c r="N452" s="117"/>
      <c r="O452" s="343" t="s">
        <v>1611</v>
      </c>
    </row>
    <row r="453" spans="1:15">
      <c r="A453" s="163">
        <v>46190</v>
      </c>
      <c r="B453" s="164" t="s">
        <v>51</v>
      </c>
      <c r="C453" s="341">
        <v>0.48</v>
      </c>
      <c r="D453" s="341">
        <v>0.99</v>
      </c>
      <c r="E453" s="165">
        <v>216.794</v>
      </c>
      <c r="F453" s="10">
        <f t="shared" si="26"/>
        <v>219.3</v>
      </c>
      <c r="G453" s="10">
        <f t="shared" si="27"/>
        <v>-2.506</v>
      </c>
      <c r="H453" s="105"/>
      <c r="I453" s="153">
        <f t="shared" si="28"/>
        <v>0.94993403876491</v>
      </c>
      <c r="J453" s="166">
        <v>21.67</v>
      </c>
      <c r="K453" s="105"/>
      <c r="L453" s="166">
        <v>205.94</v>
      </c>
      <c r="M453" s="166">
        <f t="shared" si="29"/>
        <v>14529.04</v>
      </c>
      <c r="N453" s="117"/>
      <c r="O453" s="343" t="s">
        <v>1611</v>
      </c>
    </row>
    <row r="454" spans="1:15">
      <c r="A454" s="163">
        <v>46190</v>
      </c>
      <c r="B454" s="164" t="s">
        <v>69</v>
      </c>
      <c r="C454" s="341">
        <v>0.24</v>
      </c>
      <c r="D454" s="341">
        <v>0.92</v>
      </c>
      <c r="E454" s="165">
        <v>316.816</v>
      </c>
      <c r="F454" s="10">
        <f t="shared" si="26"/>
        <v>292.4</v>
      </c>
      <c r="G454" s="10">
        <f t="shared" si="27"/>
        <v>24.416</v>
      </c>
      <c r="H454" s="105"/>
      <c r="I454" s="153">
        <f t="shared" si="28"/>
        <v>0.949983586687541</v>
      </c>
      <c r="J454" s="166">
        <v>31.68</v>
      </c>
      <c r="K454" s="105"/>
      <c r="L454" s="166">
        <v>300.97</v>
      </c>
      <c r="M454" s="166">
        <f t="shared" si="29"/>
        <v>14228.07</v>
      </c>
      <c r="N454" s="117"/>
      <c r="O454" s="343" t="s">
        <v>1611</v>
      </c>
    </row>
    <row r="455" spans="1:15">
      <c r="A455" s="163">
        <v>46190</v>
      </c>
      <c r="B455" s="164" t="s">
        <v>78</v>
      </c>
      <c r="C455" s="341">
        <v>0.44</v>
      </c>
      <c r="D455" s="341">
        <v>0.88</v>
      </c>
      <c r="E455" s="165">
        <v>208.261</v>
      </c>
      <c r="F455" s="10">
        <f t="shared" si="26"/>
        <v>189.2</v>
      </c>
      <c r="G455" s="10">
        <f t="shared" si="27"/>
        <v>19.061</v>
      </c>
      <c r="H455" s="105"/>
      <c r="I455" s="153">
        <f t="shared" si="28"/>
        <v>0.949961826746246</v>
      </c>
      <c r="J455" s="166">
        <v>20.82</v>
      </c>
      <c r="K455" s="105"/>
      <c r="L455" s="166">
        <v>197.84</v>
      </c>
      <c r="M455" s="166">
        <f t="shared" si="29"/>
        <v>14030.23</v>
      </c>
      <c r="N455" s="117"/>
      <c r="O455" s="343" t="s">
        <v>1611</v>
      </c>
    </row>
    <row r="456" spans="1:15">
      <c r="A456" s="163">
        <v>46190</v>
      </c>
      <c r="B456" s="164" t="s">
        <v>57</v>
      </c>
      <c r="C456" s="341">
        <v>0.44</v>
      </c>
      <c r="D456" s="341">
        <v>0.96</v>
      </c>
      <c r="E456" s="165">
        <v>220.969</v>
      </c>
      <c r="F456" s="10">
        <f t="shared" si="26"/>
        <v>223.6</v>
      </c>
      <c r="G456" s="10">
        <f t="shared" si="27"/>
        <v>-2.631</v>
      </c>
      <c r="H456" s="105"/>
      <c r="I456" s="153">
        <f t="shared" si="28"/>
        <v>0.949952255746281</v>
      </c>
      <c r="J456" s="166">
        <v>22.09</v>
      </c>
      <c r="K456" s="105"/>
      <c r="L456" s="166">
        <v>209.91</v>
      </c>
      <c r="M456" s="166">
        <f t="shared" si="29"/>
        <v>13820.32</v>
      </c>
      <c r="N456" s="117"/>
      <c r="O456" s="343" t="s">
        <v>1611</v>
      </c>
    </row>
    <row r="457" spans="1:15">
      <c r="A457" s="163">
        <v>46190</v>
      </c>
      <c r="B457" s="164" t="s">
        <v>105</v>
      </c>
      <c r="C457" s="341">
        <v>0.41</v>
      </c>
      <c r="D457" s="341">
        <v>0.98</v>
      </c>
      <c r="E457" s="165">
        <v>274.13</v>
      </c>
      <c r="F457" s="10">
        <f t="shared" si="26"/>
        <v>245.1</v>
      </c>
      <c r="G457" s="10">
        <f t="shared" si="27"/>
        <v>29.03</v>
      </c>
      <c r="H457" s="105"/>
      <c r="I457" s="153">
        <f t="shared" si="28"/>
        <v>0.949987232335024</v>
      </c>
      <c r="J457" s="166">
        <v>27.41</v>
      </c>
      <c r="K457" s="105"/>
      <c r="L457" s="166">
        <v>260.42</v>
      </c>
      <c r="M457" s="166">
        <f t="shared" si="29"/>
        <v>13559.9</v>
      </c>
      <c r="N457" s="117"/>
      <c r="O457" s="343" t="s">
        <v>1611</v>
      </c>
    </row>
    <row r="458" spans="1:15">
      <c r="A458" s="163">
        <v>46190</v>
      </c>
      <c r="B458" s="164" t="s">
        <v>141</v>
      </c>
      <c r="C458" s="341">
        <v>0.51</v>
      </c>
      <c r="D458" s="341">
        <v>0.76</v>
      </c>
      <c r="E458" s="165">
        <v>112.162</v>
      </c>
      <c r="F458" s="10">
        <f t="shared" si="26"/>
        <v>107.5</v>
      </c>
      <c r="G458" s="10">
        <f t="shared" si="27"/>
        <v>4.66200000000001</v>
      </c>
      <c r="H458" s="105"/>
      <c r="I458" s="153">
        <f t="shared" si="28"/>
        <v>0.885148267684242</v>
      </c>
      <c r="J458" s="166">
        <v>11.2</v>
      </c>
      <c r="K458" s="105"/>
      <c r="L458" s="166">
        <v>99.28</v>
      </c>
      <c r="M458" s="166">
        <f t="shared" si="29"/>
        <v>13460.62</v>
      </c>
      <c r="N458" s="117"/>
      <c r="O458" s="343" t="s">
        <v>1611</v>
      </c>
    </row>
    <row r="459" spans="1:15">
      <c r="A459" s="163">
        <v>46191</v>
      </c>
      <c r="B459" s="164" t="s">
        <v>141</v>
      </c>
      <c r="C459" s="341">
        <v>0.77</v>
      </c>
      <c r="D459" s="341">
        <v>0.99</v>
      </c>
      <c r="E459" s="55">
        <v>105.587</v>
      </c>
      <c r="F459" s="10">
        <f t="shared" si="26"/>
        <v>94.6</v>
      </c>
      <c r="G459" s="10">
        <f t="shared" si="27"/>
        <v>10.987</v>
      </c>
      <c r="H459" s="55"/>
      <c r="I459" s="153">
        <f t="shared" si="28"/>
        <v>0.819892600414824</v>
      </c>
      <c r="J459" s="55">
        <v>21.11</v>
      </c>
      <c r="K459" s="55"/>
      <c r="L459" s="55">
        <v>86.57</v>
      </c>
      <c r="M459" s="166">
        <f t="shared" si="29"/>
        <v>13374.05</v>
      </c>
      <c r="N459" s="55"/>
      <c r="O459" s="343" t="s">
        <v>1611</v>
      </c>
    </row>
    <row r="460" spans="1:15">
      <c r="A460" s="163">
        <v>46191</v>
      </c>
      <c r="B460" s="164" t="s">
        <v>166</v>
      </c>
      <c r="C460" s="341">
        <v>0.18</v>
      </c>
      <c r="D460" s="341">
        <v>0.99</v>
      </c>
      <c r="E460" s="55">
        <v>360.724</v>
      </c>
      <c r="F460" s="10">
        <f t="shared" si="26"/>
        <v>348.3</v>
      </c>
      <c r="G460" s="10">
        <f t="shared" si="27"/>
        <v>12.424</v>
      </c>
      <c r="H460" s="55"/>
      <c r="I460" s="153">
        <f t="shared" si="28"/>
        <v>0.669985917210942</v>
      </c>
      <c r="J460" s="55">
        <v>72.14</v>
      </c>
      <c r="K460" s="55"/>
      <c r="L460" s="55">
        <v>241.68</v>
      </c>
      <c r="M460" s="166">
        <f t="shared" si="29"/>
        <v>13132.37</v>
      </c>
      <c r="N460" s="55"/>
      <c r="O460" s="343" t="s">
        <v>1611</v>
      </c>
    </row>
    <row r="461" spans="1:15">
      <c r="A461" s="163">
        <v>46191</v>
      </c>
      <c r="B461" s="164" t="s">
        <v>186</v>
      </c>
      <c r="C461" s="341">
        <v>0.32</v>
      </c>
      <c r="D461" s="341">
        <v>1</v>
      </c>
      <c r="E461" s="55">
        <v>304.017</v>
      </c>
      <c r="F461" s="10">
        <f t="shared" si="26"/>
        <v>292.4</v>
      </c>
      <c r="G461" s="10">
        <f t="shared" si="27"/>
        <v>11.617</v>
      </c>
      <c r="H461" s="55"/>
      <c r="I461" s="153">
        <f t="shared" si="28"/>
        <v>0.66996253498982</v>
      </c>
      <c r="J461" s="55">
        <v>60.8</v>
      </c>
      <c r="K461" s="55"/>
      <c r="L461" s="55">
        <v>203.68</v>
      </c>
      <c r="M461" s="166">
        <f t="shared" si="29"/>
        <v>12928.69</v>
      </c>
      <c r="N461" s="55"/>
      <c r="O461" s="343" t="s">
        <v>1611</v>
      </c>
    </row>
    <row r="462" spans="1:15">
      <c r="A462" s="163">
        <v>46191</v>
      </c>
      <c r="B462" s="164" t="s">
        <v>87</v>
      </c>
      <c r="C462" s="341">
        <v>0.54</v>
      </c>
      <c r="D462" s="341">
        <v>0.94</v>
      </c>
      <c r="E462" s="55">
        <v>189.1</v>
      </c>
      <c r="F462" s="10">
        <f t="shared" si="26"/>
        <v>172</v>
      </c>
      <c r="G462" s="10">
        <f t="shared" si="27"/>
        <v>17.1</v>
      </c>
      <c r="H462" s="55"/>
      <c r="I462" s="153">
        <f t="shared" si="28"/>
        <v>0.669962982548916</v>
      </c>
      <c r="J462" s="55">
        <v>37.82</v>
      </c>
      <c r="K462" s="55"/>
      <c r="L462" s="55">
        <v>126.69</v>
      </c>
      <c r="M462" s="166">
        <f t="shared" si="29"/>
        <v>12802</v>
      </c>
      <c r="N462" s="55"/>
      <c r="O462" s="343" t="s">
        <v>1611</v>
      </c>
    </row>
    <row r="463" spans="1:15">
      <c r="A463" s="163">
        <v>46191</v>
      </c>
      <c r="B463" s="164" t="s">
        <v>132</v>
      </c>
      <c r="C463" s="341">
        <v>0.53</v>
      </c>
      <c r="D463" s="341">
        <v>0.86</v>
      </c>
      <c r="E463" s="55">
        <v>146.44</v>
      </c>
      <c r="F463" s="10">
        <f t="shared" si="26"/>
        <v>141.9</v>
      </c>
      <c r="G463" s="10">
        <f t="shared" si="27"/>
        <v>4.54000000000002</v>
      </c>
      <c r="H463" s="55"/>
      <c r="I463" s="153">
        <f t="shared" si="28"/>
        <v>0.819926249658563</v>
      </c>
      <c r="J463" s="55">
        <v>29.28</v>
      </c>
      <c r="K463" s="55"/>
      <c r="L463" s="55">
        <v>120.07</v>
      </c>
      <c r="M463" s="166">
        <f t="shared" si="29"/>
        <v>12681.93</v>
      </c>
      <c r="N463" s="55"/>
      <c r="O463" s="343" t="s">
        <v>1611</v>
      </c>
    </row>
    <row r="464" spans="1:15">
      <c r="A464" s="163">
        <v>46191</v>
      </c>
      <c r="B464" s="164" t="s">
        <v>210</v>
      </c>
      <c r="C464" s="341">
        <v>0.4</v>
      </c>
      <c r="D464" s="341">
        <v>0.87</v>
      </c>
      <c r="E464" s="55">
        <v>210.382</v>
      </c>
      <c r="F464" s="10">
        <f t="shared" si="26"/>
        <v>202.1</v>
      </c>
      <c r="G464" s="10">
        <f t="shared" si="27"/>
        <v>8.28200000000001</v>
      </c>
      <c r="H464" s="55"/>
      <c r="I464" s="153">
        <f t="shared" si="28"/>
        <v>0.949938682967174</v>
      </c>
      <c r="J464" s="55">
        <v>42.07</v>
      </c>
      <c r="K464" s="55"/>
      <c r="L464" s="55">
        <v>199.85</v>
      </c>
      <c r="M464" s="166">
        <f t="shared" si="29"/>
        <v>12482.08</v>
      </c>
      <c r="N464" s="55"/>
      <c r="O464" s="343" t="s">
        <v>1611</v>
      </c>
    </row>
    <row r="465" spans="1:15">
      <c r="A465" s="163">
        <v>46191</v>
      </c>
      <c r="B465" s="164" t="s">
        <v>54</v>
      </c>
      <c r="C465" s="341">
        <v>0.42</v>
      </c>
      <c r="D465" s="341">
        <v>0.93</v>
      </c>
      <c r="E465" s="55">
        <v>212.694</v>
      </c>
      <c r="F465" s="10">
        <f t="shared" si="26"/>
        <v>219.3</v>
      </c>
      <c r="G465" s="10">
        <f t="shared" si="27"/>
        <v>-6.60600000000002</v>
      </c>
      <c r="H465" s="55"/>
      <c r="I465" s="153">
        <f t="shared" si="28"/>
        <v>0.949909259311499</v>
      </c>
      <c r="J465" s="55">
        <v>42.53</v>
      </c>
      <c r="K465" s="55"/>
      <c r="L465" s="55">
        <v>202.04</v>
      </c>
      <c r="M465" s="166">
        <f t="shared" si="29"/>
        <v>12280.04</v>
      </c>
      <c r="N465" s="55"/>
      <c r="O465" s="343" t="s">
        <v>1611</v>
      </c>
    </row>
    <row r="466" spans="1:15">
      <c r="A466" s="163">
        <v>46191</v>
      </c>
      <c r="B466" s="164" t="s">
        <v>60</v>
      </c>
      <c r="C466" s="341">
        <v>0.66</v>
      </c>
      <c r="D466" s="341">
        <v>1</v>
      </c>
      <c r="E466" s="55">
        <v>139.401</v>
      </c>
      <c r="F466" s="10">
        <f t="shared" si="26"/>
        <v>146.2</v>
      </c>
      <c r="G466" s="10">
        <f t="shared" si="27"/>
        <v>-6.79899999999998</v>
      </c>
      <c r="H466" s="55"/>
      <c r="I466" s="153">
        <f t="shared" si="28"/>
        <v>0.949993185127797</v>
      </c>
      <c r="J466" s="55">
        <v>27.88</v>
      </c>
      <c r="K466" s="55"/>
      <c r="L466" s="55">
        <v>132.43</v>
      </c>
      <c r="M466" s="166">
        <f t="shared" si="29"/>
        <v>12147.61</v>
      </c>
      <c r="N466" s="55"/>
      <c r="O466" s="343" t="s">
        <v>1611</v>
      </c>
    </row>
    <row r="467" spans="1:15">
      <c r="A467" s="163">
        <v>46191</v>
      </c>
      <c r="B467" s="164" t="s">
        <v>177</v>
      </c>
      <c r="C467" s="341">
        <v>0.21</v>
      </c>
      <c r="D467" s="341">
        <v>0.92</v>
      </c>
      <c r="E467" s="55">
        <v>314.112</v>
      </c>
      <c r="F467" s="10">
        <f t="shared" si="26"/>
        <v>305.3</v>
      </c>
      <c r="G467" s="10">
        <f t="shared" si="27"/>
        <v>8.81200000000001</v>
      </c>
      <c r="H467" s="55"/>
      <c r="I467" s="153">
        <f t="shared" si="28"/>
        <v>0.949979625101874</v>
      </c>
      <c r="J467" s="55">
        <v>62.82</v>
      </c>
      <c r="K467" s="55"/>
      <c r="L467" s="55">
        <v>298.4</v>
      </c>
      <c r="M467" s="166">
        <f t="shared" si="29"/>
        <v>11849.21</v>
      </c>
      <c r="N467" s="55"/>
      <c r="O467" s="343" t="s">
        <v>1611</v>
      </c>
    </row>
    <row r="468" spans="1:15">
      <c r="A468" s="163">
        <v>46191</v>
      </c>
      <c r="B468" s="164" t="s">
        <v>75</v>
      </c>
      <c r="C468" s="341">
        <v>0.22</v>
      </c>
      <c r="D468" s="341">
        <v>0.92</v>
      </c>
      <c r="E468" s="55">
        <v>326.326</v>
      </c>
      <c r="F468" s="10">
        <f t="shared" si="26"/>
        <v>301</v>
      </c>
      <c r="G468" s="10">
        <f t="shared" si="27"/>
        <v>25.326</v>
      </c>
      <c r="H468" s="55"/>
      <c r="I468" s="153">
        <f t="shared" si="28"/>
        <v>0.949970275123649</v>
      </c>
      <c r="J468" s="55">
        <v>65.26</v>
      </c>
      <c r="K468" s="55"/>
      <c r="L468" s="55">
        <v>310</v>
      </c>
      <c r="M468" s="166">
        <f t="shared" si="29"/>
        <v>11539.21</v>
      </c>
      <c r="N468" s="55"/>
      <c r="O468" s="343" t="s">
        <v>1611</v>
      </c>
    </row>
    <row r="469" spans="1:15">
      <c r="A469" s="163">
        <v>46191</v>
      </c>
      <c r="B469" s="164" t="s">
        <v>138</v>
      </c>
      <c r="C469" s="341">
        <v>0.52</v>
      </c>
      <c r="D469" s="341">
        <v>0.9</v>
      </c>
      <c r="E469" s="55">
        <v>171.291</v>
      </c>
      <c r="F469" s="10">
        <f t="shared" si="26"/>
        <v>163.4</v>
      </c>
      <c r="G469" s="10">
        <f t="shared" si="27"/>
        <v>7.89099999999999</v>
      </c>
      <c r="H469" s="55"/>
      <c r="I469" s="153">
        <f t="shared" si="28"/>
        <v>0.949903964598257</v>
      </c>
      <c r="J469" s="55">
        <v>34.25</v>
      </c>
      <c r="K469" s="55"/>
      <c r="L469" s="55">
        <v>162.71</v>
      </c>
      <c r="M469" s="166">
        <f t="shared" si="29"/>
        <v>11376.5</v>
      </c>
      <c r="N469" s="55"/>
      <c r="O469" s="343" t="s">
        <v>1611</v>
      </c>
    </row>
    <row r="470" spans="1:15">
      <c r="A470" s="163">
        <v>46191</v>
      </c>
      <c r="B470" s="164" t="s">
        <v>90</v>
      </c>
      <c r="C470" s="341">
        <v>0.28</v>
      </c>
      <c r="D470" s="341">
        <v>0.9</v>
      </c>
      <c r="E470" s="55">
        <v>289.107</v>
      </c>
      <c r="F470" s="10">
        <f t="shared" si="26"/>
        <v>266.6</v>
      </c>
      <c r="G470" s="10">
        <f t="shared" si="27"/>
        <v>22.507</v>
      </c>
      <c r="H470" s="55"/>
      <c r="I470" s="153">
        <f t="shared" si="28"/>
        <v>0.878982522042012</v>
      </c>
      <c r="J470" s="55">
        <v>57.81</v>
      </c>
      <c r="K470" s="55"/>
      <c r="L470" s="55">
        <v>254.12</v>
      </c>
      <c r="M470" s="166">
        <f t="shared" si="29"/>
        <v>11122.38</v>
      </c>
      <c r="N470" s="55"/>
      <c r="O470" s="343" t="s">
        <v>1611</v>
      </c>
    </row>
    <row r="471" spans="1:15">
      <c r="A471" s="163">
        <v>46191</v>
      </c>
      <c r="B471" s="164" t="s">
        <v>93</v>
      </c>
      <c r="C471" s="341">
        <v>0.21</v>
      </c>
      <c r="D471" s="341">
        <v>0.92</v>
      </c>
      <c r="E471" s="55">
        <v>328.274</v>
      </c>
      <c r="F471" s="10">
        <f t="shared" si="26"/>
        <v>305.3</v>
      </c>
      <c r="G471" s="10">
        <f t="shared" si="27"/>
        <v>22.974</v>
      </c>
      <c r="H471" s="55"/>
      <c r="I471" s="153">
        <f t="shared" si="28"/>
        <v>0.826717924660497</v>
      </c>
      <c r="J471" s="55">
        <v>65.65</v>
      </c>
      <c r="K471" s="55"/>
      <c r="L471" s="55">
        <v>271.39</v>
      </c>
      <c r="M471" s="166">
        <f t="shared" si="29"/>
        <v>10850.99</v>
      </c>
      <c r="N471" s="55"/>
      <c r="O471" s="343" t="s">
        <v>1611</v>
      </c>
    </row>
    <row r="472" spans="1:15">
      <c r="A472" s="163">
        <v>46191</v>
      </c>
      <c r="B472" s="164" t="s">
        <v>192</v>
      </c>
      <c r="C472" s="341">
        <v>0.45</v>
      </c>
      <c r="D472" s="341">
        <v>0.99</v>
      </c>
      <c r="E472" s="55">
        <v>246.025</v>
      </c>
      <c r="F472" s="10">
        <f t="shared" si="26"/>
        <v>232.2</v>
      </c>
      <c r="G472" s="10">
        <f t="shared" si="27"/>
        <v>13.825</v>
      </c>
      <c r="H472" s="55"/>
      <c r="I472" s="153">
        <f t="shared" si="28"/>
        <v>0.949984757646581</v>
      </c>
      <c r="J472" s="55">
        <v>49.2</v>
      </c>
      <c r="K472" s="55"/>
      <c r="L472" s="55">
        <v>233.72</v>
      </c>
      <c r="M472" s="166">
        <f t="shared" si="29"/>
        <v>10617.27</v>
      </c>
      <c r="N472" s="55"/>
      <c r="O472" s="343" t="s">
        <v>1611</v>
      </c>
    </row>
    <row r="473" spans="1:15">
      <c r="A473" s="163">
        <v>46191</v>
      </c>
      <c r="B473" s="164" t="s">
        <v>81</v>
      </c>
      <c r="C473" s="341">
        <v>0.19</v>
      </c>
      <c r="D473" s="341">
        <v>0.9</v>
      </c>
      <c r="E473" s="55">
        <v>333.166</v>
      </c>
      <c r="F473" s="10">
        <f t="shared" si="26"/>
        <v>305.3</v>
      </c>
      <c r="G473" s="10">
        <f t="shared" si="27"/>
        <v>27.866</v>
      </c>
      <c r="H473" s="55"/>
      <c r="I473" s="153">
        <f t="shared" si="28"/>
        <v>0.949976888397976</v>
      </c>
      <c r="J473" s="55">
        <v>66.63</v>
      </c>
      <c r="K473" s="55"/>
      <c r="L473" s="55">
        <v>316.5</v>
      </c>
      <c r="M473" s="166">
        <f t="shared" si="29"/>
        <v>10300.77</v>
      </c>
      <c r="N473" s="55"/>
      <c r="O473" s="343" t="s">
        <v>1611</v>
      </c>
    </row>
    <row r="474" spans="1:15">
      <c r="A474" s="163">
        <v>46191</v>
      </c>
      <c r="B474" s="164" t="s">
        <v>339</v>
      </c>
      <c r="C474" s="341">
        <v>0.51</v>
      </c>
      <c r="D474" s="341">
        <v>1</v>
      </c>
      <c r="E474" s="55">
        <v>220.172</v>
      </c>
      <c r="F474" s="10">
        <f t="shared" si="26"/>
        <v>210.7</v>
      </c>
      <c r="G474" s="10">
        <f t="shared" si="27"/>
        <v>9.47200000000001</v>
      </c>
      <c r="H474" s="55"/>
      <c r="I474" s="153">
        <f t="shared" si="28"/>
        <v>0.949939138491725</v>
      </c>
      <c r="J474" s="55">
        <v>44.03</v>
      </c>
      <c r="K474" s="55"/>
      <c r="L474" s="55">
        <v>209.15</v>
      </c>
      <c r="M474" s="166">
        <f t="shared" si="29"/>
        <v>10091.62</v>
      </c>
      <c r="N474" s="55"/>
      <c r="O474" s="343" t="s">
        <v>1611</v>
      </c>
    </row>
    <row r="475" spans="1:15">
      <c r="A475" s="163">
        <v>46191</v>
      </c>
      <c r="B475" s="164" t="s">
        <v>189</v>
      </c>
      <c r="C475" s="341">
        <v>0.29</v>
      </c>
      <c r="D475" s="341">
        <v>0.88</v>
      </c>
      <c r="E475" s="55">
        <v>263.308</v>
      </c>
      <c r="F475" s="10">
        <f t="shared" si="26"/>
        <v>253.7</v>
      </c>
      <c r="G475" s="10">
        <f t="shared" si="27"/>
        <v>9.60799999999995</v>
      </c>
      <c r="H475" s="55"/>
      <c r="I475" s="153">
        <f t="shared" si="28"/>
        <v>0.94999012563234</v>
      </c>
      <c r="J475" s="55">
        <v>52.66</v>
      </c>
      <c r="K475" s="55"/>
      <c r="L475" s="55">
        <v>250.14</v>
      </c>
      <c r="M475" s="166">
        <f t="shared" si="29"/>
        <v>9841.48</v>
      </c>
      <c r="N475" s="55"/>
      <c r="O475" s="343" t="s">
        <v>1611</v>
      </c>
    </row>
    <row r="476" spans="1:15">
      <c r="A476" s="163">
        <v>46191</v>
      </c>
      <c r="B476" s="164" t="s">
        <v>144</v>
      </c>
      <c r="C476" s="341">
        <v>0.2</v>
      </c>
      <c r="D476" s="341">
        <v>0.52</v>
      </c>
      <c r="E476" s="55">
        <v>141.704</v>
      </c>
      <c r="F476" s="10">
        <f t="shared" si="26"/>
        <v>137.6</v>
      </c>
      <c r="G476" s="10">
        <f t="shared" si="27"/>
        <v>4.10400000000001</v>
      </c>
      <c r="H476" s="55"/>
      <c r="I476" s="153">
        <f t="shared" si="28"/>
        <v>0.949937898718455</v>
      </c>
      <c r="J476" s="55">
        <v>28.34</v>
      </c>
      <c r="K476" s="55"/>
      <c r="L476" s="55">
        <v>134.61</v>
      </c>
      <c r="M476" s="166">
        <f t="shared" si="29"/>
        <v>9706.87</v>
      </c>
      <c r="N476" s="55"/>
      <c r="O476" s="343" t="s">
        <v>1611</v>
      </c>
    </row>
    <row r="477" spans="1:15">
      <c r="A477" s="163">
        <v>46191</v>
      </c>
      <c r="B477" s="164" t="s">
        <v>124</v>
      </c>
      <c r="C477" s="341">
        <v>0.3</v>
      </c>
      <c r="D477" s="341">
        <v>0.92</v>
      </c>
      <c r="E477" s="55">
        <v>264.073</v>
      </c>
      <c r="F477" s="10">
        <f t="shared" si="26"/>
        <v>266.6</v>
      </c>
      <c r="G477" s="10">
        <f t="shared" si="27"/>
        <v>-2.52700000000004</v>
      </c>
      <c r="H477" s="55"/>
      <c r="I477" s="153">
        <f t="shared" si="28"/>
        <v>0.949964593123871</v>
      </c>
      <c r="J477" s="55">
        <v>52.81</v>
      </c>
      <c r="K477" s="55"/>
      <c r="L477" s="55">
        <v>250.86</v>
      </c>
      <c r="M477" s="166">
        <f t="shared" si="29"/>
        <v>9456.01</v>
      </c>
      <c r="N477" s="55"/>
      <c r="O477" s="343" t="s">
        <v>1611</v>
      </c>
    </row>
    <row r="478" spans="1:15">
      <c r="A478" s="163">
        <v>46191</v>
      </c>
      <c r="B478" s="164" t="s">
        <v>144</v>
      </c>
      <c r="C478" s="341">
        <v>0.53</v>
      </c>
      <c r="D478" s="341">
        <v>0.95</v>
      </c>
      <c r="E478" s="55">
        <v>192.141</v>
      </c>
      <c r="F478" s="10">
        <f t="shared" si="26"/>
        <v>180.6</v>
      </c>
      <c r="G478" s="10">
        <f t="shared" si="27"/>
        <v>11.541</v>
      </c>
      <c r="H478" s="55"/>
      <c r="I478" s="153">
        <f t="shared" si="28"/>
        <v>0.949927397067778</v>
      </c>
      <c r="J478" s="55">
        <v>38.42</v>
      </c>
      <c r="K478" s="55"/>
      <c r="L478" s="55">
        <v>182.52</v>
      </c>
      <c r="M478" s="166">
        <f t="shared" si="29"/>
        <v>9273.49</v>
      </c>
      <c r="N478" s="55"/>
      <c r="O478" s="343" t="s">
        <v>1611</v>
      </c>
    </row>
    <row r="479" spans="1:15">
      <c r="A479" s="163">
        <v>46191</v>
      </c>
      <c r="B479" s="164" t="s">
        <v>180</v>
      </c>
      <c r="C479" s="341">
        <v>0.5</v>
      </c>
      <c r="D479" s="341">
        <v>0.96</v>
      </c>
      <c r="E479" s="55">
        <v>205.973</v>
      </c>
      <c r="F479" s="10">
        <f t="shared" si="26"/>
        <v>197.8</v>
      </c>
      <c r="G479" s="10">
        <f t="shared" si="27"/>
        <v>8.17300000000003</v>
      </c>
      <c r="H479" s="55"/>
      <c r="I479" s="153">
        <f t="shared" si="28"/>
        <v>0.949930330674409</v>
      </c>
      <c r="J479" s="55">
        <v>41.19</v>
      </c>
      <c r="K479" s="55"/>
      <c r="L479" s="55">
        <v>195.66</v>
      </c>
      <c r="M479" s="166">
        <f t="shared" si="29"/>
        <v>9077.83</v>
      </c>
      <c r="N479" s="55"/>
      <c r="O479" s="343" t="s">
        <v>1611</v>
      </c>
    </row>
    <row r="480" spans="1:15">
      <c r="A480" s="163">
        <v>46191</v>
      </c>
      <c r="B480" s="164" t="s">
        <v>174</v>
      </c>
      <c r="C480" s="341">
        <v>0.46</v>
      </c>
      <c r="D480" s="341">
        <v>0.99</v>
      </c>
      <c r="E480" s="55">
        <v>234.04</v>
      </c>
      <c r="F480" s="10">
        <f t="shared" si="26"/>
        <v>227.9</v>
      </c>
      <c r="G480" s="10">
        <f t="shared" si="27"/>
        <v>6.13999999999999</v>
      </c>
      <c r="H480" s="55"/>
      <c r="I480" s="153">
        <f t="shared" si="28"/>
        <v>0.908434455648607</v>
      </c>
      <c r="J480" s="55">
        <v>46.8</v>
      </c>
      <c r="K480" s="55"/>
      <c r="L480" s="55">
        <v>212.61</v>
      </c>
      <c r="M480" s="166">
        <f t="shared" si="29"/>
        <v>8865.22</v>
      </c>
      <c r="N480" s="55"/>
      <c r="O480" s="343" t="s">
        <v>1611</v>
      </c>
    </row>
    <row r="481" spans="1:15">
      <c r="A481" s="163">
        <v>46192</v>
      </c>
      <c r="B481" s="164" t="s">
        <v>63</v>
      </c>
      <c r="C481" s="341">
        <v>0.44</v>
      </c>
      <c r="D481" s="341">
        <v>1</v>
      </c>
      <c r="E481" s="55">
        <v>260.441</v>
      </c>
      <c r="F481" s="10">
        <f t="shared" si="26"/>
        <v>240.8</v>
      </c>
      <c r="G481" s="10">
        <f t="shared" si="27"/>
        <v>19.641</v>
      </c>
      <c r="H481" s="55"/>
      <c r="I481" s="153">
        <f t="shared" si="28"/>
        <v>0.819955383368978</v>
      </c>
      <c r="J481" s="55">
        <v>52.08</v>
      </c>
      <c r="K481" s="55"/>
      <c r="L481" s="55">
        <v>213.55</v>
      </c>
      <c r="M481" s="166">
        <f t="shared" si="29"/>
        <v>8651.67</v>
      </c>
      <c r="N481" s="55"/>
      <c r="O481" s="343" t="s">
        <v>1611</v>
      </c>
    </row>
    <row r="482" spans="1:15">
      <c r="A482" s="163">
        <v>46192</v>
      </c>
      <c r="B482" s="164" t="s">
        <v>183</v>
      </c>
      <c r="C482" s="341">
        <v>0.46</v>
      </c>
      <c r="D482" s="341">
        <v>0.52</v>
      </c>
      <c r="E482" s="55">
        <v>24.497</v>
      </c>
      <c r="F482" s="10">
        <f t="shared" si="26"/>
        <v>25.8</v>
      </c>
      <c r="G482" s="10">
        <f t="shared" si="27"/>
        <v>-1.303</v>
      </c>
      <c r="H482" s="55"/>
      <c r="I482" s="153">
        <f t="shared" si="28"/>
        <v>0.819283993958444</v>
      </c>
      <c r="J482" s="55">
        <v>4.89</v>
      </c>
      <c r="K482" s="55"/>
      <c r="L482" s="55">
        <v>20.07</v>
      </c>
      <c r="M482" s="166">
        <f t="shared" si="29"/>
        <v>8631.6</v>
      </c>
      <c r="N482" s="55"/>
      <c r="O482" s="343" t="s">
        <v>1611</v>
      </c>
    </row>
    <row r="483" spans="1:15">
      <c r="A483" s="163">
        <v>46192</v>
      </c>
      <c r="B483" s="164" t="s">
        <v>183</v>
      </c>
      <c r="C483" s="341">
        <v>0.52</v>
      </c>
      <c r="D483" s="341">
        <v>0.99</v>
      </c>
      <c r="E483" s="55">
        <v>213.88</v>
      </c>
      <c r="F483" s="10">
        <f t="shared" si="26"/>
        <v>202.1</v>
      </c>
      <c r="G483" s="10">
        <f t="shared" si="27"/>
        <v>11.78</v>
      </c>
      <c r="H483" s="55"/>
      <c r="I483" s="153">
        <f t="shared" si="28"/>
        <v>0.819945763979802</v>
      </c>
      <c r="J483" s="55">
        <v>42.77</v>
      </c>
      <c r="K483" s="55"/>
      <c r="L483" s="55">
        <v>175.37</v>
      </c>
      <c r="M483" s="166">
        <f t="shared" si="29"/>
        <v>8456.23</v>
      </c>
      <c r="N483" s="55"/>
      <c r="O483" s="343" t="s">
        <v>1611</v>
      </c>
    </row>
    <row r="484" spans="1:15">
      <c r="A484" s="163">
        <v>46192</v>
      </c>
      <c r="B484" s="164" t="s">
        <v>198</v>
      </c>
      <c r="C484" s="341">
        <v>0.4</v>
      </c>
      <c r="D484" s="341">
        <v>0.93</v>
      </c>
      <c r="E484" s="55">
        <v>237.075</v>
      </c>
      <c r="F484" s="10">
        <f t="shared" si="26"/>
        <v>227.9</v>
      </c>
      <c r="G484" s="10">
        <f t="shared" si="27"/>
        <v>9.17499999999998</v>
      </c>
      <c r="H484" s="55"/>
      <c r="I484" s="153">
        <f t="shared" si="28"/>
        <v>0.819951492143836</v>
      </c>
      <c r="J484" s="55">
        <v>47.41</v>
      </c>
      <c r="K484" s="55"/>
      <c r="L484" s="55">
        <v>194.39</v>
      </c>
      <c r="M484" s="166">
        <f t="shared" si="29"/>
        <v>8261.84</v>
      </c>
      <c r="N484" s="55"/>
      <c r="O484" s="343" t="s">
        <v>1611</v>
      </c>
    </row>
    <row r="485" spans="1:15">
      <c r="A485" s="163">
        <v>46192</v>
      </c>
      <c r="B485" s="164" t="s">
        <v>135</v>
      </c>
      <c r="C485" s="341">
        <v>0.23</v>
      </c>
      <c r="D485" s="341">
        <v>1</v>
      </c>
      <c r="E485" s="55">
        <v>344.357</v>
      </c>
      <c r="F485" s="10">
        <f t="shared" si="26"/>
        <v>331.1</v>
      </c>
      <c r="G485" s="10">
        <f t="shared" si="27"/>
        <v>13.257</v>
      </c>
      <c r="H485" s="55"/>
      <c r="I485" s="153">
        <f t="shared" si="28"/>
        <v>0.71762734603914</v>
      </c>
      <c r="J485" s="55">
        <v>68.86</v>
      </c>
      <c r="K485" s="55"/>
      <c r="L485" s="55">
        <v>247.12</v>
      </c>
      <c r="M485" s="166">
        <f t="shared" si="29"/>
        <v>8014.72</v>
      </c>
      <c r="N485" s="55"/>
      <c r="O485" s="343" t="s">
        <v>1611</v>
      </c>
    </row>
    <row r="486" spans="1:15">
      <c r="A486" s="163">
        <v>46192</v>
      </c>
      <c r="B486" s="164" t="s">
        <v>207</v>
      </c>
      <c r="C486" s="341">
        <v>0.63</v>
      </c>
      <c r="D486" s="341">
        <v>0.99</v>
      </c>
      <c r="E486" s="55">
        <v>163.171</v>
      </c>
      <c r="F486" s="10">
        <f t="shared" si="26"/>
        <v>154.8</v>
      </c>
      <c r="G486" s="10">
        <f t="shared" si="27"/>
        <v>8.37100000000001</v>
      </c>
      <c r="H486" s="55"/>
      <c r="I486" s="153">
        <f t="shared" si="28"/>
        <v>0.66991070717223</v>
      </c>
      <c r="J486" s="55">
        <v>32.63</v>
      </c>
      <c r="K486" s="55"/>
      <c r="L486" s="55">
        <v>109.31</v>
      </c>
      <c r="M486" s="166">
        <f t="shared" si="29"/>
        <v>7905.41</v>
      </c>
      <c r="N486" s="55"/>
      <c r="O486" s="343" t="s">
        <v>1611</v>
      </c>
    </row>
    <row r="487" spans="1:15">
      <c r="A487" s="163">
        <v>46192</v>
      </c>
      <c r="B487" s="164" t="s">
        <v>130</v>
      </c>
      <c r="C487" s="341">
        <v>0.53</v>
      </c>
      <c r="D487" s="341">
        <v>0.96</v>
      </c>
      <c r="E487" s="55">
        <v>183.2</v>
      </c>
      <c r="F487" s="10">
        <f t="shared" si="26"/>
        <v>184.9</v>
      </c>
      <c r="G487" s="10">
        <f t="shared" si="27"/>
        <v>-1.69999999999999</v>
      </c>
      <c r="H487" s="55"/>
      <c r="I487" s="153">
        <f t="shared" si="28"/>
        <v>0.819978165938865</v>
      </c>
      <c r="J487" s="55">
        <v>36.64</v>
      </c>
      <c r="K487" s="55"/>
      <c r="L487" s="55">
        <v>150.22</v>
      </c>
      <c r="M487" s="166">
        <f t="shared" si="29"/>
        <v>7755.19</v>
      </c>
      <c r="N487" s="55"/>
      <c r="O487" s="343" t="s">
        <v>1611</v>
      </c>
    </row>
    <row r="488" spans="1:15">
      <c r="A488" s="163">
        <v>46192</v>
      </c>
      <c r="B488" s="164" t="s">
        <v>72</v>
      </c>
      <c r="C488" s="341">
        <v>0.61</v>
      </c>
      <c r="D488" s="341">
        <v>0.79</v>
      </c>
      <c r="E488" s="55">
        <v>88.134</v>
      </c>
      <c r="F488" s="10">
        <f t="shared" si="26"/>
        <v>77.4</v>
      </c>
      <c r="G488" s="10">
        <f t="shared" si="27"/>
        <v>10.734</v>
      </c>
      <c r="H488" s="55"/>
      <c r="I488" s="153">
        <f t="shared" si="28"/>
        <v>0.81988789797354</v>
      </c>
      <c r="J488" s="55">
        <v>17.62</v>
      </c>
      <c r="K488" s="55"/>
      <c r="L488" s="55">
        <v>72.26</v>
      </c>
      <c r="M488" s="166">
        <f t="shared" si="29"/>
        <v>7682.93</v>
      </c>
      <c r="N488" s="55"/>
      <c r="O488" s="343" t="s">
        <v>1611</v>
      </c>
    </row>
    <row r="489" spans="1:15">
      <c r="A489" s="163">
        <v>46192</v>
      </c>
      <c r="B489" s="164" t="s">
        <v>148</v>
      </c>
      <c r="C489" s="341">
        <v>0.63</v>
      </c>
      <c r="D489" s="341">
        <v>0.97</v>
      </c>
      <c r="E489" s="55">
        <v>153.883</v>
      </c>
      <c r="F489" s="10">
        <f t="shared" si="26"/>
        <v>146.2</v>
      </c>
      <c r="G489" s="10">
        <f t="shared" si="27"/>
        <v>7.68300000000002</v>
      </c>
      <c r="H489" s="55"/>
      <c r="I489" s="153">
        <f t="shared" si="28"/>
        <v>0.819908631882664</v>
      </c>
      <c r="J489" s="55">
        <v>30.77</v>
      </c>
      <c r="K489" s="55"/>
      <c r="L489" s="55">
        <v>126.17</v>
      </c>
      <c r="M489" s="166">
        <f t="shared" si="29"/>
        <v>7556.76</v>
      </c>
      <c r="N489" s="55"/>
      <c r="O489" s="343" t="s">
        <v>1611</v>
      </c>
    </row>
    <row r="490" spans="1:15">
      <c r="A490" s="163">
        <v>46192</v>
      </c>
      <c r="B490" s="164" t="s">
        <v>99</v>
      </c>
      <c r="C490" s="341">
        <v>0.22</v>
      </c>
      <c r="D490" s="341">
        <v>0.98</v>
      </c>
      <c r="E490" s="55">
        <v>367.189</v>
      </c>
      <c r="F490" s="10">
        <f t="shared" si="26"/>
        <v>326.8</v>
      </c>
      <c r="G490" s="10">
        <f t="shared" si="27"/>
        <v>40.389</v>
      </c>
      <c r="H490" s="55"/>
      <c r="I490" s="153">
        <f t="shared" si="28"/>
        <v>0.94814931819853</v>
      </c>
      <c r="J490" s="55">
        <v>73.42</v>
      </c>
      <c r="K490" s="55"/>
      <c r="L490" s="55">
        <v>348.15</v>
      </c>
      <c r="M490" s="166">
        <f t="shared" si="29"/>
        <v>7208.61</v>
      </c>
      <c r="N490" s="55"/>
      <c r="O490" s="343" t="s">
        <v>1611</v>
      </c>
    </row>
    <row r="491" spans="1:15">
      <c r="A491" s="163">
        <v>46192</v>
      </c>
      <c r="B491" s="164" t="s">
        <v>66</v>
      </c>
      <c r="C491" s="341">
        <v>0.27</v>
      </c>
      <c r="D491" s="341">
        <v>0.98</v>
      </c>
      <c r="E491" s="55">
        <v>342.739</v>
      </c>
      <c r="F491" s="10">
        <f t="shared" si="26"/>
        <v>305.3</v>
      </c>
      <c r="G491" s="10">
        <f t="shared" si="27"/>
        <v>37.439</v>
      </c>
      <c r="H491" s="55"/>
      <c r="I491" s="153">
        <f t="shared" si="28"/>
        <v>0.949964842051824</v>
      </c>
      <c r="J491" s="55">
        <v>68.54</v>
      </c>
      <c r="K491" s="55"/>
      <c r="L491" s="55">
        <v>325.59</v>
      </c>
      <c r="M491" s="166">
        <f t="shared" si="29"/>
        <v>6883.02</v>
      </c>
      <c r="N491" s="55"/>
      <c r="O491" s="343" t="s">
        <v>1611</v>
      </c>
    </row>
    <row r="492" spans="1:15">
      <c r="A492" s="163">
        <v>46192</v>
      </c>
      <c r="B492" s="164" t="s">
        <v>57</v>
      </c>
      <c r="C492" s="341">
        <v>0.21</v>
      </c>
      <c r="D492" s="341">
        <v>0.91</v>
      </c>
      <c r="E492" s="55">
        <v>284.833</v>
      </c>
      <c r="F492" s="10">
        <f t="shared" si="26"/>
        <v>301</v>
      </c>
      <c r="G492" s="10">
        <f t="shared" si="27"/>
        <v>-16.167</v>
      </c>
      <c r="H492" s="55"/>
      <c r="I492" s="153">
        <f t="shared" si="28"/>
        <v>0.949960152089119</v>
      </c>
      <c r="J492" s="55">
        <v>56.96</v>
      </c>
      <c r="K492" s="55"/>
      <c r="L492" s="55">
        <v>270.58</v>
      </c>
      <c r="M492" s="166">
        <f t="shared" si="29"/>
        <v>6612.44</v>
      </c>
      <c r="N492" s="55"/>
      <c r="O492" s="343" t="s">
        <v>1611</v>
      </c>
    </row>
    <row r="493" spans="1:15">
      <c r="A493" s="163">
        <v>46192</v>
      </c>
      <c r="B493" s="164" t="s">
        <v>111</v>
      </c>
      <c r="C493" s="341">
        <v>0.49</v>
      </c>
      <c r="D493" s="341">
        <v>0.93</v>
      </c>
      <c r="E493" s="55">
        <v>178.894</v>
      </c>
      <c r="F493" s="10">
        <f t="shared" si="26"/>
        <v>189.2</v>
      </c>
      <c r="G493" s="10">
        <f t="shared" si="27"/>
        <v>-10.306</v>
      </c>
      <c r="H493" s="55"/>
      <c r="I493" s="153">
        <f t="shared" si="28"/>
        <v>0.949892114883674</v>
      </c>
      <c r="J493" s="55">
        <v>35.77</v>
      </c>
      <c r="K493" s="55"/>
      <c r="L493" s="55">
        <v>169.93</v>
      </c>
      <c r="M493" s="166">
        <f t="shared" si="29"/>
        <v>6442.51</v>
      </c>
      <c r="N493" s="55"/>
      <c r="O493" s="343" t="s">
        <v>1611</v>
      </c>
    </row>
    <row r="494" spans="1:15">
      <c r="A494" s="163">
        <v>46192</v>
      </c>
      <c r="B494" s="164" t="s">
        <v>96</v>
      </c>
      <c r="C494" s="341">
        <v>0.38</v>
      </c>
      <c r="D494" s="341">
        <v>0.9</v>
      </c>
      <c r="E494" s="55">
        <v>239.348</v>
      </c>
      <c r="F494" s="10">
        <f t="shared" si="26"/>
        <v>223.6</v>
      </c>
      <c r="G494" s="10">
        <f t="shared" si="27"/>
        <v>15.748</v>
      </c>
      <c r="H494" s="55"/>
      <c r="I494" s="153">
        <f t="shared" si="28"/>
        <v>0.949955713020372</v>
      </c>
      <c r="J494" s="55">
        <v>47.86</v>
      </c>
      <c r="K494" s="55"/>
      <c r="L494" s="55">
        <v>227.37</v>
      </c>
      <c r="M494" s="166">
        <f t="shared" si="29"/>
        <v>6215.14</v>
      </c>
      <c r="N494" s="55"/>
      <c r="O494" s="343" t="s">
        <v>1611</v>
      </c>
    </row>
    <row r="495" spans="1:15">
      <c r="A495" s="163">
        <v>46192</v>
      </c>
      <c r="B495" s="164" t="s">
        <v>84</v>
      </c>
      <c r="C495" s="341">
        <v>0.44</v>
      </c>
      <c r="D495" s="341">
        <v>0.91</v>
      </c>
      <c r="E495" s="55">
        <v>225.214</v>
      </c>
      <c r="F495" s="10">
        <f t="shared" si="26"/>
        <v>202.1</v>
      </c>
      <c r="G495" s="10">
        <f t="shared" si="27"/>
        <v>23.114</v>
      </c>
      <c r="H495" s="55"/>
      <c r="I495" s="153">
        <f t="shared" si="28"/>
        <v>0.949985347269708</v>
      </c>
      <c r="J495" s="55">
        <v>45.04</v>
      </c>
      <c r="K495" s="55"/>
      <c r="L495" s="55">
        <v>213.95</v>
      </c>
      <c r="M495" s="166">
        <f t="shared" si="29"/>
        <v>6001.19</v>
      </c>
      <c r="N495" s="55"/>
      <c r="O495" s="343" t="s">
        <v>1611</v>
      </c>
    </row>
    <row r="496" spans="1:15">
      <c r="A496" s="163">
        <v>46192</v>
      </c>
      <c r="B496" s="164" t="s">
        <v>132</v>
      </c>
      <c r="C496" s="341">
        <v>0.31</v>
      </c>
      <c r="D496" s="341">
        <v>0.31</v>
      </c>
      <c r="E496" s="55">
        <v>2.712</v>
      </c>
      <c r="F496" s="10">
        <f t="shared" si="26"/>
        <v>0</v>
      </c>
      <c r="G496" s="10">
        <f t="shared" si="27"/>
        <v>2.712</v>
      </c>
      <c r="H496" s="55"/>
      <c r="I496" s="153">
        <f t="shared" si="28"/>
        <v>0.9476401179941</v>
      </c>
      <c r="J496" s="55">
        <v>0.54</v>
      </c>
      <c r="K496" s="55"/>
      <c r="L496" s="55">
        <v>2.57</v>
      </c>
      <c r="M496" s="166">
        <f t="shared" si="29"/>
        <v>5998.62</v>
      </c>
      <c r="N496" s="55"/>
      <c r="O496" s="343" t="s">
        <v>1611</v>
      </c>
    </row>
    <row r="497" spans="1:15">
      <c r="A497" s="163">
        <v>46192</v>
      </c>
      <c r="B497" s="164" t="s">
        <v>78</v>
      </c>
      <c r="C497" s="341">
        <v>0.34</v>
      </c>
      <c r="D497" s="341">
        <v>0.83</v>
      </c>
      <c r="E497" s="55">
        <v>232.516</v>
      </c>
      <c r="F497" s="10">
        <f t="shared" si="26"/>
        <v>210.7</v>
      </c>
      <c r="G497" s="10">
        <f t="shared" si="27"/>
        <v>21.816</v>
      </c>
      <c r="H497" s="55"/>
      <c r="I497" s="153">
        <f t="shared" si="28"/>
        <v>0.949956132051128</v>
      </c>
      <c r="J497" s="55">
        <v>46.5</v>
      </c>
      <c r="K497" s="55"/>
      <c r="L497" s="55">
        <v>220.88</v>
      </c>
      <c r="M497" s="166">
        <f t="shared" si="29"/>
        <v>5777.74</v>
      </c>
      <c r="N497" s="55"/>
      <c r="O497" s="343" t="s">
        <v>1611</v>
      </c>
    </row>
    <row r="498" spans="1:15">
      <c r="A498" s="163">
        <v>46192</v>
      </c>
      <c r="B498" s="164" t="s">
        <v>132</v>
      </c>
      <c r="C498" s="341">
        <v>0.32</v>
      </c>
      <c r="D498" s="341">
        <v>0.32</v>
      </c>
      <c r="E498" s="55">
        <v>2.614</v>
      </c>
      <c r="F498" s="10">
        <f t="shared" si="26"/>
        <v>0</v>
      </c>
      <c r="G498" s="10">
        <f t="shared" si="27"/>
        <v>2.614</v>
      </c>
      <c r="H498" s="55"/>
      <c r="I498" s="153">
        <f t="shared" si="28"/>
        <v>0.948737566947208</v>
      </c>
      <c r="J498" s="55">
        <v>0.52</v>
      </c>
      <c r="K498" s="55"/>
      <c r="L498" s="55">
        <v>2.48</v>
      </c>
      <c r="M498" s="166">
        <f t="shared" si="29"/>
        <v>5775.26</v>
      </c>
      <c r="N498" s="55"/>
      <c r="O498" s="343" t="s">
        <v>1611</v>
      </c>
    </row>
    <row r="499" spans="1:15">
      <c r="A499" s="163">
        <v>46192</v>
      </c>
      <c r="B499" s="164" t="s">
        <v>102</v>
      </c>
      <c r="C499" s="341">
        <v>0.37</v>
      </c>
      <c r="D499" s="341">
        <v>0.91</v>
      </c>
      <c r="E499" s="55">
        <v>254.745</v>
      </c>
      <c r="F499" s="10">
        <f t="shared" si="26"/>
        <v>232.2</v>
      </c>
      <c r="G499" s="10">
        <f t="shared" si="27"/>
        <v>22.545</v>
      </c>
      <c r="H499" s="55"/>
      <c r="I499" s="153">
        <f t="shared" si="28"/>
        <v>0.949969577420558</v>
      </c>
      <c r="J499" s="55">
        <v>50.94</v>
      </c>
      <c r="K499" s="55"/>
      <c r="L499" s="55">
        <v>242</v>
      </c>
      <c r="M499" s="166">
        <f t="shared" si="29"/>
        <v>5533.26</v>
      </c>
      <c r="N499" s="55"/>
      <c r="O499" s="343" t="s">
        <v>1611</v>
      </c>
    </row>
    <row r="500" spans="1:15">
      <c r="A500" s="163">
        <v>46192</v>
      </c>
      <c r="B500" s="164" t="s">
        <v>132</v>
      </c>
      <c r="C500" s="341">
        <v>0.33</v>
      </c>
      <c r="D500" s="341">
        <v>0.85</v>
      </c>
      <c r="E500" s="55">
        <v>235.081</v>
      </c>
      <c r="F500" s="10">
        <f t="shared" si="26"/>
        <v>223.6</v>
      </c>
      <c r="G500" s="10">
        <f t="shared" si="27"/>
        <v>11.481</v>
      </c>
      <c r="H500" s="55"/>
      <c r="I500" s="153">
        <f t="shared" si="28"/>
        <v>0.949927897192883</v>
      </c>
      <c r="J500" s="55">
        <v>47.01</v>
      </c>
      <c r="K500" s="55"/>
      <c r="L500" s="55">
        <v>223.31</v>
      </c>
      <c r="M500" s="166">
        <f t="shared" si="29"/>
        <v>5309.95</v>
      </c>
      <c r="N500" s="55"/>
      <c r="O500" s="343" t="s">
        <v>1611</v>
      </c>
    </row>
    <row r="501" spans="1:15">
      <c r="A501" s="163">
        <v>46192</v>
      </c>
      <c r="B501" s="164" t="s">
        <v>87</v>
      </c>
      <c r="C501" s="341">
        <v>0.39</v>
      </c>
      <c r="D501" s="341">
        <v>0.87</v>
      </c>
      <c r="E501" s="55">
        <v>222.381</v>
      </c>
      <c r="F501" s="10">
        <f t="shared" si="26"/>
        <v>206.4</v>
      </c>
      <c r="G501" s="10">
        <f t="shared" si="27"/>
        <v>15.981</v>
      </c>
      <c r="H501" s="55"/>
      <c r="I501" s="153">
        <f t="shared" si="28"/>
        <v>0.949946263394804</v>
      </c>
      <c r="J501" s="55">
        <v>44.47</v>
      </c>
      <c r="K501" s="55"/>
      <c r="L501" s="55">
        <v>211.25</v>
      </c>
      <c r="M501" s="166">
        <f t="shared" si="29"/>
        <v>5098.7</v>
      </c>
      <c r="N501" s="55"/>
      <c r="O501" s="343" t="s">
        <v>1611</v>
      </c>
    </row>
    <row r="502" spans="1:15">
      <c r="A502" s="163">
        <v>46192</v>
      </c>
      <c r="B502" s="164" t="s">
        <v>114</v>
      </c>
      <c r="C502" s="341">
        <v>0.2</v>
      </c>
      <c r="D502" s="341">
        <v>0.91</v>
      </c>
      <c r="E502" s="55">
        <v>293.549</v>
      </c>
      <c r="F502" s="10">
        <f t="shared" si="26"/>
        <v>305.3</v>
      </c>
      <c r="G502" s="10">
        <f t="shared" si="27"/>
        <v>-11.751</v>
      </c>
      <c r="H502" s="55"/>
      <c r="I502" s="153">
        <f t="shared" si="28"/>
        <v>0.949960653928305</v>
      </c>
      <c r="J502" s="55">
        <v>58.7</v>
      </c>
      <c r="K502" s="55"/>
      <c r="L502" s="55">
        <v>278.86</v>
      </c>
      <c r="M502" s="166">
        <f t="shared" si="29"/>
        <v>4819.84</v>
      </c>
      <c r="N502" s="55"/>
      <c r="O502" s="343" t="s">
        <v>1611</v>
      </c>
    </row>
    <row r="503" spans="1:15">
      <c r="A503" s="163">
        <v>46192</v>
      </c>
      <c r="B503" s="164" t="s">
        <v>127</v>
      </c>
      <c r="C503" s="341">
        <v>0.51</v>
      </c>
      <c r="D503" s="341">
        <v>0.95</v>
      </c>
      <c r="E503" s="55">
        <v>188.258</v>
      </c>
      <c r="F503" s="10">
        <f t="shared" si="26"/>
        <v>189.2</v>
      </c>
      <c r="G503" s="10">
        <f t="shared" si="27"/>
        <v>-0.941999999999979</v>
      </c>
      <c r="H503" s="55"/>
      <c r="I503" s="153">
        <f t="shared" si="28"/>
        <v>0.949919790925219</v>
      </c>
      <c r="J503" s="55">
        <v>37.65</v>
      </c>
      <c r="K503" s="55"/>
      <c r="L503" s="55">
        <v>178.83</v>
      </c>
      <c r="M503" s="166">
        <f t="shared" si="29"/>
        <v>4641.01</v>
      </c>
      <c r="N503" s="55"/>
      <c r="O503" s="343" t="s">
        <v>1611</v>
      </c>
    </row>
    <row r="504" spans="1:15">
      <c r="A504" s="163">
        <v>46192</v>
      </c>
      <c r="B504" s="164" t="s">
        <v>108</v>
      </c>
      <c r="C504" s="341">
        <v>0.34</v>
      </c>
      <c r="D504" s="341">
        <v>0.82</v>
      </c>
      <c r="E504" s="55">
        <v>229.392</v>
      </c>
      <c r="F504" s="10">
        <f t="shared" si="26"/>
        <v>206.4</v>
      </c>
      <c r="G504" s="10">
        <f t="shared" si="27"/>
        <v>22.992</v>
      </c>
      <c r="H504" s="55"/>
      <c r="I504" s="153">
        <f t="shared" si="28"/>
        <v>0.939309130222501</v>
      </c>
      <c r="J504" s="55">
        <v>45.87</v>
      </c>
      <c r="K504" s="55"/>
      <c r="L504" s="55">
        <v>215.47</v>
      </c>
      <c r="M504" s="166">
        <f t="shared" si="29"/>
        <v>4425.54</v>
      </c>
      <c r="N504" s="55"/>
      <c r="O504" s="343" t="s">
        <v>1611</v>
      </c>
    </row>
    <row r="505" spans="1:15">
      <c r="A505" s="163">
        <v>46192</v>
      </c>
      <c r="B505" s="164" t="s">
        <v>51</v>
      </c>
      <c r="C505" s="341">
        <v>0.52</v>
      </c>
      <c r="D505" s="341">
        <v>0.92</v>
      </c>
      <c r="E505" s="55">
        <v>168.818</v>
      </c>
      <c r="F505" s="10">
        <f t="shared" si="26"/>
        <v>172</v>
      </c>
      <c r="G505" s="10">
        <f t="shared" si="27"/>
        <v>-3.18199999999999</v>
      </c>
      <c r="H505" s="55"/>
      <c r="I505" s="153">
        <f t="shared" si="28"/>
        <v>0.926974611712021</v>
      </c>
      <c r="J505" s="55">
        <v>33.75</v>
      </c>
      <c r="K505" s="55"/>
      <c r="L505" s="55">
        <v>156.49</v>
      </c>
      <c r="M505" s="166">
        <f t="shared" si="29"/>
        <v>4269.05</v>
      </c>
      <c r="N505" s="55"/>
      <c r="O505" s="343" t="s">
        <v>1611</v>
      </c>
    </row>
    <row r="506" spans="1:15">
      <c r="A506" s="163">
        <v>46192</v>
      </c>
      <c r="B506" s="164" t="s">
        <v>60</v>
      </c>
      <c r="C506" s="341">
        <v>0.32</v>
      </c>
      <c r="D506" s="341">
        <v>0.93</v>
      </c>
      <c r="E506" s="55">
        <v>250.663</v>
      </c>
      <c r="F506" s="10">
        <f t="shared" si="26"/>
        <v>262.3</v>
      </c>
      <c r="G506" s="10">
        <f t="shared" si="27"/>
        <v>-11.637</v>
      </c>
      <c r="H506" s="55"/>
      <c r="I506" s="153">
        <f t="shared" si="28"/>
        <v>0.876794740348596</v>
      </c>
      <c r="J506" s="55">
        <v>50.13</v>
      </c>
      <c r="K506" s="55"/>
      <c r="L506" s="55">
        <v>219.78</v>
      </c>
      <c r="M506" s="166">
        <f t="shared" si="29"/>
        <v>4049.27</v>
      </c>
      <c r="N506" s="55"/>
      <c r="O506" s="343" t="s">
        <v>1611</v>
      </c>
    </row>
    <row r="507" spans="1:15">
      <c r="A507" s="163">
        <v>46192</v>
      </c>
      <c r="B507" s="164" t="s">
        <v>186</v>
      </c>
      <c r="C507" s="341">
        <v>0.46</v>
      </c>
      <c r="D507" s="341">
        <v>0.48</v>
      </c>
      <c r="E507" s="55">
        <v>10.861</v>
      </c>
      <c r="F507" s="10">
        <f t="shared" si="26"/>
        <v>8.59999999999998</v>
      </c>
      <c r="G507" s="10">
        <f t="shared" si="27"/>
        <v>2.26100000000002</v>
      </c>
      <c r="H507" s="55"/>
      <c r="I507" s="153">
        <f t="shared" si="28"/>
        <v>0.949268023202283</v>
      </c>
      <c r="J507" s="55">
        <v>2.17</v>
      </c>
      <c r="K507" s="55"/>
      <c r="L507" s="55">
        <v>10.31</v>
      </c>
      <c r="M507" s="166">
        <f t="shared" si="29"/>
        <v>4038.96</v>
      </c>
      <c r="N507" s="55"/>
      <c r="O507" s="343" t="s">
        <v>1611</v>
      </c>
    </row>
    <row r="508" spans="1:15">
      <c r="A508" s="163">
        <v>46192</v>
      </c>
      <c r="B508" s="164" t="s">
        <v>186</v>
      </c>
      <c r="C508" s="341">
        <v>0.48</v>
      </c>
      <c r="D508" s="341">
        <v>0.96</v>
      </c>
      <c r="E508" s="55">
        <v>212.908</v>
      </c>
      <c r="F508" s="10">
        <f t="shared" ref="F508:F571" si="30">(D508-C508)*430</f>
        <v>206.4</v>
      </c>
      <c r="G508" s="10">
        <f t="shared" ref="G508:G571" si="31">E508-F508</f>
        <v>6.50799999999998</v>
      </c>
      <c r="H508" s="55"/>
      <c r="I508" s="153">
        <f t="shared" si="28"/>
        <v>0.863753358258027</v>
      </c>
      <c r="J508" s="55">
        <v>42.57</v>
      </c>
      <c r="K508" s="55"/>
      <c r="L508" s="55">
        <v>183.9</v>
      </c>
      <c r="M508" s="166">
        <f t="shared" si="29"/>
        <v>3855.06</v>
      </c>
      <c r="N508" s="55"/>
      <c r="O508" s="343" t="s">
        <v>1611</v>
      </c>
    </row>
    <row r="509" spans="1:15">
      <c r="A509" s="163">
        <v>46192</v>
      </c>
      <c r="B509" s="164" t="s">
        <v>108</v>
      </c>
      <c r="C509" s="341">
        <v>0.83</v>
      </c>
      <c r="D509" s="341">
        <v>0.93</v>
      </c>
      <c r="E509" s="55">
        <v>50.982</v>
      </c>
      <c r="F509" s="10">
        <f t="shared" si="30"/>
        <v>43</v>
      </c>
      <c r="G509" s="10">
        <f t="shared" si="31"/>
        <v>7.982</v>
      </c>
      <c r="H509" s="55"/>
      <c r="I509" s="153">
        <f t="shared" si="28"/>
        <v>0.819701070966223</v>
      </c>
      <c r="J509" s="55">
        <v>10.19</v>
      </c>
      <c r="K509" s="55"/>
      <c r="L509" s="55">
        <v>41.79</v>
      </c>
      <c r="M509" s="166">
        <f t="shared" si="29"/>
        <v>3813.27</v>
      </c>
      <c r="N509" s="55"/>
      <c r="O509" s="343" t="s">
        <v>1611</v>
      </c>
    </row>
    <row r="510" spans="1:15">
      <c r="A510" s="163">
        <v>46192</v>
      </c>
      <c r="B510" s="164" t="s">
        <v>105</v>
      </c>
      <c r="C510" s="341">
        <v>0.59</v>
      </c>
      <c r="D510" s="341">
        <v>0.95</v>
      </c>
      <c r="E510" s="55">
        <v>178.123</v>
      </c>
      <c r="F510" s="10">
        <f t="shared" si="30"/>
        <v>154.8</v>
      </c>
      <c r="G510" s="10">
        <f t="shared" si="31"/>
        <v>23.323</v>
      </c>
      <c r="H510" s="55"/>
      <c r="I510" s="153">
        <f t="shared" si="28"/>
        <v>0.949961543427856</v>
      </c>
      <c r="J510" s="55">
        <v>35.62</v>
      </c>
      <c r="K510" s="55"/>
      <c r="L510" s="55">
        <v>169.21</v>
      </c>
      <c r="M510" s="166">
        <f t="shared" si="29"/>
        <v>3644.06</v>
      </c>
      <c r="N510" s="55"/>
      <c r="O510" s="343" t="s">
        <v>1611</v>
      </c>
    </row>
    <row r="511" spans="1:15">
      <c r="A511" s="163">
        <v>46192</v>
      </c>
      <c r="B511" s="164" t="s">
        <v>670</v>
      </c>
      <c r="C511" s="341">
        <v>0.48</v>
      </c>
      <c r="D511" s="341">
        <v>0.94</v>
      </c>
      <c r="E511" s="55">
        <v>207.264</v>
      </c>
      <c r="F511" s="10">
        <f t="shared" si="30"/>
        <v>197.8</v>
      </c>
      <c r="G511" s="10">
        <f t="shared" si="31"/>
        <v>9.464</v>
      </c>
      <c r="H511" s="55"/>
      <c r="I511" s="153">
        <f t="shared" si="28"/>
        <v>0.949947892542844</v>
      </c>
      <c r="J511" s="55">
        <v>41.45</v>
      </c>
      <c r="K511" s="55"/>
      <c r="L511" s="55">
        <v>196.89</v>
      </c>
      <c r="M511" s="166">
        <f t="shared" si="29"/>
        <v>3447.17</v>
      </c>
      <c r="N511" s="55"/>
      <c r="O511" s="343" t="s">
        <v>1611</v>
      </c>
    </row>
    <row r="512" spans="1:15">
      <c r="A512" s="163">
        <v>46192</v>
      </c>
      <c r="B512" s="164" t="s">
        <v>213</v>
      </c>
      <c r="C512" s="341">
        <v>0.48</v>
      </c>
      <c r="D512" s="341">
        <v>0.92</v>
      </c>
      <c r="E512" s="55">
        <v>199.671</v>
      </c>
      <c r="F512" s="10">
        <f t="shared" si="30"/>
        <v>189.2</v>
      </c>
      <c r="G512" s="10">
        <f t="shared" si="31"/>
        <v>10.471</v>
      </c>
      <c r="H512" s="55"/>
      <c r="I512" s="153">
        <f t="shared" si="28"/>
        <v>0.949962688622785</v>
      </c>
      <c r="J512" s="55">
        <v>39.93</v>
      </c>
      <c r="K512" s="55"/>
      <c r="L512" s="55">
        <v>189.68</v>
      </c>
      <c r="M512" s="166">
        <f t="shared" si="29"/>
        <v>3257.49</v>
      </c>
      <c r="N512" s="55"/>
      <c r="O512" s="343" t="s">
        <v>1611</v>
      </c>
    </row>
    <row r="513" spans="1:15">
      <c r="A513" s="163">
        <v>46192</v>
      </c>
      <c r="B513" s="164" t="s">
        <v>54</v>
      </c>
      <c r="C513" s="341">
        <v>0.32</v>
      </c>
      <c r="D513" s="341">
        <v>0.95</v>
      </c>
      <c r="E513" s="55">
        <v>261.356</v>
      </c>
      <c r="F513" s="10">
        <f t="shared" si="30"/>
        <v>270.9</v>
      </c>
      <c r="G513" s="10">
        <f t="shared" si="31"/>
        <v>-9.54399999999998</v>
      </c>
      <c r="H513" s="55"/>
      <c r="I513" s="153">
        <f t="shared" si="28"/>
        <v>0.949968625170266</v>
      </c>
      <c r="J513" s="55">
        <v>52.27</v>
      </c>
      <c r="K513" s="55"/>
      <c r="L513" s="55">
        <v>248.28</v>
      </c>
      <c r="M513" s="166">
        <f t="shared" si="29"/>
        <v>3009.21</v>
      </c>
      <c r="N513" s="55"/>
      <c r="O513" s="343" t="s">
        <v>1611</v>
      </c>
    </row>
    <row r="514" spans="1:15">
      <c r="A514" s="163">
        <v>46192</v>
      </c>
      <c r="B514" s="164" t="s">
        <v>151</v>
      </c>
      <c r="C514" s="341">
        <v>0.45</v>
      </c>
      <c r="D514" s="341">
        <v>0.87</v>
      </c>
      <c r="E514" s="55">
        <v>190.72</v>
      </c>
      <c r="F514" s="10">
        <f t="shared" si="30"/>
        <v>180.6</v>
      </c>
      <c r="G514" s="10">
        <f t="shared" si="31"/>
        <v>10.12</v>
      </c>
      <c r="H514" s="55"/>
      <c r="I514" s="153">
        <f t="shared" si="28"/>
        <v>0.949979026845638</v>
      </c>
      <c r="J514" s="55">
        <v>38.14</v>
      </c>
      <c r="K514" s="55"/>
      <c r="L514" s="55">
        <v>181.18</v>
      </c>
      <c r="M514" s="166">
        <f t="shared" si="29"/>
        <v>2828.03</v>
      </c>
      <c r="N514" s="55"/>
      <c r="O514" s="343" t="s">
        <v>1611</v>
      </c>
    </row>
    <row r="515" spans="1:15">
      <c r="A515" s="163">
        <v>46192</v>
      </c>
      <c r="B515" s="164" t="s">
        <v>177</v>
      </c>
      <c r="C515" s="341">
        <v>0.35</v>
      </c>
      <c r="D515" s="341">
        <v>0.92</v>
      </c>
      <c r="E515" s="55">
        <v>257.138</v>
      </c>
      <c r="F515" s="10">
        <f t="shared" si="30"/>
        <v>245.1</v>
      </c>
      <c r="G515" s="10">
        <f t="shared" si="31"/>
        <v>12.038</v>
      </c>
      <c r="H515" s="55"/>
      <c r="I515" s="153">
        <f t="shared" ref="I515:I578" si="32">L515/E515</f>
        <v>0.949956832517948</v>
      </c>
      <c r="J515" s="55">
        <v>51.42</v>
      </c>
      <c r="K515" s="55"/>
      <c r="L515" s="55">
        <v>244.27</v>
      </c>
      <c r="M515" s="166">
        <f t="shared" ref="M515:M578" si="33">M514+K515-L515</f>
        <v>2583.76</v>
      </c>
      <c r="N515" s="55"/>
      <c r="O515" s="343" t="s">
        <v>1611</v>
      </c>
    </row>
    <row r="516" spans="1:15">
      <c r="A516" s="163">
        <v>46192</v>
      </c>
      <c r="B516" s="164" t="s">
        <v>90</v>
      </c>
      <c r="C516" s="341">
        <v>0.6</v>
      </c>
      <c r="D516" s="341">
        <v>0.79</v>
      </c>
      <c r="E516" s="55">
        <v>91.771</v>
      </c>
      <c r="F516" s="10">
        <f t="shared" si="30"/>
        <v>81.7</v>
      </c>
      <c r="G516" s="10">
        <f t="shared" si="31"/>
        <v>10.071</v>
      </c>
      <c r="H516" s="55"/>
      <c r="I516" s="153">
        <f t="shared" si="32"/>
        <v>0.94986433622822</v>
      </c>
      <c r="J516" s="55">
        <v>18.35</v>
      </c>
      <c r="K516" s="55"/>
      <c r="L516" s="55">
        <v>87.17</v>
      </c>
      <c r="M516" s="166">
        <f t="shared" si="33"/>
        <v>2496.59</v>
      </c>
      <c r="N516" s="55"/>
      <c r="O516" s="343" t="s">
        <v>1611</v>
      </c>
    </row>
    <row r="517" spans="1:15">
      <c r="A517" s="163">
        <v>46192</v>
      </c>
      <c r="B517" s="164" t="s">
        <v>93</v>
      </c>
      <c r="C517" s="341">
        <v>0.39</v>
      </c>
      <c r="D517" s="341">
        <v>0.79</v>
      </c>
      <c r="E517" s="55">
        <v>190.875</v>
      </c>
      <c r="F517" s="10">
        <f t="shared" si="30"/>
        <v>172</v>
      </c>
      <c r="G517" s="10">
        <f t="shared" si="31"/>
        <v>18.875</v>
      </c>
      <c r="H517" s="55"/>
      <c r="I517" s="153">
        <f t="shared" si="32"/>
        <v>0.949941060903733</v>
      </c>
      <c r="J517" s="55">
        <v>38.17</v>
      </c>
      <c r="K517" s="55"/>
      <c r="L517" s="55">
        <v>181.32</v>
      </c>
      <c r="M517" s="166">
        <f t="shared" si="33"/>
        <v>2315.27</v>
      </c>
      <c r="N517" s="55"/>
      <c r="O517" s="343" t="s">
        <v>1611</v>
      </c>
    </row>
    <row r="518" spans="1:15">
      <c r="A518" s="163">
        <v>46192</v>
      </c>
      <c r="B518" s="164" t="s">
        <v>81</v>
      </c>
      <c r="C518" s="341">
        <v>0.62</v>
      </c>
      <c r="D518" s="341">
        <v>0.79</v>
      </c>
      <c r="E518" s="55">
        <v>82.205</v>
      </c>
      <c r="F518" s="10">
        <f t="shared" si="30"/>
        <v>73.1</v>
      </c>
      <c r="G518" s="10">
        <f t="shared" si="31"/>
        <v>9.105</v>
      </c>
      <c r="H518" s="55"/>
      <c r="I518" s="153">
        <f t="shared" si="32"/>
        <v>0.949942217626665</v>
      </c>
      <c r="J518" s="55">
        <v>16.44</v>
      </c>
      <c r="K518" s="55"/>
      <c r="L518" s="55">
        <v>78.09</v>
      </c>
      <c r="M518" s="166">
        <f t="shared" si="33"/>
        <v>2237.18</v>
      </c>
      <c r="N518" s="55"/>
      <c r="O518" s="343" t="s">
        <v>1611</v>
      </c>
    </row>
    <row r="519" spans="1:15">
      <c r="A519" s="163">
        <v>46192</v>
      </c>
      <c r="B519" s="164" t="s">
        <v>124</v>
      </c>
      <c r="C519" s="341">
        <v>0.45</v>
      </c>
      <c r="D519" s="341">
        <v>0.75</v>
      </c>
      <c r="E519" s="55">
        <v>127.548</v>
      </c>
      <c r="F519" s="10">
        <f t="shared" si="30"/>
        <v>129</v>
      </c>
      <c r="G519" s="10">
        <f t="shared" si="31"/>
        <v>-1.452</v>
      </c>
      <c r="H519" s="55"/>
      <c r="I519" s="153">
        <f t="shared" si="32"/>
        <v>0.949916894032051</v>
      </c>
      <c r="J519" s="55">
        <v>25.5</v>
      </c>
      <c r="K519" s="55"/>
      <c r="L519" s="55">
        <v>121.16</v>
      </c>
      <c r="M519" s="166">
        <f t="shared" si="33"/>
        <v>2116.02</v>
      </c>
      <c r="N519" s="55"/>
      <c r="O519" s="343" t="s">
        <v>1611</v>
      </c>
    </row>
    <row r="520" spans="1:15">
      <c r="A520" s="163">
        <v>46192</v>
      </c>
      <c r="B520" s="164" t="s">
        <v>144</v>
      </c>
      <c r="C520" s="341">
        <v>0.5</v>
      </c>
      <c r="D520" s="341">
        <v>0.99</v>
      </c>
      <c r="E520" s="55">
        <v>222.419</v>
      </c>
      <c r="F520" s="10">
        <f t="shared" si="30"/>
        <v>210.7</v>
      </c>
      <c r="G520" s="10">
        <f t="shared" si="31"/>
        <v>11.719</v>
      </c>
      <c r="H520" s="55"/>
      <c r="I520" s="153">
        <f t="shared" si="32"/>
        <v>0.949963807048858</v>
      </c>
      <c r="J520" s="55">
        <v>44.48</v>
      </c>
      <c r="K520" s="55"/>
      <c r="L520" s="55">
        <v>211.29</v>
      </c>
      <c r="M520" s="166">
        <f t="shared" si="33"/>
        <v>1904.73</v>
      </c>
      <c r="N520" s="55"/>
      <c r="O520" s="343" t="s">
        <v>1611</v>
      </c>
    </row>
    <row r="521" spans="1:15">
      <c r="A521" s="163">
        <v>46192</v>
      </c>
      <c r="B521" s="164" t="s">
        <v>63</v>
      </c>
      <c r="C521" s="341">
        <v>0.54</v>
      </c>
      <c r="D521" s="341">
        <v>1</v>
      </c>
      <c r="E521" s="55">
        <v>213.979</v>
      </c>
      <c r="F521" s="10">
        <f t="shared" si="30"/>
        <v>197.8</v>
      </c>
      <c r="G521" s="10">
        <f t="shared" si="31"/>
        <v>16.179</v>
      </c>
      <c r="H521" s="55"/>
      <c r="I521" s="153">
        <f t="shared" si="32"/>
        <v>0.949953032774244</v>
      </c>
      <c r="J521" s="55">
        <v>42.79</v>
      </c>
      <c r="K521" s="55">
        <v>20000</v>
      </c>
      <c r="L521" s="55">
        <v>203.27</v>
      </c>
      <c r="M521" s="166">
        <f t="shared" si="33"/>
        <v>21701.46</v>
      </c>
      <c r="N521" s="55"/>
      <c r="O521" s="343" t="s">
        <v>1611</v>
      </c>
    </row>
    <row r="522" spans="1:15">
      <c r="A522" s="163">
        <v>46193</v>
      </c>
      <c r="B522" s="164" t="s">
        <v>141</v>
      </c>
      <c r="C522" s="341">
        <v>0.33</v>
      </c>
      <c r="D522" s="341">
        <v>0.33</v>
      </c>
      <c r="E522" s="55">
        <v>1.818</v>
      </c>
      <c r="F522" s="10">
        <f t="shared" si="30"/>
        <v>0</v>
      </c>
      <c r="G522" s="10">
        <f t="shared" si="31"/>
        <v>1.818</v>
      </c>
      <c r="H522" s="55"/>
      <c r="I522" s="153">
        <f t="shared" si="32"/>
        <v>0.814081408140814</v>
      </c>
      <c r="J522" s="55">
        <v>0.36</v>
      </c>
      <c r="K522" s="55"/>
      <c r="L522" s="55">
        <v>1.48</v>
      </c>
      <c r="M522" s="166">
        <f t="shared" si="33"/>
        <v>21699.98</v>
      </c>
      <c r="N522" s="55"/>
      <c r="O522" s="343" t="s">
        <v>1611</v>
      </c>
    </row>
    <row r="523" spans="1:15">
      <c r="A523" s="163">
        <v>46193</v>
      </c>
      <c r="B523" s="164" t="s">
        <v>141</v>
      </c>
      <c r="C523" s="341">
        <v>0.34</v>
      </c>
      <c r="D523" s="341">
        <v>0.99</v>
      </c>
      <c r="E523" s="55">
        <v>291.739</v>
      </c>
      <c r="F523" s="10">
        <f t="shared" si="30"/>
        <v>279.5</v>
      </c>
      <c r="G523" s="10">
        <f t="shared" si="31"/>
        <v>12.239</v>
      </c>
      <c r="H523" s="55"/>
      <c r="I523" s="153">
        <f t="shared" si="32"/>
        <v>0.804931805483669</v>
      </c>
      <c r="J523" s="55">
        <v>58.34</v>
      </c>
      <c r="K523" s="55"/>
      <c r="L523" s="55">
        <v>234.83</v>
      </c>
      <c r="M523" s="166">
        <f t="shared" si="33"/>
        <v>21465.15</v>
      </c>
      <c r="N523" s="55"/>
      <c r="O523" s="343" t="s">
        <v>1611</v>
      </c>
    </row>
    <row r="524" spans="1:15">
      <c r="A524" s="163">
        <v>46193</v>
      </c>
      <c r="B524" s="164" t="s">
        <v>189</v>
      </c>
      <c r="C524" s="341">
        <v>0.45</v>
      </c>
      <c r="D524" s="341">
        <v>0.99</v>
      </c>
      <c r="E524" s="55">
        <v>246.424</v>
      </c>
      <c r="F524" s="10">
        <f t="shared" si="30"/>
        <v>232.2</v>
      </c>
      <c r="G524" s="10">
        <f t="shared" si="31"/>
        <v>14.224</v>
      </c>
      <c r="H524" s="55"/>
      <c r="I524" s="153">
        <f t="shared" si="32"/>
        <v>0.726796091289809</v>
      </c>
      <c r="J524" s="55">
        <v>49.28</v>
      </c>
      <c r="K524" s="55"/>
      <c r="L524" s="55">
        <v>179.1</v>
      </c>
      <c r="M524" s="166">
        <f t="shared" si="33"/>
        <v>21286.05</v>
      </c>
      <c r="N524" s="55"/>
      <c r="O524" s="343" t="s">
        <v>1611</v>
      </c>
    </row>
    <row r="525" spans="1:15">
      <c r="A525" s="163">
        <v>46193</v>
      </c>
      <c r="B525" s="164" t="s">
        <v>195</v>
      </c>
      <c r="C525" s="341">
        <v>0.36</v>
      </c>
      <c r="D525" s="341">
        <v>0.36</v>
      </c>
      <c r="E525" s="55">
        <v>0.604</v>
      </c>
      <c r="F525" s="10">
        <f t="shared" si="30"/>
        <v>0</v>
      </c>
      <c r="G525" s="10">
        <f t="shared" si="31"/>
        <v>0.604</v>
      </c>
      <c r="H525" s="55"/>
      <c r="I525" s="153">
        <f t="shared" si="32"/>
        <v>0.662251655629139</v>
      </c>
      <c r="J525" s="55">
        <v>0.12</v>
      </c>
      <c r="K525" s="55"/>
      <c r="L525" s="55">
        <v>0.4</v>
      </c>
      <c r="M525" s="166">
        <f t="shared" si="33"/>
        <v>21285.65</v>
      </c>
      <c r="N525" s="55"/>
      <c r="O525" s="343" t="s">
        <v>1611</v>
      </c>
    </row>
    <row r="526" spans="1:15">
      <c r="A526" s="163">
        <v>46193</v>
      </c>
      <c r="B526" s="164" t="s">
        <v>195</v>
      </c>
      <c r="C526" s="341">
        <v>0.37</v>
      </c>
      <c r="D526" s="341">
        <v>0.89</v>
      </c>
      <c r="E526" s="55">
        <v>229.475</v>
      </c>
      <c r="F526" s="10">
        <f t="shared" si="30"/>
        <v>223.6</v>
      </c>
      <c r="G526" s="10">
        <f t="shared" si="31"/>
        <v>5.875</v>
      </c>
      <c r="H526" s="55"/>
      <c r="I526" s="153">
        <f t="shared" si="32"/>
        <v>0.669964048371282</v>
      </c>
      <c r="J526" s="55">
        <v>45.89</v>
      </c>
      <c r="K526" s="55"/>
      <c r="L526" s="55">
        <v>153.74</v>
      </c>
      <c r="M526" s="166">
        <f t="shared" si="33"/>
        <v>21131.91</v>
      </c>
      <c r="N526" s="55"/>
      <c r="O526" s="343" t="s">
        <v>1611</v>
      </c>
    </row>
    <row r="527" spans="1:15">
      <c r="A527" s="163">
        <v>46193</v>
      </c>
      <c r="B527" s="164" t="s">
        <v>130</v>
      </c>
      <c r="C527" s="341">
        <v>0.23</v>
      </c>
      <c r="D527" s="341">
        <v>0.9</v>
      </c>
      <c r="E527" s="55">
        <v>273.846</v>
      </c>
      <c r="F527" s="10">
        <f t="shared" si="30"/>
        <v>288.1</v>
      </c>
      <c r="G527" s="10">
        <f t="shared" si="31"/>
        <v>-14.254</v>
      </c>
      <c r="H527" s="55"/>
      <c r="I527" s="153">
        <f t="shared" si="32"/>
        <v>0.949949971882007</v>
      </c>
      <c r="J527" s="55">
        <v>54.76</v>
      </c>
      <c r="K527" s="55"/>
      <c r="L527" s="55">
        <v>260.14</v>
      </c>
      <c r="M527" s="166">
        <f t="shared" si="33"/>
        <v>20871.77</v>
      </c>
      <c r="N527" s="55"/>
      <c r="O527" s="343" t="s">
        <v>1611</v>
      </c>
    </row>
    <row r="528" spans="1:15">
      <c r="A528" s="163">
        <v>46193</v>
      </c>
      <c r="B528" s="164" t="s">
        <v>163</v>
      </c>
      <c r="C528" s="341">
        <v>0.18</v>
      </c>
      <c r="D528" s="341">
        <v>0.87</v>
      </c>
      <c r="E528" s="55">
        <v>304.456</v>
      </c>
      <c r="F528" s="10">
        <f t="shared" si="30"/>
        <v>296.7</v>
      </c>
      <c r="G528" s="10">
        <f t="shared" si="31"/>
        <v>7.75600000000003</v>
      </c>
      <c r="H528" s="55"/>
      <c r="I528" s="153">
        <f t="shared" si="32"/>
        <v>0.860485587408361</v>
      </c>
      <c r="J528" s="55">
        <v>60.88</v>
      </c>
      <c r="K528" s="55"/>
      <c r="L528" s="55">
        <v>261.98</v>
      </c>
      <c r="M528" s="166">
        <f t="shared" si="33"/>
        <v>20609.79</v>
      </c>
      <c r="N528" s="55"/>
      <c r="O528" s="343" t="s">
        <v>1611</v>
      </c>
    </row>
    <row r="529" spans="1:15">
      <c r="A529" s="163">
        <v>46193</v>
      </c>
      <c r="B529" s="164" t="s">
        <v>221</v>
      </c>
      <c r="C529" s="341">
        <v>0.26</v>
      </c>
      <c r="D529" s="341">
        <v>0.9</v>
      </c>
      <c r="E529" s="55">
        <v>285.113</v>
      </c>
      <c r="F529" s="10">
        <f t="shared" si="30"/>
        <v>275.2</v>
      </c>
      <c r="G529" s="10">
        <f t="shared" si="31"/>
        <v>9.91300000000001</v>
      </c>
      <c r="H529" s="55"/>
      <c r="I529" s="153">
        <f t="shared" si="32"/>
        <v>0.858501716863138</v>
      </c>
      <c r="J529" s="55">
        <v>57.02</v>
      </c>
      <c r="K529" s="55"/>
      <c r="L529" s="55">
        <v>244.77</v>
      </c>
      <c r="M529" s="166">
        <f t="shared" si="33"/>
        <v>20365.02</v>
      </c>
      <c r="N529" s="55"/>
      <c r="O529" s="343" t="s">
        <v>1611</v>
      </c>
    </row>
    <row r="530" spans="1:15">
      <c r="A530" s="163">
        <v>46193</v>
      </c>
      <c r="B530" s="164" t="s">
        <v>154</v>
      </c>
      <c r="C530" s="341">
        <v>0.11</v>
      </c>
      <c r="D530" s="341">
        <v>0.87</v>
      </c>
      <c r="E530" s="55">
        <v>334.909</v>
      </c>
      <c r="F530" s="10">
        <f t="shared" si="30"/>
        <v>326.8</v>
      </c>
      <c r="G530" s="10">
        <f t="shared" si="31"/>
        <v>8.10899999999998</v>
      </c>
      <c r="H530" s="55"/>
      <c r="I530" s="153">
        <f t="shared" si="32"/>
        <v>0.913561594343538</v>
      </c>
      <c r="J530" s="55">
        <v>66.97</v>
      </c>
      <c r="K530" s="55"/>
      <c r="L530" s="55">
        <v>305.96</v>
      </c>
      <c r="M530" s="166">
        <f t="shared" si="33"/>
        <v>20059.06</v>
      </c>
      <c r="N530" s="55"/>
      <c r="O530" s="343" t="s">
        <v>1611</v>
      </c>
    </row>
    <row r="531" spans="1:15">
      <c r="A531" s="163">
        <v>46193</v>
      </c>
      <c r="B531" s="164" t="s">
        <v>138</v>
      </c>
      <c r="C531" s="341">
        <v>0.5</v>
      </c>
      <c r="D531" s="341">
        <v>0.93</v>
      </c>
      <c r="E531" s="55">
        <v>192.21</v>
      </c>
      <c r="F531" s="10">
        <f t="shared" si="30"/>
        <v>184.9</v>
      </c>
      <c r="G531" s="10">
        <f t="shared" si="31"/>
        <v>7.30999999999997</v>
      </c>
      <c r="H531" s="55"/>
      <c r="I531" s="153">
        <f t="shared" si="32"/>
        <v>0.949950574892045</v>
      </c>
      <c r="J531" s="55">
        <v>38.44</v>
      </c>
      <c r="K531" s="55"/>
      <c r="L531" s="55">
        <v>182.59</v>
      </c>
      <c r="M531" s="166">
        <f t="shared" si="33"/>
        <v>19876.47</v>
      </c>
      <c r="N531" s="55"/>
      <c r="O531" s="343" t="s">
        <v>1611</v>
      </c>
    </row>
    <row r="532" spans="1:15">
      <c r="A532" s="163">
        <v>46193</v>
      </c>
      <c r="B532" s="164" t="s">
        <v>135</v>
      </c>
      <c r="C532" s="341">
        <v>0.33</v>
      </c>
      <c r="D532" s="341">
        <v>0.96</v>
      </c>
      <c r="E532" s="55">
        <v>279.302</v>
      </c>
      <c r="F532" s="10">
        <f t="shared" si="30"/>
        <v>270.9</v>
      </c>
      <c r="G532" s="10">
        <f t="shared" si="31"/>
        <v>8.40200000000004</v>
      </c>
      <c r="H532" s="55"/>
      <c r="I532" s="153">
        <f t="shared" si="32"/>
        <v>0.949975295558213</v>
      </c>
      <c r="J532" s="55">
        <v>55.86</v>
      </c>
      <c r="K532" s="55"/>
      <c r="L532" s="55">
        <v>265.33</v>
      </c>
      <c r="M532" s="166">
        <f t="shared" si="33"/>
        <v>19611.14</v>
      </c>
      <c r="N532" s="55"/>
      <c r="O532" s="343" t="s">
        <v>1611</v>
      </c>
    </row>
    <row r="533" spans="1:15">
      <c r="A533" s="163">
        <v>46193</v>
      </c>
      <c r="B533" s="164" t="s">
        <v>338</v>
      </c>
      <c r="C533" s="341">
        <v>0.33</v>
      </c>
      <c r="D533" s="341">
        <v>0.9</v>
      </c>
      <c r="E533" s="55">
        <v>249.43</v>
      </c>
      <c r="F533" s="10">
        <f t="shared" si="30"/>
        <v>245.1</v>
      </c>
      <c r="G533" s="10">
        <f t="shared" si="31"/>
        <v>4.32999999999998</v>
      </c>
      <c r="H533" s="55"/>
      <c r="I533" s="153">
        <f t="shared" si="32"/>
        <v>0.94996592230285</v>
      </c>
      <c r="J533" s="55">
        <v>49.88</v>
      </c>
      <c r="K533" s="55"/>
      <c r="L533" s="55">
        <v>236.95</v>
      </c>
      <c r="M533" s="166">
        <f t="shared" si="33"/>
        <v>19374.19</v>
      </c>
      <c r="N533" s="55"/>
      <c r="O533" s="343" t="s">
        <v>1611</v>
      </c>
    </row>
    <row r="534" spans="1:15">
      <c r="A534" s="163">
        <v>46193</v>
      </c>
      <c r="B534" s="164" t="s">
        <v>72</v>
      </c>
      <c r="C534" s="341">
        <v>0.45</v>
      </c>
      <c r="D534" s="341">
        <v>0.92</v>
      </c>
      <c r="E534" s="55">
        <v>219.481</v>
      </c>
      <c r="F534" s="10">
        <f t="shared" si="30"/>
        <v>202.1</v>
      </c>
      <c r="G534" s="10">
        <f t="shared" si="31"/>
        <v>17.381</v>
      </c>
      <c r="H534" s="55"/>
      <c r="I534" s="153">
        <f t="shared" si="32"/>
        <v>0.949922772358427</v>
      </c>
      <c r="J534" s="55">
        <v>43.89</v>
      </c>
      <c r="K534" s="55"/>
      <c r="L534" s="55">
        <v>208.49</v>
      </c>
      <c r="M534" s="166">
        <f t="shared" si="33"/>
        <v>19165.7</v>
      </c>
      <c r="N534" s="55"/>
      <c r="O534" s="343" t="s">
        <v>1611</v>
      </c>
    </row>
    <row r="535" spans="1:15">
      <c r="A535" s="163">
        <v>46193</v>
      </c>
      <c r="B535" s="164" t="s">
        <v>166</v>
      </c>
      <c r="C535" s="341">
        <v>0.44</v>
      </c>
      <c r="D535" s="341">
        <v>0.93</v>
      </c>
      <c r="E535" s="55">
        <v>221.516</v>
      </c>
      <c r="F535" s="10">
        <f t="shared" si="30"/>
        <v>210.7</v>
      </c>
      <c r="G535" s="10">
        <f t="shared" si="31"/>
        <v>10.816</v>
      </c>
      <c r="H535" s="55"/>
      <c r="I535" s="153">
        <f t="shared" si="32"/>
        <v>0.949953953664747</v>
      </c>
      <c r="J535" s="55">
        <v>44.3</v>
      </c>
      <c r="K535" s="55"/>
      <c r="L535" s="55">
        <v>210.43</v>
      </c>
      <c r="M535" s="166">
        <f t="shared" si="33"/>
        <v>18955.27</v>
      </c>
      <c r="N535" s="55"/>
      <c r="O535" s="343" t="s">
        <v>1611</v>
      </c>
    </row>
    <row r="536" spans="1:15">
      <c r="A536" s="163">
        <v>46193</v>
      </c>
      <c r="B536" s="164" t="s">
        <v>160</v>
      </c>
      <c r="C536" s="341">
        <v>0.49</v>
      </c>
      <c r="D536" s="341">
        <v>0.9</v>
      </c>
      <c r="E536" s="55">
        <v>183.397</v>
      </c>
      <c r="F536" s="10">
        <f t="shared" si="30"/>
        <v>176.3</v>
      </c>
      <c r="G536" s="10">
        <f t="shared" si="31"/>
        <v>7.09699999999998</v>
      </c>
      <c r="H536" s="55"/>
      <c r="I536" s="153">
        <f t="shared" si="32"/>
        <v>0.949906487019962</v>
      </c>
      <c r="J536" s="55">
        <v>36.67</v>
      </c>
      <c r="K536" s="55"/>
      <c r="L536" s="55">
        <v>174.21</v>
      </c>
      <c r="M536" s="166">
        <f t="shared" si="33"/>
        <v>18781.06</v>
      </c>
      <c r="N536" s="55"/>
      <c r="O536" s="343" t="s">
        <v>1611</v>
      </c>
    </row>
    <row r="537" spans="1:15">
      <c r="A537" s="163">
        <v>46193</v>
      </c>
      <c r="B537" s="164" t="s">
        <v>223</v>
      </c>
      <c r="C537" s="341">
        <v>0.2</v>
      </c>
      <c r="D537" s="341">
        <v>0.85</v>
      </c>
      <c r="E537" s="55">
        <v>287.099</v>
      </c>
      <c r="F537" s="10">
        <f t="shared" si="30"/>
        <v>279.5</v>
      </c>
      <c r="G537" s="10">
        <f t="shared" si="31"/>
        <v>7.59900000000005</v>
      </c>
      <c r="H537" s="55"/>
      <c r="I537" s="153">
        <f t="shared" si="32"/>
        <v>0.949951062177159</v>
      </c>
      <c r="J537" s="55">
        <v>57.41</v>
      </c>
      <c r="K537" s="55"/>
      <c r="L537" s="55">
        <v>272.73</v>
      </c>
      <c r="M537" s="166">
        <f t="shared" si="33"/>
        <v>18508.33</v>
      </c>
      <c r="N537" s="55"/>
      <c r="O537" s="343" t="s">
        <v>1611</v>
      </c>
    </row>
    <row r="538" spans="1:15">
      <c r="A538" s="163">
        <v>46193</v>
      </c>
      <c r="B538" s="164" t="s">
        <v>66</v>
      </c>
      <c r="C538" s="341">
        <v>0.59</v>
      </c>
      <c r="D538" s="341">
        <v>0.95</v>
      </c>
      <c r="E538" s="55">
        <v>172.582</v>
      </c>
      <c r="F538" s="10">
        <f t="shared" si="30"/>
        <v>154.8</v>
      </c>
      <c r="G538" s="10">
        <f t="shared" si="31"/>
        <v>17.782</v>
      </c>
      <c r="H538" s="55"/>
      <c r="I538" s="153">
        <f t="shared" si="32"/>
        <v>0.949925252923248</v>
      </c>
      <c r="J538" s="55">
        <v>34.51</v>
      </c>
      <c r="K538" s="55"/>
      <c r="L538" s="55">
        <v>163.94</v>
      </c>
      <c r="M538" s="166">
        <f t="shared" si="33"/>
        <v>18344.39</v>
      </c>
      <c r="N538" s="55"/>
      <c r="O538" s="343" t="s">
        <v>1611</v>
      </c>
    </row>
    <row r="539" spans="1:15">
      <c r="A539" s="163">
        <v>46193</v>
      </c>
      <c r="B539" s="164" t="s">
        <v>99</v>
      </c>
      <c r="C539" s="341">
        <v>0.46</v>
      </c>
      <c r="D539" s="341">
        <v>0.89</v>
      </c>
      <c r="E539" s="55">
        <v>200.869</v>
      </c>
      <c r="F539" s="10">
        <f t="shared" si="30"/>
        <v>184.9</v>
      </c>
      <c r="G539" s="10">
        <f t="shared" si="31"/>
        <v>15.969</v>
      </c>
      <c r="H539" s="55"/>
      <c r="I539" s="153">
        <f t="shared" si="32"/>
        <v>0.949922586362256</v>
      </c>
      <c r="J539" s="55">
        <v>40.17</v>
      </c>
      <c r="K539" s="55"/>
      <c r="L539" s="55">
        <v>190.81</v>
      </c>
      <c r="M539" s="166">
        <f t="shared" si="33"/>
        <v>18153.58</v>
      </c>
      <c r="N539" s="55"/>
      <c r="O539" s="343" t="s">
        <v>1611</v>
      </c>
    </row>
    <row r="540" spans="1:15">
      <c r="A540" s="163">
        <v>46193</v>
      </c>
      <c r="B540" s="164" t="s">
        <v>81</v>
      </c>
      <c r="C540" s="341">
        <v>0.21</v>
      </c>
      <c r="D540" s="341">
        <v>0.92</v>
      </c>
      <c r="E540" s="55">
        <v>331.268</v>
      </c>
      <c r="F540" s="10">
        <f t="shared" si="30"/>
        <v>305.3</v>
      </c>
      <c r="G540" s="10">
        <f t="shared" si="31"/>
        <v>25.968</v>
      </c>
      <c r="H540" s="55"/>
      <c r="I540" s="153">
        <f t="shared" si="32"/>
        <v>0.949955926923216</v>
      </c>
      <c r="J540" s="55">
        <v>66.25</v>
      </c>
      <c r="K540" s="55"/>
      <c r="L540" s="55">
        <v>314.69</v>
      </c>
      <c r="M540" s="166">
        <f t="shared" si="33"/>
        <v>17838.89</v>
      </c>
      <c r="N540" s="55"/>
      <c r="O540" s="343" t="s">
        <v>1611</v>
      </c>
    </row>
    <row r="541" spans="1:15">
      <c r="A541" s="163">
        <v>46193</v>
      </c>
      <c r="B541" s="164" t="s">
        <v>78</v>
      </c>
      <c r="C541" s="341">
        <v>0.47</v>
      </c>
      <c r="D541" s="341">
        <v>0.88</v>
      </c>
      <c r="E541" s="55">
        <v>191.178</v>
      </c>
      <c r="F541" s="10">
        <f t="shared" si="30"/>
        <v>176.3</v>
      </c>
      <c r="G541" s="10">
        <f t="shared" si="31"/>
        <v>14.878</v>
      </c>
      <c r="H541" s="55"/>
      <c r="I541" s="153">
        <f t="shared" si="32"/>
        <v>0.949952400380797</v>
      </c>
      <c r="J541" s="55">
        <v>38.23</v>
      </c>
      <c r="K541" s="55"/>
      <c r="L541" s="55">
        <v>181.61</v>
      </c>
      <c r="M541" s="166">
        <f t="shared" si="33"/>
        <v>17657.28</v>
      </c>
      <c r="N541" s="55"/>
      <c r="O541" s="343" t="s">
        <v>1611</v>
      </c>
    </row>
    <row r="542" spans="1:15">
      <c r="A542" s="163">
        <v>46193</v>
      </c>
      <c r="B542" s="164" t="s">
        <v>87</v>
      </c>
      <c r="C542" s="341">
        <v>0.52</v>
      </c>
      <c r="D542" s="341">
        <v>0.94</v>
      </c>
      <c r="E542" s="55">
        <v>197.307</v>
      </c>
      <c r="F542" s="10">
        <f t="shared" si="30"/>
        <v>180.6</v>
      </c>
      <c r="G542" s="10">
        <f t="shared" si="31"/>
        <v>16.707</v>
      </c>
      <c r="H542" s="55"/>
      <c r="I542" s="153">
        <f t="shared" si="32"/>
        <v>0.949991637397558</v>
      </c>
      <c r="J542" s="55">
        <v>39.46</v>
      </c>
      <c r="K542" s="55"/>
      <c r="L542" s="55">
        <v>187.44</v>
      </c>
      <c r="M542" s="166">
        <f t="shared" si="33"/>
        <v>17469.84</v>
      </c>
      <c r="N542" s="55"/>
      <c r="O542" s="343" t="s">
        <v>1611</v>
      </c>
    </row>
    <row r="543" spans="1:15">
      <c r="A543" s="163">
        <v>46193</v>
      </c>
      <c r="B543" s="164" t="s">
        <v>223</v>
      </c>
      <c r="C543" s="341">
        <v>0.85</v>
      </c>
      <c r="D543" s="341">
        <v>0.85</v>
      </c>
      <c r="E543" s="55">
        <v>0.202</v>
      </c>
      <c r="F543" s="10">
        <f t="shared" si="30"/>
        <v>0</v>
      </c>
      <c r="G543" s="10">
        <f t="shared" si="31"/>
        <v>0.202</v>
      </c>
      <c r="H543" s="55"/>
      <c r="I543" s="153">
        <f t="shared" si="32"/>
        <v>0.940594059405941</v>
      </c>
      <c r="J543" s="55">
        <v>0.04</v>
      </c>
      <c r="K543" s="55"/>
      <c r="L543" s="55">
        <v>0.19</v>
      </c>
      <c r="M543" s="166">
        <f t="shared" si="33"/>
        <v>17469.65</v>
      </c>
      <c r="N543" s="55"/>
      <c r="O543" s="343" t="s">
        <v>1611</v>
      </c>
    </row>
    <row r="544" spans="1:15">
      <c r="A544" s="163">
        <v>46193</v>
      </c>
      <c r="B544" s="164" t="s">
        <v>57</v>
      </c>
      <c r="C544" s="341">
        <v>0.47</v>
      </c>
      <c r="D544" s="341">
        <v>0.93</v>
      </c>
      <c r="E544" s="55">
        <v>190.789</v>
      </c>
      <c r="F544" s="10">
        <f t="shared" si="30"/>
        <v>197.8</v>
      </c>
      <c r="G544" s="10">
        <f t="shared" si="31"/>
        <v>-7.01100000000005</v>
      </c>
      <c r="H544" s="55"/>
      <c r="I544" s="153">
        <f t="shared" si="32"/>
        <v>0.949949944703311</v>
      </c>
      <c r="J544" s="55">
        <v>38.15</v>
      </c>
      <c r="K544" s="55"/>
      <c r="L544" s="55">
        <v>181.24</v>
      </c>
      <c r="M544" s="166">
        <f t="shared" si="33"/>
        <v>17288.41</v>
      </c>
      <c r="N544" s="55"/>
      <c r="O544" s="343" t="s">
        <v>1611</v>
      </c>
    </row>
    <row r="545" spans="1:15">
      <c r="A545" s="163">
        <v>46193</v>
      </c>
      <c r="B545" s="164" t="s">
        <v>111</v>
      </c>
      <c r="C545" s="341">
        <v>0.38</v>
      </c>
      <c r="D545" s="341">
        <v>0.93</v>
      </c>
      <c r="E545" s="55">
        <v>227.97</v>
      </c>
      <c r="F545" s="10">
        <f t="shared" si="30"/>
        <v>236.5</v>
      </c>
      <c r="G545" s="10">
        <f t="shared" si="31"/>
        <v>-8.53000000000003</v>
      </c>
      <c r="H545" s="55"/>
      <c r="I545" s="153">
        <f t="shared" si="32"/>
        <v>0.949949554765978</v>
      </c>
      <c r="J545" s="55">
        <v>45.59</v>
      </c>
      <c r="K545" s="55"/>
      <c r="L545" s="55">
        <v>216.56</v>
      </c>
      <c r="M545" s="166">
        <f t="shared" si="33"/>
        <v>17071.85</v>
      </c>
      <c r="N545" s="55"/>
      <c r="O545" s="343" t="s">
        <v>1611</v>
      </c>
    </row>
    <row r="546" spans="1:15">
      <c r="A546" s="163">
        <v>46193</v>
      </c>
      <c r="B546" s="164" t="s">
        <v>90</v>
      </c>
      <c r="C546" s="341">
        <v>0.32</v>
      </c>
      <c r="D546" s="341">
        <v>0.92</v>
      </c>
      <c r="E546" s="55">
        <v>279.005</v>
      </c>
      <c r="F546" s="10">
        <f t="shared" si="30"/>
        <v>258</v>
      </c>
      <c r="G546" s="10">
        <f t="shared" si="31"/>
        <v>21.0049999999999</v>
      </c>
      <c r="H546" s="55"/>
      <c r="I546" s="153">
        <f t="shared" si="32"/>
        <v>0.949982975215498</v>
      </c>
      <c r="J546" s="55">
        <v>55.8</v>
      </c>
      <c r="K546" s="55"/>
      <c r="L546" s="55">
        <v>265.05</v>
      </c>
      <c r="M546" s="166">
        <f t="shared" si="33"/>
        <v>16806.8</v>
      </c>
      <c r="N546" s="55"/>
      <c r="O546" s="343" t="s">
        <v>1611</v>
      </c>
    </row>
    <row r="547" spans="1:15">
      <c r="A547" s="163">
        <v>46193</v>
      </c>
      <c r="B547" s="164" t="s">
        <v>108</v>
      </c>
      <c r="C547" s="341">
        <v>0.42</v>
      </c>
      <c r="D547" s="341">
        <v>0.8</v>
      </c>
      <c r="E547" s="55">
        <v>181.844</v>
      </c>
      <c r="F547" s="10">
        <f t="shared" si="30"/>
        <v>163.4</v>
      </c>
      <c r="G547" s="10">
        <f t="shared" si="31"/>
        <v>18.444</v>
      </c>
      <c r="H547" s="55"/>
      <c r="I547" s="153">
        <f t="shared" si="32"/>
        <v>0.949935109214491</v>
      </c>
      <c r="J547" s="55">
        <v>36.36</v>
      </c>
      <c r="K547" s="55"/>
      <c r="L547" s="55">
        <v>172.74</v>
      </c>
      <c r="M547" s="166">
        <f t="shared" si="33"/>
        <v>16634.06</v>
      </c>
      <c r="N547" s="55"/>
      <c r="O547" s="343" t="s">
        <v>1611</v>
      </c>
    </row>
    <row r="548" spans="1:15">
      <c r="A548" s="163">
        <v>46193</v>
      </c>
      <c r="B548" s="164" t="s">
        <v>114</v>
      </c>
      <c r="C548" s="341">
        <v>0.48</v>
      </c>
      <c r="D548" s="341">
        <v>0.83</v>
      </c>
      <c r="E548" s="55">
        <v>148.069</v>
      </c>
      <c r="F548" s="10">
        <f t="shared" si="30"/>
        <v>150.5</v>
      </c>
      <c r="G548" s="10">
        <f t="shared" si="31"/>
        <v>-2.43100000000001</v>
      </c>
      <c r="H548" s="55"/>
      <c r="I548" s="153">
        <f t="shared" si="32"/>
        <v>0.94989498139381</v>
      </c>
      <c r="J548" s="55">
        <v>29.61</v>
      </c>
      <c r="K548" s="55"/>
      <c r="L548" s="55">
        <v>140.65</v>
      </c>
      <c r="M548" s="166">
        <f t="shared" si="33"/>
        <v>16493.41</v>
      </c>
      <c r="N548" s="55"/>
      <c r="O548" s="343" t="s">
        <v>1611</v>
      </c>
    </row>
    <row r="549" spans="1:15">
      <c r="A549" s="163">
        <v>46193</v>
      </c>
      <c r="B549" s="164" t="s">
        <v>51</v>
      </c>
      <c r="C549" s="341">
        <v>0.41</v>
      </c>
      <c r="D549" s="341">
        <v>0.99</v>
      </c>
      <c r="E549" s="55">
        <v>246.043</v>
      </c>
      <c r="F549" s="10">
        <f t="shared" si="30"/>
        <v>249.4</v>
      </c>
      <c r="G549" s="10">
        <f t="shared" si="31"/>
        <v>-3.35700000000003</v>
      </c>
      <c r="H549" s="55"/>
      <c r="I549" s="153">
        <f t="shared" si="32"/>
        <v>0.949955902017127</v>
      </c>
      <c r="J549" s="55">
        <v>49.2</v>
      </c>
      <c r="K549" s="55"/>
      <c r="L549" s="55">
        <v>233.73</v>
      </c>
      <c r="M549" s="166">
        <f t="shared" si="33"/>
        <v>16259.68</v>
      </c>
      <c r="N549" s="55"/>
      <c r="O549" s="343" t="s">
        <v>1611</v>
      </c>
    </row>
    <row r="550" spans="1:15">
      <c r="A550" s="163">
        <v>46193</v>
      </c>
      <c r="B550" s="164" t="s">
        <v>60</v>
      </c>
      <c r="C550" s="341">
        <v>0.64</v>
      </c>
      <c r="D550" s="341">
        <v>0.96</v>
      </c>
      <c r="E550" s="55">
        <v>140.775</v>
      </c>
      <c r="F550" s="10">
        <f t="shared" si="30"/>
        <v>137.6</v>
      </c>
      <c r="G550" s="10">
        <f t="shared" si="31"/>
        <v>3.17500000000004</v>
      </c>
      <c r="H550" s="55"/>
      <c r="I550" s="153">
        <f t="shared" si="32"/>
        <v>0.949884567572367</v>
      </c>
      <c r="J550" s="55">
        <v>28.15</v>
      </c>
      <c r="K550" s="55"/>
      <c r="L550" s="55">
        <v>133.72</v>
      </c>
      <c r="M550" s="166">
        <f t="shared" si="33"/>
        <v>16125.96</v>
      </c>
      <c r="N550" s="55"/>
      <c r="O550" s="343" t="s">
        <v>1611</v>
      </c>
    </row>
    <row r="551" spans="1:15">
      <c r="A551" s="163">
        <v>46193</v>
      </c>
      <c r="B551" s="164" t="s">
        <v>93</v>
      </c>
      <c r="C551" s="341">
        <v>0.28</v>
      </c>
      <c r="D551" s="341">
        <v>0.91</v>
      </c>
      <c r="E551" s="55">
        <v>293.567</v>
      </c>
      <c r="F551" s="10">
        <f t="shared" si="30"/>
        <v>270.9</v>
      </c>
      <c r="G551" s="10">
        <f t="shared" si="31"/>
        <v>22.667</v>
      </c>
      <c r="H551" s="55"/>
      <c r="I551" s="153">
        <f t="shared" si="32"/>
        <v>0.878232226374218</v>
      </c>
      <c r="J551" s="55">
        <v>58.7</v>
      </c>
      <c r="K551" s="55"/>
      <c r="L551" s="55">
        <v>257.82</v>
      </c>
      <c r="M551" s="166">
        <f t="shared" si="33"/>
        <v>15868.14</v>
      </c>
      <c r="N551" s="55"/>
      <c r="O551" s="343" t="s">
        <v>1611</v>
      </c>
    </row>
    <row r="552" spans="1:15">
      <c r="A552" s="163">
        <v>46193</v>
      </c>
      <c r="B552" s="164" t="s">
        <v>124</v>
      </c>
      <c r="C552" s="341">
        <v>0.42</v>
      </c>
      <c r="D552" s="341">
        <v>0.93</v>
      </c>
      <c r="E552" s="55">
        <v>217.73</v>
      </c>
      <c r="F552" s="10">
        <f t="shared" si="30"/>
        <v>219.3</v>
      </c>
      <c r="G552" s="10">
        <f t="shared" si="31"/>
        <v>-1.57000000000002</v>
      </c>
      <c r="H552" s="55"/>
      <c r="I552" s="153">
        <f t="shared" si="32"/>
        <v>0.870619574702613</v>
      </c>
      <c r="J552" s="55">
        <v>43.54</v>
      </c>
      <c r="K552" s="55"/>
      <c r="L552" s="55">
        <v>189.56</v>
      </c>
      <c r="M552" s="166">
        <f t="shared" si="33"/>
        <v>15678.58</v>
      </c>
      <c r="N552" s="55"/>
      <c r="O552" s="343" t="s">
        <v>1611</v>
      </c>
    </row>
    <row r="553" spans="1:15">
      <c r="A553" s="163">
        <v>46194</v>
      </c>
      <c r="B553" s="164" t="s">
        <v>75</v>
      </c>
      <c r="C553" s="341">
        <v>0.21</v>
      </c>
      <c r="D553" s="341">
        <v>0.91</v>
      </c>
      <c r="E553" s="55">
        <v>325.121</v>
      </c>
      <c r="F553" s="10">
        <f t="shared" si="30"/>
        <v>301</v>
      </c>
      <c r="G553" s="10">
        <f t="shared" si="31"/>
        <v>24.1209999999999</v>
      </c>
      <c r="H553" s="55"/>
      <c r="I553" s="153">
        <f t="shared" si="32"/>
        <v>0.819971641327383</v>
      </c>
      <c r="J553" s="55">
        <v>65.02</v>
      </c>
      <c r="K553" s="55"/>
      <c r="L553" s="55">
        <v>266.59</v>
      </c>
      <c r="M553" s="166">
        <f t="shared" si="33"/>
        <v>15411.99</v>
      </c>
      <c r="N553" s="55"/>
      <c r="O553" s="343" t="s">
        <v>1611</v>
      </c>
    </row>
    <row r="554" spans="1:15">
      <c r="A554" s="163">
        <v>46194</v>
      </c>
      <c r="B554" s="164" t="s">
        <v>174</v>
      </c>
      <c r="C554" s="341">
        <v>0.31</v>
      </c>
      <c r="D554" s="341">
        <v>0.99</v>
      </c>
      <c r="E554" s="55">
        <v>305.289</v>
      </c>
      <c r="F554" s="10">
        <f t="shared" si="30"/>
        <v>292.4</v>
      </c>
      <c r="G554" s="10">
        <f t="shared" si="31"/>
        <v>12.889</v>
      </c>
      <c r="H554" s="55"/>
      <c r="I554" s="153">
        <f t="shared" si="32"/>
        <v>0.819944380570541</v>
      </c>
      <c r="J554" s="55">
        <v>61.05</v>
      </c>
      <c r="K554" s="55"/>
      <c r="L554" s="55">
        <v>250.32</v>
      </c>
      <c r="M554" s="166">
        <f t="shared" si="33"/>
        <v>15161.67</v>
      </c>
      <c r="N554" s="55"/>
      <c r="O554" s="343" t="s">
        <v>1611</v>
      </c>
    </row>
    <row r="555" spans="1:15">
      <c r="A555" s="163">
        <v>46194</v>
      </c>
      <c r="B555" s="164" t="s">
        <v>192</v>
      </c>
      <c r="C555" s="341">
        <v>0.29</v>
      </c>
      <c r="D555" s="341">
        <v>1</v>
      </c>
      <c r="E555" s="55">
        <v>314.801</v>
      </c>
      <c r="F555" s="10">
        <f t="shared" si="30"/>
        <v>305.3</v>
      </c>
      <c r="G555" s="10">
        <f t="shared" si="31"/>
        <v>9.50099999999998</v>
      </c>
      <c r="H555" s="55"/>
      <c r="I555" s="153">
        <f t="shared" si="32"/>
        <v>0.8199783355199</v>
      </c>
      <c r="J555" s="55">
        <v>62.96</v>
      </c>
      <c r="K555" s="55"/>
      <c r="L555" s="55">
        <v>258.13</v>
      </c>
      <c r="M555" s="166">
        <f t="shared" si="33"/>
        <v>14903.54</v>
      </c>
      <c r="N555" s="55"/>
      <c r="O555" s="343" t="s">
        <v>1611</v>
      </c>
    </row>
    <row r="556" spans="1:15">
      <c r="A556" s="163">
        <v>46194</v>
      </c>
      <c r="B556" s="164" t="s">
        <v>210</v>
      </c>
      <c r="C556" s="341">
        <v>0.47</v>
      </c>
      <c r="D556" s="341">
        <v>0.95</v>
      </c>
      <c r="E556" s="55">
        <v>216.473</v>
      </c>
      <c r="F556" s="10">
        <f t="shared" si="30"/>
        <v>206.4</v>
      </c>
      <c r="G556" s="10">
        <f t="shared" si="31"/>
        <v>10.073</v>
      </c>
      <c r="H556" s="55"/>
      <c r="I556" s="153">
        <f t="shared" si="32"/>
        <v>0.819963690621925</v>
      </c>
      <c r="J556" s="55">
        <v>43.29</v>
      </c>
      <c r="K556" s="55"/>
      <c r="L556" s="55">
        <v>177.5</v>
      </c>
      <c r="M556" s="166">
        <f t="shared" si="33"/>
        <v>14726.04</v>
      </c>
      <c r="N556" s="55"/>
      <c r="O556" s="343" t="s">
        <v>1611</v>
      </c>
    </row>
    <row r="557" spans="1:15">
      <c r="A557" s="163">
        <v>46194</v>
      </c>
      <c r="B557" s="164" t="s">
        <v>201</v>
      </c>
      <c r="C557" s="341">
        <v>0.26</v>
      </c>
      <c r="D557" s="341">
        <v>1</v>
      </c>
      <c r="E557" s="55">
        <v>326.469</v>
      </c>
      <c r="F557" s="10">
        <f t="shared" si="30"/>
        <v>318.2</v>
      </c>
      <c r="G557" s="10">
        <f t="shared" si="31"/>
        <v>8.26900000000001</v>
      </c>
      <c r="H557" s="55"/>
      <c r="I557" s="153">
        <f t="shared" si="32"/>
        <v>0.819955340323277</v>
      </c>
      <c r="J557" s="55">
        <v>65.29</v>
      </c>
      <c r="K557" s="55"/>
      <c r="L557" s="55">
        <v>267.69</v>
      </c>
      <c r="M557" s="166">
        <f t="shared" si="33"/>
        <v>14458.35</v>
      </c>
      <c r="N557" s="55"/>
      <c r="O557" s="343" t="s">
        <v>1611</v>
      </c>
    </row>
    <row r="558" spans="1:15">
      <c r="A558" s="163">
        <v>46194</v>
      </c>
      <c r="B558" s="164" t="s">
        <v>339</v>
      </c>
      <c r="C558" s="341">
        <v>0.54</v>
      </c>
      <c r="D558" s="341">
        <v>0.93</v>
      </c>
      <c r="E558" s="55">
        <v>176.205</v>
      </c>
      <c r="F558" s="10">
        <f t="shared" si="30"/>
        <v>167.7</v>
      </c>
      <c r="G558" s="10">
        <f t="shared" si="31"/>
        <v>8.505</v>
      </c>
      <c r="H558" s="55"/>
      <c r="I558" s="153">
        <f t="shared" si="32"/>
        <v>0.819954030816379</v>
      </c>
      <c r="J558" s="55">
        <v>35.24</v>
      </c>
      <c r="K558" s="55"/>
      <c r="L558" s="55">
        <v>144.48</v>
      </c>
      <c r="M558" s="166">
        <f t="shared" si="33"/>
        <v>14313.87</v>
      </c>
      <c r="N558" s="55"/>
      <c r="O558" s="343" t="s">
        <v>1611</v>
      </c>
    </row>
    <row r="559" spans="1:15">
      <c r="A559" s="163">
        <v>46194</v>
      </c>
      <c r="B559" s="164" t="s">
        <v>141</v>
      </c>
      <c r="C559" s="341">
        <v>0.41</v>
      </c>
      <c r="D559" s="341">
        <v>1</v>
      </c>
      <c r="E559" s="55">
        <v>264.713</v>
      </c>
      <c r="F559" s="10">
        <f t="shared" si="30"/>
        <v>253.7</v>
      </c>
      <c r="G559" s="10">
        <f t="shared" si="31"/>
        <v>11.013</v>
      </c>
      <c r="H559" s="55"/>
      <c r="I559" s="153">
        <f t="shared" si="32"/>
        <v>0.782658955170316</v>
      </c>
      <c r="J559" s="55">
        <v>52.93</v>
      </c>
      <c r="K559" s="55"/>
      <c r="L559" s="55">
        <v>207.18</v>
      </c>
      <c r="M559" s="166">
        <f t="shared" si="33"/>
        <v>14106.69</v>
      </c>
      <c r="N559" s="55"/>
      <c r="O559" s="343" t="s">
        <v>1611</v>
      </c>
    </row>
    <row r="560" spans="1:15">
      <c r="A560" s="163">
        <v>46194</v>
      </c>
      <c r="B560" s="164" t="s">
        <v>63</v>
      </c>
      <c r="C560" s="341">
        <v>0.46</v>
      </c>
      <c r="D560" s="341">
        <v>1</v>
      </c>
      <c r="E560" s="55">
        <v>239.954</v>
      </c>
      <c r="F560" s="10">
        <f t="shared" si="30"/>
        <v>232.2</v>
      </c>
      <c r="G560" s="10">
        <f t="shared" si="31"/>
        <v>7.75399999999999</v>
      </c>
      <c r="H560" s="55"/>
      <c r="I560" s="153">
        <f t="shared" si="32"/>
        <v>0.669961742667345</v>
      </c>
      <c r="J560" s="55">
        <v>47.99</v>
      </c>
      <c r="K560" s="55"/>
      <c r="L560" s="55">
        <v>160.76</v>
      </c>
      <c r="M560" s="166">
        <f t="shared" si="33"/>
        <v>13945.93</v>
      </c>
      <c r="N560" s="55"/>
      <c r="O560" s="343" t="s">
        <v>1611</v>
      </c>
    </row>
    <row r="561" spans="1:15">
      <c r="A561" s="163">
        <v>46194</v>
      </c>
      <c r="B561" s="164" t="s">
        <v>144</v>
      </c>
      <c r="C561" s="341">
        <v>0.51</v>
      </c>
      <c r="D561" s="341">
        <v>1</v>
      </c>
      <c r="E561" s="55">
        <v>219.95</v>
      </c>
      <c r="F561" s="10">
        <f t="shared" si="30"/>
        <v>210.7</v>
      </c>
      <c r="G561" s="10">
        <f t="shared" si="31"/>
        <v>9.25</v>
      </c>
      <c r="H561" s="55"/>
      <c r="I561" s="153">
        <f t="shared" si="32"/>
        <v>0.819959081609457</v>
      </c>
      <c r="J561" s="55">
        <v>43.99</v>
      </c>
      <c r="K561" s="55"/>
      <c r="L561" s="55">
        <v>180.35</v>
      </c>
      <c r="M561" s="166">
        <f t="shared" si="33"/>
        <v>13765.58</v>
      </c>
      <c r="N561" s="55"/>
      <c r="O561" s="343" t="s">
        <v>1611</v>
      </c>
    </row>
    <row r="562" spans="1:15">
      <c r="A562" s="163">
        <v>46194</v>
      </c>
      <c r="B562" s="164" t="s">
        <v>54</v>
      </c>
      <c r="C562" s="341">
        <v>0.41</v>
      </c>
      <c r="D562" s="341">
        <v>0.96</v>
      </c>
      <c r="E562" s="55">
        <v>235.834</v>
      </c>
      <c r="F562" s="10">
        <f t="shared" si="30"/>
        <v>236.5</v>
      </c>
      <c r="G562" s="10">
        <f t="shared" si="31"/>
        <v>-0.666000000000025</v>
      </c>
      <c r="H562" s="55"/>
      <c r="I562" s="153">
        <f t="shared" si="32"/>
        <v>0.819983547749688</v>
      </c>
      <c r="J562" s="55">
        <v>47.16</v>
      </c>
      <c r="K562" s="55"/>
      <c r="L562" s="55">
        <v>193.38</v>
      </c>
      <c r="M562" s="166">
        <f t="shared" si="33"/>
        <v>13572.2</v>
      </c>
      <c r="N562" s="55"/>
      <c r="O562" s="343" t="s">
        <v>1611</v>
      </c>
    </row>
    <row r="563" spans="1:15">
      <c r="A563" s="163">
        <v>46194</v>
      </c>
      <c r="B563" s="164" t="s">
        <v>105</v>
      </c>
      <c r="C563" s="341">
        <v>0.36</v>
      </c>
      <c r="D563" s="341">
        <v>0.91</v>
      </c>
      <c r="E563" s="55">
        <v>257.973</v>
      </c>
      <c r="F563" s="10">
        <f t="shared" si="30"/>
        <v>236.5</v>
      </c>
      <c r="G563" s="10">
        <f t="shared" si="31"/>
        <v>21.473</v>
      </c>
      <c r="H563" s="55"/>
      <c r="I563" s="153">
        <f t="shared" si="32"/>
        <v>0.949944374023638</v>
      </c>
      <c r="J563" s="55">
        <v>51.59</v>
      </c>
      <c r="K563" s="55"/>
      <c r="L563" s="55">
        <v>245.06</v>
      </c>
      <c r="M563" s="166">
        <f t="shared" si="33"/>
        <v>13327.14</v>
      </c>
      <c r="N563" s="55"/>
      <c r="O563" s="343" t="s">
        <v>1611</v>
      </c>
    </row>
    <row r="564" spans="1:15">
      <c r="A564" s="163">
        <v>46194</v>
      </c>
      <c r="B564" s="164" t="s">
        <v>213</v>
      </c>
      <c r="C564" s="341">
        <v>0.47</v>
      </c>
      <c r="D564" s="341">
        <v>0.48</v>
      </c>
      <c r="E564" s="55">
        <v>4.354</v>
      </c>
      <c r="F564" s="10">
        <f t="shared" si="30"/>
        <v>4.3</v>
      </c>
      <c r="G564" s="10">
        <f t="shared" si="31"/>
        <v>0.0539999999999958</v>
      </c>
      <c r="H564" s="55"/>
      <c r="I564" s="153">
        <f t="shared" si="32"/>
        <v>0.948553054662379</v>
      </c>
      <c r="J564" s="55">
        <v>0.87</v>
      </c>
      <c r="K564" s="55"/>
      <c r="L564" s="55">
        <v>4.13</v>
      </c>
      <c r="M564" s="166">
        <f t="shared" si="33"/>
        <v>13323.01</v>
      </c>
      <c r="N564" s="55"/>
      <c r="O564" s="343" t="s">
        <v>1611</v>
      </c>
    </row>
    <row r="565" spans="1:15">
      <c r="A565" s="163">
        <v>46194</v>
      </c>
      <c r="B565" s="164" t="s">
        <v>670</v>
      </c>
      <c r="C565" s="341">
        <v>0.46</v>
      </c>
      <c r="D565" s="341">
        <v>1</v>
      </c>
      <c r="E565" s="55">
        <v>238.586</v>
      </c>
      <c r="F565" s="10">
        <f t="shared" si="30"/>
        <v>232.2</v>
      </c>
      <c r="G565" s="10">
        <f t="shared" si="31"/>
        <v>6.386</v>
      </c>
      <c r="H565" s="55"/>
      <c r="I565" s="153">
        <f t="shared" si="32"/>
        <v>0.949930004275188</v>
      </c>
      <c r="J565" s="55">
        <v>47.71</v>
      </c>
      <c r="K565" s="55"/>
      <c r="L565" s="55">
        <v>226.64</v>
      </c>
      <c r="M565" s="166">
        <f t="shared" si="33"/>
        <v>13096.37</v>
      </c>
      <c r="N565" s="55"/>
      <c r="O565" s="343" t="s">
        <v>1611</v>
      </c>
    </row>
    <row r="566" spans="1:15">
      <c r="A566" s="163">
        <v>46194</v>
      </c>
      <c r="B566" s="164" t="s">
        <v>213</v>
      </c>
      <c r="C566" s="341">
        <v>0.48</v>
      </c>
      <c r="D566" s="341">
        <v>0.49</v>
      </c>
      <c r="E566" s="55">
        <v>4.576</v>
      </c>
      <c r="F566" s="10">
        <f t="shared" si="30"/>
        <v>4.3</v>
      </c>
      <c r="G566" s="10">
        <f t="shared" si="31"/>
        <v>0.275999999999995</v>
      </c>
      <c r="H566" s="55"/>
      <c r="I566" s="153">
        <f t="shared" si="32"/>
        <v>0.946241258741259</v>
      </c>
      <c r="J566" s="55">
        <v>0.91</v>
      </c>
      <c r="K566" s="55"/>
      <c r="L566" s="55">
        <v>4.33</v>
      </c>
      <c r="M566" s="166">
        <f t="shared" si="33"/>
        <v>13092.04</v>
      </c>
      <c r="N566" s="55"/>
      <c r="O566" s="343" t="s">
        <v>1611</v>
      </c>
    </row>
    <row r="567" spans="1:15">
      <c r="A567" s="163">
        <v>46194</v>
      </c>
      <c r="B567" s="164" t="s">
        <v>213</v>
      </c>
      <c r="C567" s="341">
        <v>0.5</v>
      </c>
      <c r="D567" s="341">
        <v>0.99</v>
      </c>
      <c r="E567" s="55">
        <v>225.259</v>
      </c>
      <c r="F567" s="10">
        <f t="shared" si="30"/>
        <v>210.7</v>
      </c>
      <c r="G567" s="10">
        <f t="shared" si="31"/>
        <v>14.559</v>
      </c>
      <c r="H567" s="55"/>
      <c r="I567" s="153">
        <f t="shared" si="32"/>
        <v>0.949973142027622</v>
      </c>
      <c r="J567" s="55">
        <v>45.05</v>
      </c>
      <c r="K567" s="55"/>
      <c r="L567" s="55">
        <v>213.99</v>
      </c>
      <c r="M567" s="166">
        <f t="shared" si="33"/>
        <v>12878.05</v>
      </c>
      <c r="N567" s="55"/>
      <c r="O567" s="343" t="s">
        <v>1611</v>
      </c>
    </row>
    <row r="568" spans="1:15">
      <c r="A568" s="163">
        <v>46194</v>
      </c>
      <c r="B568" s="164" t="s">
        <v>151</v>
      </c>
      <c r="C568" s="341">
        <v>0.49</v>
      </c>
      <c r="D568" s="341">
        <v>0.93</v>
      </c>
      <c r="E568" s="55">
        <v>197.402</v>
      </c>
      <c r="F568" s="10">
        <f t="shared" si="30"/>
        <v>189.2</v>
      </c>
      <c r="G568" s="10">
        <f t="shared" si="31"/>
        <v>8.20199999999997</v>
      </c>
      <c r="H568" s="55"/>
      <c r="I568" s="153">
        <f t="shared" si="32"/>
        <v>0.949990374970872</v>
      </c>
      <c r="J568" s="55">
        <v>39.48</v>
      </c>
      <c r="K568" s="55"/>
      <c r="L568" s="55">
        <v>187.53</v>
      </c>
      <c r="M568" s="166">
        <f t="shared" si="33"/>
        <v>12690.52</v>
      </c>
      <c r="N568" s="55"/>
      <c r="O568" s="343" t="s">
        <v>1611</v>
      </c>
    </row>
    <row r="569" spans="1:15">
      <c r="A569" s="163">
        <v>46194</v>
      </c>
      <c r="B569" s="164" t="s">
        <v>130</v>
      </c>
      <c r="C569" s="341">
        <v>0.48</v>
      </c>
      <c r="D569" s="341">
        <v>0.97</v>
      </c>
      <c r="E569" s="55">
        <v>208.896</v>
      </c>
      <c r="F569" s="10">
        <f t="shared" si="30"/>
        <v>210.7</v>
      </c>
      <c r="G569" s="10">
        <f t="shared" si="31"/>
        <v>-1.804</v>
      </c>
      <c r="H569" s="55"/>
      <c r="I569" s="153">
        <f t="shared" si="32"/>
        <v>0.949946384803922</v>
      </c>
      <c r="J569" s="55">
        <v>41.77</v>
      </c>
      <c r="K569" s="55"/>
      <c r="L569" s="55">
        <v>198.44</v>
      </c>
      <c r="M569" s="166">
        <f t="shared" si="33"/>
        <v>12492.08</v>
      </c>
      <c r="N569" s="55"/>
      <c r="O569" s="343" t="s">
        <v>1611</v>
      </c>
    </row>
    <row r="570" spans="1:15">
      <c r="A570" s="163">
        <v>46194</v>
      </c>
      <c r="B570" s="164" t="s">
        <v>57</v>
      </c>
      <c r="C570" s="341">
        <v>0.32</v>
      </c>
      <c r="D570" s="341">
        <v>0.92</v>
      </c>
      <c r="E570" s="55">
        <v>247.233</v>
      </c>
      <c r="F570" s="10">
        <f t="shared" si="30"/>
        <v>258</v>
      </c>
      <c r="G570" s="10">
        <f t="shared" si="31"/>
        <v>-10.7670000000001</v>
      </c>
      <c r="H570" s="55"/>
      <c r="I570" s="153">
        <f t="shared" si="32"/>
        <v>0.927222498614667</v>
      </c>
      <c r="J570" s="55">
        <v>49.43</v>
      </c>
      <c r="K570" s="55"/>
      <c r="L570" s="55">
        <v>229.24</v>
      </c>
      <c r="M570" s="166">
        <f t="shared" si="33"/>
        <v>12262.84</v>
      </c>
      <c r="N570" s="55"/>
      <c r="O570" s="343" t="s">
        <v>1611</v>
      </c>
    </row>
    <row r="571" spans="1:15">
      <c r="A571" s="163">
        <v>46194</v>
      </c>
      <c r="B571" s="164" t="s">
        <v>51</v>
      </c>
      <c r="C571" s="341">
        <v>0.24</v>
      </c>
      <c r="D571" s="341">
        <v>0.93</v>
      </c>
      <c r="E571" s="55">
        <v>285.631</v>
      </c>
      <c r="F571" s="10">
        <f t="shared" si="30"/>
        <v>296.7</v>
      </c>
      <c r="G571" s="10">
        <f t="shared" si="31"/>
        <v>-11.0690000000001</v>
      </c>
      <c r="H571" s="55"/>
      <c r="I571" s="153">
        <f t="shared" ref="I571:I602" si="34">L571/E571</f>
        <v>0.819974022427538</v>
      </c>
      <c r="J571" s="55">
        <v>57.12</v>
      </c>
      <c r="K571" s="55"/>
      <c r="L571" s="55">
        <v>234.21</v>
      </c>
      <c r="M571" s="166">
        <f t="shared" si="33"/>
        <v>12028.63</v>
      </c>
      <c r="N571" s="55"/>
      <c r="O571" s="343" t="s">
        <v>1611</v>
      </c>
    </row>
    <row r="572" spans="1:15">
      <c r="A572" s="163">
        <v>46194</v>
      </c>
      <c r="B572" s="164" t="s">
        <v>189</v>
      </c>
      <c r="C572" s="341">
        <v>0.4</v>
      </c>
      <c r="D572" s="341">
        <v>0.88</v>
      </c>
      <c r="E572" s="55">
        <v>219.468</v>
      </c>
      <c r="F572" s="10">
        <f t="shared" ref="F572:F629" si="35">(D572-C572)*430</f>
        <v>206.4</v>
      </c>
      <c r="G572" s="10">
        <f t="shared" ref="G572:G629" si="36">E572-F572</f>
        <v>13.068</v>
      </c>
      <c r="H572" s="55"/>
      <c r="I572" s="153">
        <f t="shared" si="34"/>
        <v>0.819937302932546</v>
      </c>
      <c r="J572" s="55">
        <v>43.89</v>
      </c>
      <c r="K572" s="55"/>
      <c r="L572" s="55">
        <v>179.95</v>
      </c>
      <c r="M572" s="166">
        <f t="shared" si="33"/>
        <v>11848.68</v>
      </c>
      <c r="N572" s="55"/>
      <c r="O572" s="343" t="s">
        <v>1611</v>
      </c>
    </row>
    <row r="573" spans="1:15">
      <c r="A573" s="163">
        <v>46194</v>
      </c>
      <c r="B573" s="164" t="s">
        <v>198</v>
      </c>
      <c r="C573" s="341">
        <v>0.2</v>
      </c>
      <c r="D573" s="341">
        <v>0.9</v>
      </c>
      <c r="E573" s="55">
        <v>309.844</v>
      </c>
      <c r="F573" s="10">
        <f t="shared" si="35"/>
        <v>301</v>
      </c>
      <c r="G573" s="10">
        <f t="shared" si="36"/>
        <v>8.84399999999999</v>
      </c>
      <c r="H573" s="55"/>
      <c r="I573" s="153">
        <f t="shared" si="34"/>
        <v>0.83609816552846</v>
      </c>
      <c r="J573" s="55">
        <v>61.96</v>
      </c>
      <c r="K573" s="55"/>
      <c r="L573" s="55">
        <v>259.06</v>
      </c>
      <c r="M573" s="166">
        <f t="shared" si="33"/>
        <v>11589.62</v>
      </c>
      <c r="N573" s="55"/>
      <c r="O573" s="343" t="s">
        <v>1611</v>
      </c>
    </row>
    <row r="574" spans="1:15">
      <c r="A574" s="163">
        <v>46194</v>
      </c>
      <c r="B574" s="164" t="s">
        <v>102</v>
      </c>
      <c r="C574" s="341">
        <v>0.4</v>
      </c>
      <c r="D574" s="341">
        <v>0.9</v>
      </c>
      <c r="E574" s="55">
        <v>233.972</v>
      </c>
      <c r="F574" s="10">
        <f t="shared" si="35"/>
        <v>215</v>
      </c>
      <c r="G574" s="10">
        <f t="shared" si="36"/>
        <v>18.972</v>
      </c>
      <c r="H574" s="55"/>
      <c r="I574" s="153">
        <f t="shared" si="34"/>
        <v>0.949942728189698</v>
      </c>
      <c r="J574" s="55">
        <v>46.79</v>
      </c>
      <c r="K574" s="55"/>
      <c r="L574" s="55">
        <v>222.26</v>
      </c>
      <c r="M574" s="166">
        <f t="shared" si="33"/>
        <v>11367.36</v>
      </c>
      <c r="N574" s="55"/>
      <c r="O574" s="343" t="s">
        <v>1611</v>
      </c>
    </row>
    <row r="575" spans="1:15">
      <c r="A575" s="163">
        <v>46194</v>
      </c>
      <c r="B575" s="164" t="s">
        <v>96</v>
      </c>
      <c r="C575" s="341">
        <v>0.37</v>
      </c>
      <c r="D575" s="341">
        <v>0.9</v>
      </c>
      <c r="E575" s="55">
        <v>250.602</v>
      </c>
      <c r="F575" s="10">
        <f t="shared" si="35"/>
        <v>227.9</v>
      </c>
      <c r="G575" s="10">
        <f t="shared" si="36"/>
        <v>22.702</v>
      </c>
      <c r="H575" s="55"/>
      <c r="I575" s="153">
        <f t="shared" si="34"/>
        <v>0.949992418256837</v>
      </c>
      <c r="J575" s="55">
        <v>50.12</v>
      </c>
      <c r="K575" s="55"/>
      <c r="L575" s="55">
        <v>238.07</v>
      </c>
      <c r="M575" s="166">
        <f t="shared" si="33"/>
        <v>11129.29</v>
      </c>
      <c r="N575" s="55"/>
      <c r="O575" s="343" t="s">
        <v>1611</v>
      </c>
    </row>
    <row r="576" spans="1:15">
      <c r="A576" s="163">
        <v>46194</v>
      </c>
      <c r="B576" s="164" t="s">
        <v>180</v>
      </c>
      <c r="C576" s="341">
        <v>0.27</v>
      </c>
      <c r="D576" s="341">
        <v>0.93</v>
      </c>
      <c r="E576" s="55">
        <v>295.656</v>
      </c>
      <c r="F576" s="10">
        <f t="shared" si="35"/>
        <v>283.8</v>
      </c>
      <c r="G576" s="10">
        <f t="shared" si="36"/>
        <v>11.856</v>
      </c>
      <c r="H576" s="55"/>
      <c r="I576" s="153">
        <f t="shared" si="34"/>
        <v>0.949955353518954</v>
      </c>
      <c r="J576" s="55">
        <v>59.13</v>
      </c>
      <c r="K576" s="55"/>
      <c r="L576" s="55">
        <v>280.86</v>
      </c>
      <c r="M576" s="166">
        <f t="shared" si="33"/>
        <v>10848.43</v>
      </c>
      <c r="N576" s="55"/>
      <c r="O576" s="343" t="s">
        <v>1611</v>
      </c>
    </row>
    <row r="577" spans="1:15">
      <c r="A577" s="163">
        <v>46194</v>
      </c>
      <c r="B577" s="164" t="s">
        <v>148</v>
      </c>
      <c r="C577" s="341">
        <v>0.52</v>
      </c>
      <c r="D577" s="341">
        <v>0.87</v>
      </c>
      <c r="E577" s="55">
        <v>159.855</v>
      </c>
      <c r="F577" s="10">
        <f t="shared" si="35"/>
        <v>150.5</v>
      </c>
      <c r="G577" s="10">
        <f t="shared" si="36"/>
        <v>9.35499999999999</v>
      </c>
      <c r="H577" s="55"/>
      <c r="I577" s="153">
        <f t="shared" si="34"/>
        <v>0.949923368052297</v>
      </c>
      <c r="J577" s="55">
        <v>31.97</v>
      </c>
      <c r="K577" s="55"/>
      <c r="L577" s="55">
        <v>151.85</v>
      </c>
      <c r="M577" s="166">
        <f t="shared" si="33"/>
        <v>10696.58</v>
      </c>
      <c r="N577" s="55"/>
      <c r="O577" s="343" t="s">
        <v>1611</v>
      </c>
    </row>
    <row r="578" spans="1:15">
      <c r="A578" s="163">
        <v>46194</v>
      </c>
      <c r="B578" s="164" t="s">
        <v>186</v>
      </c>
      <c r="C578" s="341">
        <v>0.33</v>
      </c>
      <c r="D578" s="341">
        <v>0.85</v>
      </c>
      <c r="E578" s="55">
        <v>232.313</v>
      </c>
      <c r="F578" s="10">
        <f t="shared" si="35"/>
        <v>223.6</v>
      </c>
      <c r="G578" s="10">
        <f t="shared" si="36"/>
        <v>8.71299999999999</v>
      </c>
      <c r="H578" s="55"/>
      <c r="I578" s="153">
        <f t="shared" si="34"/>
        <v>0.949968361650015</v>
      </c>
      <c r="J578" s="55">
        <v>46.46</v>
      </c>
      <c r="K578" s="55"/>
      <c r="L578" s="55">
        <v>220.69</v>
      </c>
      <c r="M578" s="166">
        <f t="shared" si="33"/>
        <v>10475.89</v>
      </c>
      <c r="N578" s="55"/>
      <c r="O578" s="343" t="s">
        <v>1611</v>
      </c>
    </row>
    <row r="579" spans="1:15">
      <c r="A579" s="163">
        <v>46194</v>
      </c>
      <c r="B579" s="164" t="s">
        <v>207</v>
      </c>
      <c r="C579" s="341">
        <v>0.41</v>
      </c>
      <c r="D579" s="341">
        <v>0.99</v>
      </c>
      <c r="E579" s="55">
        <v>256.165</v>
      </c>
      <c r="F579" s="10">
        <f t="shared" si="35"/>
        <v>249.4</v>
      </c>
      <c r="G579" s="10">
        <f t="shared" si="36"/>
        <v>6.76500000000001</v>
      </c>
      <c r="H579" s="55"/>
      <c r="I579" s="153">
        <f t="shared" si="34"/>
        <v>0.94997364979603</v>
      </c>
      <c r="J579" s="55">
        <v>51.23</v>
      </c>
      <c r="K579" s="55"/>
      <c r="L579" s="55">
        <v>243.35</v>
      </c>
      <c r="M579" s="166">
        <f t="shared" ref="M579:M598" si="37">M578+K579-L579</f>
        <v>10232.54</v>
      </c>
      <c r="N579" s="55"/>
      <c r="O579" s="343" t="s">
        <v>1611</v>
      </c>
    </row>
    <row r="580" spans="1:15">
      <c r="A580" s="163">
        <v>46194</v>
      </c>
      <c r="B580" s="164" t="s">
        <v>108</v>
      </c>
      <c r="C580" s="341">
        <v>0.38</v>
      </c>
      <c r="D580" s="341">
        <v>0.38</v>
      </c>
      <c r="E580" s="55">
        <v>1.265</v>
      </c>
      <c r="F580" s="10">
        <f t="shared" si="35"/>
        <v>0</v>
      </c>
      <c r="G580" s="10">
        <f t="shared" si="36"/>
        <v>1.265</v>
      </c>
      <c r="H580" s="55"/>
      <c r="I580" s="153">
        <f t="shared" si="34"/>
        <v>0.940711462450593</v>
      </c>
      <c r="J580" s="55">
        <v>0.25</v>
      </c>
      <c r="K580" s="55"/>
      <c r="L580" s="55">
        <v>1.19</v>
      </c>
      <c r="M580" s="166">
        <f t="shared" si="37"/>
        <v>10231.35</v>
      </c>
      <c r="N580" s="55"/>
      <c r="O580" s="343" t="s">
        <v>1611</v>
      </c>
    </row>
    <row r="581" spans="1:15">
      <c r="A581" s="163">
        <v>46194</v>
      </c>
      <c r="B581" s="164" t="s">
        <v>108</v>
      </c>
      <c r="C581" s="341">
        <v>0.38</v>
      </c>
      <c r="D581" s="341">
        <v>0.38</v>
      </c>
      <c r="E581" s="55">
        <v>0.538</v>
      </c>
      <c r="F581" s="10">
        <f t="shared" si="35"/>
        <v>0</v>
      </c>
      <c r="G581" s="10">
        <f t="shared" si="36"/>
        <v>0.538</v>
      </c>
      <c r="H581" s="55"/>
      <c r="I581" s="153">
        <f t="shared" si="34"/>
        <v>0.929368029739777</v>
      </c>
      <c r="J581" s="55">
        <v>0.1</v>
      </c>
      <c r="K581" s="55"/>
      <c r="L581" s="55">
        <v>0.5</v>
      </c>
      <c r="M581" s="166">
        <f t="shared" si="37"/>
        <v>10230.85</v>
      </c>
      <c r="N581" s="55"/>
      <c r="O581" s="343" t="s">
        <v>1611</v>
      </c>
    </row>
    <row r="582" spans="1:15">
      <c r="A582" s="163">
        <v>46194</v>
      </c>
      <c r="B582" s="164" t="s">
        <v>108</v>
      </c>
      <c r="C582" s="341">
        <v>0.39</v>
      </c>
      <c r="D582" s="341">
        <v>0.77</v>
      </c>
      <c r="E582" s="55">
        <v>182.607</v>
      </c>
      <c r="F582" s="10">
        <f t="shared" si="35"/>
        <v>163.4</v>
      </c>
      <c r="G582" s="10">
        <f t="shared" si="36"/>
        <v>19.207</v>
      </c>
      <c r="H582" s="55"/>
      <c r="I582" s="153">
        <f t="shared" si="34"/>
        <v>0.949963582995175</v>
      </c>
      <c r="J582" s="55">
        <v>36.52</v>
      </c>
      <c r="K582" s="55"/>
      <c r="L582" s="55">
        <v>173.47</v>
      </c>
      <c r="M582" s="166">
        <f t="shared" si="37"/>
        <v>10057.38</v>
      </c>
      <c r="N582" s="55"/>
      <c r="O582" s="343" t="s">
        <v>1611</v>
      </c>
    </row>
    <row r="583" spans="1:15">
      <c r="A583" s="163">
        <v>46194</v>
      </c>
      <c r="B583" s="164" t="s">
        <v>183</v>
      </c>
      <c r="C583" s="341">
        <v>0.48</v>
      </c>
      <c r="D583" s="341">
        <v>0.9</v>
      </c>
      <c r="E583" s="55">
        <v>188.079</v>
      </c>
      <c r="F583" s="10">
        <f t="shared" si="35"/>
        <v>180.6</v>
      </c>
      <c r="G583" s="10">
        <f t="shared" si="36"/>
        <v>7.47900000000001</v>
      </c>
      <c r="H583" s="55"/>
      <c r="I583" s="153">
        <f t="shared" si="34"/>
        <v>0.949919980433754</v>
      </c>
      <c r="J583" s="55">
        <v>37.61</v>
      </c>
      <c r="K583" s="55"/>
      <c r="L583" s="55">
        <v>178.66</v>
      </c>
      <c r="M583" s="166">
        <f t="shared" si="37"/>
        <v>9878.72</v>
      </c>
      <c r="N583" s="55"/>
      <c r="O583" s="343" t="s">
        <v>1611</v>
      </c>
    </row>
    <row r="584" spans="1:15">
      <c r="A584" s="163">
        <v>46194</v>
      </c>
      <c r="B584" s="164" t="s">
        <v>108</v>
      </c>
      <c r="C584" s="341">
        <v>0.78</v>
      </c>
      <c r="D584" s="341">
        <v>0.88</v>
      </c>
      <c r="E584" s="55">
        <v>52.377</v>
      </c>
      <c r="F584" s="10">
        <f t="shared" si="35"/>
        <v>43</v>
      </c>
      <c r="G584" s="10">
        <f t="shared" si="36"/>
        <v>9.377</v>
      </c>
      <c r="H584" s="55"/>
      <c r="I584" s="153">
        <f t="shared" si="34"/>
        <v>0.949844397349982</v>
      </c>
      <c r="J584" s="55">
        <v>10.47</v>
      </c>
      <c r="K584" s="55"/>
      <c r="L584" s="55">
        <v>49.75</v>
      </c>
      <c r="M584" s="166">
        <f t="shared" si="37"/>
        <v>9828.97</v>
      </c>
      <c r="N584" s="55"/>
      <c r="O584" s="343" t="s">
        <v>1611</v>
      </c>
    </row>
    <row r="585" spans="1:15">
      <c r="A585" s="163">
        <v>46194</v>
      </c>
      <c r="B585" s="164" t="s">
        <v>195</v>
      </c>
      <c r="C585" s="341">
        <v>0.23</v>
      </c>
      <c r="D585" s="341">
        <v>1</v>
      </c>
      <c r="E585" s="55">
        <v>344.045</v>
      </c>
      <c r="F585" s="10">
        <f t="shared" si="35"/>
        <v>331.1</v>
      </c>
      <c r="G585" s="10">
        <f t="shared" si="36"/>
        <v>12.945</v>
      </c>
      <c r="H585" s="55"/>
      <c r="I585" s="153">
        <f t="shared" si="34"/>
        <v>0.94996294089436</v>
      </c>
      <c r="J585" s="55">
        <v>68.8</v>
      </c>
      <c r="K585" s="55"/>
      <c r="L585" s="55">
        <v>326.83</v>
      </c>
      <c r="M585" s="166">
        <f t="shared" si="37"/>
        <v>9502.14</v>
      </c>
      <c r="N585" s="55"/>
      <c r="O585" s="343" t="s">
        <v>1611</v>
      </c>
    </row>
    <row r="586" spans="1:15">
      <c r="A586" s="163">
        <v>46194</v>
      </c>
      <c r="B586" s="164" t="s">
        <v>114</v>
      </c>
      <c r="C586" s="341">
        <v>0.26</v>
      </c>
      <c r="D586" s="341">
        <v>0.86</v>
      </c>
      <c r="E586" s="55">
        <v>246.865</v>
      </c>
      <c r="F586" s="10">
        <f t="shared" si="35"/>
        <v>258</v>
      </c>
      <c r="G586" s="10">
        <f t="shared" si="36"/>
        <v>-11.135</v>
      </c>
      <c r="H586" s="55"/>
      <c r="I586" s="153">
        <f t="shared" si="34"/>
        <v>0.949952403135317</v>
      </c>
      <c r="J586" s="55">
        <v>49.37</v>
      </c>
      <c r="K586" s="55"/>
      <c r="L586" s="55">
        <v>234.51</v>
      </c>
      <c r="M586" s="166">
        <f t="shared" si="37"/>
        <v>9267.63</v>
      </c>
      <c r="N586" s="55"/>
      <c r="O586" s="343" t="s">
        <v>1611</v>
      </c>
    </row>
    <row r="587" spans="1:15">
      <c r="A587" s="163">
        <v>46194</v>
      </c>
      <c r="B587" s="164" t="s">
        <v>177</v>
      </c>
      <c r="C587" s="341">
        <v>0.18</v>
      </c>
      <c r="D587" s="341">
        <v>0.53</v>
      </c>
      <c r="E587" s="55">
        <v>152.011</v>
      </c>
      <c r="F587" s="10">
        <f t="shared" si="35"/>
        <v>150.5</v>
      </c>
      <c r="G587" s="10">
        <f t="shared" si="36"/>
        <v>1.511</v>
      </c>
      <c r="H587" s="55"/>
      <c r="I587" s="153">
        <f t="shared" si="34"/>
        <v>0.949931254974969</v>
      </c>
      <c r="J587" s="55">
        <v>30.4</v>
      </c>
      <c r="K587" s="55"/>
      <c r="L587" s="55">
        <v>144.4</v>
      </c>
      <c r="M587" s="166">
        <f t="shared" si="37"/>
        <v>9123.23</v>
      </c>
      <c r="N587" s="55"/>
      <c r="O587" s="343" t="s">
        <v>1611</v>
      </c>
    </row>
    <row r="588" spans="1:15">
      <c r="A588" s="163">
        <v>46194</v>
      </c>
      <c r="B588" s="164" t="s">
        <v>81</v>
      </c>
      <c r="C588" s="341">
        <v>0.45</v>
      </c>
      <c r="D588" s="341">
        <v>0.79</v>
      </c>
      <c r="E588" s="55">
        <v>159.955</v>
      </c>
      <c r="F588" s="10">
        <f t="shared" si="35"/>
        <v>146.2</v>
      </c>
      <c r="G588" s="10">
        <f t="shared" si="36"/>
        <v>13.755</v>
      </c>
      <c r="H588" s="55"/>
      <c r="I588" s="153">
        <f t="shared" si="34"/>
        <v>0.949954674752274</v>
      </c>
      <c r="J588" s="55">
        <v>31.99</v>
      </c>
      <c r="K588" s="55"/>
      <c r="L588" s="55">
        <v>151.95</v>
      </c>
      <c r="M588" s="166">
        <f t="shared" si="37"/>
        <v>8971.28</v>
      </c>
      <c r="N588" s="55"/>
      <c r="O588" s="343" t="s">
        <v>1611</v>
      </c>
    </row>
    <row r="589" spans="1:15">
      <c r="A589" s="163">
        <v>46194</v>
      </c>
      <c r="B589" s="164" t="s">
        <v>177</v>
      </c>
      <c r="C589" s="341">
        <v>0.53</v>
      </c>
      <c r="D589" s="341">
        <v>0.53</v>
      </c>
      <c r="E589" s="55">
        <v>0.137</v>
      </c>
      <c r="F589" s="10">
        <f t="shared" si="35"/>
        <v>0</v>
      </c>
      <c r="G589" s="10">
        <f t="shared" si="36"/>
        <v>0.137</v>
      </c>
      <c r="H589" s="55"/>
      <c r="I589" s="153">
        <f t="shared" si="34"/>
        <v>0.875912408759124</v>
      </c>
      <c r="J589" s="55">
        <v>0.02</v>
      </c>
      <c r="K589" s="55"/>
      <c r="L589" s="55">
        <v>0.12</v>
      </c>
      <c r="M589" s="166">
        <f t="shared" si="37"/>
        <v>8971.15999999999</v>
      </c>
      <c r="N589" s="55"/>
      <c r="O589" s="343" t="s">
        <v>1611</v>
      </c>
    </row>
    <row r="590" spans="1:15">
      <c r="A590" s="163">
        <v>46194</v>
      </c>
      <c r="B590" s="164" t="s">
        <v>177</v>
      </c>
      <c r="C590" s="341">
        <v>0.54</v>
      </c>
      <c r="D590" s="341">
        <v>0.92</v>
      </c>
      <c r="E590" s="55">
        <v>170.472</v>
      </c>
      <c r="F590" s="10">
        <f t="shared" si="35"/>
        <v>163.4</v>
      </c>
      <c r="G590" s="10">
        <f t="shared" si="36"/>
        <v>7.072</v>
      </c>
      <c r="H590" s="55"/>
      <c r="I590" s="153">
        <f t="shared" si="34"/>
        <v>0.949950725045755</v>
      </c>
      <c r="J590" s="55">
        <v>34.09</v>
      </c>
      <c r="K590" s="55"/>
      <c r="L590" s="55">
        <v>161.94</v>
      </c>
      <c r="M590" s="166">
        <f t="shared" si="37"/>
        <v>8809.21999999999</v>
      </c>
      <c r="N590" s="55"/>
      <c r="O590" s="343" t="s">
        <v>1611</v>
      </c>
    </row>
    <row r="591" spans="1:15">
      <c r="A591" s="163">
        <v>46194</v>
      </c>
      <c r="B591" s="164" t="s">
        <v>338</v>
      </c>
      <c r="C591" s="341">
        <v>0.44</v>
      </c>
      <c r="D591" s="341">
        <v>0.96</v>
      </c>
      <c r="E591" s="55">
        <v>230.557</v>
      </c>
      <c r="F591" s="10">
        <f t="shared" si="35"/>
        <v>223.6</v>
      </c>
      <c r="G591" s="10">
        <f t="shared" si="36"/>
        <v>6.95699999999999</v>
      </c>
      <c r="H591" s="55"/>
      <c r="I591" s="153">
        <f t="shared" si="34"/>
        <v>0.94996031350165</v>
      </c>
      <c r="J591" s="55">
        <v>46.11</v>
      </c>
      <c r="K591" s="55"/>
      <c r="L591" s="55">
        <v>219.02</v>
      </c>
      <c r="M591" s="166">
        <f t="shared" si="37"/>
        <v>8590.19999999999</v>
      </c>
      <c r="N591" s="55"/>
      <c r="O591" s="343" t="s">
        <v>1611</v>
      </c>
    </row>
    <row r="592" spans="1:15">
      <c r="A592" s="163">
        <v>46194</v>
      </c>
      <c r="B592" s="164" t="s">
        <v>154</v>
      </c>
      <c r="C592" s="341">
        <v>0.52</v>
      </c>
      <c r="D592" s="341">
        <v>0.98</v>
      </c>
      <c r="E592" s="55">
        <v>202.261</v>
      </c>
      <c r="F592" s="10">
        <f t="shared" si="35"/>
        <v>197.8</v>
      </c>
      <c r="G592" s="10">
        <f t="shared" si="36"/>
        <v>4.46099999999998</v>
      </c>
      <c r="H592" s="55"/>
      <c r="I592" s="153">
        <f t="shared" si="34"/>
        <v>0.949960694350369</v>
      </c>
      <c r="J592" s="55">
        <v>40.45</v>
      </c>
      <c r="K592" s="55"/>
      <c r="L592" s="55">
        <v>192.14</v>
      </c>
      <c r="M592" s="166">
        <f t="shared" si="37"/>
        <v>8398.05999999999</v>
      </c>
      <c r="N592" s="55"/>
      <c r="O592" s="343" t="s">
        <v>1611</v>
      </c>
    </row>
    <row r="593" spans="1:15">
      <c r="A593" s="163">
        <v>46194</v>
      </c>
      <c r="B593" s="164" t="s">
        <v>160</v>
      </c>
      <c r="C593" s="341">
        <v>0.48</v>
      </c>
      <c r="D593" s="341">
        <v>0.91</v>
      </c>
      <c r="E593" s="55">
        <v>194.071</v>
      </c>
      <c r="F593" s="10">
        <f t="shared" si="35"/>
        <v>184.9</v>
      </c>
      <c r="G593" s="10">
        <f t="shared" si="36"/>
        <v>9.17099999999999</v>
      </c>
      <c r="H593" s="55"/>
      <c r="I593" s="153">
        <f t="shared" si="34"/>
        <v>0.949961611987366</v>
      </c>
      <c r="J593" s="55">
        <v>38.81</v>
      </c>
      <c r="K593" s="55"/>
      <c r="L593" s="55">
        <v>184.36</v>
      </c>
      <c r="M593" s="166">
        <f t="shared" si="37"/>
        <v>8213.69999999999</v>
      </c>
      <c r="N593" s="55"/>
      <c r="O593" s="343" t="s">
        <v>1611</v>
      </c>
    </row>
    <row r="594" spans="1:15">
      <c r="A594" s="163">
        <v>46194</v>
      </c>
      <c r="B594" s="164" t="s">
        <v>204</v>
      </c>
      <c r="C594" s="341">
        <v>0.47</v>
      </c>
      <c r="D594" s="341">
        <v>0.95</v>
      </c>
      <c r="E594" s="55">
        <v>216.389</v>
      </c>
      <c r="F594" s="10">
        <f t="shared" si="35"/>
        <v>206.4</v>
      </c>
      <c r="G594" s="10">
        <f t="shared" si="36"/>
        <v>9.989</v>
      </c>
      <c r="H594" s="55"/>
      <c r="I594" s="153">
        <f t="shared" si="34"/>
        <v>0.949955866518169</v>
      </c>
      <c r="J594" s="55">
        <v>43.27</v>
      </c>
      <c r="K594" s="55"/>
      <c r="L594" s="55">
        <v>205.56</v>
      </c>
      <c r="M594" s="166">
        <f t="shared" si="37"/>
        <v>8008.13999999999</v>
      </c>
      <c r="N594" s="55"/>
      <c r="O594" s="343" t="s">
        <v>1611</v>
      </c>
    </row>
    <row r="595" spans="1:15">
      <c r="A595" s="163">
        <v>46194</v>
      </c>
      <c r="B595" s="164" t="s">
        <v>223</v>
      </c>
      <c r="C595" s="341">
        <v>0.43</v>
      </c>
      <c r="D595" s="341">
        <v>0.98</v>
      </c>
      <c r="E595" s="55">
        <v>247.607</v>
      </c>
      <c r="F595" s="10">
        <f t="shared" si="35"/>
        <v>236.5</v>
      </c>
      <c r="G595" s="10">
        <f t="shared" si="36"/>
        <v>11.107</v>
      </c>
      <c r="H595" s="55"/>
      <c r="I595" s="153">
        <f t="shared" si="34"/>
        <v>0.949973142924069</v>
      </c>
      <c r="J595" s="55">
        <v>49.52</v>
      </c>
      <c r="K595" s="55"/>
      <c r="L595" s="55">
        <v>235.22</v>
      </c>
      <c r="M595" s="166">
        <f t="shared" si="37"/>
        <v>7772.91999999999</v>
      </c>
      <c r="N595" s="55"/>
      <c r="O595" s="343" t="s">
        <v>1611</v>
      </c>
    </row>
    <row r="596" spans="1:15">
      <c r="A596" s="163">
        <v>46194</v>
      </c>
      <c r="B596" s="164" t="s">
        <v>221</v>
      </c>
      <c r="C596" s="341">
        <v>0.45</v>
      </c>
      <c r="D596" s="341">
        <v>0.99</v>
      </c>
      <c r="E596" s="55">
        <v>243.447</v>
      </c>
      <c r="F596" s="10">
        <f t="shared" si="35"/>
        <v>232.2</v>
      </c>
      <c r="G596" s="10">
        <f t="shared" si="36"/>
        <v>11.247</v>
      </c>
      <c r="H596" s="55"/>
      <c r="I596" s="153">
        <f t="shared" si="34"/>
        <v>0.949939822630798</v>
      </c>
      <c r="J596" s="55">
        <v>48.68</v>
      </c>
      <c r="K596" s="55"/>
      <c r="L596" s="55">
        <v>231.26</v>
      </c>
      <c r="M596" s="166">
        <f t="shared" si="37"/>
        <v>7541.65999999999</v>
      </c>
      <c r="N596" s="55"/>
      <c r="O596" s="343" t="s">
        <v>1611</v>
      </c>
    </row>
    <row r="597" spans="1:15">
      <c r="A597" s="163">
        <v>46194</v>
      </c>
      <c r="B597" s="164" t="s">
        <v>163</v>
      </c>
      <c r="C597" s="341">
        <v>0.42</v>
      </c>
      <c r="D597" s="341">
        <v>0.95</v>
      </c>
      <c r="E597" s="55">
        <v>235.238</v>
      </c>
      <c r="F597" s="10">
        <f t="shared" si="35"/>
        <v>227.9</v>
      </c>
      <c r="G597" s="10">
        <f t="shared" si="36"/>
        <v>7.33799999999999</v>
      </c>
      <c r="H597" s="55"/>
      <c r="I597" s="153">
        <f t="shared" si="34"/>
        <v>0.949974068815412</v>
      </c>
      <c r="J597" s="55">
        <v>47.04</v>
      </c>
      <c r="K597" s="55"/>
      <c r="L597" s="55">
        <v>223.47</v>
      </c>
      <c r="M597" s="166">
        <f t="shared" si="37"/>
        <v>7318.18999999999</v>
      </c>
      <c r="N597" s="55"/>
      <c r="O597" s="343" t="s">
        <v>1611</v>
      </c>
    </row>
    <row r="598" spans="1:15">
      <c r="A598" s="163">
        <v>46194</v>
      </c>
      <c r="B598" s="164" t="s">
        <v>90</v>
      </c>
      <c r="C598" s="341">
        <v>0.58</v>
      </c>
      <c r="D598" s="341">
        <v>0.81</v>
      </c>
      <c r="E598" s="55">
        <v>107.149</v>
      </c>
      <c r="F598" s="10">
        <f t="shared" si="35"/>
        <v>98.9</v>
      </c>
      <c r="G598" s="10">
        <f t="shared" si="36"/>
        <v>8.249</v>
      </c>
      <c r="H598" s="55"/>
      <c r="I598" s="153">
        <f t="shared" si="34"/>
        <v>0.949892206180179</v>
      </c>
      <c r="J598" s="55">
        <v>21.42</v>
      </c>
      <c r="K598" s="55"/>
      <c r="L598" s="55">
        <v>101.78</v>
      </c>
      <c r="M598" s="166">
        <f t="shared" si="37"/>
        <v>7216.40999999999</v>
      </c>
      <c r="N598" s="55"/>
      <c r="O598" s="343" t="s">
        <v>1611</v>
      </c>
    </row>
    <row r="599" spans="1:15">
      <c r="A599" s="163">
        <v>46195</v>
      </c>
      <c r="B599" s="164" t="s">
        <v>78</v>
      </c>
      <c r="C599" s="341">
        <v>0.23</v>
      </c>
      <c r="D599" s="341">
        <v>0.85</v>
      </c>
      <c r="E599" s="165">
        <v>288.899</v>
      </c>
      <c r="F599" s="10">
        <f t="shared" si="35"/>
        <v>266.6</v>
      </c>
      <c r="G599" s="10">
        <f t="shared" si="36"/>
        <v>22.299</v>
      </c>
      <c r="H599" s="55"/>
      <c r="I599" s="153">
        <f t="shared" si="34"/>
        <v>0.786710926656029</v>
      </c>
      <c r="J599" s="55">
        <v>28.88</v>
      </c>
      <c r="K599" s="55"/>
      <c r="L599" s="55">
        <v>227.28</v>
      </c>
      <c r="M599" s="166">
        <f t="shared" ref="M599:M629" si="38">M598+K599-L599</f>
        <v>6989.12999999999</v>
      </c>
      <c r="N599" s="55"/>
      <c r="O599" s="343" t="s">
        <v>1611</v>
      </c>
    </row>
    <row r="600" spans="1:15">
      <c r="A600" s="163">
        <v>46195</v>
      </c>
      <c r="B600" s="164" t="s">
        <v>99</v>
      </c>
      <c r="C600" s="341">
        <v>0.3</v>
      </c>
      <c r="D600" s="341">
        <v>0.92</v>
      </c>
      <c r="E600" s="165">
        <v>290.508</v>
      </c>
      <c r="F600" s="10">
        <f t="shared" si="35"/>
        <v>266.6</v>
      </c>
      <c r="G600" s="10">
        <f t="shared" si="36"/>
        <v>23.908</v>
      </c>
      <c r="H600" s="55"/>
      <c r="I600" s="153">
        <f t="shared" si="34"/>
        <v>0.771131948173544</v>
      </c>
      <c r="J600" s="55">
        <v>29.04</v>
      </c>
      <c r="K600" s="55"/>
      <c r="L600" s="55">
        <v>224.02</v>
      </c>
      <c r="M600" s="166">
        <f t="shared" si="38"/>
        <v>6765.10999999999</v>
      </c>
      <c r="N600" s="55"/>
      <c r="O600" s="343" t="s">
        <v>1611</v>
      </c>
    </row>
    <row r="601" spans="1:15">
      <c r="A601" s="163">
        <v>46195</v>
      </c>
      <c r="B601" s="164" t="s">
        <v>138</v>
      </c>
      <c r="C601" s="341">
        <v>0.15</v>
      </c>
      <c r="D601" s="341">
        <v>0.99</v>
      </c>
      <c r="E601" s="165">
        <v>379.143</v>
      </c>
      <c r="F601" s="10">
        <f t="shared" si="35"/>
        <v>361.2</v>
      </c>
      <c r="G601" s="10">
        <f t="shared" si="36"/>
        <v>17.943</v>
      </c>
      <c r="H601" s="55"/>
      <c r="I601" s="153">
        <f t="shared" si="34"/>
        <v>0.680613910846303</v>
      </c>
      <c r="J601" s="55">
        <v>37.9</v>
      </c>
      <c r="K601" s="55"/>
      <c r="L601" s="55">
        <v>258.05</v>
      </c>
      <c r="M601" s="166">
        <f t="shared" si="38"/>
        <v>6507.05999999999</v>
      </c>
      <c r="N601" s="55"/>
      <c r="O601" s="343" t="s">
        <v>1611</v>
      </c>
    </row>
    <row r="602" spans="1:15">
      <c r="A602" s="163">
        <v>46195</v>
      </c>
      <c r="B602" s="164" t="s">
        <v>66</v>
      </c>
      <c r="C602" s="341">
        <v>0.25</v>
      </c>
      <c r="D602" s="341">
        <v>1</v>
      </c>
      <c r="E602" s="165">
        <v>329.997</v>
      </c>
      <c r="F602" s="10">
        <f t="shared" si="35"/>
        <v>322.5</v>
      </c>
      <c r="G602" s="10">
        <f t="shared" si="36"/>
        <v>7.49700000000001</v>
      </c>
      <c r="H602" s="55"/>
      <c r="I602" s="153">
        <f t="shared" si="34"/>
        <v>0.779007081882563</v>
      </c>
      <c r="J602" s="55">
        <v>32.99</v>
      </c>
      <c r="K602" s="55"/>
      <c r="L602" s="55">
        <v>257.07</v>
      </c>
      <c r="M602" s="166">
        <f t="shared" si="38"/>
        <v>6249.98999999999</v>
      </c>
      <c r="N602" s="55"/>
      <c r="O602" s="343" t="s">
        <v>1611</v>
      </c>
    </row>
    <row r="603" spans="1:15">
      <c r="A603" s="163">
        <v>46195</v>
      </c>
      <c r="B603" s="164" t="s">
        <v>132</v>
      </c>
      <c r="C603" s="341">
        <v>0.25</v>
      </c>
      <c r="D603" s="341">
        <v>0.25</v>
      </c>
      <c r="E603" s="165">
        <v>0.119</v>
      </c>
      <c r="F603" s="10">
        <f t="shared" si="35"/>
        <v>0</v>
      </c>
      <c r="G603" s="10">
        <f t="shared" si="36"/>
        <v>0.119</v>
      </c>
      <c r="H603" s="55"/>
      <c r="I603" s="153">
        <f t="shared" ref="I603:I634" si="39">L603/E603</f>
        <v>0.756302521008403</v>
      </c>
      <c r="J603" s="55">
        <v>0.01</v>
      </c>
      <c r="K603" s="55"/>
      <c r="L603" s="55">
        <v>0.09</v>
      </c>
      <c r="M603" s="166">
        <f t="shared" si="38"/>
        <v>6249.89999999999</v>
      </c>
      <c r="N603" s="55"/>
      <c r="O603" s="343" t="s">
        <v>1611</v>
      </c>
    </row>
    <row r="604" spans="1:15">
      <c r="A604" s="163">
        <v>46195</v>
      </c>
      <c r="B604" s="164" t="s">
        <v>111</v>
      </c>
      <c r="C604" s="341">
        <v>0.45</v>
      </c>
      <c r="D604" s="341">
        <v>0.96</v>
      </c>
      <c r="E604" s="165">
        <v>210.341</v>
      </c>
      <c r="F604" s="10">
        <f t="shared" si="35"/>
        <v>219.3</v>
      </c>
      <c r="G604" s="10">
        <f t="shared" si="36"/>
        <v>-8.959</v>
      </c>
      <c r="H604" s="55"/>
      <c r="I604" s="153">
        <f t="shared" si="39"/>
        <v>0.832077436163183</v>
      </c>
      <c r="J604" s="55">
        <v>21.03</v>
      </c>
      <c r="K604" s="55"/>
      <c r="L604" s="55">
        <v>175.02</v>
      </c>
      <c r="M604" s="166">
        <f t="shared" si="38"/>
        <v>6074.87999999999</v>
      </c>
      <c r="N604" s="55"/>
      <c r="O604" s="343" t="s">
        <v>1611</v>
      </c>
    </row>
    <row r="605" spans="1:15">
      <c r="A605" s="163">
        <v>46195</v>
      </c>
      <c r="B605" s="164" t="s">
        <v>132</v>
      </c>
      <c r="C605" s="341">
        <v>0.25</v>
      </c>
      <c r="D605" s="341">
        <v>0.85</v>
      </c>
      <c r="E605" s="165">
        <v>266.02</v>
      </c>
      <c r="F605" s="10">
        <f t="shared" si="35"/>
        <v>258</v>
      </c>
      <c r="G605" s="10">
        <f t="shared" si="36"/>
        <v>8.01999999999998</v>
      </c>
      <c r="H605" s="55"/>
      <c r="I605" s="153">
        <f t="shared" si="39"/>
        <v>0.912487782873468</v>
      </c>
      <c r="J605" s="55">
        <v>26.59</v>
      </c>
      <c r="K605" s="55"/>
      <c r="L605" s="55">
        <v>242.74</v>
      </c>
      <c r="M605" s="166">
        <f t="shared" si="38"/>
        <v>5832.13999999999</v>
      </c>
      <c r="N605" s="55"/>
      <c r="O605" s="343" t="s">
        <v>1611</v>
      </c>
    </row>
    <row r="606" spans="1:15">
      <c r="A606" s="163">
        <v>46195</v>
      </c>
      <c r="B606" s="164" t="s">
        <v>201</v>
      </c>
      <c r="C606" s="341">
        <v>0.27</v>
      </c>
      <c r="D606" s="341">
        <v>0.87</v>
      </c>
      <c r="E606" s="165">
        <v>271.293</v>
      </c>
      <c r="F606" s="10">
        <f t="shared" si="35"/>
        <v>258</v>
      </c>
      <c r="G606" s="10">
        <f t="shared" si="36"/>
        <v>13.293</v>
      </c>
      <c r="H606" s="55"/>
      <c r="I606" s="153">
        <f t="shared" si="39"/>
        <v>0.949932360952918</v>
      </c>
      <c r="J606" s="55">
        <v>27.12</v>
      </c>
      <c r="K606" s="55"/>
      <c r="L606" s="55">
        <v>257.71</v>
      </c>
      <c r="M606" s="166">
        <f t="shared" si="38"/>
        <v>5574.42999999999</v>
      </c>
      <c r="N606" s="55"/>
      <c r="O606" s="343" t="s">
        <v>1611</v>
      </c>
    </row>
    <row r="607" spans="1:15">
      <c r="A607" s="163">
        <v>46195</v>
      </c>
      <c r="B607" s="164" t="s">
        <v>192</v>
      </c>
      <c r="C607" s="341">
        <v>0.54</v>
      </c>
      <c r="D607" s="341">
        <v>0.9</v>
      </c>
      <c r="E607" s="165">
        <v>163.636</v>
      </c>
      <c r="F607" s="10">
        <f t="shared" si="35"/>
        <v>154.8</v>
      </c>
      <c r="G607" s="10">
        <f t="shared" si="36"/>
        <v>8.83599999999998</v>
      </c>
      <c r="H607" s="55"/>
      <c r="I607" s="153">
        <f t="shared" si="39"/>
        <v>0.949974333276296</v>
      </c>
      <c r="J607" s="55">
        <v>16.36</v>
      </c>
      <c r="K607" s="55"/>
      <c r="L607" s="55">
        <v>155.45</v>
      </c>
      <c r="M607" s="166">
        <f t="shared" si="38"/>
        <v>5418.97999999999</v>
      </c>
      <c r="N607" s="55"/>
      <c r="O607" s="343" t="s">
        <v>1611</v>
      </c>
    </row>
    <row r="608" spans="1:15">
      <c r="A608" s="163">
        <v>46195</v>
      </c>
      <c r="B608" s="164" t="s">
        <v>84</v>
      </c>
      <c r="C608" s="341">
        <v>0.23</v>
      </c>
      <c r="D608" s="341">
        <v>0.9</v>
      </c>
      <c r="E608" s="165">
        <v>313.272</v>
      </c>
      <c r="F608" s="10">
        <f t="shared" si="35"/>
        <v>288.1</v>
      </c>
      <c r="G608" s="10">
        <f t="shared" si="36"/>
        <v>25.172</v>
      </c>
      <c r="H608" s="55"/>
      <c r="I608" s="153">
        <f t="shared" si="39"/>
        <v>0.949973186240711</v>
      </c>
      <c r="J608" s="55">
        <v>31.32</v>
      </c>
      <c r="K608" s="55"/>
      <c r="L608" s="55">
        <v>297.6</v>
      </c>
      <c r="M608" s="166">
        <f t="shared" si="38"/>
        <v>5121.37999999999</v>
      </c>
      <c r="N608" s="55"/>
      <c r="O608" s="343" t="s">
        <v>1611</v>
      </c>
    </row>
    <row r="609" spans="1:15">
      <c r="A609" s="163">
        <v>46195</v>
      </c>
      <c r="B609" s="164" t="s">
        <v>87</v>
      </c>
      <c r="C609" s="341">
        <v>0.18</v>
      </c>
      <c r="D609" s="341">
        <v>0.88</v>
      </c>
      <c r="E609" s="165">
        <v>323.196</v>
      </c>
      <c r="F609" s="10">
        <f t="shared" si="35"/>
        <v>301</v>
      </c>
      <c r="G609" s="10">
        <f t="shared" si="36"/>
        <v>22.196</v>
      </c>
      <c r="H609" s="55"/>
      <c r="I609" s="153">
        <f t="shared" si="39"/>
        <v>0.949949875617272</v>
      </c>
      <c r="J609" s="55">
        <v>32.31</v>
      </c>
      <c r="K609" s="55"/>
      <c r="L609" s="55">
        <v>307.02</v>
      </c>
      <c r="M609" s="166">
        <f t="shared" si="38"/>
        <v>4814.35999999999</v>
      </c>
      <c r="N609" s="55"/>
      <c r="O609" s="343" t="s">
        <v>1611</v>
      </c>
    </row>
    <row r="610" spans="1:15">
      <c r="A610" s="163">
        <v>46195</v>
      </c>
      <c r="B610" s="164" t="s">
        <v>127</v>
      </c>
      <c r="C610" s="341">
        <v>0.1</v>
      </c>
      <c r="D610" s="341">
        <v>0.95</v>
      </c>
      <c r="E610" s="165">
        <v>351.932</v>
      </c>
      <c r="F610" s="10">
        <f t="shared" si="35"/>
        <v>365.5</v>
      </c>
      <c r="G610" s="10">
        <f t="shared" si="36"/>
        <v>-13.568</v>
      </c>
      <c r="H610" s="55"/>
      <c r="I610" s="153">
        <f t="shared" si="39"/>
        <v>0.949984656126752</v>
      </c>
      <c r="J610" s="55">
        <v>35.19</v>
      </c>
      <c r="K610" s="55"/>
      <c r="L610" s="55">
        <v>334.33</v>
      </c>
      <c r="M610" s="166">
        <f t="shared" si="38"/>
        <v>4480.02999999999</v>
      </c>
      <c r="N610" s="55"/>
      <c r="O610" s="343" t="s">
        <v>1611</v>
      </c>
    </row>
    <row r="611" spans="1:15">
      <c r="A611" s="163">
        <v>46195</v>
      </c>
      <c r="B611" s="164" t="s">
        <v>60</v>
      </c>
      <c r="C611" s="341">
        <v>0.39</v>
      </c>
      <c r="D611" s="341">
        <v>0.91</v>
      </c>
      <c r="E611" s="165">
        <v>214.996</v>
      </c>
      <c r="F611" s="10">
        <f t="shared" si="35"/>
        <v>223.6</v>
      </c>
      <c r="G611" s="10">
        <f t="shared" si="36"/>
        <v>-8.60399999999998</v>
      </c>
      <c r="H611" s="55"/>
      <c r="I611" s="153">
        <f t="shared" si="39"/>
        <v>0.949924649760926</v>
      </c>
      <c r="J611" s="55">
        <v>21.49</v>
      </c>
      <c r="K611" s="55"/>
      <c r="L611" s="55">
        <v>204.23</v>
      </c>
      <c r="M611" s="166">
        <f t="shared" si="38"/>
        <v>4275.79999999999</v>
      </c>
      <c r="N611" s="55"/>
      <c r="O611" s="343" t="s">
        <v>1611</v>
      </c>
    </row>
    <row r="612" spans="1:15">
      <c r="A612" s="163">
        <v>46195</v>
      </c>
      <c r="B612" s="164" t="s">
        <v>166</v>
      </c>
      <c r="C612" s="341">
        <v>0.43</v>
      </c>
      <c r="D612" s="341">
        <v>0.83</v>
      </c>
      <c r="E612" s="165">
        <v>176.448</v>
      </c>
      <c r="F612" s="10">
        <f t="shared" si="35"/>
        <v>172</v>
      </c>
      <c r="G612" s="10">
        <f t="shared" si="36"/>
        <v>4.44800000000001</v>
      </c>
      <c r="H612" s="55"/>
      <c r="I612" s="153">
        <f t="shared" si="39"/>
        <v>0.947757979688067</v>
      </c>
      <c r="J612" s="55">
        <v>17.63</v>
      </c>
      <c r="K612" s="55"/>
      <c r="L612" s="55">
        <v>167.23</v>
      </c>
      <c r="M612" s="166">
        <f t="shared" si="38"/>
        <v>4108.56999999999</v>
      </c>
      <c r="N612" s="55"/>
      <c r="O612" s="343" t="s">
        <v>1611</v>
      </c>
    </row>
    <row r="613" spans="1:15">
      <c r="A613" s="163">
        <v>46195</v>
      </c>
      <c r="B613" s="164" t="s">
        <v>180</v>
      </c>
      <c r="C613" s="341">
        <v>0.56</v>
      </c>
      <c r="D613" s="341">
        <v>0.95</v>
      </c>
      <c r="E613" s="165">
        <v>175.344</v>
      </c>
      <c r="F613" s="10">
        <f t="shared" si="35"/>
        <v>167.7</v>
      </c>
      <c r="G613" s="10">
        <f t="shared" si="36"/>
        <v>7.64400000000001</v>
      </c>
      <c r="H613" s="55"/>
      <c r="I613" s="153">
        <f t="shared" si="39"/>
        <v>0.949961219089333</v>
      </c>
      <c r="J613" s="55">
        <v>17.53</v>
      </c>
      <c r="K613" s="55"/>
      <c r="L613" s="55">
        <v>166.57</v>
      </c>
      <c r="M613" s="166">
        <f t="shared" si="38"/>
        <v>3941.99999999999</v>
      </c>
      <c r="N613" s="55"/>
      <c r="O613" s="343" t="s">
        <v>1611</v>
      </c>
    </row>
    <row r="614" spans="1:15">
      <c r="A614" s="163">
        <v>46195</v>
      </c>
      <c r="B614" s="164" t="s">
        <v>213</v>
      </c>
      <c r="C614" s="341">
        <v>0.52</v>
      </c>
      <c r="D614" s="341">
        <v>0.9</v>
      </c>
      <c r="E614" s="165">
        <v>170.009</v>
      </c>
      <c r="F614" s="10">
        <f t="shared" si="35"/>
        <v>163.4</v>
      </c>
      <c r="G614" s="10">
        <f t="shared" si="36"/>
        <v>6.60899999999998</v>
      </c>
      <c r="H614" s="55"/>
      <c r="I614" s="153">
        <f t="shared" si="39"/>
        <v>0.949949708544842</v>
      </c>
      <c r="J614" s="55">
        <v>17</v>
      </c>
      <c r="K614" s="55"/>
      <c r="L614" s="55">
        <v>161.5</v>
      </c>
      <c r="M614" s="166">
        <f t="shared" si="38"/>
        <v>3780.49999999999</v>
      </c>
      <c r="N614" s="55"/>
      <c r="O614" s="343" t="s">
        <v>1611</v>
      </c>
    </row>
    <row r="615" spans="1:15">
      <c r="A615" s="163">
        <v>46195</v>
      </c>
      <c r="B615" s="164" t="s">
        <v>670</v>
      </c>
      <c r="C615" s="341">
        <v>0.46</v>
      </c>
      <c r="D615" s="341">
        <v>0.86</v>
      </c>
      <c r="E615" s="165">
        <v>182.186</v>
      </c>
      <c r="F615" s="10">
        <f t="shared" si="35"/>
        <v>172</v>
      </c>
      <c r="G615" s="10">
        <f t="shared" si="36"/>
        <v>10.186</v>
      </c>
      <c r="H615" s="55"/>
      <c r="I615" s="153">
        <f t="shared" si="39"/>
        <v>0.94990833543741</v>
      </c>
      <c r="J615" s="55">
        <v>18.21</v>
      </c>
      <c r="K615" s="55"/>
      <c r="L615" s="55">
        <v>173.06</v>
      </c>
      <c r="M615" s="166">
        <f t="shared" si="38"/>
        <v>3607.43999999999</v>
      </c>
      <c r="N615" s="55"/>
      <c r="O615" s="343" t="s">
        <v>1611</v>
      </c>
    </row>
    <row r="616" spans="1:15">
      <c r="A616" s="163">
        <v>46195</v>
      </c>
      <c r="B616" s="164" t="s">
        <v>130</v>
      </c>
      <c r="C616" s="341">
        <v>0.29</v>
      </c>
      <c r="D616" s="341">
        <v>0.95</v>
      </c>
      <c r="E616" s="165">
        <v>273.61</v>
      </c>
      <c r="F616" s="10">
        <f t="shared" si="35"/>
        <v>283.8</v>
      </c>
      <c r="G616" s="10">
        <f t="shared" si="36"/>
        <v>-10.19</v>
      </c>
      <c r="H616" s="55"/>
      <c r="I616" s="153">
        <f t="shared" si="39"/>
        <v>0.949965279046818</v>
      </c>
      <c r="J616" s="55">
        <v>27.36</v>
      </c>
      <c r="K616" s="55"/>
      <c r="L616" s="55">
        <v>259.92</v>
      </c>
      <c r="M616" s="166">
        <f t="shared" si="38"/>
        <v>3347.51999999999</v>
      </c>
      <c r="N616" s="55"/>
      <c r="O616" s="343" t="s">
        <v>1611</v>
      </c>
    </row>
    <row r="617" spans="1:15">
      <c r="A617" s="163">
        <v>46195</v>
      </c>
      <c r="B617" s="164" t="s">
        <v>141</v>
      </c>
      <c r="C617" s="341">
        <v>0.28</v>
      </c>
      <c r="D617" s="341">
        <v>0.9</v>
      </c>
      <c r="E617" s="165">
        <v>273.769</v>
      </c>
      <c r="F617" s="10">
        <f t="shared" si="35"/>
        <v>266.6</v>
      </c>
      <c r="G617" s="10">
        <f t="shared" si="36"/>
        <v>7.16899999999998</v>
      </c>
      <c r="H617" s="55"/>
      <c r="I617" s="153">
        <f t="shared" si="39"/>
        <v>0.949961463861869</v>
      </c>
      <c r="J617" s="55">
        <v>27.37</v>
      </c>
      <c r="K617" s="55"/>
      <c r="L617" s="55">
        <v>260.07</v>
      </c>
      <c r="M617" s="166">
        <f t="shared" si="38"/>
        <v>3087.44999999999</v>
      </c>
      <c r="N617" s="55"/>
      <c r="O617" s="343" t="s">
        <v>1611</v>
      </c>
    </row>
    <row r="618" spans="1:15">
      <c r="A618" s="163">
        <v>46195</v>
      </c>
      <c r="B618" s="164" t="s">
        <v>81</v>
      </c>
      <c r="C618" s="341">
        <v>0.3</v>
      </c>
      <c r="D618" s="341">
        <v>0.9</v>
      </c>
      <c r="E618" s="165">
        <v>275.226</v>
      </c>
      <c r="F618" s="10">
        <f t="shared" si="35"/>
        <v>258</v>
      </c>
      <c r="G618" s="10">
        <f t="shared" si="36"/>
        <v>17.226</v>
      </c>
      <c r="H618" s="55"/>
      <c r="I618" s="153">
        <f t="shared" si="39"/>
        <v>0.949982923124995</v>
      </c>
      <c r="J618" s="55">
        <v>27.52</v>
      </c>
      <c r="K618" s="55"/>
      <c r="L618" s="55">
        <v>261.46</v>
      </c>
      <c r="M618" s="166">
        <f t="shared" si="38"/>
        <v>2825.98999999999</v>
      </c>
      <c r="N618" s="55"/>
      <c r="O618" s="343" t="s">
        <v>1611</v>
      </c>
    </row>
    <row r="619" spans="1:15">
      <c r="A619" s="163">
        <v>46195</v>
      </c>
      <c r="B619" s="164" t="s">
        <v>69</v>
      </c>
      <c r="C619" s="341">
        <v>0.28</v>
      </c>
      <c r="D619" s="341">
        <v>0.49</v>
      </c>
      <c r="E619" s="165">
        <v>99.458</v>
      </c>
      <c r="F619" s="10">
        <f t="shared" si="35"/>
        <v>90.3</v>
      </c>
      <c r="G619" s="10">
        <f t="shared" si="36"/>
        <v>9.158</v>
      </c>
      <c r="H619" s="55"/>
      <c r="I619" s="153">
        <f t="shared" si="39"/>
        <v>0.94984817711999</v>
      </c>
      <c r="J619" s="55">
        <v>9.94</v>
      </c>
      <c r="K619" s="55"/>
      <c r="L619" s="55">
        <v>94.47</v>
      </c>
      <c r="M619" s="166">
        <f t="shared" si="38"/>
        <v>2731.51999999999</v>
      </c>
      <c r="N619" s="55"/>
      <c r="O619" s="343" t="s">
        <v>1611</v>
      </c>
    </row>
    <row r="620" spans="1:15">
      <c r="A620" s="163">
        <v>46195</v>
      </c>
      <c r="B620" s="164" t="s">
        <v>174</v>
      </c>
      <c r="C620" s="341">
        <v>0.47</v>
      </c>
      <c r="D620" s="341">
        <v>0.47</v>
      </c>
      <c r="E620" s="165">
        <v>1.841</v>
      </c>
      <c r="F620" s="10">
        <f t="shared" si="35"/>
        <v>0</v>
      </c>
      <c r="G620" s="10">
        <f t="shared" si="36"/>
        <v>1.841</v>
      </c>
      <c r="H620" s="55"/>
      <c r="I620" s="153">
        <f t="shared" si="39"/>
        <v>0.945138511678436</v>
      </c>
      <c r="J620" s="55">
        <v>0.18</v>
      </c>
      <c r="K620" s="55"/>
      <c r="L620" s="55">
        <v>1.74</v>
      </c>
      <c r="M620" s="166">
        <f t="shared" si="38"/>
        <v>2729.77999999999</v>
      </c>
      <c r="N620" s="55"/>
      <c r="O620" s="343" t="s">
        <v>1611</v>
      </c>
    </row>
    <row r="621" spans="1:15">
      <c r="A621" s="163">
        <v>46195</v>
      </c>
      <c r="B621" s="164" t="s">
        <v>174</v>
      </c>
      <c r="C621" s="341">
        <v>0.47</v>
      </c>
      <c r="D621" s="341">
        <v>0.47</v>
      </c>
      <c r="E621" s="165">
        <v>0.066</v>
      </c>
      <c r="F621" s="10">
        <f t="shared" si="35"/>
        <v>0</v>
      </c>
      <c r="G621" s="10">
        <f t="shared" si="36"/>
        <v>0.066</v>
      </c>
      <c r="H621" s="55"/>
      <c r="I621" s="153">
        <f t="shared" si="39"/>
        <v>0.757575757575758</v>
      </c>
      <c r="J621" s="55">
        <v>0</v>
      </c>
      <c r="K621" s="55"/>
      <c r="L621" s="55">
        <v>0.05</v>
      </c>
      <c r="M621" s="166">
        <f t="shared" si="38"/>
        <v>2729.72999999999</v>
      </c>
      <c r="N621" s="55"/>
      <c r="O621" s="343" t="s">
        <v>1611</v>
      </c>
    </row>
    <row r="622" spans="1:15">
      <c r="A622" s="163">
        <v>46195</v>
      </c>
      <c r="B622" s="164" t="s">
        <v>174</v>
      </c>
      <c r="C622" s="341">
        <v>0.48</v>
      </c>
      <c r="D622" s="341">
        <v>0.99</v>
      </c>
      <c r="E622" s="165">
        <v>232.237</v>
      </c>
      <c r="F622" s="10">
        <f t="shared" si="35"/>
        <v>219.3</v>
      </c>
      <c r="G622" s="10">
        <f t="shared" si="36"/>
        <v>12.937</v>
      </c>
      <c r="H622" s="55"/>
      <c r="I622" s="153">
        <f t="shared" si="39"/>
        <v>0.949977824377683</v>
      </c>
      <c r="J622" s="55">
        <v>23.22</v>
      </c>
      <c r="K622" s="55"/>
      <c r="L622" s="55">
        <v>220.62</v>
      </c>
      <c r="M622" s="166">
        <f t="shared" si="38"/>
        <v>2509.10999999999</v>
      </c>
      <c r="N622" s="55"/>
      <c r="O622" s="343" t="s">
        <v>1611</v>
      </c>
    </row>
    <row r="623" spans="1:15">
      <c r="A623" s="163">
        <v>46195</v>
      </c>
      <c r="B623" s="164" t="s">
        <v>75</v>
      </c>
      <c r="C623" s="341">
        <v>0.07</v>
      </c>
      <c r="D623" s="341">
        <v>0.9</v>
      </c>
      <c r="E623" s="165">
        <v>388.143</v>
      </c>
      <c r="F623" s="10">
        <f t="shared" si="35"/>
        <v>356.9</v>
      </c>
      <c r="G623" s="10">
        <f t="shared" si="36"/>
        <v>31.243</v>
      </c>
      <c r="H623" s="55"/>
      <c r="I623" s="153">
        <f t="shared" si="39"/>
        <v>0.949984928235212</v>
      </c>
      <c r="J623" s="55">
        <v>38.81</v>
      </c>
      <c r="K623" s="55"/>
      <c r="L623" s="55">
        <v>368.73</v>
      </c>
      <c r="M623" s="166">
        <f t="shared" si="38"/>
        <v>2140.37999999999</v>
      </c>
      <c r="N623" s="55"/>
      <c r="O623" s="343" t="s">
        <v>1611</v>
      </c>
    </row>
    <row r="624" spans="1:15">
      <c r="A624" s="163">
        <v>46195</v>
      </c>
      <c r="B624" s="164" t="s">
        <v>108</v>
      </c>
      <c r="C624" s="341">
        <v>0.25</v>
      </c>
      <c r="D624" s="341">
        <v>0.8</v>
      </c>
      <c r="E624" s="165">
        <v>259.686</v>
      </c>
      <c r="F624" s="10">
        <f t="shared" si="35"/>
        <v>236.5</v>
      </c>
      <c r="G624" s="10">
        <f t="shared" si="36"/>
        <v>23.186</v>
      </c>
      <c r="H624" s="55"/>
      <c r="I624" s="153">
        <f t="shared" si="39"/>
        <v>0.949954945588133</v>
      </c>
      <c r="J624" s="55">
        <v>25.96</v>
      </c>
      <c r="K624" s="55"/>
      <c r="L624" s="55">
        <v>246.69</v>
      </c>
      <c r="M624" s="166">
        <f t="shared" si="38"/>
        <v>1893.68999999999</v>
      </c>
      <c r="N624" s="55"/>
      <c r="O624" s="343" t="s">
        <v>1611</v>
      </c>
    </row>
    <row r="625" spans="1:17">
      <c r="A625" s="163">
        <v>46195</v>
      </c>
      <c r="B625" s="164" t="s">
        <v>189</v>
      </c>
      <c r="C625" s="341">
        <v>0.45</v>
      </c>
      <c r="D625" s="341">
        <v>0.98</v>
      </c>
      <c r="E625" s="165">
        <v>239.307</v>
      </c>
      <c r="F625" s="10">
        <f t="shared" si="35"/>
        <v>227.9</v>
      </c>
      <c r="G625" s="10">
        <f t="shared" si="36"/>
        <v>11.407</v>
      </c>
      <c r="H625" s="55"/>
      <c r="I625" s="153">
        <f t="shared" si="39"/>
        <v>0.94999310509095</v>
      </c>
      <c r="J625" s="55">
        <v>23.93</v>
      </c>
      <c r="K625" s="55"/>
      <c r="L625" s="55">
        <v>227.34</v>
      </c>
      <c r="M625" s="166">
        <f t="shared" si="38"/>
        <v>1666.34999999999</v>
      </c>
      <c r="N625" s="55"/>
      <c r="O625" s="343" t="s">
        <v>1611</v>
      </c>
    </row>
    <row r="626" spans="1:17">
      <c r="A626" s="163">
        <v>46195</v>
      </c>
      <c r="B626" s="164" t="s">
        <v>93</v>
      </c>
      <c r="C626" s="341">
        <v>0.57</v>
      </c>
      <c r="D626" s="341">
        <v>0.95</v>
      </c>
      <c r="E626" s="165">
        <v>180.804</v>
      </c>
      <c r="F626" s="10">
        <f t="shared" si="35"/>
        <v>163.4</v>
      </c>
      <c r="G626" s="10">
        <f t="shared" si="36"/>
        <v>17.404</v>
      </c>
      <c r="H626" s="55"/>
      <c r="I626" s="153">
        <f t="shared" si="39"/>
        <v>0.949978982765868</v>
      </c>
      <c r="J626" s="55">
        <v>18.08</v>
      </c>
      <c r="K626" s="55"/>
      <c r="L626" s="55">
        <v>171.76</v>
      </c>
      <c r="M626" s="166">
        <f t="shared" si="38"/>
        <v>1494.58999999999</v>
      </c>
      <c r="N626" s="55"/>
      <c r="O626" s="343" t="s">
        <v>1611</v>
      </c>
    </row>
    <row r="627" spans="1:17">
      <c r="A627" s="163">
        <v>46195</v>
      </c>
      <c r="B627" s="164" t="s">
        <v>124</v>
      </c>
      <c r="C627" s="341">
        <v>0.42</v>
      </c>
      <c r="D627" s="341">
        <v>0.98</v>
      </c>
      <c r="E627" s="165">
        <v>248.491</v>
      </c>
      <c r="F627" s="10">
        <f t="shared" si="35"/>
        <v>240.8</v>
      </c>
      <c r="G627" s="10">
        <f t="shared" si="36"/>
        <v>7.691</v>
      </c>
      <c r="H627" s="55"/>
      <c r="I627" s="153">
        <f t="shared" si="39"/>
        <v>0.949933800419331</v>
      </c>
      <c r="J627" s="55">
        <v>24.84</v>
      </c>
      <c r="K627" s="55"/>
      <c r="L627" s="55">
        <v>236.05</v>
      </c>
      <c r="M627" s="166">
        <f t="shared" si="38"/>
        <v>1258.53999999999</v>
      </c>
      <c r="N627" s="55"/>
      <c r="O627" s="343" t="s">
        <v>1611</v>
      </c>
    </row>
    <row r="628" spans="1:17">
      <c r="A628" s="163">
        <v>46195</v>
      </c>
      <c r="B628" s="164" t="s">
        <v>96</v>
      </c>
      <c r="C628" s="341">
        <v>0.58</v>
      </c>
      <c r="D628" s="341">
        <v>0.98</v>
      </c>
      <c r="E628" s="165">
        <v>199.371</v>
      </c>
      <c r="F628" s="10">
        <f t="shared" si="35"/>
        <v>172</v>
      </c>
      <c r="G628" s="10">
        <f t="shared" si="36"/>
        <v>27.371</v>
      </c>
      <c r="H628" s="55"/>
      <c r="I628" s="153">
        <f t="shared" si="39"/>
        <v>0.926112624203119</v>
      </c>
      <c r="J628" s="55">
        <v>19.92</v>
      </c>
      <c r="K628" s="55"/>
      <c r="L628" s="55">
        <v>184.64</v>
      </c>
      <c r="M628" s="166">
        <f t="shared" si="38"/>
        <v>1073.89999999999</v>
      </c>
      <c r="N628" s="55"/>
      <c r="O628" s="343" t="s">
        <v>1611</v>
      </c>
    </row>
    <row r="629" spans="1:17">
      <c r="A629" s="163">
        <v>46195</v>
      </c>
      <c r="B629" s="164" t="s">
        <v>144</v>
      </c>
      <c r="C629" s="341">
        <v>0.35</v>
      </c>
      <c r="D629" s="341">
        <v>0.95</v>
      </c>
      <c r="E629" s="165">
        <v>266.047</v>
      </c>
      <c r="F629" s="10">
        <f t="shared" si="35"/>
        <v>258</v>
      </c>
      <c r="G629" s="10">
        <f t="shared" si="36"/>
        <v>8.04700000000003</v>
      </c>
      <c r="H629" s="55"/>
      <c r="I629" s="153">
        <f t="shared" si="39"/>
        <v>0.866237920367454</v>
      </c>
      <c r="J629" s="55">
        <v>26.59</v>
      </c>
      <c r="K629" s="55"/>
      <c r="L629" s="55">
        <v>230.46</v>
      </c>
      <c r="M629" s="166">
        <f t="shared" si="38"/>
        <v>843.439999999991</v>
      </c>
      <c r="N629" s="55"/>
      <c r="O629" s="343" t="s">
        <v>1611</v>
      </c>
    </row>
    <row r="630" spans="1:17">
      <c r="A630" s="203">
        <v>46196</v>
      </c>
      <c r="B630" s="55" t="s">
        <v>114</v>
      </c>
      <c r="C630" s="341">
        <v>0.54</v>
      </c>
      <c r="D630" s="341">
        <v>0.8</v>
      </c>
      <c r="E630" s="144">
        <v>114.31</v>
      </c>
      <c r="F630" s="10">
        <f t="shared" ref="F630:F661" si="40">(D630-C630)*430</f>
        <v>111.8</v>
      </c>
      <c r="G630" s="10">
        <f t="shared" ref="G630:G661" si="41">E630-F630</f>
        <v>2.51</v>
      </c>
      <c r="H630" s="55"/>
      <c r="I630" s="153">
        <f t="shared" si="39"/>
        <v>0.819963257807716</v>
      </c>
      <c r="K630" s="144">
        <v>20000</v>
      </c>
      <c r="L630" s="144">
        <v>93.73</v>
      </c>
      <c r="M630" s="166">
        <f t="shared" ref="M630:M661" si="42">M629+K630-L630</f>
        <v>20749.71</v>
      </c>
      <c r="O630" s="343" t="s">
        <v>1611</v>
      </c>
      <c r="P630" s="144" t="str">
        <f>MIN(MAX(C630,0),100)&amp;"%"</f>
        <v>0.54%</v>
      </c>
      <c r="Q630" s="144" t="str">
        <f>MIN(MAX(D630,0),100)&amp;"%"</f>
        <v>0.8%</v>
      </c>
    </row>
    <row r="631" spans="1:17">
      <c r="A631" s="203">
        <v>46196</v>
      </c>
      <c r="B631" s="55" t="s">
        <v>57</v>
      </c>
      <c r="C631" s="341">
        <v>0.44</v>
      </c>
      <c r="D631" s="341">
        <v>0.99</v>
      </c>
      <c r="E631" s="144">
        <v>231.796</v>
      </c>
      <c r="F631" s="10">
        <f t="shared" si="40"/>
        <v>236.5</v>
      </c>
      <c r="G631" s="10">
        <f t="shared" si="41"/>
        <v>-4.70400000000004</v>
      </c>
      <c r="H631" s="55"/>
      <c r="I631" s="153">
        <f t="shared" si="39"/>
        <v>0.8199451241609</v>
      </c>
      <c r="L631" s="144">
        <v>190.06</v>
      </c>
      <c r="M631" s="166">
        <f t="shared" si="42"/>
        <v>20559.65</v>
      </c>
      <c r="O631" s="343" t="s">
        <v>1611</v>
      </c>
    </row>
    <row r="632" spans="1:17">
      <c r="A632" s="204">
        <v>46196</v>
      </c>
      <c r="B632" s="199" t="s">
        <v>105</v>
      </c>
      <c r="C632" s="341">
        <v>0.5</v>
      </c>
      <c r="D632" s="341">
        <v>0.97</v>
      </c>
      <c r="E632" s="144">
        <v>222.898</v>
      </c>
      <c r="F632" s="130">
        <f t="shared" si="40"/>
        <v>202.1</v>
      </c>
      <c r="G632" s="130">
        <f t="shared" si="41"/>
        <v>20.798</v>
      </c>
      <c r="H632" s="199"/>
      <c r="I632" s="323">
        <f t="shared" si="39"/>
        <v>0.669947689077515</v>
      </c>
      <c r="L632" s="144">
        <v>149.33</v>
      </c>
      <c r="M632" s="253">
        <f t="shared" si="42"/>
        <v>20410.32</v>
      </c>
      <c r="O632" s="343" t="s">
        <v>1611</v>
      </c>
    </row>
    <row r="633" spans="1:17">
      <c r="A633" s="203">
        <v>46196</v>
      </c>
      <c r="B633" s="55" t="s">
        <v>54</v>
      </c>
      <c r="C633" s="345">
        <v>0.42</v>
      </c>
      <c r="D633" s="345">
        <v>0.95</v>
      </c>
      <c r="E633" s="55">
        <v>226.48</v>
      </c>
      <c r="F633" s="10">
        <f t="shared" si="40"/>
        <v>227.9</v>
      </c>
      <c r="G633" s="10">
        <f t="shared" si="41"/>
        <v>-1.42000000000002</v>
      </c>
      <c r="H633" s="55"/>
      <c r="I633" s="153">
        <f t="shared" si="39"/>
        <v>0.669948781349347</v>
      </c>
      <c r="J633" s="55"/>
      <c r="K633" s="55"/>
      <c r="L633" s="55">
        <v>151.73</v>
      </c>
      <c r="M633" s="166">
        <f t="shared" si="42"/>
        <v>20258.59</v>
      </c>
      <c r="O633" s="343" t="s">
        <v>1611</v>
      </c>
    </row>
    <row r="634" spans="1:17">
      <c r="A634" s="203">
        <v>46196</v>
      </c>
      <c r="B634" s="55" t="s">
        <v>339</v>
      </c>
      <c r="C634" s="345">
        <v>0.49</v>
      </c>
      <c r="D634" s="345">
        <v>0.96</v>
      </c>
      <c r="E634" s="55">
        <v>208.281</v>
      </c>
      <c r="F634" s="10">
        <f t="shared" si="40"/>
        <v>202.1</v>
      </c>
      <c r="G634" s="10">
        <f t="shared" si="41"/>
        <v>6.18100000000001</v>
      </c>
      <c r="H634" s="55"/>
      <c r="I634" s="153">
        <f t="shared" si="39"/>
        <v>0.669960294025859</v>
      </c>
      <c r="J634" s="55"/>
      <c r="K634" s="55"/>
      <c r="L634" s="55">
        <v>139.54</v>
      </c>
      <c r="M634" s="166">
        <f t="shared" si="42"/>
        <v>20119.05</v>
      </c>
      <c r="O634" s="343" t="s">
        <v>1611</v>
      </c>
    </row>
    <row r="635" spans="1:17">
      <c r="A635" s="203">
        <v>46196</v>
      </c>
      <c r="B635" s="55" t="s">
        <v>148</v>
      </c>
      <c r="C635" s="345">
        <v>0.52</v>
      </c>
      <c r="D635" s="345">
        <v>0.99</v>
      </c>
      <c r="E635" s="55">
        <v>198.667</v>
      </c>
      <c r="F635" s="10">
        <f t="shared" si="40"/>
        <v>202.1</v>
      </c>
      <c r="G635" s="10">
        <f t="shared" si="41"/>
        <v>-3.43299999999999</v>
      </c>
      <c r="H635" s="55"/>
      <c r="I635" s="153">
        <f t="shared" ref="I635:I666" si="43">L635/E635</f>
        <v>0.669965318850136</v>
      </c>
      <c r="J635" s="55"/>
      <c r="K635" s="55"/>
      <c r="L635" s="55">
        <v>133.1</v>
      </c>
      <c r="M635" s="166">
        <f t="shared" si="42"/>
        <v>19985.95</v>
      </c>
      <c r="O635" s="343" t="s">
        <v>1611</v>
      </c>
    </row>
    <row r="636" spans="1:17">
      <c r="A636" s="203">
        <v>46196</v>
      </c>
      <c r="B636" s="55" t="s">
        <v>186</v>
      </c>
      <c r="C636" s="345">
        <v>0.51</v>
      </c>
      <c r="D636" s="345">
        <v>1</v>
      </c>
      <c r="E636" s="55">
        <v>217.581</v>
      </c>
      <c r="F636" s="10">
        <f t="shared" si="40"/>
        <v>210.7</v>
      </c>
      <c r="G636" s="10">
        <f t="shared" si="41"/>
        <v>6.881</v>
      </c>
      <c r="H636" s="55"/>
      <c r="I636" s="153">
        <f t="shared" si="43"/>
        <v>0.669957395176969</v>
      </c>
      <c r="J636" s="55"/>
      <c r="K636" s="55"/>
      <c r="L636" s="55">
        <v>145.77</v>
      </c>
      <c r="M636" s="166">
        <f t="shared" si="42"/>
        <v>19840.18</v>
      </c>
      <c r="O636" s="343" t="s">
        <v>1611</v>
      </c>
    </row>
    <row r="637" spans="1:17">
      <c r="A637" s="203">
        <v>46196</v>
      </c>
      <c r="B637" s="55" t="s">
        <v>51</v>
      </c>
      <c r="C637" s="345">
        <v>0.4</v>
      </c>
      <c r="D637" s="345">
        <v>0.98</v>
      </c>
      <c r="E637" s="55">
        <v>248.319</v>
      </c>
      <c r="F637" s="10">
        <f t="shared" si="40"/>
        <v>249.4</v>
      </c>
      <c r="G637" s="10">
        <f t="shared" si="41"/>
        <v>-1.08099999999999</v>
      </c>
      <c r="H637" s="55"/>
      <c r="I637" s="153">
        <f t="shared" si="43"/>
        <v>0.892400500968512</v>
      </c>
      <c r="J637" s="55"/>
      <c r="K637" s="55"/>
      <c r="L637" s="55">
        <v>221.6</v>
      </c>
      <c r="M637" s="166">
        <f t="shared" si="42"/>
        <v>19618.58</v>
      </c>
      <c r="O637" s="343" t="s">
        <v>1611</v>
      </c>
    </row>
    <row r="638" spans="1:17">
      <c r="A638" s="203">
        <v>46196</v>
      </c>
      <c r="B638" s="55" t="s">
        <v>210</v>
      </c>
      <c r="C638" s="345">
        <v>0.44</v>
      </c>
      <c r="D638" s="345">
        <v>0.9</v>
      </c>
      <c r="E638" s="55">
        <v>204.645</v>
      </c>
      <c r="F638" s="10">
        <f t="shared" si="40"/>
        <v>197.8</v>
      </c>
      <c r="G638" s="10">
        <f t="shared" si="41"/>
        <v>6.845</v>
      </c>
      <c r="H638" s="55"/>
      <c r="I638" s="153">
        <f t="shared" si="43"/>
        <v>0.949937696987466</v>
      </c>
      <c r="J638" s="55"/>
      <c r="K638" s="55"/>
      <c r="L638" s="55">
        <v>194.4</v>
      </c>
      <c r="M638" s="166">
        <f t="shared" si="42"/>
        <v>19424.18</v>
      </c>
      <c r="O638" s="343" t="s">
        <v>1611</v>
      </c>
    </row>
    <row r="639" spans="1:17">
      <c r="A639" s="203">
        <v>46196</v>
      </c>
      <c r="B639" s="55" t="s">
        <v>151</v>
      </c>
      <c r="C639" s="345">
        <v>0.42</v>
      </c>
      <c r="D639" s="345">
        <v>0.89</v>
      </c>
      <c r="E639" s="55">
        <v>208.618</v>
      </c>
      <c r="F639" s="10">
        <f t="shared" si="40"/>
        <v>202.1</v>
      </c>
      <c r="G639" s="10">
        <f t="shared" si="41"/>
        <v>6.51799999999997</v>
      </c>
      <c r="H639" s="55"/>
      <c r="I639" s="153">
        <f t="shared" si="43"/>
        <v>0.94996596650337</v>
      </c>
      <c r="J639" s="55"/>
      <c r="K639" s="55"/>
      <c r="L639" s="55">
        <v>198.18</v>
      </c>
      <c r="M639" s="166">
        <f t="shared" si="42"/>
        <v>19226</v>
      </c>
      <c r="O639" s="343" t="s">
        <v>1611</v>
      </c>
    </row>
    <row r="640" spans="1:17">
      <c r="A640" s="203">
        <v>46196</v>
      </c>
      <c r="B640" s="55" t="s">
        <v>198</v>
      </c>
      <c r="C640" s="345">
        <v>0.45</v>
      </c>
      <c r="D640" s="345">
        <v>0.99</v>
      </c>
      <c r="E640" s="55">
        <v>244.244</v>
      </c>
      <c r="F640" s="10">
        <f t="shared" si="40"/>
        <v>232.2</v>
      </c>
      <c r="G640" s="10">
        <f t="shared" si="41"/>
        <v>12.044</v>
      </c>
      <c r="H640" s="55"/>
      <c r="I640" s="153">
        <f t="shared" si="43"/>
        <v>0.949951687656606</v>
      </c>
      <c r="J640" s="55"/>
      <c r="K640" s="55"/>
      <c r="L640" s="55">
        <v>232.02</v>
      </c>
      <c r="M640" s="166">
        <f t="shared" si="42"/>
        <v>18993.98</v>
      </c>
      <c r="O640" s="343" t="s">
        <v>1611</v>
      </c>
    </row>
    <row r="641" spans="1:15">
      <c r="A641" s="203">
        <v>46196</v>
      </c>
      <c r="B641" s="55" t="s">
        <v>90</v>
      </c>
      <c r="C641" s="345">
        <v>0.26</v>
      </c>
      <c r="D641" s="345">
        <v>0.91</v>
      </c>
      <c r="E641" s="55">
        <v>306.318</v>
      </c>
      <c r="F641" s="10">
        <f t="shared" si="40"/>
        <v>279.5</v>
      </c>
      <c r="G641" s="10">
        <f t="shared" si="41"/>
        <v>26.818</v>
      </c>
      <c r="H641" s="55"/>
      <c r="I641" s="153">
        <f t="shared" si="43"/>
        <v>0.949993144379371</v>
      </c>
      <c r="J641" s="55"/>
      <c r="K641" s="55"/>
      <c r="L641" s="55">
        <v>291</v>
      </c>
      <c r="M641" s="166">
        <f t="shared" si="42"/>
        <v>18702.98</v>
      </c>
      <c r="O641" s="343" t="s">
        <v>1611</v>
      </c>
    </row>
    <row r="642" spans="1:15">
      <c r="A642" s="203">
        <v>46196</v>
      </c>
      <c r="B642" s="55" t="s">
        <v>135</v>
      </c>
      <c r="C642" s="345">
        <v>0.5</v>
      </c>
      <c r="D642" s="345">
        <v>0.96</v>
      </c>
      <c r="E642" s="55">
        <v>201.235</v>
      </c>
      <c r="F642" s="10">
        <f t="shared" si="40"/>
        <v>197.8</v>
      </c>
      <c r="G642" s="10">
        <f t="shared" si="41"/>
        <v>3.43500000000003</v>
      </c>
      <c r="H642" s="55"/>
      <c r="I642" s="153">
        <f t="shared" si="43"/>
        <v>0.949934156583099</v>
      </c>
      <c r="J642" s="55"/>
      <c r="K642" s="55"/>
      <c r="L642" s="55">
        <v>191.16</v>
      </c>
      <c r="M642" s="166">
        <f t="shared" si="42"/>
        <v>18511.82</v>
      </c>
      <c r="O642" s="343" t="s">
        <v>1611</v>
      </c>
    </row>
    <row r="643" spans="1:15">
      <c r="A643" s="203">
        <v>46196</v>
      </c>
      <c r="B643" s="55" t="s">
        <v>195</v>
      </c>
      <c r="C643" s="345">
        <v>0.49</v>
      </c>
      <c r="D643" s="345">
        <v>0.86</v>
      </c>
      <c r="E643" s="55">
        <v>169.585</v>
      </c>
      <c r="F643" s="10">
        <f t="shared" si="40"/>
        <v>159.1</v>
      </c>
      <c r="G643" s="10">
        <f t="shared" si="41"/>
        <v>10.485</v>
      </c>
      <c r="H643" s="55"/>
      <c r="I643" s="153">
        <f t="shared" si="43"/>
        <v>0.94990712621989</v>
      </c>
      <c r="J643" s="55"/>
      <c r="K643" s="55"/>
      <c r="L643" s="55">
        <v>161.09</v>
      </c>
      <c r="M643" s="166">
        <f t="shared" si="42"/>
        <v>18350.73</v>
      </c>
      <c r="O643" s="343" t="s">
        <v>1611</v>
      </c>
    </row>
    <row r="644" spans="1:15">
      <c r="A644" s="203">
        <v>46196</v>
      </c>
      <c r="B644" s="55" t="s">
        <v>338</v>
      </c>
      <c r="C644" s="345">
        <v>0.15</v>
      </c>
      <c r="D644" s="345">
        <v>0.89</v>
      </c>
      <c r="E644" s="55">
        <v>322.942</v>
      </c>
      <c r="F644" s="10">
        <f t="shared" si="40"/>
        <v>318.2</v>
      </c>
      <c r="G644" s="10">
        <f t="shared" si="41"/>
        <v>4.74200000000002</v>
      </c>
      <c r="H644" s="55"/>
      <c r="I644" s="153">
        <f t="shared" si="43"/>
        <v>0.949984826996798</v>
      </c>
      <c r="J644" s="55"/>
      <c r="K644" s="55"/>
      <c r="L644" s="55">
        <v>306.79</v>
      </c>
      <c r="M644" s="166">
        <f t="shared" si="42"/>
        <v>18043.94</v>
      </c>
      <c r="O644" s="343" t="s">
        <v>1611</v>
      </c>
    </row>
    <row r="645" spans="1:15">
      <c r="A645" s="203">
        <v>46196</v>
      </c>
      <c r="B645" s="55" t="s">
        <v>154</v>
      </c>
      <c r="C645" s="345">
        <v>0.17</v>
      </c>
      <c r="D645" s="345">
        <v>0.94</v>
      </c>
      <c r="E645" s="55">
        <v>338.854</v>
      </c>
      <c r="F645" s="10">
        <f t="shared" si="40"/>
        <v>331.1</v>
      </c>
      <c r="G645" s="10">
        <f t="shared" si="41"/>
        <v>7.75400000000002</v>
      </c>
      <c r="H645" s="346"/>
      <c r="I645" s="153">
        <f t="shared" si="43"/>
        <v>0.949966652304532</v>
      </c>
      <c r="J645" s="55"/>
      <c r="K645" s="55"/>
      <c r="L645" s="55">
        <v>321.9</v>
      </c>
      <c r="M645" s="166">
        <f t="shared" si="42"/>
        <v>17722.04</v>
      </c>
      <c r="O645" s="343" t="s">
        <v>1611</v>
      </c>
    </row>
    <row r="646" spans="1:15">
      <c r="A646" s="203">
        <v>46196</v>
      </c>
      <c r="B646" s="55" t="s">
        <v>75</v>
      </c>
      <c r="C646" s="345">
        <v>0.31</v>
      </c>
      <c r="D646" s="345">
        <v>0.96</v>
      </c>
      <c r="E646" s="55">
        <v>310.401</v>
      </c>
      <c r="F646" s="10">
        <f t="shared" si="40"/>
        <v>279.5</v>
      </c>
      <c r="G646" s="10">
        <f t="shared" si="41"/>
        <v>30.9010000000001</v>
      </c>
      <c r="H646" s="55"/>
      <c r="I646" s="153">
        <f t="shared" si="43"/>
        <v>0.94999693944285</v>
      </c>
      <c r="J646" s="55"/>
      <c r="K646" s="55"/>
      <c r="L646" s="55">
        <v>294.88</v>
      </c>
      <c r="M646" s="166">
        <f t="shared" si="42"/>
        <v>17427.16</v>
      </c>
      <c r="O646" s="343" t="s">
        <v>1611</v>
      </c>
    </row>
    <row r="647" spans="1:15">
      <c r="A647" s="203">
        <v>46196</v>
      </c>
      <c r="B647" s="55" t="s">
        <v>160</v>
      </c>
      <c r="C647" s="345">
        <v>0.12</v>
      </c>
      <c r="D647" s="345">
        <v>0.92</v>
      </c>
      <c r="E647" s="55">
        <v>352.799</v>
      </c>
      <c r="F647" s="10">
        <f t="shared" si="40"/>
        <v>344</v>
      </c>
      <c r="G647" s="10">
        <f t="shared" si="41"/>
        <v>8.79899999999998</v>
      </c>
      <c r="H647" s="55"/>
      <c r="I647" s="153">
        <f t="shared" si="43"/>
        <v>0.949946003248309</v>
      </c>
      <c r="J647" s="55"/>
      <c r="K647" s="55"/>
      <c r="L647" s="55">
        <v>335.14</v>
      </c>
      <c r="M647" s="166">
        <f t="shared" si="42"/>
        <v>17092.02</v>
      </c>
      <c r="O647" s="343" t="s">
        <v>1611</v>
      </c>
    </row>
    <row r="648" spans="1:15">
      <c r="A648" s="203">
        <v>46196</v>
      </c>
      <c r="B648" s="55" t="s">
        <v>204</v>
      </c>
      <c r="C648" s="345">
        <v>0.14</v>
      </c>
      <c r="D648" s="345">
        <v>0.96</v>
      </c>
      <c r="E648" s="55">
        <v>361.65</v>
      </c>
      <c r="F648" s="10">
        <f t="shared" si="40"/>
        <v>352.6</v>
      </c>
      <c r="G648" s="10">
        <f t="shared" si="41"/>
        <v>9.05000000000001</v>
      </c>
      <c r="H648" s="55"/>
      <c r="I648" s="153">
        <f t="shared" si="43"/>
        <v>0.94997926171713</v>
      </c>
      <c r="J648" s="55"/>
      <c r="K648" s="55"/>
      <c r="L648" s="55">
        <v>343.56</v>
      </c>
      <c r="M648" s="166">
        <f t="shared" si="42"/>
        <v>16748.46</v>
      </c>
      <c r="O648" s="343" t="s">
        <v>1611</v>
      </c>
    </row>
    <row r="649" spans="1:15">
      <c r="A649" s="203">
        <v>46196</v>
      </c>
      <c r="B649" s="55" t="s">
        <v>223</v>
      </c>
      <c r="C649" s="345">
        <v>0.16</v>
      </c>
      <c r="D649" s="345">
        <v>0.87</v>
      </c>
      <c r="E649" s="55">
        <v>317.39</v>
      </c>
      <c r="F649" s="10">
        <f t="shared" si="40"/>
        <v>305.3</v>
      </c>
      <c r="G649" s="10">
        <f t="shared" si="41"/>
        <v>12.09</v>
      </c>
      <c r="H649" s="55"/>
      <c r="I649" s="153">
        <f t="shared" si="43"/>
        <v>0.949966917672264</v>
      </c>
      <c r="J649" s="55"/>
      <c r="K649" s="55"/>
      <c r="L649" s="55">
        <v>301.51</v>
      </c>
      <c r="M649" s="166">
        <f t="shared" si="42"/>
        <v>16446.95</v>
      </c>
      <c r="O649" s="343" t="s">
        <v>1611</v>
      </c>
    </row>
    <row r="650" spans="1:15">
      <c r="A650" s="203">
        <v>46196</v>
      </c>
      <c r="B650" s="55" t="s">
        <v>163</v>
      </c>
      <c r="C650" s="345">
        <v>0.15</v>
      </c>
      <c r="D650" s="345">
        <v>0.88</v>
      </c>
      <c r="E650" s="55">
        <v>319.722</v>
      </c>
      <c r="F650" s="10">
        <f t="shared" si="40"/>
        <v>313.9</v>
      </c>
      <c r="G650" s="10">
        <f t="shared" si="41"/>
        <v>5.822</v>
      </c>
      <c r="H650" s="55"/>
      <c r="I650" s="153">
        <f t="shared" si="43"/>
        <v>0.949981546468495</v>
      </c>
      <c r="J650" s="55"/>
      <c r="K650" s="55"/>
      <c r="L650" s="55">
        <v>303.73</v>
      </c>
      <c r="M650" s="166">
        <f t="shared" si="42"/>
        <v>16143.22</v>
      </c>
      <c r="O650" s="343" t="s">
        <v>1611</v>
      </c>
    </row>
    <row r="651" spans="1:15">
      <c r="A651" s="203">
        <v>46196</v>
      </c>
      <c r="B651" s="55" t="s">
        <v>221</v>
      </c>
      <c r="C651" s="345">
        <v>0.14</v>
      </c>
      <c r="D651" s="345">
        <v>0.96</v>
      </c>
      <c r="E651" s="55">
        <v>362.369</v>
      </c>
      <c r="F651" s="10">
        <f t="shared" si="40"/>
        <v>352.6</v>
      </c>
      <c r="G651" s="10">
        <f t="shared" si="41"/>
        <v>9.76900000000006</v>
      </c>
      <c r="H651" s="55"/>
      <c r="I651" s="153">
        <f t="shared" si="43"/>
        <v>0.949970886030538</v>
      </c>
      <c r="J651" s="55"/>
      <c r="K651" s="55"/>
      <c r="L651" s="55">
        <v>344.24</v>
      </c>
      <c r="M651" s="166">
        <f t="shared" si="42"/>
        <v>15798.98</v>
      </c>
      <c r="O651" s="343" t="s">
        <v>1611</v>
      </c>
    </row>
    <row r="652" spans="1:15">
      <c r="A652" s="203">
        <v>46196</v>
      </c>
      <c r="B652" s="55" t="s">
        <v>207</v>
      </c>
      <c r="C652" s="345">
        <v>0.59</v>
      </c>
      <c r="D652" s="345">
        <v>0.96</v>
      </c>
      <c r="E652" s="55">
        <v>166.525</v>
      </c>
      <c r="F652" s="10">
        <f t="shared" si="40"/>
        <v>159.1</v>
      </c>
      <c r="G652" s="10">
        <f t="shared" si="41"/>
        <v>7.42500000000001</v>
      </c>
      <c r="H652" s="55"/>
      <c r="I652" s="153">
        <f t="shared" si="43"/>
        <v>0.949947455337036</v>
      </c>
      <c r="J652" s="55"/>
      <c r="K652" s="55"/>
      <c r="L652" s="55">
        <v>158.19</v>
      </c>
      <c r="M652" s="166">
        <f t="shared" si="42"/>
        <v>15640.79</v>
      </c>
      <c r="O652" s="343" t="s">
        <v>1611</v>
      </c>
    </row>
    <row r="653" spans="1:15">
      <c r="A653" s="203">
        <v>46196</v>
      </c>
      <c r="B653" s="55" t="s">
        <v>183</v>
      </c>
      <c r="C653" s="345">
        <v>0.64</v>
      </c>
      <c r="D653" s="345">
        <v>0.91</v>
      </c>
      <c r="E653" s="55">
        <v>122.492</v>
      </c>
      <c r="F653" s="10">
        <f t="shared" si="40"/>
        <v>116.1</v>
      </c>
      <c r="G653" s="10">
        <f t="shared" si="41"/>
        <v>6.392</v>
      </c>
      <c r="H653" s="55"/>
      <c r="I653" s="153">
        <f t="shared" si="43"/>
        <v>0.949857949906933</v>
      </c>
      <c r="J653" s="55"/>
      <c r="K653" s="55"/>
      <c r="L653" s="55">
        <v>116.35</v>
      </c>
      <c r="M653" s="166">
        <f t="shared" si="42"/>
        <v>15524.44</v>
      </c>
      <c r="O653" s="343" t="s">
        <v>1611</v>
      </c>
    </row>
    <row r="654" spans="1:15">
      <c r="A654" s="203">
        <v>46196</v>
      </c>
      <c r="B654" s="55" t="s">
        <v>78</v>
      </c>
      <c r="C654" s="345">
        <v>0.38</v>
      </c>
      <c r="D654" s="345">
        <v>0.87</v>
      </c>
      <c r="E654" s="55">
        <v>229.682</v>
      </c>
      <c r="F654" s="10">
        <f t="shared" si="40"/>
        <v>210.7</v>
      </c>
      <c r="G654" s="10">
        <f t="shared" si="41"/>
        <v>18.982</v>
      </c>
      <c r="H654" s="55"/>
      <c r="I654" s="153">
        <f t="shared" si="43"/>
        <v>0.94992206616104</v>
      </c>
      <c r="J654" s="55"/>
      <c r="K654" s="55"/>
      <c r="L654" s="55">
        <v>218.18</v>
      </c>
      <c r="M654" s="166">
        <f t="shared" si="42"/>
        <v>15306.26</v>
      </c>
      <c r="O654" s="343" t="s">
        <v>1611</v>
      </c>
    </row>
    <row r="655" spans="1:15">
      <c r="A655" s="203">
        <v>46196</v>
      </c>
      <c r="B655" s="55" t="s">
        <v>111</v>
      </c>
      <c r="C655" s="345">
        <v>0.43</v>
      </c>
      <c r="D655" s="345">
        <v>0.94</v>
      </c>
      <c r="E655" s="55">
        <v>210.934</v>
      </c>
      <c r="F655" s="10">
        <f t="shared" si="40"/>
        <v>219.3</v>
      </c>
      <c r="G655" s="10">
        <f t="shared" si="41"/>
        <v>-8.36600000000001</v>
      </c>
      <c r="H655" s="55"/>
      <c r="I655" s="153">
        <f t="shared" si="43"/>
        <v>0.949965392018356</v>
      </c>
      <c r="J655" s="55"/>
      <c r="K655" s="55"/>
      <c r="L655" s="55">
        <v>200.38</v>
      </c>
      <c r="M655" s="166">
        <f t="shared" si="42"/>
        <v>15105.88</v>
      </c>
      <c r="O655" s="343" t="s">
        <v>1611</v>
      </c>
    </row>
    <row r="656" s="206" customFormat="1" spans="1:15">
      <c r="A656" s="347">
        <v>46196</v>
      </c>
      <c r="B656" s="348" t="s">
        <v>1255</v>
      </c>
      <c r="C656" s="349">
        <v>0.21</v>
      </c>
      <c r="D656" s="349">
        <v>0.85</v>
      </c>
      <c r="E656" s="348">
        <v>47.793</v>
      </c>
      <c r="F656" s="350">
        <f t="shared" si="40"/>
        <v>275.2</v>
      </c>
      <c r="G656" s="350">
        <f t="shared" si="41"/>
        <v>-227.407</v>
      </c>
      <c r="H656" s="348"/>
      <c r="I656" s="351">
        <f t="shared" si="43"/>
        <v>0.949720670391061</v>
      </c>
      <c r="J656" s="348"/>
      <c r="K656" s="348"/>
      <c r="L656" s="348">
        <v>45.39</v>
      </c>
      <c r="M656" s="352">
        <f t="shared" si="42"/>
        <v>15060.49</v>
      </c>
      <c r="O656" s="353" t="s">
        <v>1611</v>
      </c>
    </row>
    <row r="657" spans="1:15">
      <c r="A657" s="203">
        <v>46196</v>
      </c>
      <c r="B657" s="55" t="s">
        <v>124</v>
      </c>
      <c r="C657" s="345">
        <v>0.43</v>
      </c>
      <c r="D657" s="345">
        <v>0.91</v>
      </c>
      <c r="E657" s="55">
        <v>206.454</v>
      </c>
      <c r="F657" s="10">
        <f t="shared" si="40"/>
        <v>206.4</v>
      </c>
      <c r="G657" s="10">
        <f t="shared" si="41"/>
        <v>0.054000000000002</v>
      </c>
      <c r="H657" s="55"/>
      <c r="I657" s="153">
        <f t="shared" si="43"/>
        <v>0.949945266257859</v>
      </c>
      <c r="J657" s="55"/>
      <c r="K657" s="55"/>
      <c r="L657" s="55">
        <v>196.12</v>
      </c>
      <c r="M657" s="166">
        <f t="shared" si="42"/>
        <v>14864.37</v>
      </c>
      <c r="O657" s="343" t="s">
        <v>1611</v>
      </c>
    </row>
    <row r="658" spans="1:15">
      <c r="A658" s="203">
        <v>46196</v>
      </c>
      <c r="B658" s="55" t="s">
        <v>132</v>
      </c>
      <c r="C658" s="345">
        <v>0.57</v>
      </c>
      <c r="D658" s="345">
        <v>0.86</v>
      </c>
      <c r="E658" s="55">
        <v>129.816</v>
      </c>
      <c r="F658" s="10">
        <f t="shared" si="40"/>
        <v>124.7</v>
      </c>
      <c r="G658" s="10">
        <f t="shared" si="41"/>
        <v>5.11599999999999</v>
      </c>
      <c r="H658" s="55"/>
      <c r="I658" s="153">
        <f t="shared" si="43"/>
        <v>0.949959943304369</v>
      </c>
      <c r="J658" s="55"/>
      <c r="K658" s="55"/>
      <c r="L658" s="55">
        <v>123.32</v>
      </c>
      <c r="M658" s="166">
        <f t="shared" si="42"/>
        <v>14741.05</v>
      </c>
      <c r="O658" s="343" t="s">
        <v>1611</v>
      </c>
    </row>
    <row r="659" spans="1:15">
      <c r="A659" s="203">
        <v>46196</v>
      </c>
      <c r="B659" s="55" t="s">
        <v>177</v>
      </c>
      <c r="C659" s="345">
        <v>0.58</v>
      </c>
      <c r="D659" s="345">
        <v>0.93</v>
      </c>
      <c r="E659" s="55">
        <v>159.1</v>
      </c>
      <c r="F659" s="10">
        <f t="shared" si="40"/>
        <v>150.5</v>
      </c>
      <c r="G659" s="10">
        <f t="shared" si="41"/>
        <v>8.59999999999997</v>
      </c>
      <c r="H659" s="55"/>
      <c r="I659" s="153">
        <f t="shared" si="43"/>
        <v>0.949968573224387</v>
      </c>
      <c r="J659" s="55"/>
      <c r="K659" s="55"/>
      <c r="L659" s="55">
        <v>151.14</v>
      </c>
      <c r="M659" s="166">
        <f t="shared" si="42"/>
        <v>14589.91</v>
      </c>
      <c r="O659" s="343" t="s">
        <v>1611</v>
      </c>
    </row>
    <row r="660" spans="1:15">
      <c r="A660" s="203">
        <v>46196</v>
      </c>
      <c r="B660" s="55" t="s">
        <v>166</v>
      </c>
      <c r="C660" s="345">
        <v>0.52</v>
      </c>
      <c r="D660" s="345">
        <v>0.95</v>
      </c>
      <c r="E660" s="55">
        <v>191.092</v>
      </c>
      <c r="F660" s="10">
        <f t="shared" si="40"/>
        <v>184.9</v>
      </c>
      <c r="G660" s="10">
        <f t="shared" si="41"/>
        <v>6.19200000000004</v>
      </c>
      <c r="H660" s="55"/>
      <c r="I660" s="153">
        <f t="shared" si="43"/>
        <v>0.94990894438281</v>
      </c>
      <c r="J660" s="55"/>
      <c r="K660" s="55"/>
      <c r="L660" s="55">
        <v>181.52</v>
      </c>
      <c r="M660" s="166">
        <f t="shared" si="42"/>
        <v>14408.39</v>
      </c>
      <c r="O660" s="343" t="s">
        <v>1611</v>
      </c>
    </row>
    <row r="661" spans="1:15">
      <c r="A661" s="203">
        <v>46196</v>
      </c>
      <c r="B661" s="55" t="s">
        <v>84</v>
      </c>
      <c r="C661" s="345">
        <v>0.52</v>
      </c>
      <c r="D661" s="345">
        <v>0.87</v>
      </c>
      <c r="E661" s="55">
        <v>164.765</v>
      </c>
      <c r="F661" s="10">
        <f t="shared" si="40"/>
        <v>150.5</v>
      </c>
      <c r="G661" s="10">
        <f t="shared" si="41"/>
        <v>14.265</v>
      </c>
      <c r="H661" s="55"/>
      <c r="I661" s="153">
        <f t="shared" si="43"/>
        <v>0.949959032561527</v>
      </c>
      <c r="J661" s="55"/>
      <c r="K661" s="55"/>
      <c r="L661" s="55">
        <v>156.52</v>
      </c>
      <c r="M661" s="166">
        <f t="shared" si="42"/>
        <v>14251.87</v>
      </c>
      <c r="O661" s="343" t="s">
        <v>1611</v>
      </c>
    </row>
    <row r="662" spans="1:15">
      <c r="A662" s="203">
        <v>46196</v>
      </c>
      <c r="B662" s="55" t="s">
        <v>66</v>
      </c>
      <c r="C662" s="345">
        <v>0.63</v>
      </c>
      <c r="D662" s="345">
        <v>1</v>
      </c>
      <c r="E662" s="55">
        <v>174.836</v>
      </c>
      <c r="F662" s="10">
        <f t="shared" ref="F662:F685" si="44">(D662-C662)*430</f>
        <v>159.1</v>
      </c>
      <c r="G662" s="10">
        <f t="shared" ref="G662:G685" si="45">E662-F662</f>
        <v>15.736</v>
      </c>
      <c r="H662" s="55"/>
      <c r="I662" s="153">
        <f t="shared" si="43"/>
        <v>0.949975977487474</v>
      </c>
      <c r="J662" s="55"/>
      <c r="K662" s="55"/>
      <c r="L662" s="55">
        <v>166.09</v>
      </c>
      <c r="M662" s="166">
        <f t="shared" ref="M662:M685" si="46">M661+K662-L662</f>
        <v>14085.78</v>
      </c>
      <c r="O662" s="343" t="s">
        <v>1611</v>
      </c>
    </row>
    <row r="663" spans="1:15">
      <c r="A663" s="203">
        <v>46196</v>
      </c>
      <c r="B663" s="55" t="s">
        <v>99</v>
      </c>
      <c r="C663" s="345">
        <v>0.5</v>
      </c>
      <c r="D663" s="345">
        <v>0.92</v>
      </c>
      <c r="E663" s="55">
        <v>196.264</v>
      </c>
      <c r="F663" s="10">
        <f t="shared" si="44"/>
        <v>180.6</v>
      </c>
      <c r="G663" s="10">
        <f t="shared" si="45"/>
        <v>15.664</v>
      </c>
      <c r="H663" s="55"/>
      <c r="I663" s="153">
        <f t="shared" si="43"/>
        <v>0.949944972078425</v>
      </c>
      <c r="J663" s="55"/>
      <c r="K663" s="55"/>
      <c r="L663" s="55">
        <v>186.44</v>
      </c>
      <c r="M663" s="166">
        <f t="shared" si="46"/>
        <v>13899.34</v>
      </c>
      <c r="O663" s="343" t="s">
        <v>1611</v>
      </c>
    </row>
    <row r="664" spans="1:15">
      <c r="A664" s="203">
        <v>46197</v>
      </c>
      <c r="B664" s="55" t="s">
        <v>201</v>
      </c>
      <c r="C664" s="345">
        <v>0.49</v>
      </c>
      <c r="D664" s="345">
        <v>0.99</v>
      </c>
      <c r="E664" s="55">
        <v>225.897</v>
      </c>
      <c r="F664" s="10">
        <f t="shared" si="44"/>
        <v>215</v>
      </c>
      <c r="G664" s="10">
        <f t="shared" si="45"/>
        <v>10.897</v>
      </c>
      <c r="H664" s="55"/>
      <c r="I664" s="153">
        <f t="shared" si="43"/>
        <v>0.819931207585758</v>
      </c>
      <c r="J664" s="55"/>
      <c r="K664" s="55"/>
      <c r="L664" s="55">
        <v>185.22</v>
      </c>
      <c r="M664" s="166">
        <f t="shared" si="46"/>
        <v>13714.12</v>
      </c>
      <c r="O664" s="343" t="s">
        <v>1611</v>
      </c>
    </row>
    <row r="665" spans="1:15">
      <c r="A665" s="203">
        <v>46197</v>
      </c>
      <c r="B665" s="55" t="s">
        <v>130</v>
      </c>
      <c r="C665" s="345">
        <v>0.53</v>
      </c>
      <c r="D665" s="345">
        <v>1</v>
      </c>
      <c r="E665" s="55">
        <v>195.574</v>
      </c>
      <c r="F665" s="10">
        <f t="shared" si="44"/>
        <v>202.1</v>
      </c>
      <c r="G665" s="10">
        <f t="shared" si="45"/>
        <v>-6.52599999999998</v>
      </c>
      <c r="H665" s="55"/>
      <c r="I665" s="153">
        <f t="shared" si="43"/>
        <v>0.819945391514209</v>
      </c>
      <c r="J665" s="55"/>
      <c r="K665" s="55"/>
      <c r="L665" s="55">
        <v>160.36</v>
      </c>
      <c r="M665" s="166">
        <f t="shared" si="46"/>
        <v>13553.76</v>
      </c>
      <c r="O665" s="343" t="s">
        <v>1611</v>
      </c>
    </row>
    <row r="666" spans="1:15">
      <c r="A666" s="203">
        <v>46197</v>
      </c>
      <c r="B666" s="55" t="s">
        <v>51</v>
      </c>
      <c r="C666" s="345">
        <v>0.28</v>
      </c>
      <c r="D666" s="345">
        <v>0.94</v>
      </c>
      <c r="E666" s="55">
        <v>273.147</v>
      </c>
      <c r="F666" s="10">
        <f t="shared" si="44"/>
        <v>283.8</v>
      </c>
      <c r="G666" s="10">
        <f t="shared" si="45"/>
        <v>-10.653</v>
      </c>
      <c r="H666" s="55"/>
      <c r="I666" s="153">
        <f t="shared" si="43"/>
        <v>0.819961412719159</v>
      </c>
      <c r="J666" s="55"/>
      <c r="K666" s="55"/>
      <c r="L666" s="55">
        <v>223.97</v>
      </c>
      <c r="M666" s="166">
        <f t="shared" si="46"/>
        <v>13329.79</v>
      </c>
      <c r="O666" s="343" t="s">
        <v>1611</v>
      </c>
    </row>
    <row r="667" spans="1:15">
      <c r="A667" s="203">
        <v>46197</v>
      </c>
      <c r="B667" s="55" t="s">
        <v>105</v>
      </c>
      <c r="C667" s="345">
        <v>0.42</v>
      </c>
      <c r="D667" s="345">
        <v>1</v>
      </c>
      <c r="E667" s="55">
        <v>272.888</v>
      </c>
      <c r="F667" s="10">
        <f t="shared" si="44"/>
        <v>249.4</v>
      </c>
      <c r="G667" s="10">
        <f t="shared" si="45"/>
        <v>23.488</v>
      </c>
      <c r="H667" s="55"/>
      <c r="I667" s="153">
        <f t="shared" ref="I667:I685" si="47">L667/E667</f>
        <v>0.819933452551963</v>
      </c>
      <c r="J667" s="55"/>
      <c r="K667" s="55"/>
      <c r="L667" s="55">
        <v>223.75</v>
      </c>
      <c r="M667" s="166">
        <f t="shared" si="46"/>
        <v>13106.04</v>
      </c>
      <c r="O667" s="343" t="s">
        <v>1611</v>
      </c>
    </row>
    <row r="668" spans="1:15">
      <c r="A668" s="203">
        <v>46197</v>
      </c>
      <c r="B668" s="55" t="s">
        <v>141</v>
      </c>
      <c r="C668" s="345">
        <v>0.5</v>
      </c>
      <c r="D668" s="345">
        <v>0.99</v>
      </c>
      <c r="E668" s="55">
        <v>222.846</v>
      </c>
      <c r="F668" s="10">
        <f t="shared" si="44"/>
        <v>210.7</v>
      </c>
      <c r="G668" s="10">
        <f t="shared" si="45"/>
        <v>12.146</v>
      </c>
      <c r="H668" s="55"/>
      <c r="I668" s="153">
        <f t="shared" si="47"/>
        <v>0.819938432819077</v>
      </c>
      <c r="J668" s="55"/>
      <c r="K668" s="55"/>
      <c r="L668" s="55">
        <v>182.72</v>
      </c>
      <c r="M668" s="166">
        <f t="shared" si="46"/>
        <v>12923.32</v>
      </c>
      <c r="O668" s="343" t="s">
        <v>1611</v>
      </c>
    </row>
    <row r="669" spans="1:15">
      <c r="A669" s="203">
        <v>46197</v>
      </c>
      <c r="B669" s="55" t="s">
        <v>60</v>
      </c>
      <c r="C669" s="345">
        <v>0.38</v>
      </c>
      <c r="D669" s="345">
        <v>0.99</v>
      </c>
      <c r="E669" s="55">
        <v>256.184</v>
      </c>
      <c r="F669" s="10">
        <f t="shared" si="44"/>
        <v>262.3</v>
      </c>
      <c r="G669" s="10">
        <f t="shared" si="45"/>
        <v>-6.11599999999999</v>
      </c>
      <c r="H669" s="55"/>
      <c r="I669" s="153">
        <f t="shared" si="47"/>
        <v>0.819957530524935</v>
      </c>
      <c r="J669" s="55"/>
      <c r="K669" s="55"/>
      <c r="L669" s="55">
        <v>210.06</v>
      </c>
      <c r="M669" s="166">
        <f t="shared" si="46"/>
        <v>12713.26</v>
      </c>
      <c r="O669" s="343" t="s">
        <v>1611</v>
      </c>
    </row>
    <row r="670" spans="1:15">
      <c r="A670" s="203">
        <v>46197</v>
      </c>
      <c r="B670" s="55" t="s">
        <v>54</v>
      </c>
      <c r="C670" s="345">
        <v>0.28</v>
      </c>
      <c r="D670" s="345">
        <v>0.99</v>
      </c>
      <c r="E670" s="55">
        <v>303.821</v>
      </c>
      <c r="F670" s="10">
        <f t="shared" si="44"/>
        <v>305.3</v>
      </c>
      <c r="G670" s="10">
        <f t="shared" si="45"/>
        <v>-1.47899999999998</v>
      </c>
      <c r="H670" s="55"/>
      <c r="I670" s="153">
        <f t="shared" si="47"/>
        <v>0.819989401654263</v>
      </c>
      <c r="J670" s="55"/>
      <c r="K670" s="55"/>
      <c r="L670" s="55">
        <v>249.13</v>
      </c>
      <c r="M670" s="166">
        <f t="shared" si="46"/>
        <v>12464.13</v>
      </c>
      <c r="O670" s="343" t="s">
        <v>1611</v>
      </c>
    </row>
    <row r="671" spans="1:15">
      <c r="A671" s="203">
        <v>46197</v>
      </c>
      <c r="B671" s="55" t="s">
        <v>114</v>
      </c>
      <c r="C671" s="345">
        <v>0.45</v>
      </c>
      <c r="D671" s="345">
        <v>0.88</v>
      </c>
      <c r="E671" s="55">
        <v>168.713</v>
      </c>
      <c r="F671" s="10">
        <f t="shared" si="44"/>
        <v>184.9</v>
      </c>
      <c r="G671" s="10">
        <f t="shared" si="45"/>
        <v>-16.187</v>
      </c>
      <c r="H671" s="55"/>
      <c r="I671" s="153">
        <f t="shared" si="47"/>
        <v>0.669954301091202</v>
      </c>
      <c r="J671" s="55"/>
      <c r="K671" s="55"/>
      <c r="L671" s="55">
        <v>113.03</v>
      </c>
      <c r="M671" s="166">
        <f t="shared" si="46"/>
        <v>12351.1</v>
      </c>
      <c r="O671" s="343" t="s">
        <v>1611</v>
      </c>
    </row>
    <row r="672" spans="1:15">
      <c r="A672" s="203">
        <v>46197</v>
      </c>
      <c r="B672" s="55" t="s">
        <v>63</v>
      </c>
      <c r="C672" s="345">
        <v>0.5</v>
      </c>
      <c r="D672" s="345">
        <v>1</v>
      </c>
      <c r="E672" s="55">
        <v>223.118</v>
      </c>
      <c r="F672" s="10">
        <f t="shared" si="44"/>
        <v>215</v>
      </c>
      <c r="G672" s="10">
        <f t="shared" si="45"/>
        <v>8.11799999999999</v>
      </c>
      <c r="H672" s="55"/>
      <c r="I672" s="153">
        <f t="shared" si="47"/>
        <v>0.66995939368406</v>
      </c>
      <c r="J672" s="55"/>
      <c r="K672" s="55"/>
      <c r="L672" s="55">
        <v>149.48</v>
      </c>
      <c r="M672" s="166">
        <f t="shared" si="46"/>
        <v>12201.62</v>
      </c>
      <c r="O672" s="343" t="s">
        <v>1611</v>
      </c>
    </row>
    <row r="673" spans="1:17">
      <c r="A673" s="203">
        <v>46197</v>
      </c>
      <c r="B673" s="55" t="s">
        <v>102</v>
      </c>
      <c r="C673" s="345">
        <v>0.24</v>
      </c>
      <c r="D673" s="345">
        <v>1</v>
      </c>
      <c r="E673" s="55">
        <v>363.69</v>
      </c>
      <c r="F673" s="10">
        <f t="shared" si="44"/>
        <v>326.8</v>
      </c>
      <c r="G673" s="10">
        <f t="shared" si="45"/>
        <v>36.89</v>
      </c>
      <c r="H673" s="55"/>
      <c r="I673" s="153">
        <f t="shared" si="47"/>
        <v>0.669966179988452</v>
      </c>
      <c r="J673" s="55"/>
      <c r="K673" s="55"/>
      <c r="L673" s="55">
        <v>243.66</v>
      </c>
      <c r="M673" s="166">
        <f t="shared" si="46"/>
        <v>11957.96</v>
      </c>
      <c r="O673" s="343" t="s">
        <v>1611</v>
      </c>
    </row>
    <row r="674" spans="1:17">
      <c r="A674" s="203">
        <v>46197</v>
      </c>
      <c r="B674" s="55" t="s">
        <v>87</v>
      </c>
      <c r="C674" s="345">
        <v>0.5</v>
      </c>
      <c r="D674" s="345">
        <v>0.95</v>
      </c>
      <c r="E674" s="55">
        <v>213.678</v>
      </c>
      <c r="F674" s="10">
        <f t="shared" si="44"/>
        <v>193.5</v>
      </c>
      <c r="G674" s="10">
        <f t="shared" si="45"/>
        <v>20.178</v>
      </c>
      <c r="H674" s="55"/>
      <c r="I674" s="153">
        <f t="shared" si="47"/>
        <v>0.669933264070237</v>
      </c>
      <c r="J674" s="55"/>
      <c r="K674" s="55"/>
      <c r="L674" s="55">
        <v>143.15</v>
      </c>
      <c r="M674" s="166">
        <f t="shared" si="46"/>
        <v>11814.81</v>
      </c>
      <c r="O674" s="343" t="s">
        <v>1611</v>
      </c>
    </row>
    <row r="675" spans="1:17">
      <c r="A675" s="203">
        <v>46197</v>
      </c>
      <c r="B675" s="55" t="s">
        <v>127</v>
      </c>
      <c r="C675" s="345">
        <v>0.35</v>
      </c>
      <c r="D675" s="345">
        <v>0.99</v>
      </c>
      <c r="E675" s="55">
        <v>274.603</v>
      </c>
      <c r="F675" s="10">
        <f t="shared" si="44"/>
        <v>275.2</v>
      </c>
      <c r="G675" s="10">
        <f t="shared" si="45"/>
        <v>-0.59699999999998</v>
      </c>
      <c r="H675" s="55"/>
      <c r="I675" s="153">
        <f t="shared" si="47"/>
        <v>0.669985397100542</v>
      </c>
      <c r="J675" s="55"/>
      <c r="K675" s="55"/>
      <c r="L675" s="55">
        <v>183.98</v>
      </c>
      <c r="M675" s="166">
        <f t="shared" si="46"/>
        <v>11630.83</v>
      </c>
      <c r="O675" s="343" t="s">
        <v>1611</v>
      </c>
    </row>
    <row r="676" spans="1:17">
      <c r="A676" s="203">
        <v>46197</v>
      </c>
      <c r="B676" s="55" t="s">
        <v>138</v>
      </c>
      <c r="C676" s="345">
        <v>0.51</v>
      </c>
      <c r="D676" s="345">
        <v>0.95</v>
      </c>
      <c r="E676" s="55">
        <v>197.7</v>
      </c>
      <c r="F676" s="10">
        <f t="shared" si="44"/>
        <v>189.2</v>
      </c>
      <c r="G676" s="10">
        <f t="shared" si="45"/>
        <v>8.5</v>
      </c>
      <c r="H676" s="55"/>
      <c r="I676" s="153">
        <f t="shared" si="47"/>
        <v>0.819979767324229</v>
      </c>
      <c r="J676" s="55"/>
      <c r="K676" s="55"/>
      <c r="L676" s="55">
        <v>162.11</v>
      </c>
      <c r="M676" s="166">
        <f t="shared" si="46"/>
        <v>11468.72</v>
      </c>
      <c r="O676" s="343" t="s">
        <v>1611</v>
      </c>
    </row>
    <row r="677" spans="1:17">
      <c r="A677" s="203">
        <v>46197</v>
      </c>
      <c r="B677" s="55" t="s">
        <v>192</v>
      </c>
      <c r="C677" s="345">
        <v>0.47</v>
      </c>
      <c r="D677" s="345">
        <v>0.47</v>
      </c>
      <c r="E677" s="55">
        <v>1.891</v>
      </c>
      <c r="F677" s="10">
        <f t="shared" si="44"/>
        <v>0</v>
      </c>
      <c r="G677" s="10">
        <f t="shared" si="45"/>
        <v>1.891</v>
      </c>
      <c r="H677" s="55"/>
      <c r="I677" s="153">
        <f t="shared" si="47"/>
        <v>0.941300898995241</v>
      </c>
      <c r="J677" s="55"/>
      <c r="K677" s="55"/>
      <c r="L677" s="55">
        <v>1.78</v>
      </c>
      <c r="M677" s="166">
        <f t="shared" si="46"/>
        <v>11466.94</v>
      </c>
      <c r="O677" s="343" t="s">
        <v>1611</v>
      </c>
    </row>
    <row r="678" spans="1:17">
      <c r="A678" s="203">
        <v>46197</v>
      </c>
      <c r="B678" s="55" t="s">
        <v>57</v>
      </c>
      <c r="C678" s="345">
        <v>0.34</v>
      </c>
      <c r="D678" s="345">
        <v>0.95</v>
      </c>
      <c r="E678" s="55">
        <v>253.873</v>
      </c>
      <c r="F678" s="10">
        <f t="shared" si="44"/>
        <v>262.3</v>
      </c>
      <c r="G678" s="10">
        <f t="shared" si="45"/>
        <v>-8.42700000000002</v>
      </c>
      <c r="H678" s="55"/>
      <c r="I678" s="153">
        <f t="shared" si="47"/>
        <v>0.949963170561659</v>
      </c>
      <c r="J678" s="55"/>
      <c r="K678" s="55"/>
      <c r="L678" s="55">
        <v>241.17</v>
      </c>
      <c r="M678" s="166">
        <f t="shared" si="46"/>
        <v>11225.77</v>
      </c>
      <c r="O678" s="343" t="s">
        <v>1611</v>
      </c>
    </row>
    <row r="679" spans="1:17">
      <c r="A679" s="203">
        <v>46197</v>
      </c>
      <c r="B679" s="55" t="s">
        <v>93</v>
      </c>
      <c r="C679" s="345">
        <v>0.38</v>
      </c>
      <c r="D679" s="345">
        <v>0.9</v>
      </c>
      <c r="E679" s="55">
        <v>244.091</v>
      </c>
      <c r="F679" s="10">
        <f t="shared" si="44"/>
        <v>223.6</v>
      </c>
      <c r="G679" s="10">
        <f t="shared" si="45"/>
        <v>20.491</v>
      </c>
      <c r="H679" s="55"/>
      <c r="I679" s="153">
        <f t="shared" si="47"/>
        <v>0.94993260710145</v>
      </c>
      <c r="J679" s="55"/>
      <c r="K679" s="55"/>
      <c r="L679" s="55">
        <v>231.87</v>
      </c>
      <c r="M679" s="166">
        <f t="shared" si="46"/>
        <v>10993.9</v>
      </c>
      <c r="O679" s="343" t="s">
        <v>1611</v>
      </c>
    </row>
    <row r="680" spans="1:17">
      <c r="A680" s="203">
        <v>46197</v>
      </c>
      <c r="B680" s="55" t="s">
        <v>186</v>
      </c>
      <c r="C680" s="345">
        <v>0.28</v>
      </c>
      <c r="D680" s="345">
        <v>0.92</v>
      </c>
      <c r="E680" s="55">
        <v>283.47</v>
      </c>
      <c r="F680" s="10">
        <f t="shared" si="44"/>
        <v>275.2</v>
      </c>
      <c r="G680" s="10">
        <f t="shared" si="45"/>
        <v>8.27000000000004</v>
      </c>
      <c r="H680" s="55"/>
      <c r="I680" s="153">
        <f t="shared" si="47"/>
        <v>0.949941792782305</v>
      </c>
      <c r="J680" s="55"/>
      <c r="K680" s="55"/>
      <c r="L680" s="55">
        <v>269.28</v>
      </c>
      <c r="M680" s="166">
        <f t="shared" si="46"/>
        <v>10724.62</v>
      </c>
      <c r="O680" s="343" t="s">
        <v>1611</v>
      </c>
    </row>
    <row r="681" spans="1:17">
      <c r="A681" s="203">
        <v>46197</v>
      </c>
      <c r="B681" s="55" t="s">
        <v>96</v>
      </c>
      <c r="C681" s="345">
        <v>0.21</v>
      </c>
      <c r="D681" s="345">
        <v>0.91</v>
      </c>
      <c r="E681" s="55">
        <v>323.315</v>
      </c>
      <c r="F681" s="10">
        <f t="shared" si="44"/>
        <v>301</v>
      </c>
      <c r="G681" s="10">
        <f t="shared" si="45"/>
        <v>22.315</v>
      </c>
      <c r="H681" s="55"/>
      <c r="I681" s="153">
        <f t="shared" si="47"/>
        <v>0.949971390130368</v>
      </c>
      <c r="J681" s="55"/>
      <c r="K681" s="55"/>
      <c r="L681" s="55">
        <v>307.14</v>
      </c>
      <c r="M681" s="166">
        <f t="shared" si="46"/>
        <v>10417.48</v>
      </c>
      <c r="O681" s="343" t="s">
        <v>1611</v>
      </c>
    </row>
    <row r="682" spans="1:17">
      <c r="A682" s="203">
        <v>46197</v>
      </c>
      <c r="B682" s="55" t="s">
        <v>213</v>
      </c>
      <c r="C682" s="345">
        <v>0.44</v>
      </c>
      <c r="D682" s="345">
        <v>1</v>
      </c>
      <c r="E682" s="55">
        <v>251.073</v>
      </c>
      <c r="F682" s="10">
        <f t="shared" si="44"/>
        <v>240.8</v>
      </c>
      <c r="G682" s="10">
        <f t="shared" si="45"/>
        <v>10.273</v>
      </c>
      <c r="H682" s="55"/>
      <c r="I682" s="153">
        <f t="shared" si="47"/>
        <v>0.949962759834789</v>
      </c>
      <c r="J682" s="55"/>
      <c r="K682" s="55"/>
      <c r="L682" s="55">
        <v>238.51</v>
      </c>
      <c r="M682" s="166">
        <f t="shared" si="46"/>
        <v>10178.97</v>
      </c>
      <c r="O682" s="343" t="s">
        <v>1611</v>
      </c>
    </row>
    <row r="683" spans="1:17">
      <c r="A683" s="203">
        <v>46197</v>
      </c>
      <c r="B683" s="55" t="s">
        <v>670</v>
      </c>
      <c r="C683" s="345">
        <v>0.46</v>
      </c>
      <c r="D683" s="345">
        <v>1</v>
      </c>
      <c r="E683" s="55">
        <v>242.121</v>
      </c>
      <c r="F683" s="10">
        <f t="shared" si="44"/>
        <v>232.2</v>
      </c>
      <c r="G683" s="10">
        <f t="shared" si="45"/>
        <v>9.92100000000002</v>
      </c>
      <c r="H683" s="55"/>
      <c r="I683" s="153">
        <f t="shared" si="47"/>
        <v>0.949979555676707</v>
      </c>
      <c r="J683" s="55"/>
      <c r="K683" s="55"/>
      <c r="L683" s="55">
        <v>230.01</v>
      </c>
      <c r="M683" s="166">
        <f t="shared" si="46"/>
        <v>9948.95999999999</v>
      </c>
      <c r="O683" s="343" t="s">
        <v>1611</v>
      </c>
    </row>
    <row r="684" spans="1:17">
      <c r="A684" s="203">
        <v>46197</v>
      </c>
      <c r="B684" s="55" t="s">
        <v>90</v>
      </c>
      <c r="C684" s="345">
        <v>0.57</v>
      </c>
      <c r="D684" s="345">
        <v>0.81</v>
      </c>
      <c r="E684" s="55">
        <v>117.74</v>
      </c>
      <c r="F684" s="10">
        <f t="shared" si="44"/>
        <v>103.2</v>
      </c>
      <c r="G684" s="10">
        <f t="shared" si="45"/>
        <v>14.54</v>
      </c>
      <c r="H684" s="55"/>
      <c r="I684" s="153">
        <f t="shared" si="47"/>
        <v>0.819942245625956</v>
      </c>
      <c r="J684" s="55"/>
      <c r="K684" s="55"/>
      <c r="L684" s="55">
        <v>96.54</v>
      </c>
      <c r="M684" s="166">
        <f t="shared" si="46"/>
        <v>9852.41999999999</v>
      </c>
      <c r="O684" s="343" t="s">
        <v>1611</v>
      </c>
    </row>
    <row r="685" spans="1:17">
      <c r="A685" s="203">
        <v>46197</v>
      </c>
      <c r="B685" s="55" t="s">
        <v>180</v>
      </c>
      <c r="C685" s="345">
        <v>0.27</v>
      </c>
      <c r="D685" s="345">
        <v>0.93</v>
      </c>
      <c r="E685" s="55">
        <v>290.748</v>
      </c>
      <c r="F685" s="10">
        <f t="shared" si="44"/>
        <v>283.8</v>
      </c>
      <c r="G685" s="10">
        <f t="shared" si="45"/>
        <v>6.94799999999998</v>
      </c>
      <c r="H685" s="55"/>
      <c r="I685" s="153">
        <f t="shared" si="47"/>
        <v>0.949963542311555</v>
      </c>
      <c r="J685" s="55"/>
      <c r="K685" s="55"/>
      <c r="L685" s="55">
        <v>276.2</v>
      </c>
      <c r="M685" s="166">
        <f t="shared" si="46"/>
        <v>9576.21999999998</v>
      </c>
      <c r="O685" s="343" t="s">
        <v>1611</v>
      </c>
    </row>
    <row r="686" spans="1:17">
      <c r="A686" s="203">
        <v>46197</v>
      </c>
      <c r="B686" s="55" t="s">
        <v>108</v>
      </c>
      <c r="C686" s="345">
        <v>0.33</v>
      </c>
      <c r="D686" s="345">
        <v>0.58</v>
      </c>
      <c r="E686" s="55">
        <v>121.449</v>
      </c>
      <c r="F686" s="10">
        <f t="shared" ref="F686:F725" si="48">(D686-C686)*430</f>
        <v>107.5</v>
      </c>
      <c r="G686" s="10">
        <f t="shared" ref="G686:G725" si="49">E686-F686</f>
        <v>13.949</v>
      </c>
      <c r="H686" s="55"/>
      <c r="I686" s="153">
        <f t="shared" ref="I686:I725" si="50">L686/E686</f>
        <v>0.949946067896813</v>
      </c>
      <c r="J686" s="55"/>
      <c r="K686" s="55"/>
      <c r="L686" s="55">
        <v>115.37</v>
      </c>
      <c r="M686" s="166">
        <f t="shared" ref="M686:M725" si="51">M685+K686-L686</f>
        <v>9460.84999999998</v>
      </c>
      <c r="O686" s="343" t="s">
        <v>1611</v>
      </c>
      <c r="P686" s="144" t="str">
        <f>MIN(MAX(C686,0),100)&amp;"%"</f>
        <v>0.33%</v>
      </c>
      <c r="Q686" s="144" t="str">
        <f>MIN(MAX(D686,0),100)&amp;"%"</f>
        <v>0.58%</v>
      </c>
    </row>
    <row r="687" spans="1:17">
      <c r="A687" s="203">
        <v>46197</v>
      </c>
      <c r="B687" s="55" t="s">
        <v>108</v>
      </c>
      <c r="C687" s="345">
        <v>0.59</v>
      </c>
      <c r="D687" s="345">
        <v>0.69</v>
      </c>
      <c r="E687" s="55">
        <v>55.254</v>
      </c>
      <c r="F687" s="10">
        <f t="shared" si="48"/>
        <v>43</v>
      </c>
      <c r="G687" s="10">
        <f t="shared" si="49"/>
        <v>12.254</v>
      </c>
      <c r="H687" s="55"/>
      <c r="I687" s="153">
        <f t="shared" si="50"/>
        <v>0.949795489919282</v>
      </c>
      <c r="J687" s="55"/>
      <c r="K687" s="55"/>
      <c r="L687" s="55">
        <v>52.48</v>
      </c>
      <c r="M687" s="166">
        <f t="shared" si="51"/>
        <v>9408.36999999998</v>
      </c>
      <c r="O687" s="343" t="s">
        <v>1611</v>
      </c>
    </row>
    <row r="688" spans="1:17">
      <c r="A688" s="203">
        <v>46197</v>
      </c>
      <c r="B688" s="55" t="s">
        <v>108</v>
      </c>
      <c r="C688" s="345">
        <v>0.7</v>
      </c>
      <c r="D688" s="345">
        <v>0.8</v>
      </c>
      <c r="E688" s="55">
        <v>48.382</v>
      </c>
      <c r="F688" s="10">
        <f t="shared" si="48"/>
        <v>43</v>
      </c>
      <c r="G688" s="10">
        <f t="shared" si="49"/>
        <v>5.382</v>
      </c>
      <c r="H688" s="55"/>
      <c r="I688" s="153">
        <f t="shared" si="50"/>
        <v>0.949733371915175</v>
      </c>
      <c r="J688" s="55"/>
      <c r="K688" s="55"/>
      <c r="L688" s="55">
        <v>45.95</v>
      </c>
      <c r="M688" s="166">
        <f t="shared" si="51"/>
        <v>9362.41999999998</v>
      </c>
      <c r="O688" s="343" t="s">
        <v>1611</v>
      </c>
    </row>
    <row r="689" spans="1:15">
      <c r="A689" s="203">
        <v>46197</v>
      </c>
      <c r="B689" s="55" t="s">
        <v>108</v>
      </c>
      <c r="C689" s="345">
        <v>0.81</v>
      </c>
      <c r="D689" s="345">
        <v>0.99</v>
      </c>
      <c r="E689" s="55">
        <v>99.315</v>
      </c>
      <c r="F689" s="10">
        <f t="shared" si="48"/>
        <v>77.4</v>
      </c>
      <c r="G689" s="10">
        <f t="shared" si="49"/>
        <v>21.915</v>
      </c>
      <c r="H689" s="55"/>
      <c r="I689" s="153">
        <f t="shared" si="50"/>
        <v>0.949906862004733</v>
      </c>
      <c r="J689" s="55"/>
      <c r="K689" s="55"/>
      <c r="L689" s="55">
        <v>94.34</v>
      </c>
      <c r="M689" s="166">
        <f t="shared" si="51"/>
        <v>9268.07999999998</v>
      </c>
      <c r="O689" s="343" t="s">
        <v>1611</v>
      </c>
    </row>
    <row r="690" spans="1:15">
      <c r="A690" s="203">
        <v>46197</v>
      </c>
      <c r="B690" s="55" t="s">
        <v>72</v>
      </c>
      <c r="C690" s="345">
        <v>0.38</v>
      </c>
      <c r="D690" s="345">
        <v>0.95</v>
      </c>
      <c r="E690" s="55">
        <v>275.28</v>
      </c>
      <c r="F690" s="10">
        <f t="shared" si="48"/>
        <v>245.1</v>
      </c>
      <c r="G690" s="10">
        <f t="shared" si="49"/>
        <v>30.18</v>
      </c>
      <c r="H690" s="55"/>
      <c r="I690" s="153">
        <f t="shared" si="50"/>
        <v>0.949941877361232</v>
      </c>
      <c r="J690" s="55"/>
      <c r="K690" s="55"/>
      <c r="L690" s="55">
        <v>261.5</v>
      </c>
      <c r="M690" s="166">
        <f t="shared" si="51"/>
        <v>9006.57999999998</v>
      </c>
      <c r="O690" s="343" t="s">
        <v>1611</v>
      </c>
    </row>
    <row r="691" spans="1:15">
      <c r="A691" s="203">
        <v>46197</v>
      </c>
      <c r="B691" s="55" t="s">
        <v>111</v>
      </c>
      <c r="C691" s="345">
        <v>0.39</v>
      </c>
      <c r="D691" s="345">
        <v>0.93</v>
      </c>
      <c r="E691" s="55">
        <v>225.543</v>
      </c>
      <c r="F691" s="10">
        <f t="shared" si="48"/>
        <v>232.2</v>
      </c>
      <c r="G691" s="10">
        <f t="shared" si="49"/>
        <v>-6.65699999999998</v>
      </c>
      <c r="H691" s="55"/>
      <c r="I691" s="153">
        <f t="shared" si="50"/>
        <v>0.949974062595603</v>
      </c>
      <c r="J691" s="55"/>
      <c r="K691" s="55"/>
      <c r="L691" s="55">
        <v>214.26</v>
      </c>
      <c r="M691" s="166">
        <f t="shared" si="51"/>
        <v>8792.31999999998</v>
      </c>
      <c r="O691" s="343" t="s">
        <v>1611</v>
      </c>
    </row>
    <row r="692" spans="1:15">
      <c r="A692" s="203">
        <v>46197</v>
      </c>
      <c r="B692" s="55" t="s">
        <v>78</v>
      </c>
      <c r="C692" s="345">
        <v>0.35</v>
      </c>
      <c r="D692" s="345">
        <v>0.87</v>
      </c>
      <c r="E692" s="55">
        <v>247.097</v>
      </c>
      <c r="F692" s="10">
        <f t="shared" si="48"/>
        <v>223.6</v>
      </c>
      <c r="G692" s="10">
        <f t="shared" si="49"/>
        <v>23.497</v>
      </c>
      <c r="H692" s="55"/>
      <c r="I692" s="153">
        <f t="shared" si="50"/>
        <v>0.949950829026658</v>
      </c>
      <c r="J692" s="55"/>
      <c r="K692" s="55"/>
      <c r="L692" s="55">
        <v>234.73</v>
      </c>
      <c r="M692" s="166">
        <f t="shared" si="51"/>
        <v>8557.58999999998</v>
      </c>
      <c r="O692" s="343" t="s">
        <v>1611</v>
      </c>
    </row>
    <row r="693" spans="1:15">
      <c r="A693" s="203">
        <v>46197</v>
      </c>
      <c r="B693" s="55" t="s">
        <v>135</v>
      </c>
      <c r="C693" s="345">
        <v>0.4</v>
      </c>
      <c r="D693" s="345">
        <v>0.55</v>
      </c>
      <c r="E693" s="55">
        <v>70.325</v>
      </c>
      <c r="F693" s="10">
        <f t="shared" si="48"/>
        <v>64.5</v>
      </c>
      <c r="G693" s="10">
        <f t="shared" si="49"/>
        <v>5.825</v>
      </c>
      <c r="H693" s="55"/>
      <c r="I693" s="153">
        <f t="shared" si="50"/>
        <v>0.94987557767508</v>
      </c>
      <c r="J693" s="55"/>
      <c r="K693" s="55"/>
      <c r="L693" s="55">
        <v>66.8</v>
      </c>
      <c r="M693" s="166">
        <f t="shared" si="51"/>
        <v>8490.78999999998</v>
      </c>
      <c r="O693" s="343" t="s">
        <v>1611</v>
      </c>
    </row>
    <row r="694" spans="1:15">
      <c r="A694" s="203">
        <v>46197</v>
      </c>
      <c r="B694" s="55" t="s">
        <v>338</v>
      </c>
      <c r="C694" s="345">
        <v>0.36</v>
      </c>
      <c r="D694" s="345">
        <v>0.7</v>
      </c>
      <c r="E694" s="55">
        <v>154.38</v>
      </c>
      <c r="F694" s="10">
        <f t="shared" si="48"/>
        <v>146.2</v>
      </c>
      <c r="G694" s="10">
        <f t="shared" si="49"/>
        <v>8.18000000000001</v>
      </c>
      <c r="H694" s="55"/>
      <c r="I694" s="153">
        <f t="shared" si="50"/>
        <v>0.949928747247053</v>
      </c>
      <c r="J694" s="55"/>
      <c r="K694" s="55"/>
      <c r="L694" s="55">
        <v>146.65</v>
      </c>
      <c r="M694" s="166">
        <f t="shared" si="51"/>
        <v>8344.13999999998</v>
      </c>
      <c r="O694" s="343" t="s">
        <v>1611</v>
      </c>
    </row>
    <row r="695" spans="1:15">
      <c r="A695" s="203">
        <v>46197</v>
      </c>
      <c r="B695" s="55" t="s">
        <v>144</v>
      </c>
      <c r="C695" s="345">
        <v>0.37</v>
      </c>
      <c r="D695" s="345">
        <v>1</v>
      </c>
      <c r="E695" s="55">
        <v>279.969</v>
      </c>
      <c r="F695" s="10">
        <f t="shared" si="48"/>
        <v>270.9</v>
      </c>
      <c r="G695" s="10">
        <f t="shared" si="49"/>
        <v>9.06900000000002</v>
      </c>
      <c r="H695" s="55"/>
      <c r="I695" s="153">
        <f t="shared" si="50"/>
        <v>0.949962317256553</v>
      </c>
      <c r="J695" s="55"/>
      <c r="K695" s="55"/>
      <c r="L695" s="55">
        <v>265.96</v>
      </c>
      <c r="M695" s="166">
        <f t="shared" si="51"/>
        <v>8078.17999999998</v>
      </c>
      <c r="O695" s="343" t="s">
        <v>1611</v>
      </c>
    </row>
    <row r="696" spans="1:15">
      <c r="A696" s="203">
        <v>46197</v>
      </c>
      <c r="B696" s="55" t="s">
        <v>204</v>
      </c>
      <c r="C696" s="345">
        <v>0.33</v>
      </c>
      <c r="D696" s="345">
        <v>0.69</v>
      </c>
      <c r="E696" s="55">
        <v>165.589</v>
      </c>
      <c r="F696" s="10">
        <f t="shared" si="48"/>
        <v>154.8</v>
      </c>
      <c r="G696" s="10">
        <f t="shared" si="49"/>
        <v>10.789</v>
      </c>
      <c r="H696" s="55"/>
      <c r="I696" s="153">
        <f t="shared" si="50"/>
        <v>0.949942327086944</v>
      </c>
      <c r="J696" s="55"/>
      <c r="K696" s="55"/>
      <c r="L696" s="55">
        <v>157.3</v>
      </c>
      <c r="M696" s="166">
        <f t="shared" si="51"/>
        <v>7920.87999999998</v>
      </c>
      <c r="O696" s="343" t="s">
        <v>1611</v>
      </c>
    </row>
    <row r="697" spans="1:15">
      <c r="A697" s="203">
        <v>46197</v>
      </c>
      <c r="B697" s="55" t="s">
        <v>163</v>
      </c>
      <c r="C697" s="345">
        <v>0.37</v>
      </c>
      <c r="D697" s="345">
        <v>1</v>
      </c>
      <c r="E697" s="55">
        <v>278.424</v>
      </c>
      <c r="F697" s="10">
        <f t="shared" si="48"/>
        <v>270.9</v>
      </c>
      <c r="G697" s="10">
        <f t="shared" si="49"/>
        <v>7.524</v>
      </c>
      <c r="H697" s="55"/>
      <c r="I697" s="153">
        <f t="shared" si="50"/>
        <v>0.949989943395684</v>
      </c>
      <c r="J697" s="55"/>
      <c r="K697" s="55"/>
      <c r="L697" s="55">
        <v>264.5</v>
      </c>
      <c r="M697" s="166">
        <f t="shared" si="51"/>
        <v>7656.37999999998</v>
      </c>
      <c r="O697" s="343" t="s">
        <v>1611</v>
      </c>
    </row>
    <row r="698" spans="1:15">
      <c r="A698" s="203">
        <v>46197</v>
      </c>
      <c r="B698" s="55" t="s">
        <v>160</v>
      </c>
      <c r="C698" s="345">
        <v>0.35</v>
      </c>
      <c r="D698" s="345">
        <v>0.99</v>
      </c>
      <c r="E698" s="55">
        <v>288.931</v>
      </c>
      <c r="F698" s="10">
        <f t="shared" si="48"/>
        <v>275.2</v>
      </c>
      <c r="G698" s="10">
        <f t="shared" si="49"/>
        <v>13.731</v>
      </c>
      <c r="H698" s="55"/>
      <c r="I698" s="153">
        <f t="shared" si="50"/>
        <v>0.949984598398926</v>
      </c>
      <c r="J698" s="55"/>
      <c r="K698" s="55"/>
      <c r="L698" s="55">
        <v>274.48</v>
      </c>
      <c r="M698" s="166">
        <f t="shared" si="51"/>
        <v>7381.89999999998</v>
      </c>
      <c r="O698" s="343" t="s">
        <v>1611</v>
      </c>
    </row>
    <row r="699" spans="1:15">
      <c r="A699" s="203">
        <v>46197</v>
      </c>
      <c r="B699" s="55" t="s">
        <v>221</v>
      </c>
      <c r="C699" s="345">
        <v>0.27</v>
      </c>
      <c r="D699" s="345">
        <v>0.99</v>
      </c>
      <c r="E699" s="55">
        <v>322.707</v>
      </c>
      <c r="F699" s="10">
        <f t="shared" si="48"/>
        <v>309.6</v>
      </c>
      <c r="G699" s="10">
        <f t="shared" si="49"/>
        <v>13.107</v>
      </c>
      <c r="H699" s="55"/>
      <c r="I699" s="153">
        <f t="shared" si="50"/>
        <v>0.949994887002761</v>
      </c>
      <c r="J699" s="55"/>
      <c r="K699" s="55"/>
      <c r="L699" s="55">
        <v>306.57</v>
      </c>
      <c r="M699" s="166">
        <f t="shared" si="51"/>
        <v>7075.32999999998</v>
      </c>
      <c r="O699" s="343" t="s">
        <v>1611</v>
      </c>
    </row>
    <row r="700" spans="1:15">
      <c r="A700" s="203">
        <v>46197</v>
      </c>
      <c r="B700" s="55" t="s">
        <v>81</v>
      </c>
      <c r="C700" s="345">
        <v>0.32</v>
      </c>
      <c r="D700" s="345">
        <v>1</v>
      </c>
      <c r="E700" s="55">
        <v>314.975</v>
      </c>
      <c r="F700" s="10">
        <f t="shared" si="48"/>
        <v>292.4</v>
      </c>
      <c r="G700" s="10">
        <f t="shared" si="49"/>
        <v>22.575</v>
      </c>
      <c r="H700" s="55"/>
      <c r="I700" s="153">
        <f t="shared" si="50"/>
        <v>0.949948408603857</v>
      </c>
      <c r="J700" s="55"/>
      <c r="K700" s="55"/>
      <c r="L700" s="55">
        <v>299.21</v>
      </c>
      <c r="M700" s="166">
        <f t="shared" si="51"/>
        <v>6776.11999999998</v>
      </c>
      <c r="O700" s="343" t="s">
        <v>1611</v>
      </c>
    </row>
    <row r="701" spans="1:15">
      <c r="A701" s="203">
        <v>46197</v>
      </c>
      <c r="B701" s="55" t="s">
        <v>132</v>
      </c>
      <c r="C701" s="345">
        <v>0.38</v>
      </c>
      <c r="D701" s="345">
        <v>0.86</v>
      </c>
      <c r="E701" s="55">
        <v>218.523</v>
      </c>
      <c r="F701" s="10">
        <f t="shared" si="48"/>
        <v>206.4</v>
      </c>
      <c r="G701" s="10">
        <f t="shared" si="49"/>
        <v>12.123</v>
      </c>
      <c r="H701" s="55"/>
      <c r="I701" s="153">
        <f t="shared" si="50"/>
        <v>0.949968653185248</v>
      </c>
      <c r="J701" s="55"/>
      <c r="K701" s="55"/>
      <c r="L701" s="55">
        <v>207.59</v>
      </c>
      <c r="M701" s="166">
        <f t="shared" si="51"/>
        <v>6568.52999999998</v>
      </c>
      <c r="O701" s="343" t="s">
        <v>1611</v>
      </c>
    </row>
    <row r="702" spans="1:15">
      <c r="A702" s="203">
        <v>46197</v>
      </c>
      <c r="B702" s="55" t="s">
        <v>60</v>
      </c>
      <c r="C702" s="345">
        <v>0.33</v>
      </c>
      <c r="D702" s="345">
        <v>0.89</v>
      </c>
      <c r="E702" s="55">
        <v>230.937</v>
      </c>
      <c r="F702" s="10">
        <f t="shared" si="48"/>
        <v>240.8</v>
      </c>
      <c r="G702" s="10">
        <f t="shared" si="49"/>
        <v>-9.863</v>
      </c>
      <c r="H702" s="55"/>
      <c r="I702" s="153">
        <f t="shared" si="50"/>
        <v>0.94995604861932</v>
      </c>
      <c r="J702" s="55"/>
      <c r="K702" s="55"/>
      <c r="L702" s="55">
        <v>219.38</v>
      </c>
      <c r="M702" s="166">
        <f t="shared" si="51"/>
        <v>6349.14999999998</v>
      </c>
      <c r="O702" s="343" t="s">
        <v>1611</v>
      </c>
    </row>
    <row r="703" spans="1:15">
      <c r="A703" s="203">
        <v>46197</v>
      </c>
      <c r="B703" s="55" t="s">
        <v>99</v>
      </c>
      <c r="C703" s="345">
        <v>0.38</v>
      </c>
      <c r="D703" s="345">
        <v>0.93</v>
      </c>
      <c r="E703" s="55">
        <v>253.28</v>
      </c>
      <c r="F703" s="10">
        <f t="shared" si="48"/>
        <v>236.5</v>
      </c>
      <c r="G703" s="10">
        <f t="shared" si="49"/>
        <v>16.78</v>
      </c>
      <c r="H703" s="55"/>
      <c r="I703" s="153">
        <f t="shared" si="50"/>
        <v>0.94772583701832</v>
      </c>
      <c r="J703" s="55"/>
      <c r="K703" s="55"/>
      <c r="L703" s="55">
        <v>240.04</v>
      </c>
      <c r="M703" s="166">
        <f t="shared" si="51"/>
        <v>6109.10999999998</v>
      </c>
      <c r="O703" s="343" t="s">
        <v>1611</v>
      </c>
    </row>
    <row r="704" spans="1:15">
      <c r="A704" s="203">
        <v>46197</v>
      </c>
      <c r="B704" s="55" t="s">
        <v>84</v>
      </c>
      <c r="C704" s="345">
        <v>0.23</v>
      </c>
      <c r="D704" s="345">
        <v>0.98</v>
      </c>
      <c r="E704" s="55">
        <v>375.172</v>
      </c>
      <c r="F704" s="10">
        <f t="shared" si="48"/>
        <v>322.5</v>
      </c>
      <c r="G704" s="10">
        <f t="shared" si="49"/>
        <v>52.672</v>
      </c>
      <c r="H704" s="55"/>
      <c r="I704" s="153">
        <f t="shared" si="50"/>
        <v>0.871333681618031</v>
      </c>
      <c r="J704" s="55"/>
      <c r="K704" s="55"/>
      <c r="L704" s="55">
        <v>326.9</v>
      </c>
      <c r="M704" s="166">
        <f t="shared" si="51"/>
        <v>5782.20999999998</v>
      </c>
      <c r="O704" s="343" t="s">
        <v>1611</v>
      </c>
    </row>
    <row r="705" spans="1:15">
      <c r="A705" s="203">
        <v>46197</v>
      </c>
      <c r="B705" s="55" t="s">
        <v>151</v>
      </c>
      <c r="C705" s="345">
        <v>0.55</v>
      </c>
      <c r="D705" s="345">
        <v>0.87</v>
      </c>
      <c r="E705" s="55">
        <v>147.698</v>
      </c>
      <c r="F705" s="10">
        <f t="shared" si="48"/>
        <v>137.6</v>
      </c>
      <c r="G705" s="10">
        <f t="shared" si="49"/>
        <v>10.098</v>
      </c>
      <c r="H705" s="55"/>
      <c r="I705" s="153">
        <f t="shared" si="50"/>
        <v>0.949911305501767</v>
      </c>
      <c r="J705" s="55"/>
      <c r="K705" s="55"/>
      <c r="L705" s="55">
        <v>140.3</v>
      </c>
      <c r="M705" s="166">
        <f t="shared" si="51"/>
        <v>5641.90999999998</v>
      </c>
      <c r="O705" s="343" t="s">
        <v>1611</v>
      </c>
    </row>
    <row r="706" spans="1:15">
      <c r="A706" s="203">
        <v>46197</v>
      </c>
      <c r="B706" s="55" t="s">
        <v>210</v>
      </c>
      <c r="C706" s="345">
        <v>0.54</v>
      </c>
      <c r="D706" s="345">
        <v>0.86</v>
      </c>
      <c r="E706" s="55">
        <v>148.279</v>
      </c>
      <c r="F706" s="10">
        <f t="shared" si="48"/>
        <v>137.6</v>
      </c>
      <c r="G706" s="10">
        <f t="shared" si="49"/>
        <v>10.679</v>
      </c>
      <c r="H706" s="55"/>
      <c r="I706" s="153">
        <f t="shared" si="50"/>
        <v>0.949898502147978</v>
      </c>
      <c r="J706" s="55"/>
      <c r="K706" s="55"/>
      <c r="L706" s="55">
        <v>140.85</v>
      </c>
      <c r="M706" s="166">
        <f t="shared" si="51"/>
        <v>5501.05999999998</v>
      </c>
      <c r="O706" s="343" t="s">
        <v>1611</v>
      </c>
    </row>
    <row r="707" spans="1:15">
      <c r="A707" s="203">
        <v>46197</v>
      </c>
      <c r="B707" s="55" t="s">
        <v>63</v>
      </c>
      <c r="C707" s="345">
        <v>0.3</v>
      </c>
      <c r="D707" s="345">
        <v>1</v>
      </c>
      <c r="E707" s="55">
        <v>320.108</v>
      </c>
      <c r="F707" s="10">
        <f t="shared" si="48"/>
        <v>301</v>
      </c>
      <c r="G707" s="10">
        <f t="shared" si="49"/>
        <v>19.108</v>
      </c>
      <c r="H707" s="55"/>
      <c r="I707" s="153">
        <f t="shared" si="50"/>
        <v>0.84084121608957</v>
      </c>
      <c r="J707" s="55"/>
      <c r="K707" s="55"/>
      <c r="L707" s="55">
        <v>269.16</v>
      </c>
      <c r="M707" s="166">
        <f t="shared" si="51"/>
        <v>5231.89999999998</v>
      </c>
      <c r="O707" s="343" t="s">
        <v>1611</v>
      </c>
    </row>
    <row r="708" spans="1:15">
      <c r="A708" s="203">
        <v>46198</v>
      </c>
      <c r="B708" s="55" t="s">
        <v>141</v>
      </c>
      <c r="C708" s="345">
        <v>0.15</v>
      </c>
      <c r="D708" s="345">
        <v>1</v>
      </c>
      <c r="E708" s="55">
        <v>376.28</v>
      </c>
      <c r="F708" s="10">
        <f t="shared" si="48"/>
        <v>365.5</v>
      </c>
      <c r="G708" s="10">
        <f t="shared" si="49"/>
        <v>10.78</v>
      </c>
      <c r="H708" s="55"/>
      <c r="I708" s="153">
        <f t="shared" si="50"/>
        <v>0.819974487084086</v>
      </c>
      <c r="J708" s="55"/>
      <c r="K708" s="55">
        <v>20000</v>
      </c>
      <c r="L708" s="55">
        <v>308.54</v>
      </c>
      <c r="M708" s="166">
        <f t="shared" si="51"/>
        <v>24923.36</v>
      </c>
      <c r="O708" s="343" t="s">
        <v>1611</v>
      </c>
    </row>
    <row r="709" spans="1:15">
      <c r="A709" s="203">
        <v>46198</v>
      </c>
      <c r="B709" s="55" t="s">
        <v>66</v>
      </c>
      <c r="C709" s="345">
        <v>0.54</v>
      </c>
      <c r="D709" s="345">
        <v>0.98</v>
      </c>
      <c r="E709" s="55">
        <v>219.548</v>
      </c>
      <c r="F709" s="10">
        <f t="shared" si="48"/>
        <v>189.2</v>
      </c>
      <c r="G709" s="10">
        <f t="shared" si="49"/>
        <v>30.348</v>
      </c>
      <c r="H709" s="55"/>
      <c r="I709" s="153">
        <f t="shared" si="50"/>
        <v>0.819957366953924</v>
      </c>
      <c r="J709" s="55"/>
      <c r="K709" s="55"/>
      <c r="L709" s="55">
        <v>180.02</v>
      </c>
      <c r="M709" s="166">
        <f t="shared" si="51"/>
        <v>24743.34</v>
      </c>
      <c r="O709" s="343" t="s">
        <v>1611</v>
      </c>
    </row>
    <row r="710" spans="1:15">
      <c r="A710" s="203">
        <v>46198</v>
      </c>
      <c r="B710" s="55" t="s">
        <v>102</v>
      </c>
      <c r="C710" s="345">
        <v>0.4</v>
      </c>
      <c r="D710" s="345">
        <v>0.98</v>
      </c>
      <c r="E710" s="55">
        <v>272.075</v>
      </c>
      <c r="F710" s="10">
        <f t="shared" si="48"/>
        <v>249.4</v>
      </c>
      <c r="G710" s="10">
        <f t="shared" si="49"/>
        <v>22.675</v>
      </c>
      <c r="H710" s="55"/>
      <c r="I710" s="153">
        <f t="shared" si="50"/>
        <v>0.669962326564366</v>
      </c>
      <c r="J710" s="55"/>
      <c r="K710" s="55"/>
      <c r="L710" s="55">
        <v>182.28</v>
      </c>
      <c r="M710" s="166">
        <f t="shared" si="51"/>
        <v>24561.06</v>
      </c>
      <c r="O710" s="343" t="s">
        <v>1611</v>
      </c>
    </row>
    <row r="711" spans="1:15">
      <c r="A711" s="203">
        <v>46198</v>
      </c>
      <c r="B711" s="55" t="s">
        <v>130</v>
      </c>
      <c r="C711" s="345">
        <v>0.2</v>
      </c>
      <c r="D711" s="345">
        <v>1</v>
      </c>
      <c r="E711" s="55">
        <v>331.723</v>
      </c>
      <c r="F711" s="10">
        <f t="shared" si="48"/>
        <v>344</v>
      </c>
      <c r="G711" s="10">
        <f t="shared" si="49"/>
        <v>-12.277</v>
      </c>
      <c r="H711" s="55"/>
      <c r="I711" s="153">
        <f t="shared" si="50"/>
        <v>0.669986705775602</v>
      </c>
      <c r="J711" s="55"/>
      <c r="K711" s="55"/>
      <c r="L711" s="55">
        <v>222.25</v>
      </c>
      <c r="M711" s="166">
        <f t="shared" si="51"/>
        <v>24338.81</v>
      </c>
      <c r="O711" s="343" t="s">
        <v>1611</v>
      </c>
    </row>
    <row r="712" spans="1:15">
      <c r="A712" s="203">
        <v>46198</v>
      </c>
      <c r="B712" s="55" t="s">
        <v>105</v>
      </c>
      <c r="C712" s="345">
        <v>0.58</v>
      </c>
      <c r="D712" s="345">
        <v>0.98</v>
      </c>
      <c r="E712" s="55">
        <v>194.75</v>
      </c>
      <c r="F712" s="10">
        <f t="shared" si="48"/>
        <v>172</v>
      </c>
      <c r="G712" s="10">
        <f t="shared" si="49"/>
        <v>22.75</v>
      </c>
      <c r="H712" s="55"/>
      <c r="I712" s="153">
        <f t="shared" si="50"/>
        <v>0.669935815147625</v>
      </c>
      <c r="J712" s="55"/>
      <c r="K712" s="55"/>
      <c r="L712" s="55">
        <v>130.47</v>
      </c>
      <c r="M712" s="166">
        <f t="shared" si="51"/>
        <v>24208.34</v>
      </c>
      <c r="O712" s="343" t="s">
        <v>1611</v>
      </c>
    </row>
    <row r="713" spans="1:15">
      <c r="A713" s="203">
        <v>46198</v>
      </c>
      <c r="B713" s="55" t="s">
        <v>138</v>
      </c>
      <c r="C713" s="345">
        <v>0.55</v>
      </c>
      <c r="D713" s="345">
        <v>0.99</v>
      </c>
      <c r="E713" s="55">
        <v>203.887</v>
      </c>
      <c r="F713" s="10">
        <f t="shared" si="48"/>
        <v>189.2</v>
      </c>
      <c r="G713" s="10">
        <f t="shared" si="49"/>
        <v>14.687</v>
      </c>
      <c r="H713" s="55"/>
      <c r="I713" s="153">
        <f t="shared" si="50"/>
        <v>0.669929912157224</v>
      </c>
      <c r="J713" s="55"/>
      <c r="K713" s="55"/>
      <c r="L713" s="55">
        <v>136.59</v>
      </c>
      <c r="M713" s="166">
        <f t="shared" si="51"/>
        <v>24071.75</v>
      </c>
      <c r="O713" s="343" t="s">
        <v>1611</v>
      </c>
    </row>
    <row r="714" spans="1:15">
      <c r="A714" s="203">
        <v>46198</v>
      </c>
      <c r="B714" s="55" t="s">
        <v>148</v>
      </c>
      <c r="C714" s="345">
        <v>0.56</v>
      </c>
      <c r="D714" s="345">
        <v>0.99</v>
      </c>
      <c r="E714" s="55">
        <v>196.355</v>
      </c>
      <c r="F714" s="10">
        <f t="shared" si="48"/>
        <v>184.9</v>
      </c>
      <c r="G714" s="10">
        <f t="shared" si="49"/>
        <v>11.455</v>
      </c>
      <c r="H714" s="55"/>
      <c r="I714" s="153">
        <f t="shared" si="50"/>
        <v>0.66996002138983</v>
      </c>
      <c r="J714" s="55"/>
      <c r="K714" s="55"/>
      <c r="L714" s="55">
        <v>131.55</v>
      </c>
      <c r="M714" s="166">
        <f t="shared" si="51"/>
        <v>23940.2</v>
      </c>
      <c r="O714" s="343" t="s">
        <v>1611</v>
      </c>
    </row>
    <row r="715" spans="1:15">
      <c r="A715" s="203">
        <v>46198</v>
      </c>
      <c r="B715" s="55" t="s">
        <v>195</v>
      </c>
      <c r="C715" s="345">
        <v>0.35</v>
      </c>
      <c r="D715" s="345">
        <v>0.99</v>
      </c>
      <c r="E715" s="55">
        <v>291.208</v>
      </c>
      <c r="F715" s="10">
        <f t="shared" si="48"/>
        <v>275.2</v>
      </c>
      <c r="G715" s="10">
        <f t="shared" si="49"/>
        <v>16.008</v>
      </c>
      <c r="H715" s="55"/>
      <c r="I715" s="153">
        <f t="shared" si="50"/>
        <v>0.715983077387984</v>
      </c>
      <c r="J715" s="55"/>
      <c r="K715" s="55"/>
      <c r="L715" s="55">
        <v>208.5</v>
      </c>
      <c r="M715" s="166">
        <f t="shared" si="51"/>
        <v>23731.7</v>
      </c>
      <c r="O715" s="343" t="s">
        <v>1611</v>
      </c>
    </row>
    <row r="716" spans="1:15">
      <c r="A716" s="203">
        <v>46198</v>
      </c>
      <c r="B716" s="55" t="s">
        <v>90</v>
      </c>
      <c r="C716" s="345">
        <v>0.23</v>
      </c>
      <c r="D716" s="345">
        <v>0.9</v>
      </c>
      <c r="E716" s="55">
        <v>311.955</v>
      </c>
      <c r="F716" s="10">
        <f t="shared" si="48"/>
        <v>288.1</v>
      </c>
      <c r="G716" s="10">
        <f t="shared" si="49"/>
        <v>23.855</v>
      </c>
      <c r="H716" s="55"/>
      <c r="I716" s="153">
        <f t="shared" si="50"/>
        <v>0.874164542962927</v>
      </c>
      <c r="J716" s="55"/>
      <c r="K716" s="55"/>
      <c r="L716" s="55">
        <v>272.7</v>
      </c>
      <c r="M716" s="166">
        <f t="shared" si="51"/>
        <v>23459</v>
      </c>
      <c r="O716" s="343" t="s">
        <v>1611</v>
      </c>
    </row>
    <row r="717" spans="1:15">
      <c r="A717" s="203">
        <v>46198</v>
      </c>
      <c r="B717" s="55" t="s">
        <v>339</v>
      </c>
      <c r="C717" s="345">
        <v>0.53</v>
      </c>
      <c r="D717" s="345">
        <v>1</v>
      </c>
      <c r="E717" s="55">
        <v>211.036</v>
      </c>
      <c r="F717" s="10">
        <f t="shared" si="48"/>
        <v>202.1</v>
      </c>
      <c r="G717" s="10">
        <f t="shared" si="49"/>
        <v>8.93600000000001</v>
      </c>
      <c r="H717" s="55"/>
      <c r="I717" s="153">
        <f t="shared" si="50"/>
        <v>0.949980098182301</v>
      </c>
      <c r="J717" s="55"/>
      <c r="K717" s="55"/>
      <c r="L717" s="55">
        <v>200.48</v>
      </c>
      <c r="M717" s="166">
        <f t="shared" si="51"/>
        <v>23258.52</v>
      </c>
      <c r="O717" s="343" t="s">
        <v>1611</v>
      </c>
    </row>
    <row r="718" spans="1:15">
      <c r="A718" s="203">
        <v>46198</v>
      </c>
      <c r="B718" s="55" t="s">
        <v>54</v>
      </c>
      <c r="C718" s="345">
        <v>0.4</v>
      </c>
      <c r="D718" s="345">
        <v>0.74</v>
      </c>
      <c r="E718" s="55">
        <v>138.878</v>
      </c>
      <c r="F718" s="10">
        <f t="shared" si="48"/>
        <v>146.2</v>
      </c>
      <c r="G718" s="10">
        <f t="shared" si="49"/>
        <v>-7.322</v>
      </c>
      <c r="H718" s="55"/>
      <c r="I718" s="153">
        <f t="shared" si="50"/>
        <v>0.949898472040208</v>
      </c>
      <c r="J718" s="55"/>
      <c r="K718" s="55"/>
      <c r="L718" s="55">
        <v>131.92</v>
      </c>
      <c r="M718" s="166">
        <f t="shared" si="51"/>
        <v>23126.6</v>
      </c>
      <c r="O718" s="343" t="s">
        <v>1611</v>
      </c>
    </row>
    <row r="719" spans="1:15">
      <c r="A719" s="203">
        <v>46198</v>
      </c>
      <c r="B719" s="55" t="s">
        <v>75</v>
      </c>
      <c r="C719" s="345">
        <v>0.2</v>
      </c>
      <c r="D719" s="345">
        <v>0.92</v>
      </c>
      <c r="E719" s="55">
        <v>333.018</v>
      </c>
      <c r="F719" s="10">
        <f t="shared" si="48"/>
        <v>309.6</v>
      </c>
      <c r="G719" s="10">
        <f t="shared" si="49"/>
        <v>23.4179999999999</v>
      </c>
      <c r="H719" s="55"/>
      <c r="I719" s="153">
        <f t="shared" si="50"/>
        <v>0.94997867983112</v>
      </c>
      <c r="J719" s="55"/>
      <c r="K719" s="55"/>
      <c r="L719" s="55">
        <v>316.36</v>
      </c>
      <c r="M719" s="166">
        <f t="shared" si="51"/>
        <v>22810.24</v>
      </c>
      <c r="O719" s="343" t="s">
        <v>1611</v>
      </c>
    </row>
    <row r="720" spans="1:15">
      <c r="A720" s="203">
        <v>46198</v>
      </c>
      <c r="B720" s="55" t="s">
        <v>57</v>
      </c>
      <c r="C720" s="345">
        <v>0.49</v>
      </c>
      <c r="D720" s="345">
        <v>0.99</v>
      </c>
      <c r="E720" s="55">
        <v>207.745</v>
      </c>
      <c r="F720" s="10">
        <f t="shared" si="48"/>
        <v>215</v>
      </c>
      <c r="G720" s="10">
        <f t="shared" si="49"/>
        <v>-7.255</v>
      </c>
      <c r="H720" s="55"/>
      <c r="I720" s="153">
        <f t="shared" si="50"/>
        <v>0.949962694649691</v>
      </c>
      <c r="J720" s="55"/>
      <c r="K720" s="55"/>
      <c r="L720" s="55">
        <v>197.35</v>
      </c>
      <c r="M720" s="166">
        <f t="shared" si="51"/>
        <v>22612.89</v>
      </c>
      <c r="O720" s="343" t="s">
        <v>1611</v>
      </c>
    </row>
    <row r="721" spans="1:17">
      <c r="A721" s="203">
        <v>46198</v>
      </c>
      <c r="B721" s="55" t="s">
        <v>192</v>
      </c>
      <c r="C721" s="345">
        <v>0.51</v>
      </c>
      <c r="D721" s="345">
        <v>0.92</v>
      </c>
      <c r="E721" s="55">
        <v>181.318</v>
      </c>
      <c r="F721" s="10">
        <f t="shared" si="48"/>
        <v>176.3</v>
      </c>
      <c r="G721" s="10">
        <f t="shared" si="49"/>
        <v>5.018</v>
      </c>
      <c r="H721" s="55"/>
      <c r="I721" s="153">
        <f t="shared" si="50"/>
        <v>0.949988418138298</v>
      </c>
      <c r="J721" s="55"/>
      <c r="K721" s="55"/>
      <c r="L721" s="55">
        <v>172.25</v>
      </c>
      <c r="M721" s="166">
        <f t="shared" si="51"/>
        <v>22440.64</v>
      </c>
      <c r="O721" s="343" t="s">
        <v>1611</v>
      </c>
    </row>
    <row r="722" spans="1:17">
      <c r="A722" s="203">
        <v>46198</v>
      </c>
      <c r="B722" s="55" t="s">
        <v>189</v>
      </c>
      <c r="C722" s="345">
        <v>0.44</v>
      </c>
      <c r="D722" s="345">
        <v>0.44</v>
      </c>
      <c r="E722" s="55">
        <v>1.071</v>
      </c>
      <c r="F722" s="10">
        <f t="shared" si="48"/>
        <v>0</v>
      </c>
      <c r="G722" s="10">
        <f t="shared" si="49"/>
        <v>1.071</v>
      </c>
      <c r="H722" s="55"/>
      <c r="I722" s="153">
        <f t="shared" si="50"/>
        <v>0.943043884220355</v>
      </c>
      <c r="J722" s="55"/>
      <c r="K722" s="55"/>
      <c r="L722" s="55">
        <v>1.01</v>
      </c>
      <c r="M722" s="166">
        <f t="shared" si="51"/>
        <v>22439.63</v>
      </c>
      <c r="O722" s="343" t="s">
        <v>1611</v>
      </c>
    </row>
    <row r="723" spans="1:17">
      <c r="A723" s="203">
        <v>46198</v>
      </c>
      <c r="B723" s="55" t="s">
        <v>189</v>
      </c>
      <c r="C723" s="345">
        <v>0.45</v>
      </c>
      <c r="D723" s="345">
        <v>0.89</v>
      </c>
      <c r="E723" s="55">
        <v>202.562</v>
      </c>
      <c r="F723" s="10">
        <f t="shared" si="48"/>
        <v>189.2</v>
      </c>
      <c r="G723" s="10">
        <f t="shared" si="49"/>
        <v>13.362</v>
      </c>
      <c r="H723" s="55"/>
      <c r="I723" s="153">
        <f t="shared" si="50"/>
        <v>0.949931379034567</v>
      </c>
      <c r="J723" s="55"/>
      <c r="K723" s="55"/>
      <c r="L723" s="55">
        <v>192.42</v>
      </c>
      <c r="M723" s="166">
        <f t="shared" si="51"/>
        <v>22247.21</v>
      </c>
      <c r="O723" s="343" t="s">
        <v>1611</v>
      </c>
    </row>
    <row r="724" spans="1:17">
      <c r="A724" s="203">
        <v>46198</v>
      </c>
      <c r="B724" s="55" t="s">
        <v>207</v>
      </c>
      <c r="C724" s="345">
        <v>0.53</v>
      </c>
      <c r="D724" s="345">
        <v>0.94</v>
      </c>
      <c r="E724" s="55">
        <v>183.272</v>
      </c>
      <c r="F724" s="10">
        <f t="shared" si="48"/>
        <v>176.3</v>
      </c>
      <c r="G724" s="10">
        <f t="shared" si="49"/>
        <v>6.97199999999998</v>
      </c>
      <c r="H724" s="55"/>
      <c r="I724" s="153">
        <f t="shared" si="50"/>
        <v>0.949954166484788</v>
      </c>
      <c r="J724" s="55"/>
      <c r="K724" s="55"/>
      <c r="L724" s="55">
        <v>174.1</v>
      </c>
      <c r="M724" s="166">
        <f t="shared" si="51"/>
        <v>22073.11</v>
      </c>
      <c r="O724" s="343" t="s">
        <v>1611</v>
      </c>
    </row>
    <row r="725" spans="1:17">
      <c r="A725" s="203">
        <v>46198</v>
      </c>
      <c r="B725" s="55" t="s">
        <v>201</v>
      </c>
      <c r="C725" s="345">
        <v>0.3</v>
      </c>
      <c r="D725" s="345">
        <v>0.88</v>
      </c>
      <c r="E725" s="55">
        <v>259.581</v>
      </c>
      <c r="F725" s="10">
        <f t="shared" si="48"/>
        <v>249.4</v>
      </c>
      <c r="G725" s="10">
        <f t="shared" si="49"/>
        <v>10.181</v>
      </c>
      <c r="H725" s="55"/>
      <c r="I725" s="153">
        <f t="shared" si="50"/>
        <v>0.940091917359129</v>
      </c>
      <c r="J725" s="55"/>
      <c r="K725" s="55"/>
      <c r="L725" s="55">
        <v>244.03</v>
      </c>
      <c r="M725" s="166">
        <f t="shared" si="51"/>
        <v>21829.08</v>
      </c>
      <c r="O725" s="343" t="s">
        <v>1611</v>
      </c>
    </row>
    <row r="726" spans="1:17">
      <c r="A726" s="203">
        <v>46198</v>
      </c>
      <c r="B726" s="55" t="s">
        <v>213</v>
      </c>
      <c r="C726" s="345">
        <v>0.44</v>
      </c>
      <c r="D726" s="345">
        <v>0.91</v>
      </c>
      <c r="E726" s="55">
        <v>209.387</v>
      </c>
      <c r="F726" s="10">
        <f t="shared" ref="F726:F757" si="52">(D726-C726)*430</f>
        <v>202.1</v>
      </c>
      <c r="G726" s="10">
        <f t="shared" ref="G726:G757" si="53">E726-F726</f>
        <v>7.28700000000001</v>
      </c>
      <c r="H726" s="55"/>
      <c r="I726" s="153">
        <f t="shared" ref="I726:I757" si="54">L726/E726</f>
        <v>0.88066594392202</v>
      </c>
      <c r="J726" s="55"/>
      <c r="K726" s="55"/>
      <c r="L726" s="55">
        <v>184.4</v>
      </c>
      <c r="M726" s="166">
        <f t="shared" ref="M726:M757" si="55">M725+K726-L726</f>
        <v>21644.68</v>
      </c>
      <c r="O726" s="343" t="s">
        <v>1611</v>
      </c>
      <c r="P726" s="144" t="str">
        <f>MIN(MAX(C726,0),100)&amp;"%"</f>
        <v>0.44%</v>
      </c>
      <c r="Q726" s="144" t="str">
        <f>MIN(MAX(D726,0),100)&amp;"%"</f>
        <v>0.91%</v>
      </c>
    </row>
    <row r="727" spans="1:17">
      <c r="A727" s="203">
        <v>46198</v>
      </c>
      <c r="B727" s="55" t="s">
        <v>670</v>
      </c>
      <c r="C727" s="345">
        <v>0.4</v>
      </c>
      <c r="D727" s="345">
        <v>0.85</v>
      </c>
      <c r="E727" s="55">
        <v>204.203</v>
      </c>
      <c r="F727" s="10">
        <f t="shared" si="52"/>
        <v>193.5</v>
      </c>
      <c r="G727" s="10">
        <f t="shared" si="53"/>
        <v>10.703</v>
      </c>
      <c r="H727" s="55"/>
      <c r="I727" s="153">
        <f t="shared" si="54"/>
        <v>0.884218155462946</v>
      </c>
      <c r="J727" s="55"/>
      <c r="K727" s="55"/>
      <c r="L727" s="55">
        <v>180.56</v>
      </c>
      <c r="M727" s="166">
        <f t="shared" si="55"/>
        <v>21464.12</v>
      </c>
      <c r="O727" s="343" t="s">
        <v>1611</v>
      </c>
    </row>
    <row r="728" spans="1:17">
      <c r="A728" s="203">
        <v>46198</v>
      </c>
      <c r="B728" s="55" t="s">
        <v>135</v>
      </c>
      <c r="C728" s="345">
        <v>0.38</v>
      </c>
      <c r="D728" s="345">
        <v>0.99</v>
      </c>
      <c r="E728" s="55">
        <v>274.828</v>
      </c>
      <c r="F728" s="10">
        <f t="shared" si="52"/>
        <v>262.3</v>
      </c>
      <c r="G728" s="10">
        <f t="shared" si="53"/>
        <v>12.528</v>
      </c>
      <c r="H728" s="55"/>
      <c r="I728" s="153">
        <f t="shared" si="54"/>
        <v>0.903474172937255</v>
      </c>
      <c r="J728" s="55"/>
      <c r="K728" s="55"/>
      <c r="L728" s="55">
        <v>248.3</v>
      </c>
      <c r="M728" s="166">
        <f t="shared" si="55"/>
        <v>21215.82</v>
      </c>
      <c r="O728" s="343" t="s">
        <v>1611</v>
      </c>
    </row>
    <row r="729" spans="1:17">
      <c r="A729" s="203">
        <v>46198</v>
      </c>
      <c r="B729" s="55" t="s">
        <v>154</v>
      </c>
      <c r="C729" s="345">
        <v>0.14</v>
      </c>
      <c r="D729" s="345">
        <v>0.85</v>
      </c>
      <c r="E729" s="55">
        <v>313.92</v>
      </c>
      <c r="F729" s="10">
        <f t="shared" si="52"/>
        <v>305.3</v>
      </c>
      <c r="G729" s="10">
        <f t="shared" si="53"/>
        <v>8.62</v>
      </c>
      <c r="H729" s="55"/>
      <c r="I729" s="153">
        <f t="shared" si="54"/>
        <v>0.921731651376147</v>
      </c>
      <c r="J729" s="55"/>
      <c r="K729" s="55"/>
      <c r="L729" s="55">
        <v>289.35</v>
      </c>
      <c r="M729" s="166">
        <f t="shared" si="55"/>
        <v>20926.47</v>
      </c>
      <c r="O729" s="343" t="s">
        <v>1611</v>
      </c>
    </row>
    <row r="730" spans="1:17">
      <c r="A730" s="203">
        <v>46198</v>
      </c>
      <c r="B730" s="55" t="s">
        <v>93</v>
      </c>
      <c r="C730" s="345">
        <v>0.41</v>
      </c>
      <c r="D730" s="345">
        <v>0.95</v>
      </c>
      <c r="E730" s="55">
        <v>256.731</v>
      </c>
      <c r="F730" s="10">
        <f t="shared" si="52"/>
        <v>232.2</v>
      </c>
      <c r="G730" s="10">
        <f t="shared" si="53"/>
        <v>24.531</v>
      </c>
      <c r="H730" s="55"/>
      <c r="I730" s="153">
        <f t="shared" si="54"/>
        <v>0.949982666682247</v>
      </c>
      <c r="J730" s="55"/>
      <c r="K730" s="55"/>
      <c r="L730" s="55">
        <v>243.89</v>
      </c>
      <c r="M730" s="166">
        <f t="shared" si="55"/>
        <v>20682.58</v>
      </c>
      <c r="O730" s="343" t="s">
        <v>1611</v>
      </c>
    </row>
    <row r="731" spans="1:17">
      <c r="A731" s="203">
        <v>46198</v>
      </c>
      <c r="B731" s="55" t="s">
        <v>198</v>
      </c>
      <c r="C731" s="345">
        <v>0.24</v>
      </c>
      <c r="D731" s="345">
        <v>0.9</v>
      </c>
      <c r="E731" s="55">
        <v>289.811</v>
      </c>
      <c r="F731" s="10">
        <f t="shared" si="52"/>
        <v>283.8</v>
      </c>
      <c r="G731" s="10">
        <f t="shared" si="53"/>
        <v>6.01099999999997</v>
      </c>
      <c r="H731" s="55"/>
      <c r="I731" s="153">
        <f t="shared" si="54"/>
        <v>0.949963942017384</v>
      </c>
      <c r="J731" s="55"/>
      <c r="K731" s="55"/>
      <c r="L731" s="55">
        <v>275.31</v>
      </c>
      <c r="M731" s="166">
        <f t="shared" si="55"/>
        <v>20407.27</v>
      </c>
      <c r="O731" s="343" t="s">
        <v>1611</v>
      </c>
    </row>
    <row r="732" spans="1:17">
      <c r="A732" s="203">
        <v>46198</v>
      </c>
      <c r="B732" s="55" t="s">
        <v>127</v>
      </c>
      <c r="C732" s="345">
        <v>0.28</v>
      </c>
      <c r="D732" s="345">
        <v>0.91</v>
      </c>
      <c r="E732" s="55">
        <v>263.086</v>
      </c>
      <c r="F732" s="10">
        <f t="shared" si="52"/>
        <v>270.9</v>
      </c>
      <c r="G732" s="10">
        <f t="shared" si="53"/>
        <v>-7.81399999999996</v>
      </c>
      <c r="H732" s="55"/>
      <c r="I732" s="153">
        <f t="shared" si="54"/>
        <v>0.949955527850209</v>
      </c>
      <c r="J732" s="55"/>
      <c r="K732" s="55"/>
      <c r="L732" s="55">
        <v>249.92</v>
      </c>
      <c r="M732" s="166">
        <f t="shared" si="55"/>
        <v>20157.35</v>
      </c>
      <c r="O732" s="343" t="s">
        <v>1611</v>
      </c>
    </row>
    <row r="733" spans="1:17">
      <c r="A733" s="203">
        <v>46198</v>
      </c>
      <c r="B733" s="55" t="s">
        <v>174</v>
      </c>
      <c r="C733" s="345">
        <v>0.45</v>
      </c>
      <c r="D733" s="345">
        <v>0.81</v>
      </c>
      <c r="E733" s="55">
        <v>162.538</v>
      </c>
      <c r="F733" s="10">
        <f t="shared" si="52"/>
        <v>154.8</v>
      </c>
      <c r="G733" s="10">
        <f t="shared" si="53"/>
        <v>7.738</v>
      </c>
      <c r="H733" s="55"/>
      <c r="I733" s="153">
        <f t="shared" si="54"/>
        <v>0.949931708277449</v>
      </c>
      <c r="J733" s="55"/>
      <c r="K733" s="55"/>
      <c r="L733" s="55">
        <v>154.4</v>
      </c>
      <c r="M733" s="166">
        <f t="shared" si="55"/>
        <v>20002.95</v>
      </c>
      <c r="O733" s="343" t="s">
        <v>1611</v>
      </c>
    </row>
    <row r="734" spans="1:17">
      <c r="A734" s="203">
        <v>46198</v>
      </c>
      <c r="B734" s="55" t="s">
        <v>183</v>
      </c>
      <c r="C734" s="345">
        <v>0.51</v>
      </c>
      <c r="D734" s="345">
        <v>0.88</v>
      </c>
      <c r="E734" s="55">
        <v>164.977</v>
      </c>
      <c r="F734" s="10">
        <f t="shared" si="52"/>
        <v>159.1</v>
      </c>
      <c r="G734" s="10">
        <f t="shared" si="53"/>
        <v>5.87700000000001</v>
      </c>
      <c r="H734" s="55"/>
      <c r="I734" s="153">
        <f t="shared" si="54"/>
        <v>0.94995059917443</v>
      </c>
      <c r="J734" s="55"/>
      <c r="K734" s="55"/>
      <c r="L734" s="55">
        <v>156.72</v>
      </c>
      <c r="M734" s="166">
        <f t="shared" si="55"/>
        <v>19846.23</v>
      </c>
      <c r="O734" s="343" t="s">
        <v>1611</v>
      </c>
    </row>
    <row r="735" spans="1:17">
      <c r="A735" s="203">
        <v>46198</v>
      </c>
      <c r="B735" s="55" t="s">
        <v>124</v>
      </c>
      <c r="C735" s="345">
        <v>0.34</v>
      </c>
      <c r="D735" s="345">
        <v>0.91</v>
      </c>
      <c r="E735" s="55">
        <v>244.765</v>
      </c>
      <c r="F735" s="10">
        <f t="shared" si="52"/>
        <v>245.1</v>
      </c>
      <c r="G735" s="10">
        <f t="shared" si="53"/>
        <v>-0.335000000000008</v>
      </c>
      <c r="H735" s="55"/>
      <c r="I735" s="153">
        <f t="shared" si="54"/>
        <v>0.949972422527731</v>
      </c>
      <c r="J735" s="55"/>
      <c r="K735" s="55"/>
      <c r="L735" s="55">
        <v>232.52</v>
      </c>
      <c r="M735" s="166">
        <f t="shared" si="55"/>
        <v>19613.71</v>
      </c>
      <c r="O735" s="343" t="s">
        <v>1611</v>
      </c>
    </row>
    <row r="736" spans="1:17">
      <c r="A736" s="203">
        <v>46198</v>
      </c>
      <c r="B736" s="55" t="s">
        <v>102</v>
      </c>
      <c r="C736" s="345">
        <v>0.45</v>
      </c>
      <c r="D736" s="345">
        <v>0.91</v>
      </c>
      <c r="E736" s="55">
        <v>212.858</v>
      </c>
      <c r="F736" s="10">
        <f t="shared" si="52"/>
        <v>197.8</v>
      </c>
      <c r="G736" s="10">
        <f t="shared" si="53"/>
        <v>15.058</v>
      </c>
      <c r="H736" s="55"/>
      <c r="I736" s="153">
        <f t="shared" si="54"/>
        <v>0.949929060688346</v>
      </c>
      <c r="J736" s="55"/>
      <c r="K736" s="55"/>
      <c r="L736" s="55">
        <v>202.2</v>
      </c>
      <c r="M736" s="166">
        <f t="shared" si="55"/>
        <v>19411.51</v>
      </c>
      <c r="O736" s="343" t="s">
        <v>1611</v>
      </c>
    </row>
    <row r="737" spans="1:15">
      <c r="A737" s="203">
        <v>46198</v>
      </c>
      <c r="B737" s="55" t="s">
        <v>111</v>
      </c>
      <c r="C737" s="345">
        <v>0.47</v>
      </c>
      <c r="D737" s="345">
        <v>0.94</v>
      </c>
      <c r="E737" s="55">
        <v>194.729</v>
      </c>
      <c r="F737" s="10">
        <f t="shared" si="52"/>
        <v>202.1</v>
      </c>
      <c r="G737" s="10">
        <f t="shared" si="53"/>
        <v>-7.37099999999998</v>
      </c>
      <c r="H737" s="55"/>
      <c r="I737" s="153">
        <f t="shared" si="54"/>
        <v>0.949935551458694</v>
      </c>
      <c r="J737" s="55"/>
      <c r="K737" s="55"/>
      <c r="L737" s="55">
        <v>184.98</v>
      </c>
      <c r="M737" s="166">
        <f t="shared" si="55"/>
        <v>19226.53</v>
      </c>
      <c r="O737" s="343" t="s">
        <v>1611</v>
      </c>
    </row>
    <row r="738" spans="1:15">
      <c r="A738" s="203">
        <v>46198</v>
      </c>
      <c r="B738" s="55" t="s">
        <v>186</v>
      </c>
      <c r="C738" s="345">
        <v>0.43</v>
      </c>
      <c r="D738" s="345">
        <v>0.99</v>
      </c>
      <c r="E738" s="55">
        <v>248.989</v>
      </c>
      <c r="F738" s="10">
        <f t="shared" si="52"/>
        <v>240.8</v>
      </c>
      <c r="G738" s="10">
        <f t="shared" si="53"/>
        <v>8.18899999999999</v>
      </c>
      <c r="H738" s="55"/>
      <c r="I738" s="153">
        <f t="shared" si="54"/>
        <v>0.949961644891943</v>
      </c>
      <c r="J738" s="55"/>
      <c r="K738" s="55"/>
      <c r="L738" s="55">
        <v>236.53</v>
      </c>
      <c r="M738" s="166">
        <f t="shared" si="55"/>
        <v>18990</v>
      </c>
      <c r="O738" s="343" t="s">
        <v>1611</v>
      </c>
    </row>
    <row r="739" spans="1:15">
      <c r="A739" s="203">
        <v>46198</v>
      </c>
      <c r="B739" s="55" t="s">
        <v>105</v>
      </c>
      <c r="C739" s="345">
        <v>0.38</v>
      </c>
      <c r="D739" s="345">
        <v>0.91</v>
      </c>
      <c r="E739" s="55">
        <v>249.484</v>
      </c>
      <c r="F739" s="10">
        <f t="shared" si="52"/>
        <v>227.9</v>
      </c>
      <c r="G739" s="10">
        <f t="shared" si="53"/>
        <v>21.584</v>
      </c>
      <c r="H739" s="55"/>
      <c r="I739" s="153">
        <f t="shared" si="54"/>
        <v>0.949960718923859</v>
      </c>
      <c r="J739" s="55"/>
      <c r="K739" s="55"/>
      <c r="L739" s="55">
        <v>237</v>
      </c>
      <c r="M739" s="166">
        <f t="shared" si="55"/>
        <v>18753</v>
      </c>
      <c r="O739" s="343" t="s">
        <v>1611</v>
      </c>
    </row>
    <row r="740" spans="1:15">
      <c r="A740" s="203">
        <v>46198</v>
      </c>
      <c r="B740" s="55" t="s">
        <v>81</v>
      </c>
      <c r="C740" s="345">
        <v>0.53</v>
      </c>
      <c r="D740" s="345">
        <v>0.9</v>
      </c>
      <c r="E740" s="55">
        <v>169.987</v>
      </c>
      <c r="F740" s="10">
        <f t="shared" si="52"/>
        <v>159.1</v>
      </c>
      <c r="G740" s="10">
        <f t="shared" si="53"/>
        <v>10.887</v>
      </c>
      <c r="H740" s="55"/>
      <c r="I740" s="153">
        <f t="shared" si="54"/>
        <v>0.949896168530535</v>
      </c>
      <c r="J740" s="55"/>
      <c r="K740" s="55"/>
      <c r="L740" s="55">
        <v>161.47</v>
      </c>
      <c r="M740" s="166">
        <f t="shared" si="55"/>
        <v>18591.53</v>
      </c>
      <c r="O740" s="343" t="s">
        <v>1611</v>
      </c>
    </row>
    <row r="741" spans="1:15">
      <c r="A741" s="203">
        <v>46198</v>
      </c>
      <c r="B741" s="55" t="s">
        <v>51</v>
      </c>
      <c r="C741" s="345">
        <v>0.32</v>
      </c>
      <c r="D741" s="345">
        <v>0.91</v>
      </c>
      <c r="E741" s="55">
        <v>243.124</v>
      </c>
      <c r="F741" s="10">
        <f t="shared" si="52"/>
        <v>253.7</v>
      </c>
      <c r="G741" s="10">
        <f t="shared" si="53"/>
        <v>-10.576</v>
      </c>
      <c r="H741" s="55"/>
      <c r="I741" s="153">
        <f t="shared" si="54"/>
        <v>0.949967917605831</v>
      </c>
      <c r="J741" s="55"/>
      <c r="K741" s="55"/>
      <c r="L741" s="55">
        <v>230.96</v>
      </c>
      <c r="M741" s="166">
        <f t="shared" si="55"/>
        <v>18360.57</v>
      </c>
      <c r="O741" s="343" t="s">
        <v>1611</v>
      </c>
    </row>
    <row r="742" spans="1:15">
      <c r="A742" s="203">
        <v>46198</v>
      </c>
      <c r="B742" s="55" t="s">
        <v>180</v>
      </c>
      <c r="C742" s="345">
        <v>0.51</v>
      </c>
      <c r="D742" s="345">
        <v>0.93</v>
      </c>
      <c r="E742" s="55">
        <v>189.033</v>
      </c>
      <c r="F742" s="10">
        <f t="shared" si="52"/>
        <v>180.6</v>
      </c>
      <c r="G742" s="10">
        <f t="shared" si="53"/>
        <v>8.43299999999999</v>
      </c>
      <c r="H742" s="55"/>
      <c r="I742" s="153">
        <f t="shared" si="54"/>
        <v>0.949939957573545</v>
      </c>
      <c r="J742" s="55"/>
      <c r="K742" s="55"/>
      <c r="L742" s="55">
        <v>179.57</v>
      </c>
      <c r="M742" s="166">
        <f t="shared" si="55"/>
        <v>18181</v>
      </c>
      <c r="O742" s="343" t="s">
        <v>1611</v>
      </c>
    </row>
    <row r="743" spans="1:15">
      <c r="A743" s="203">
        <v>46198</v>
      </c>
      <c r="B743" s="55" t="s">
        <v>54</v>
      </c>
      <c r="C743" s="345">
        <v>0.31</v>
      </c>
      <c r="D743" s="345">
        <v>0.95</v>
      </c>
      <c r="E743" s="55">
        <v>264.528</v>
      </c>
      <c r="F743" s="10">
        <f t="shared" si="52"/>
        <v>275.2</v>
      </c>
      <c r="G743" s="10">
        <f t="shared" si="53"/>
        <v>-10.672</v>
      </c>
      <c r="H743" s="55"/>
      <c r="I743" s="153">
        <f t="shared" si="54"/>
        <v>0.949956148309442</v>
      </c>
      <c r="J743" s="55"/>
      <c r="K743" s="55"/>
      <c r="L743" s="55">
        <v>251.29</v>
      </c>
      <c r="M743" s="166">
        <f t="shared" si="55"/>
        <v>17929.71</v>
      </c>
      <c r="O743" s="343" t="s">
        <v>1611</v>
      </c>
    </row>
    <row r="744" spans="1:15">
      <c r="A744" s="203">
        <v>46198</v>
      </c>
      <c r="B744" s="55" t="s">
        <v>223</v>
      </c>
      <c r="C744" s="345">
        <v>0.13</v>
      </c>
      <c r="D744" s="345">
        <v>0.87</v>
      </c>
      <c r="E744" s="55">
        <v>328.866</v>
      </c>
      <c r="F744" s="10">
        <f t="shared" si="52"/>
        <v>318.2</v>
      </c>
      <c r="G744" s="10">
        <f t="shared" si="53"/>
        <v>10.666</v>
      </c>
      <c r="H744" s="55"/>
      <c r="I744" s="153">
        <f t="shared" si="54"/>
        <v>0.949961382447562</v>
      </c>
      <c r="J744" s="55"/>
      <c r="K744" s="55"/>
      <c r="L744" s="55">
        <v>312.41</v>
      </c>
      <c r="M744" s="166">
        <f t="shared" si="55"/>
        <v>17617.3</v>
      </c>
      <c r="O744" s="343" t="s">
        <v>1611</v>
      </c>
    </row>
    <row r="745" spans="1:15">
      <c r="A745" s="203">
        <v>46198</v>
      </c>
      <c r="B745" s="55" t="s">
        <v>163</v>
      </c>
      <c r="C745" s="345">
        <v>0.18</v>
      </c>
      <c r="D745" s="345">
        <v>0.9</v>
      </c>
      <c r="E745" s="55">
        <v>317.458</v>
      </c>
      <c r="F745" s="10">
        <f t="shared" si="52"/>
        <v>309.6</v>
      </c>
      <c r="G745" s="10">
        <f t="shared" si="53"/>
        <v>7.858</v>
      </c>
      <c r="H745" s="55"/>
      <c r="I745" s="153">
        <f t="shared" si="54"/>
        <v>0.941415872335868</v>
      </c>
      <c r="J745" s="55"/>
      <c r="K745" s="55"/>
      <c r="L745" s="55">
        <v>298.86</v>
      </c>
      <c r="M745" s="166">
        <f t="shared" si="55"/>
        <v>17318.44</v>
      </c>
      <c r="O745" s="343" t="s">
        <v>1611</v>
      </c>
    </row>
    <row r="746" spans="1:15">
      <c r="A746" s="203">
        <v>46199</v>
      </c>
      <c r="B746" s="55" t="s">
        <v>160</v>
      </c>
      <c r="C746" s="345">
        <v>0.22</v>
      </c>
      <c r="D746" s="345">
        <v>0.9</v>
      </c>
      <c r="E746" s="55">
        <v>305.756</v>
      </c>
      <c r="F746" s="10">
        <f t="shared" si="52"/>
        <v>292.4</v>
      </c>
      <c r="G746" s="10">
        <f t="shared" si="53"/>
        <v>13.356</v>
      </c>
      <c r="H746" s="55"/>
      <c r="I746" s="153">
        <f t="shared" si="54"/>
        <v>0.819967555828831</v>
      </c>
      <c r="J746" s="55"/>
      <c r="K746" s="55"/>
      <c r="L746" s="55">
        <v>250.71</v>
      </c>
      <c r="M746" s="166">
        <f t="shared" si="55"/>
        <v>17067.73</v>
      </c>
      <c r="O746" s="343" t="s">
        <v>1611</v>
      </c>
    </row>
    <row r="747" spans="1:15">
      <c r="A747" s="203">
        <v>46199</v>
      </c>
      <c r="B747" s="55" t="s">
        <v>151</v>
      </c>
      <c r="C747" s="345">
        <v>0.28</v>
      </c>
      <c r="D747" s="345">
        <v>0.88</v>
      </c>
      <c r="E747" s="55">
        <v>263.92</v>
      </c>
      <c r="F747" s="10">
        <f t="shared" si="52"/>
        <v>258</v>
      </c>
      <c r="G747" s="10">
        <f t="shared" si="53"/>
        <v>5.92000000000002</v>
      </c>
      <c r="H747" s="55"/>
      <c r="I747" s="153">
        <f t="shared" si="54"/>
        <v>0.819983328281297</v>
      </c>
      <c r="J747" s="55"/>
      <c r="K747" s="55"/>
      <c r="L747" s="55">
        <v>216.41</v>
      </c>
      <c r="M747" s="166">
        <f t="shared" si="55"/>
        <v>16851.32</v>
      </c>
      <c r="O747" s="343" t="s">
        <v>1611</v>
      </c>
    </row>
    <row r="748" spans="1:15">
      <c r="A748" s="203">
        <v>46199</v>
      </c>
      <c r="B748" s="55" t="s">
        <v>210</v>
      </c>
      <c r="C748" s="345">
        <v>0.31</v>
      </c>
      <c r="D748" s="345">
        <v>0.86</v>
      </c>
      <c r="E748" s="55">
        <v>244.787</v>
      </c>
      <c r="F748" s="10">
        <f t="shared" si="52"/>
        <v>236.5</v>
      </c>
      <c r="G748" s="10">
        <f t="shared" si="53"/>
        <v>8.28700000000001</v>
      </c>
      <c r="H748" s="55"/>
      <c r="I748" s="153">
        <f t="shared" si="54"/>
        <v>0.819937333273417</v>
      </c>
      <c r="J748" s="55"/>
      <c r="K748" s="55"/>
      <c r="L748" s="55">
        <v>200.71</v>
      </c>
      <c r="M748" s="166">
        <f t="shared" si="55"/>
        <v>16650.61</v>
      </c>
      <c r="O748" s="343" t="s">
        <v>1611</v>
      </c>
    </row>
    <row r="749" spans="1:15">
      <c r="A749" s="203">
        <v>46199</v>
      </c>
      <c r="B749" s="55" t="s">
        <v>96</v>
      </c>
      <c r="C749" s="345">
        <v>0.23</v>
      </c>
      <c r="D749" s="345">
        <v>0.95</v>
      </c>
      <c r="E749" s="55">
        <v>344.245</v>
      </c>
      <c r="F749" s="10">
        <f t="shared" si="52"/>
        <v>309.6</v>
      </c>
      <c r="G749" s="10">
        <f t="shared" si="53"/>
        <v>34.645</v>
      </c>
      <c r="H749" s="55"/>
      <c r="I749" s="153">
        <f t="shared" si="54"/>
        <v>0.819968336504524</v>
      </c>
      <c r="J749" s="55"/>
      <c r="K749" s="55"/>
      <c r="L749" s="55">
        <v>282.27</v>
      </c>
      <c r="M749" s="166">
        <f t="shared" si="55"/>
        <v>16368.34</v>
      </c>
      <c r="O749" s="343" t="s">
        <v>1611</v>
      </c>
    </row>
    <row r="750" spans="1:15">
      <c r="A750" s="203">
        <v>46199</v>
      </c>
      <c r="B750" s="55" t="s">
        <v>93</v>
      </c>
      <c r="C750" s="345">
        <v>0.22</v>
      </c>
      <c r="D750" s="345">
        <v>0.92</v>
      </c>
      <c r="E750" s="55">
        <v>324.778</v>
      </c>
      <c r="F750" s="10">
        <f t="shared" si="52"/>
        <v>301</v>
      </c>
      <c r="G750" s="10">
        <f t="shared" si="53"/>
        <v>23.778</v>
      </c>
      <c r="H750" s="55"/>
      <c r="I750" s="153">
        <f t="shared" si="54"/>
        <v>0.819975490950742</v>
      </c>
      <c r="J750" s="55"/>
      <c r="K750" s="55"/>
      <c r="L750" s="55">
        <v>266.31</v>
      </c>
      <c r="M750" s="166">
        <f t="shared" si="55"/>
        <v>16102.03</v>
      </c>
      <c r="O750" s="343" t="s">
        <v>1611</v>
      </c>
    </row>
    <row r="751" spans="1:15">
      <c r="A751" s="203">
        <v>46199</v>
      </c>
      <c r="B751" s="55" t="s">
        <v>177</v>
      </c>
      <c r="C751" s="345">
        <v>0.16</v>
      </c>
      <c r="D751" s="345">
        <v>0.92</v>
      </c>
      <c r="E751" s="55">
        <v>339.002</v>
      </c>
      <c r="F751" s="10">
        <f t="shared" si="52"/>
        <v>326.8</v>
      </c>
      <c r="G751" s="10">
        <f t="shared" si="53"/>
        <v>12.202</v>
      </c>
      <c r="H751" s="55"/>
      <c r="I751" s="153">
        <f t="shared" si="54"/>
        <v>0.66999604722096</v>
      </c>
      <c r="J751" s="55"/>
      <c r="K751" s="55"/>
      <c r="L751" s="55">
        <v>227.13</v>
      </c>
      <c r="M751" s="166">
        <f t="shared" si="55"/>
        <v>15874.9</v>
      </c>
      <c r="O751" s="343" t="s">
        <v>1611</v>
      </c>
    </row>
    <row r="752" spans="1:15">
      <c r="A752" s="203">
        <v>46199</v>
      </c>
      <c r="B752" s="55" t="s">
        <v>81</v>
      </c>
      <c r="C752" s="345">
        <v>0.17</v>
      </c>
      <c r="D752" s="345">
        <v>0.9</v>
      </c>
      <c r="E752" s="55">
        <v>340.786</v>
      </c>
      <c r="F752" s="10">
        <f t="shared" si="52"/>
        <v>313.9</v>
      </c>
      <c r="G752" s="10">
        <f t="shared" si="53"/>
        <v>26.886</v>
      </c>
      <c r="H752" s="55"/>
      <c r="I752" s="153">
        <f t="shared" si="54"/>
        <v>0.860129230660884</v>
      </c>
      <c r="J752" s="55"/>
      <c r="K752" s="55"/>
      <c r="L752" s="55">
        <v>293.12</v>
      </c>
      <c r="M752" s="166">
        <f t="shared" si="55"/>
        <v>15581.78</v>
      </c>
      <c r="O752" s="343" t="s">
        <v>1611</v>
      </c>
    </row>
    <row r="753" spans="1:15">
      <c r="A753" s="203">
        <v>46199</v>
      </c>
      <c r="B753" s="55" t="s">
        <v>130</v>
      </c>
      <c r="C753" s="345">
        <v>0.38</v>
      </c>
      <c r="D753" s="345">
        <v>0.99</v>
      </c>
      <c r="E753" s="55">
        <v>255.126</v>
      </c>
      <c r="F753" s="10">
        <f t="shared" si="52"/>
        <v>262.3</v>
      </c>
      <c r="G753" s="10">
        <f t="shared" si="53"/>
        <v>-7.17400000000001</v>
      </c>
      <c r="H753" s="55"/>
      <c r="I753" s="153">
        <f t="shared" si="54"/>
        <v>0.949961979570879</v>
      </c>
      <c r="J753" s="55"/>
      <c r="K753" s="55"/>
      <c r="L753" s="55">
        <v>242.36</v>
      </c>
      <c r="M753" s="166">
        <f t="shared" si="55"/>
        <v>15339.42</v>
      </c>
      <c r="O753" s="343" t="s">
        <v>1611</v>
      </c>
    </row>
    <row r="754" spans="1:15">
      <c r="A754" s="203">
        <v>46199</v>
      </c>
      <c r="B754" s="55" t="s">
        <v>111</v>
      </c>
      <c r="C754" s="345">
        <v>0.24</v>
      </c>
      <c r="D754" s="345">
        <v>0.94</v>
      </c>
      <c r="E754" s="55">
        <v>284.938</v>
      </c>
      <c r="F754" s="10">
        <f t="shared" si="52"/>
        <v>301</v>
      </c>
      <c r="G754" s="10">
        <f t="shared" si="53"/>
        <v>-16.062</v>
      </c>
      <c r="H754" s="55"/>
      <c r="I754" s="153">
        <f t="shared" si="54"/>
        <v>0.949961044156975</v>
      </c>
      <c r="J754" s="55"/>
      <c r="K754" s="55"/>
      <c r="L754" s="55">
        <v>270.68</v>
      </c>
      <c r="M754" s="166">
        <f t="shared" si="55"/>
        <v>15068.74</v>
      </c>
      <c r="O754" s="343" t="s">
        <v>1611</v>
      </c>
    </row>
    <row r="755" spans="1:15">
      <c r="A755" s="203">
        <v>46199</v>
      </c>
      <c r="B755" s="55" t="s">
        <v>69</v>
      </c>
      <c r="C755" s="345">
        <v>0.39</v>
      </c>
      <c r="D755" s="345">
        <v>0.92</v>
      </c>
      <c r="E755" s="55">
        <v>247.855</v>
      </c>
      <c r="F755" s="10">
        <f t="shared" si="52"/>
        <v>227.9</v>
      </c>
      <c r="G755" s="10">
        <f t="shared" si="53"/>
        <v>19.955</v>
      </c>
      <c r="H755" s="55"/>
      <c r="I755" s="153">
        <f t="shared" si="54"/>
        <v>0.949950575941579</v>
      </c>
      <c r="J755" s="55"/>
      <c r="K755" s="55"/>
      <c r="L755" s="55">
        <v>235.45</v>
      </c>
      <c r="M755" s="166">
        <f t="shared" si="55"/>
        <v>14833.29</v>
      </c>
      <c r="O755" s="343" t="s">
        <v>1611</v>
      </c>
    </row>
    <row r="756" spans="1:15">
      <c r="A756" s="203">
        <v>46199</v>
      </c>
      <c r="B756" s="55" t="s">
        <v>87</v>
      </c>
      <c r="C756" s="345">
        <v>0.37</v>
      </c>
      <c r="D756" s="345">
        <v>0.89</v>
      </c>
      <c r="E756" s="55">
        <v>242.152</v>
      </c>
      <c r="F756" s="10">
        <f t="shared" si="52"/>
        <v>223.6</v>
      </c>
      <c r="G756" s="10">
        <f t="shared" si="53"/>
        <v>18.552</v>
      </c>
      <c r="H756" s="55"/>
      <c r="I756" s="153">
        <f t="shared" si="54"/>
        <v>0.949940533218805</v>
      </c>
      <c r="J756" s="55"/>
      <c r="K756" s="55"/>
      <c r="L756" s="55">
        <v>230.03</v>
      </c>
      <c r="M756" s="166">
        <f t="shared" si="55"/>
        <v>14603.26</v>
      </c>
      <c r="O756" s="343" t="s">
        <v>1611</v>
      </c>
    </row>
    <row r="757" spans="1:15">
      <c r="A757" s="204">
        <v>46199</v>
      </c>
      <c r="B757" s="199" t="s">
        <v>186</v>
      </c>
      <c r="C757" s="354">
        <v>0.4</v>
      </c>
      <c r="D757" s="354">
        <v>0.91</v>
      </c>
      <c r="E757" s="199">
        <v>225.514</v>
      </c>
      <c r="F757" s="130">
        <f t="shared" si="52"/>
        <v>219.3</v>
      </c>
      <c r="G757" s="130">
        <f t="shared" si="53"/>
        <v>6.214</v>
      </c>
      <c r="H757" s="199"/>
      <c r="I757" s="323">
        <f t="shared" si="54"/>
        <v>0.949963195189656</v>
      </c>
      <c r="J757" s="199"/>
      <c r="K757" s="199"/>
      <c r="L757" s="199">
        <v>214.23</v>
      </c>
      <c r="M757" s="253">
        <f t="shared" si="55"/>
        <v>14389.03</v>
      </c>
      <c r="O757" s="355" t="s">
        <v>1611</v>
      </c>
    </row>
    <row r="758" spans="1:15">
      <c r="A758" s="203">
        <v>46199</v>
      </c>
      <c r="B758" s="55" t="s">
        <v>221</v>
      </c>
      <c r="C758" s="195">
        <v>0.19</v>
      </c>
      <c r="D758" s="195">
        <v>0.9</v>
      </c>
      <c r="E758" s="55">
        <v>311.823</v>
      </c>
      <c r="F758" s="130">
        <f t="shared" ref="F758:F791" si="56">(D758-C758)*430</f>
        <v>305.3</v>
      </c>
      <c r="G758" s="130">
        <f t="shared" ref="G758:G791" si="57">E758-F758</f>
        <v>6.52299999999997</v>
      </c>
      <c r="H758" s="55"/>
      <c r="I758" s="153">
        <f t="shared" ref="I758:I791" si="58">L758/E758</f>
        <v>0.853464946460011</v>
      </c>
      <c r="J758" s="55"/>
      <c r="K758" s="55"/>
      <c r="L758" s="166">
        <v>266.13</v>
      </c>
      <c r="M758" s="166">
        <f t="shared" ref="M758:M791" si="59">M757+K758-L758</f>
        <v>14122.9</v>
      </c>
      <c r="N758" s="55"/>
      <c r="O758" s="343" t="s">
        <v>1611</v>
      </c>
    </row>
    <row r="759" spans="1:15">
      <c r="A759" s="203">
        <v>46199</v>
      </c>
      <c r="B759" s="55" t="s">
        <v>219</v>
      </c>
      <c r="C759" s="195">
        <v>0.15</v>
      </c>
      <c r="D759" s="195">
        <v>0.89</v>
      </c>
      <c r="E759" s="55">
        <v>331.346</v>
      </c>
      <c r="F759" s="130">
        <f t="shared" si="56"/>
        <v>318.2</v>
      </c>
      <c r="G759" s="130">
        <f t="shared" si="57"/>
        <v>13.146</v>
      </c>
      <c r="H759" s="55"/>
      <c r="I759" s="153">
        <f t="shared" si="58"/>
        <v>0.860339343163943</v>
      </c>
      <c r="J759" s="55"/>
      <c r="K759" s="55"/>
      <c r="L759" s="166">
        <v>285.07</v>
      </c>
      <c r="M759" s="166">
        <f t="shared" si="59"/>
        <v>13837.83</v>
      </c>
      <c r="N759" s="55"/>
      <c r="O759" s="343" t="s">
        <v>1611</v>
      </c>
    </row>
    <row r="760" spans="1:15">
      <c r="A760" s="203">
        <v>46199</v>
      </c>
      <c r="B760" s="55" t="s">
        <v>166</v>
      </c>
      <c r="C760" s="195">
        <v>0.54</v>
      </c>
      <c r="D760" s="195">
        <v>0.87</v>
      </c>
      <c r="E760" s="55">
        <v>148.301</v>
      </c>
      <c r="F760" s="130">
        <f t="shared" si="56"/>
        <v>141.9</v>
      </c>
      <c r="G760" s="130">
        <f t="shared" si="57"/>
        <v>6.40099999999998</v>
      </c>
      <c r="H760" s="55"/>
      <c r="I760" s="153">
        <f t="shared" si="58"/>
        <v>0.819954012447657</v>
      </c>
      <c r="J760" s="55"/>
      <c r="K760" s="55"/>
      <c r="L760" s="166">
        <v>121.6</v>
      </c>
      <c r="M760" s="166">
        <f t="shared" si="59"/>
        <v>13716.23</v>
      </c>
      <c r="N760" s="55"/>
      <c r="O760" s="343" t="s">
        <v>1611</v>
      </c>
    </row>
    <row r="761" spans="1:15">
      <c r="A761" s="203">
        <v>46199</v>
      </c>
      <c r="B761" s="55" t="s">
        <v>204</v>
      </c>
      <c r="C761" s="195">
        <v>0.14</v>
      </c>
      <c r="D761" s="195">
        <v>0.88</v>
      </c>
      <c r="E761" s="55">
        <v>325.902</v>
      </c>
      <c r="F761" s="130">
        <f t="shared" si="56"/>
        <v>318.2</v>
      </c>
      <c r="G761" s="130">
        <f t="shared" si="57"/>
        <v>7.702</v>
      </c>
      <c r="H761" s="55"/>
      <c r="I761" s="153">
        <f t="shared" si="58"/>
        <v>0.92276205730557</v>
      </c>
      <c r="J761" s="55"/>
      <c r="K761" s="55"/>
      <c r="L761" s="166">
        <v>300.73</v>
      </c>
      <c r="M761" s="166">
        <f t="shared" si="59"/>
        <v>13415.5</v>
      </c>
      <c r="N761" s="55"/>
      <c r="O761" s="343" t="s">
        <v>1611</v>
      </c>
    </row>
    <row r="762" spans="1:15">
      <c r="A762" s="203">
        <v>46199</v>
      </c>
      <c r="B762" s="55" t="s">
        <v>99</v>
      </c>
      <c r="C762" s="195">
        <v>0.32</v>
      </c>
      <c r="D762" s="195">
        <v>0.81</v>
      </c>
      <c r="E762" s="55">
        <v>231.483</v>
      </c>
      <c r="F762" s="130">
        <f t="shared" si="56"/>
        <v>210.7</v>
      </c>
      <c r="G762" s="130">
        <f t="shared" si="57"/>
        <v>20.783</v>
      </c>
      <c r="H762" s="55"/>
      <c r="I762" s="153">
        <f t="shared" si="58"/>
        <v>0.9499617682508</v>
      </c>
      <c r="J762" s="55"/>
      <c r="K762" s="55"/>
      <c r="L762" s="166">
        <v>219.9</v>
      </c>
      <c r="M762" s="166">
        <f t="shared" si="59"/>
        <v>13195.6</v>
      </c>
      <c r="N762" s="55"/>
      <c r="O762" s="343" t="s">
        <v>1611</v>
      </c>
    </row>
    <row r="763" spans="1:15">
      <c r="A763" s="203">
        <v>46199</v>
      </c>
      <c r="B763" s="55" t="s">
        <v>66</v>
      </c>
      <c r="C763" s="195">
        <v>0.38</v>
      </c>
      <c r="D763" s="195">
        <v>0.88</v>
      </c>
      <c r="E763" s="55">
        <v>232.016</v>
      </c>
      <c r="F763" s="130">
        <f t="shared" si="56"/>
        <v>215</v>
      </c>
      <c r="G763" s="130">
        <f t="shared" si="57"/>
        <v>17.016</v>
      </c>
      <c r="H763" s="55"/>
      <c r="I763" s="153">
        <f t="shared" si="58"/>
        <v>0.949977587752569</v>
      </c>
      <c r="J763" s="55"/>
      <c r="K763" s="55"/>
      <c r="L763" s="166">
        <v>220.41</v>
      </c>
      <c r="M763" s="166">
        <f t="shared" si="59"/>
        <v>12975.19</v>
      </c>
      <c r="N763" s="55"/>
      <c r="O763" s="343" t="s">
        <v>1611</v>
      </c>
    </row>
    <row r="764" spans="1:15">
      <c r="A764" s="203">
        <v>46199</v>
      </c>
      <c r="B764" s="55" t="s">
        <v>72</v>
      </c>
      <c r="C764" s="195">
        <v>0.42</v>
      </c>
      <c r="D764" s="195">
        <v>0.9</v>
      </c>
      <c r="E764" s="55">
        <v>225.167</v>
      </c>
      <c r="F764" s="130">
        <f t="shared" si="56"/>
        <v>206.4</v>
      </c>
      <c r="G764" s="130">
        <f t="shared" si="57"/>
        <v>18.767</v>
      </c>
      <c r="H764" s="55"/>
      <c r="I764" s="153">
        <f t="shared" si="58"/>
        <v>0.949961584068713</v>
      </c>
      <c r="J764" s="55"/>
      <c r="K764" s="55"/>
      <c r="L764" s="166">
        <v>213.9</v>
      </c>
      <c r="M764" s="166">
        <f t="shared" si="59"/>
        <v>12761.29</v>
      </c>
      <c r="N764" s="55"/>
      <c r="O764" s="343" t="s">
        <v>1611</v>
      </c>
    </row>
    <row r="765" spans="1:15">
      <c r="A765" s="203">
        <v>46199</v>
      </c>
      <c r="B765" s="55" t="s">
        <v>102</v>
      </c>
      <c r="C765" s="195">
        <v>0.46</v>
      </c>
      <c r="D765" s="195">
        <v>0.93</v>
      </c>
      <c r="E765" s="55">
        <v>218.092</v>
      </c>
      <c r="F765" s="130">
        <f t="shared" si="56"/>
        <v>202.1</v>
      </c>
      <c r="G765" s="130">
        <f t="shared" si="57"/>
        <v>15.992</v>
      </c>
      <c r="H765" s="55"/>
      <c r="I765" s="153">
        <f t="shared" si="58"/>
        <v>0.949920217156062</v>
      </c>
      <c r="J765" s="55"/>
      <c r="K765" s="55"/>
      <c r="L765" s="166">
        <v>207.17</v>
      </c>
      <c r="M765" s="166">
        <f t="shared" si="59"/>
        <v>12554.12</v>
      </c>
      <c r="N765" s="55"/>
      <c r="O765" s="343" t="s">
        <v>1611</v>
      </c>
    </row>
    <row r="766" spans="1:15">
      <c r="A766" s="203">
        <v>46199</v>
      </c>
      <c r="B766" s="55" t="s">
        <v>339</v>
      </c>
      <c r="C766" s="195">
        <v>0.52</v>
      </c>
      <c r="D766" s="195">
        <v>0.98</v>
      </c>
      <c r="E766" s="55">
        <v>207.962</v>
      </c>
      <c r="F766" s="130">
        <f t="shared" si="56"/>
        <v>197.8</v>
      </c>
      <c r="G766" s="130">
        <f t="shared" si="57"/>
        <v>10.162</v>
      </c>
      <c r="H766" s="55"/>
      <c r="I766" s="153">
        <f t="shared" si="58"/>
        <v>0.949933160865927</v>
      </c>
      <c r="J766" s="55"/>
      <c r="K766" s="55"/>
      <c r="L766" s="166">
        <v>197.55</v>
      </c>
      <c r="M766" s="166">
        <f t="shared" si="59"/>
        <v>12356.57</v>
      </c>
      <c r="N766" s="55"/>
      <c r="O766" s="343" t="s">
        <v>1611</v>
      </c>
    </row>
    <row r="767" spans="1:15">
      <c r="A767" s="203">
        <v>46199</v>
      </c>
      <c r="B767" s="55" t="s">
        <v>90</v>
      </c>
      <c r="C767" s="195">
        <v>0.37</v>
      </c>
      <c r="D767" s="195">
        <v>0.92</v>
      </c>
      <c r="E767" s="55">
        <v>259.324</v>
      </c>
      <c r="F767" s="130">
        <f t="shared" si="56"/>
        <v>236.5</v>
      </c>
      <c r="G767" s="130">
        <f t="shared" si="57"/>
        <v>22.824</v>
      </c>
      <c r="H767" s="55"/>
      <c r="I767" s="153">
        <f t="shared" si="58"/>
        <v>0.949969921796671</v>
      </c>
      <c r="J767" s="55"/>
      <c r="K767" s="55"/>
      <c r="L767" s="166">
        <v>246.35</v>
      </c>
      <c r="M767" s="166">
        <f t="shared" si="59"/>
        <v>12110.22</v>
      </c>
      <c r="N767" s="55"/>
      <c r="O767" s="343" t="s">
        <v>1611</v>
      </c>
    </row>
    <row r="768" spans="1:15">
      <c r="A768" s="203">
        <v>46199</v>
      </c>
      <c r="B768" s="55" t="s">
        <v>124</v>
      </c>
      <c r="C768" s="195">
        <v>0.37</v>
      </c>
      <c r="D768" s="195">
        <v>0.96</v>
      </c>
      <c r="E768" s="55">
        <v>260.242</v>
      </c>
      <c r="F768" s="130">
        <f t="shared" si="56"/>
        <v>253.7</v>
      </c>
      <c r="G768" s="130">
        <f t="shared" si="57"/>
        <v>6.54200000000003</v>
      </c>
      <c r="H768" s="55"/>
      <c r="I768" s="153">
        <f t="shared" si="58"/>
        <v>0.949961958484795</v>
      </c>
      <c r="J768" s="55"/>
      <c r="K768" s="55"/>
      <c r="L768" s="166">
        <v>247.22</v>
      </c>
      <c r="M768" s="166">
        <f t="shared" si="59"/>
        <v>11863</v>
      </c>
      <c r="N768" s="55"/>
      <c r="O768" s="343" t="s">
        <v>1611</v>
      </c>
    </row>
    <row r="769" spans="1:15">
      <c r="A769" s="203">
        <v>46199</v>
      </c>
      <c r="B769" s="55" t="s">
        <v>105</v>
      </c>
      <c r="C769" s="195">
        <v>0.51</v>
      </c>
      <c r="D769" s="195">
        <v>0.95</v>
      </c>
      <c r="E769" s="55">
        <v>216.923</v>
      </c>
      <c r="F769" s="130">
        <f t="shared" si="56"/>
        <v>189.2</v>
      </c>
      <c r="G769" s="130">
        <f t="shared" si="57"/>
        <v>27.723</v>
      </c>
      <c r="H769" s="55"/>
      <c r="I769" s="153">
        <f t="shared" si="58"/>
        <v>0.949968421974618</v>
      </c>
      <c r="J769" s="55"/>
      <c r="K769" s="55"/>
      <c r="L769" s="166">
        <v>206.07</v>
      </c>
      <c r="M769" s="166">
        <f t="shared" si="59"/>
        <v>11656.93</v>
      </c>
      <c r="N769" s="55"/>
      <c r="O769" s="343" t="s">
        <v>1611</v>
      </c>
    </row>
    <row r="770" spans="1:15">
      <c r="A770" s="203">
        <v>46199</v>
      </c>
      <c r="B770" s="55" t="s">
        <v>60</v>
      </c>
      <c r="C770" s="195">
        <v>0.31</v>
      </c>
      <c r="D770" s="195">
        <v>0.89</v>
      </c>
      <c r="E770" s="55">
        <v>238.879</v>
      </c>
      <c r="F770" s="130">
        <f t="shared" si="56"/>
        <v>249.4</v>
      </c>
      <c r="G770" s="130">
        <f t="shared" si="57"/>
        <v>-10.521</v>
      </c>
      <c r="H770" s="55"/>
      <c r="I770" s="153">
        <f t="shared" si="58"/>
        <v>0.949936997391985</v>
      </c>
      <c r="J770" s="55"/>
      <c r="K770" s="55"/>
      <c r="L770" s="166">
        <v>226.92</v>
      </c>
      <c r="M770" s="166">
        <f t="shared" si="59"/>
        <v>11430.01</v>
      </c>
      <c r="N770" s="55"/>
      <c r="O770" s="343" t="s">
        <v>1611</v>
      </c>
    </row>
    <row r="771" spans="1:15">
      <c r="A771" s="203">
        <v>46199</v>
      </c>
      <c r="B771" s="55" t="s">
        <v>78</v>
      </c>
      <c r="C771" s="195">
        <v>0.31</v>
      </c>
      <c r="D771" s="195">
        <v>0.83</v>
      </c>
      <c r="E771" s="55">
        <v>243.525</v>
      </c>
      <c r="F771" s="130">
        <f t="shared" si="56"/>
        <v>223.6</v>
      </c>
      <c r="G771" s="130">
        <f t="shared" si="57"/>
        <v>19.925</v>
      </c>
      <c r="H771" s="55"/>
      <c r="I771" s="153">
        <f t="shared" si="58"/>
        <v>0.949964069397392</v>
      </c>
      <c r="J771" s="55"/>
      <c r="K771" s="55"/>
      <c r="L771" s="166">
        <v>231.34</v>
      </c>
      <c r="M771" s="166">
        <f t="shared" si="59"/>
        <v>11198.67</v>
      </c>
      <c r="N771" s="55"/>
      <c r="O771" s="343" t="s">
        <v>1611</v>
      </c>
    </row>
    <row r="772" spans="1:15">
      <c r="A772" s="203">
        <v>46199</v>
      </c>
      <c r="B772" s="55" t="s">
        <v>195</v>
      </c>
      <c r="C772" s="195">
        <v>0.34</v>
      </c>
      <c r="D772" s="195">
        <v>0.74</v>
      </c>
      <c r="E772" s="55">
        <v>174.857</v>
      </c>
      <c r="F772" s="130">
        <f t="shared" si="56"/>
        <v>172</v>
      </c>
      <c r="G772" s="130">
        <f t="shared" si="57"/>
        <v>2.857</v>
      </c>
      <c r="H772" s="55"/>
      <c r="I772" s="153">
        <f t="shared" si="58"/>
        <v>0.949919076731272</v>
      </c>
      <c r="J772" s="55"/>
      <c r="K772" s="55"/>
      <c r="L772" s="166">
        <v>166.1</v>
      </c>
      <c r="M772" s="166">
        <f t="shared" si="59"/>
        <v>11032.57</v>
      </c>
      <c r="N772" s="55"/>
      <c r="O772" s="343" t="s">
        <v>1611</v>
      </c>
    </row>
    <row r="773" spans="1:15">
      <c r="A773" s="203">
        <v>46199</v>
      </c>
      <c r="B773" s="55" t="s">
        <v>189</v>
      </c>
      <c r="C773" s="195">
        <v>0.24</v>
      </c>
      <c r="D773" s="195">
        <v>1</v>
      </c>
      <c r="E773" s="55">
        <v>339.392</v>
      </c>
      <c r="F773" s="130">
        <f t="shared" si="56"/>
        <v>326.8</v>
      </c>
      <c r="G773" s="130">
        <f t="shared" si="57"/>
        <v>12.592</v>
      </c>
      <c r="H773" s="55"/>
      <c r="I773" s="153">
        <f t="shared" si="58"/>
        <v>0.949963464076938</v>
      </c>
      <c r="J773" s="55"/>
      <c r="K773" s="55"/>
      <c r="L773" s="166">
        <v>322.41</v>
      </c>
      <c r="M773" s="166">
        <f t="shared" si="59"/>
        <v>10710.16</v>
      </c>
      <c r="N773" s="55"/>
      <c r="O773" s="343" t="s">
        <v>1611</v>
      </c>
    </row>
    <row r="774" spans="1:15">
      <c r="A774" s="203">
        <v>46199</v>
      </c>
      <c r="B774" s="55" t="s">
        <v>132</v>
      </c>
      <c r="C774" s="195">
        <v>0.3</v>
      </c>
      <c r="D774" s="195">
        <v>0.86</v>
      </c>
      <c r="E774" s="55">
        <v>249.842</v>
      </c>
      <c r="F774" s="130">
        <f t="shared" si="56"/>
        <v>240.8</v>
      </c>
      <c r="G774" s="130">
        <f t="shared" si="57"/>
        <v>9.042</v>
      </c>
      <c r="H774" s="55"/>
      <c r="I774" s="153">
        <f t="shared" si="58"/>
        <v>0.949960374956973</v>
      </c>
      <c r="J774" s="55"/>
      <c r="K774" s="55"/>
      <c r="L774" s="166">
        <v>237.34</v>
      </c>
      <c r="M774" s="166">
        <f t="shared" si="59"/>
        <v>10472.82</v>
      </c>
      <c r="N774" s="55"/>
      <c r="O774" s="343" t="s">
        <v>1611</v>
      </c>
    </row>
    <row r="775" spans="1:15">
      <c r="A775" s="203">
        <v>46199</v>
      </c>
      <c r="B775" s="55" t="s">
        <v>195</v>
      </c>
      <c r="C775" s="195">
        <v>0.75</v>
      </c>
      <c r="D775" s="195">
        <v>0.9</v>
      </c>
      <c r="E775" s="55">
        <v>71.347</v>
      </c>
      <c r="F775" s="130">
        <f t="shared" si="56"/>
        <v>64.5</v>
      </c>
      <c r="G775" s="130">
        <f t="shared" si="57"/>
        <v>6.84699999999999</v>
      </c>
      <c r="H775" s="55"/>
      <c r="I775" s="153">
        <f t="shared" si="58"/>
        <v>0.949864745539406</v>
      </c>
      <c r="J775" s="55"/>
      <c r="K775" s="55"/>
      <c r="L775" s="166">
        <v>67.77</v>
      </c>
      <c r="M775" s="166">
        <f t="shared" si="59"/>
        <v>10405.05</v>
      </c>
      <c r="N775" s="55"/>
      <c r="O775" s="343" t="s">
        <v>1611</v>
      </c>
    </row>
    <row r="776" spans="1:15">
      <c r="A776" s="203">
        <v>46200</v>
      </c>
      <c r="B776" s="55" t="s">
        <v>130</v>
      </c>
      <c r="C776" s="195">
        <v>0.51</v>
      </c>
      <c r="D776" s="195">
        <v>0.96</v>
      </c>
      <c r="E776" s="55">
        <v>193.518</v>
      </c>
      <c r="F776" s="130">
        <f t="shared" si="56"/>
        <v>193.5</v>
      </c>
      <c r="G776" s="130">
        <f t="shared" si="57"/>
        <v>0.0180000000000007</v>
      </c>
      <c r="H776" s="55"/>
      <c r="I776" s="153">
        <f t="shared" si="58"/>
        <v>0.768817370993913</v>
      </c>
      <c r="J776" s="55"/>
      <c r="K776" s="55"/>
      <c r="L776" s="166">
        <v>148.78</v>
      </c>
      <c r="M776" s="166">
        <f t="shared" si="59"/>
        <v>10256.27</v>
      </c>
      <c r="N776" s="55"/>
      <c r="O776" s="343" t="s">
        <v>1611</v>
      </c>
    </row>
    <row r="777" spans="1:15">
      <c r="A777" s="203">
        <v>46200</v>
      </c>
      <c r="B777" s="55" t="s">
        <v>99</v>
      </c>
      <c r="C777" s="195">
        <v>0.2</v>
      </c>
      <c r="D777" s="195">
        <v>1</v>
      </c>
      <c r="E777" s="55">
        <v>371.517</v>
      </c>
      <c r="F777" s="130">
        <f t="shared" si="56"/>
        <v>344</v>
      </c>
      <c r="G777" s="130">
        <f t="shared" si="57"/>
        <v>27.517</v>
      </c>
      <c r="H777" s="55"/>
      <c r="I777" s="153">
        <f t="shared" si="58"/>
        <v>0.66998280024871</v>
      </c>
      <c r="J777" s="55"/>
      <c r="K777" s="55"/>
      <c r="L777" s="166">
        <v>248.91</v>
      </c>
      <c r="M777" s="166">
        <f t="shared" si="59"/>
        <v>10007.36</v>
      </c>
      <c r="N777" s="55"/>
      <c r="O777" s="343" t="s">
        <v>1611</v>
      </c>
    </row>
    <row r="778" spans="1:15">
      <c r="A778" s="203">
        <v>46200</v>
      </c>
      <c r="B778" s="55" t="s">
        <v>141</v>
      </c>
      <c r="C778" s="195">
        <v>0.47</v>
      </c>
      <c r="D778" s="195">
        <v>0.99</v>
      </c>
      <c r="E778" s="55">
        <v>236.095</v>
      </c>
      <c r="F778" s="130">
        <f t="shared" si="56"/>
        <v>223.6</v>
      </c>
      <c r="G778" s="130">
        <f t="shared" si="57"/>
        <v>12.495</v>
      </c>
      <c r="H778" s="55"/>
      <c r="I778" s="153">
        <f t="shared" si="58"/>
        <v>0.669942184290222</v>
      </c>
      <c r="J778" s="55"/>
      <c r="K778" s="55"/>
      <c r="L778" s="166">
        <v>158.17</v>
      </c>
      <c r="M778" s="166">
        <f t="shared" si="59"/>
        <v>9849.18999999999</v>
      </c>
      <c r="N778" s="55"/>
      <c r="O778" s="343" t="s">
        <v>1611</v>
      </c>
    </row>
    <row r="779" spans="1:15">
      <c r="A779" s="203">
        <v>46200</v>
      </c>
      <c r="B779" s="55" t="s">
        <v>75</v>
      </c>
      <c r="C779" s="195">
        <v>0.21</v>
      </c>
      <c r="D779" s="195">
        <v>1</v>
      </c>
      <c r="E779" s="55">
        <v>367.721</v>
      </c>
      <c r="F779" s="130">
        <f t="shared" si="56"/>
        <v>339.7</v>
      </c>
      <c r="G779" s="130">
        <f t="shared" si="57"/>
        <v>28.021</v>
      </c>
      <c r="H779" s="55"/>
      <c r="I779" s="153">
        <f t="shared" si="58"/>
        <v>0.669991651279095</v>
      </c>
      <c r="J779" s="55"/>
      <c r="K779" s="55"/>
      <c r="L779" s="166">
        <v>246.37</v>
      </c>
      <c r="M779" s="166">
        <f t="shared" si="59"/>
        <v>9602.81999999999</v>
      </c>
      <c r="N779" s="55"/>
      <c r="O779" s="343" t="s">
        <v>1611</v>
      </c>
    </row>
    <row r="780" spans="1:15">
      <c r="A780" s="203">
        <v>46200</v>
      </c>
      <c r="B780" s="55" t="s">
        <v>180</v>
      </c>
      <c r="C780" s="195">
        <v>0.33</v>
      </c>
      <c r="D780" s="195">
        <v>0.97</v>
      </c>
      <c r="E780" s="55">
        <v>287.079</v>
      </c>
      <c r="F780" s="130">
        <f t="shared" si="56"/>
        <v>275.2</v>
      </c>
      <c r="G780" s="130">
        <f t="shared" si="57"/>
        <v>11.879</v>
      </c>
      <c r="H780" s="55"/>
      <c r="I780" s="153">
        <f t="shared" si="58"/>
        <v>0.669954960132925</v>
      </c>
      <c r="J780" s="55"/>
      <c r="K780" s="55"/>
      <c r="L780" s="166">
        <v>192.33</v>
      </c>
      <c r="M780" s="166">
        <f t="shared" si="59"/>
        <v>9410.48999999999</v>
      </c>
      <c r="N780" s="55"/>
      <c r="O780" s="343" t="s">
        <v>1611</v>
      </c>
    </row>
    <row r="781" spans="1:15">
      <c r="A781" s="203">
        <v>46200</v>
      </c>
      <c r="B781" s="55" t="s">
        <v>66</v>
      </c>
      <c r="C781" s="195">
        <v>0.25</v>
      </c>
      <c r="D781" s="195">
        <v>0.98</v>
      </c>
      <c r="E781" s="55">
        <v>330.263</v>
      </c>
      <c r="F781" s="130">
        <f t="shared" si="56"/>
        <v>313.9</v>
      </c>
      <c r="G781" s="130">
        <f t="shared" si="57"/>
        <v>16.363</v>
      </c>
      <c r="H781" s="55"/>
      <c r="I781" s="153">
        <f t="shared" si="58"/>
        <v>0.701138183811084</v>
      </c>
      <c r="J781" s="55"/>
      <c r="K781" s="55"/>
      <c r="L781" s="166">
        <v>231.56</v>
      </c>
      <c r="M781" s="166">
        <f t="shared" si="59"/>
        <v>9178.92999999999</v>
      </c>
      <c r="N781" s="55"/>
      <c r="O781" s="343" t="s">
        <v>1611</v>
      </c>
    </row>
    <row r="782" spans="1:15">
      <c r="A782" s="203">
        <v>46200</v>
      </c>
      <c r="B782" s="55" t="s">
        <v>338</v>
      </c>
      <c r="C782" s="195">
        <v>0.12</v>
      </c>
      <c r="D782" s="195">
        <v>0.9</v>
      </c>
      <c r="E782" s="55">
        <v>348.918</v>
      </c>
      <c r="F782" s="130">
        <f t="shared" si="56"/>
        <v>335.4</v>
      </c>
      <c r="G782" s="130">
        <f t="shared" si="57"/>
        <v>13.518</v>
      </c>
      <c r="H782" s="55"/>
      <c r="I782" s="153">
        <f t="shared" si="58"/>
        <v>0.819992089831995</v>
      </c>
      <c r="J782" s="55"/>
      <c r="K782" s="55"/>
      <c r="L782" s="166">
        <v>286.11</v>
      </c>
      <c r="M782" s="166">
        <f t="shared" si="59"/>
        <v>8892.81999999999</v>
      </c>
      <c r="N782" s="55"/>
      <c r="O782" s="343" t="s">
        <v>1611</v>
      </c>
    </row>
    <row r="783" spans="1:15">
      <c r="A783" s="203">
        <v>46200</v>
      </c>
      <c r="B783" s="55" t="s">
        <v>138</v>
      </c>
      <c r="C783" s="195">
        <v>0.54</v>
      </c>
      <c r="D783" s="195">
        <v>0.93</v>
      </c>
      <c r="E783" s="55">
        <v>176.448</v>
      </c>
      <c r="F783" s="130">
        <f t="shared" si="56"/>
        <v>167.7</v>
      </c>
      <c r="G783" s="130">
        <f t="shared" si="57"/>
        <v>8.74800000000002</v>
      </c>
      <c r="H783" s="55"/>
      <c r="I783" s="153">
        <f t="shared" si="58"/>
        <v>0.94996826260428</v>
      </c>
      <c r="J783" s="55"/>
      <c r="K783" s="55"/>
      <c r="L783" s="166">
        <v>167.62</v>
      </c>
      <c r="M783" s="166">
        <f t="shared" si="59"/>
        <v>8725.19999999998</v>
      </c>
      <c r="N783" s="55"/>
      <c r="O783" s="343" t="s">
        <v>1611</v>
      </c>
    </row>
    <row r="784" spans="1:15">
      <c r="A784" s="203">
        <v>46200</v>
      </c>
      <c r="B784" s="55" t="s">
        <v>192</v>
      </c>
      <c r="C784" s="195">
        <v>0.29</v>
      </c>
      <c r="D784" s="195">
        <v>0.91</v>
      </c>
      <c r="E784" s="55">
        <v>277.939</v>
      </c>
      <c r="F784" s="130">
        <f t="shared" si="56"/>
        <v>266.6</v>
      </c>
      <c r="G784" s="130">
        <f t="shared" si="57"/>
        <v>11.339</v>
      </c>
      <c r="H784" s="55"/>
      <c r="I784" s="153">
        <f t="shared" si="58"/>
        <v>0.949956645163147</v>
      </c>
      <c r="J784" s="55"/>
      <c r="K784" s="55"/>
      <c r="L784" s="166">
        <v>264.03</v>
      </c>
      <c r="M784" s="166">
        <f t="shared" si="59"/>
        <v>8461.16999999998</v>
      </c>
      <c r="N784" s="55"/>
      <c r="O784" s="343" t="s">
        <v>1611</v>
      </c>
    </row>
    <row r="785" spans="1:15">
      <c r="A785" s="203">
        <v>46200</v>
      </c>
      <c r="B785" s="55" t="s">
        <v>84</v>
      </c>
      <c r="C785" s="195">
        <v>0.39</v>
      </c>
      <c r="D785" s="195">
        <v>0.93</v>
      </c>
      <c r="E785" s="55">
        <v>254.652</v>
      </c>
      <c r="F785" s="130">
        <f t="shared" si="56"/>
        <v>232.2</v>
      </c>
      <c r="G785" s="130">
        <f t="shared" si="57"/>
        <v>22.452</v>
      </c>
      <c r="H785" s="55"/>
      <c r="I785" s="153">
        <f t="shared" si="58"/>
        <v>0.949963086879349</v>
      </c>
      <c r="J785" s="55"/>
      <c r="K785" s="55"/>
      <c r="L785" s="166">
        <v>241.91</v>
      </c>
      <c r="M785" s="166">
        <f t="shared" si="59"/>
        <v>8219.25999999998</v>
      </c>
      <c r="N785" s="55"/>
      <c r="O785" s="343" t="s">
        <v>1611</v>
      </c>
    </row>
    <row r="786" spans="1:15">
      <c r="A786" s="203">
        <v>46200</v>
      </c>
      <c r="B786" s="55" t="s">
        <v>144</v>
      </c>
      <c r="C786" s="195">
        <v>0.32</v>
      </c>
      <c r="D786" s="195">
        <v>0.94</v>
      </c>
      <c r="E786" s="55">
        <v>276.559</v>
      </c>
      <c r="F786" s="130">
        <f t="shared" si="56"/>
        <v>266.6</v>
      </c>
      <c r="G786" s="130">
        <f t="shared" si="57"/>
        <v>9.959</v>
      </c>
      <c r="H786" s="55"/>
      <c r="I786" s="153">
        <f t="shared" si="58"/>
        <v>0.949960044692091</v>
      </c>
      <c r="J786" s="55"/>
      <c r="K786" s="55"/>
      <c r="L786" s="166">
        <v>262.72</v>
      </c>
      <c r="M786" s="166">
        <f t="shared" si="59"/>
        <v>7956.53999999998</v>
      </c>
      <c r="N786" s="55"/>
      <c r="O786" s="343" t="s">
        <v>1611</v>
      </c>
    </row>
    <row r="787" spans="1:15">
      <c r="A787" s="203">
        <v>46200</v>
      </c>
      <c r="B787" s="55" t="s">
        <v>198</v>
      </c>
      <c r="C787" s="195">
        <v>0.4</v>
      </c>
      <c r="D787" s="195">
        <v>0.8</v>
      </c>
      <c r="E787" s="55">
        <v>180.056</v>
      </c>
      <c r="F787" s="130">
        <f t="shared" si="56"/>
        <v>172</v>
      </c>
      <c r="G787" s="130">
        <f t="shared" si="57"/>
        <v>8.05600000000001</v>
      </c>
      <c r="H787" s="55"/>
      <c r="I787" s="153">
        <f t="shared" si="58"/>
        <v>0.949926689474386</v>
      </c>
      <c r="J787" s="55"/>
      <c r="K787" s="55"/>
      <c r="L787" s="166">
        <v>171.04</v>
      </c>
      <c r="M787" s="166">
        <f t="shared" si="59"/>
        <v>7785.49999999998</v>
      </c>
      <c r="N787" s="55"/>
      <c r="O787" s="343" t="s">
        <v>1611</v>
      </c>
    </row>
    <row r="788" spans="1:15">
      <c r="A788" s="203">
        <v>46200</v>
      </c>
      <c r="B788" s="55" t="s">
        <v>105</v>
      </c>
      <c r="C788" s="195">
        <v>0.39</v>
      </c>
      <c r="D788" s="195">
        <v>0.92</v>
      </c>
      <c r="E788" s="55">
        <v>248.846</v>
      </c>
      <c r="F788" s="130">
        <f t="shared" si="56"/>
        <v>227.9</v>
      </c>
      <c r="G788" s="130">
        <f t="shared" si="57"/>
        <v>20.946</v>
      </c>
      <c r="H788" s="55"/>
      <c r="I788" s="153">
        <f t="shared" si="58"/>
        <v>0.879138101476415</v>
      </c>
      <c r="J788" s="55"/>
      <c r="K788" s="55"/>
      <c r="L788" s="166">
        <v>218.77</v>
      </c>
      <c r="M788" s="166">
        <f t="shared" si="59"/>
        <v>7566.72999999998</v>
      </c>
      <c r="N788" s="55"/>
      <c r="O788" s="343" t="s">
        <v>1611</v>
      </c>
    </row>
    <row r="789" spans="1:15">
      <c r="A789" s="203">
        <v>46200</v>
      </c>
      <c r="B789" s="55" t="s">
        <v>93</v>
      </c>
      <c r="C789" s="195">
        <v>0.41</v>
      </c>
      <c r="D789" s="195">
        <v>0.8</v>
      </c>
      <c r="E789" s="55">
        <v>181.489</v>
      </c>
      <c r="F789" s="130">
        <f t="shared" si="56"/>
        <v>167.7</v>
      </c>
      <c r="G789" s="130">
        <f t="shared" si="57"/>
        <v>13.789</v>
      </c>
      <c r="H789" s="55"/>
      <c r="I789" s="153">
        <f t="shared" si="58"/>
        <v>0.830683953297445</v>
      </c>
      <c r="J789" s="55"/>
      <c r="K789" s="55"/>
      <c r="L789" s="166">
        <v>150.76</v>
      </c>
      <c r="M789" s="166">
        <f t="shared" si="59"/>
        <v>7415.96999999998</v>
      </c>
      <c r="N789" s="55"/>
      <c r="O789" s="343" t="s">
        <v>1611</v>
      </c>
    </row>
    <row r="790" spans="1:15">
      <c r="A790" s="203">
        <v>46200</v>
      </c>
      <c r="B790" s="55" t="s">
        <v>124</v>
      </c>
      <c r="C790" s="195">
        <v>0.46</v>
      </c>
      <c r="D790" s="195">
        <v>0.87</v>
      </c>
      <c r="E790" s="55">
        <v>176.96</v>
      </c>
      <c r="F790" s="130">
        <f t="shared" si="56"/>
        <v>176.3</v>
      </c>
      <c r="G790" s="130">
        <f t="shared" si="57"/>
        <v>0.659999999999997</v>
      </c>
      <c r="H790" s="55"/>
      <c r="I790" s="153">
        <f t="shared" si="58"/>
        <v>0.81995931283906</v>
      </c>
      <c r="J790" s="55"/>
      <c r="K790" s="55"/>
      <c r="L790" s="166">
        <v>145.1</v>
      </c>
      <c r="M790" s="166">
        <f t="shared" si="59"/>
        <v>7270.86999999998</v>
      </c>
      <c r="N790" s="55"/>
      <c r="O790" s="343" t="s">
        <v>1611</v>
      </c>
    </row>
    <row r="791" spans="1:15">
      <c r="A791" s="203">
        <v>46200</v>
      </c>
      <c r="B791" s="55" t="s">
        <v>111</v>
      </c>
      <c r="C791" s="195">
        <v>0.44</v>
      </c>
      <c r="D791" s="195">
        <v>0.86</v>
      </c>
      <c r="E791" s="55">
        <v>173.372</v>
      </c>
      <c r="F791" s="10">
        <f t="shared" si="56"/>
        <v>180.6</v>
      </c>
      <c r="G791" s="10">
        <f t="shared" si="57"/>
        <v>-7.22799999999998</v>
      </c>
      <c r="H791" s="55"/>
      <c r="I791" s="153">
        <f t="shared" si="58"/>
        <v>0.819913250121127</v>
      </c>
      <c r="J791" s="55"/>
      <c r="K791" s="55"/>
      <c r="L791" s="166">
        <v>142.15</v>
      </c>
      <c r="M791" s="166">
        <f t="shared" si="59"/>
        <v>7128.71999999998</v>
      </c>
      <c r="N791" s="55"/>
      <c r="O791" s="343" t="s">
        <v>1611</v>
      </c>
    </row>
    <row r="792" spans="1:15">
      <c r="A792" s="203">
        <v>46200</v>
      </c>
      <c r="B792" s="55" t="s">
        <v>339</v>
      </c>
      <c r="C792" s="356">
        <v>0.54</v>
      </c>
      <c r="D792" s="356">
        <v>0.93</v>
      </c>
      <c r="E792" s="55">
        <v>176.937</v>
      </c>
      <c r="F792" s="10">
        <f t="shared" ref="F792:F823" si="60">(D792-C792)*430</f>
        <v>167.7</v>
      </c>
      <c r="G792" s="10">
        <f t="shared" ref="G792:G823" si="61">E792-F792</f>
        <v>9.23699999999999</v>
      </c>
      <c r="H792" s="55"/>
      <c r="I792" s="153">
        <f t="shared" ref="I792:I823" si="62">L792/E792</f>
        <v>0.8291086657963</v>
      </c>
      <c r="J792" s="55"/>
      <c r="K792" s="55"/>
      <c r="L792" s="55">
        <v>146.7</v>
      </c>
      <c r="M792" s="166">
        <f t="shared" ref="M792:M823" si="63">M791+K792-L792</f>
        <v>6982.01999999998</v>
      </c>
      <c r="O792" s="343" t="s">
        <v>1611</v>
      </c>
    </row>
    <row r="793" spans="1:15">
      <c r="A793" s="203">
        <v>46200</v>
      </c>
      <c r="B793" s="55" t="s">
        <v>87</v>
      </c>
      <c r="C793" s="356">
        <v>0.59</v>
      </c>
      <c r="D793" s="356">
        <v>0.93</v>
      </c>
      <c r="E793" s="55">
        <v>162.363</v>
      </c>
      <c r="F793" s="10">
        <f t="shared" si="60"/>
        <v>146.2</v>
      </c>
      <c r="G793" s="10">
        <f t="shared" si="61"/>
        <v>16.163</v>
      </c>
      <c r="H793" s="55"/>
      <c r="I793" s="153">
        <f t="shared" si="62"/>
        <v>0.941162703325265</v>
      </c>
      <c r="J793" s="55"/>
      <c r="K793" s="55"/>
      <c r="L793" s="55">
        <v>152.81</v>
      </c>
      <c r="M793" s="166">
        <f t="shared" si="63"/>
        <v>6829.20999999998</v>
      </c>
      <c r="O793" s="343" t="s">
        <v>1611</v>
      </c>
    </row>
    <row r="794" spans="1:15">
      <c r="A794" s="203">
        <v>46200</v>
      </c>
      <c r="B794" s="55" t="s">
        <v>186</v>
      </c>
      <c r="C794" s="356">
        <v>0.45</v>
      </c>
      <c r="D794" s="356">
        <v>0.99</v>
      </c>
      <c r="E794" s="55">
        <v>243.456</v>
      </c>
      <c r="F794" s="10">
        <f t="shared" si="60"/>
        <v>232.2</v>
      </c>
      <c r="G794" s="10">
        <f t="shared" si="61"/>
        <v>11.256</v>
      </c>
      <c r="H794" s="55"/>
      <c r="I794" s="153">
        <f t="shared" si="62"/>
        <v>0.949945780757098</v>
      </c>
      <c r="J794" s="55"/>
      <c r="K794" s="55"/>
      <c r="L794" s="55">
        <v>231.27</v>
      </c>
      <c r="M794" s="166">
        <f t="shared" si="63"/>
        <v>6597.93999999998</v>
      </c>
      <c r="O794" s="343" t="s">
        <v>1611</v>
      </c>
    </row>
    <row r="795" spans="1:15">
      <c r="A795" s="203">
        <v>46200</v>
      </c>
      <c r="B795" s="55" t="s">
        <v>102</v>
      </c>
      <c r="C795" s="356">
        <v>0.4</v>
      </c>
      <c r="D795" s="356">
        <v>0.96</v>
      </c>
      <c r="E795" s="55">
        <v>285.796</v>
      </c>
      <c r="F795" s="10">
        <f t="shared" si="60"/>
        <v>240.8</v>
      </c>
      <c r="G795" s="10">
        <f t="shared" si="61"/>
        <v>44.996</v>
      </c>
      <c r="H795" s="55"/>
      <c r="I795" s="153">
        <f t="shared" si="62"/>
        <v>0.949943316211564</v>
      </c>
      <c r="J795" s="55"/>
      <c r="K795" s="55"/>
      <c r="L795" s="55">
        <v>271.49</v>
      </c>
      <c r="M795" s="166">
        <f t="shared" si="63"/>
        <v>6326.44999999998</v>
      </c>
      <c r="O795" s="343" t="s">
        <v>1611</v>
      </c>
    </row>
    <row r="796" spans="1:15">
      <c r="A796" s="203">
        <v>46200</v>
      </c>
      <c r="B796" s="55" t="s">
        <v>96</v>
      </c>
      <c r="C796" s="356">
        <v>0.4</v>
      </c>
      <c r="D796" s="356">
        <v>1</v>
      </c>
      <c r="E796" s="55">
        <v>284.181</v>
      </c>
      <c r="F796" s="10">
        <f t="shared" si="60"/>
        <v>258</v>
      </c>
      <c r="G796" s="10">
        <f t="shared" si="61"/>
        <v>26.181</v>
      </c>
      <c r="H796" s="55"/>
      <c r="I796" s="153">
        <f t="shared" si="62"/>
        <v>0.949957949335107</v>
      </c>
      <c r="J796" s="55"/>
      <c r="K796" s="55"/>
      <c r="L796" s="55">
        <v>269.96</v>
      </c>
      <c r="M796" s="166">
        <f t="shared" si="63"/>
        <v>6056.48999999998</v>
      </c>
      <c r="O796" s="343" t="s">
        <v>1611</v>
      </c>
    </row>
    <row r="797" spans="1:15">
      <c r="A797" s="203">
        <v>46200</v>
      </c>
      <c r="B797" s="55" t="s">
        <v>135</v>
      </c>
      <c r="C797" s="356">
        <v>0.49</v>
      </c>
      <c r="D797" s="356">
        <v>0.99</v>
      </c>
      <c r="E797" s="55">
        <v>225.109</v>
      </c>
      <c r="F797" s="10">
        <f t="shared" si="60"/>
        <v>215</v>
      </c>
      <c r="G797" s="10">
        <f t="shared" si="61"/>
        <v>10.109</v>
      </c>
      <c r="H797" s="55"/>
      <c r="I797" s="153">
        <f t="shared" si="62"/>
        <v>0.949984229861978</v>
      </c>
      <c r="J797" s="55"/>
      <c r="K797" s="55"/>
      <c r="L797" s="55">
        <v>213.85</v>
      </c>
      <c r="M797" s="166">
        <f t="shared" si="63"/>
        <v>5842.63999999998</v>
      </c>
      <c r="O797" s="343" t="s">
        <v>1611</v>
      </c>
    </row>
    <row r="798" spans="1:15">
      <c r="A798" s="203">
        <v>46200</v>
      </c>
      <c r="B798" s="55" t="s">
        <v>54</v>
      </c>
      <c r="C798" s="356">
        <v>0.47</v>
      </c>
      <c r="D798" s="356">
        <v>0.9</v>
      </c>
      <c r="E798" s="55">
        <v>178.589</v>
      </c>
      <c r="F798" s="10">
        <f t="shared" si="60"/>
        <v>184.9</v>
      </c>
      <c r="G798" s="10">
        <f t="shared" si="61"/>
        <v>-6.31100000000004</v>
      </c>
      <c r="H798" s="55"/>
      <c r="I798" s="153">
        <f t="shared" si="62"/>
        <v>0.949946525261914</v>
      </c>
      <c r="J798" s="55"/>
      <c r="K798" s="55"/>
      <c r="L798" s="55">
        <v>169.65</v>
      </c>
      <c r="M798" s="166">
        <f t="shared" si="63"/>
        <v>5672.98999999998</v>
      </c>
      <c r="O798" s="343" t="s">
        <v>1611</v>
      </c>
    </row>
    <row r="799" spans="1:15">
      <c r="A799" s="203">
        <v>46200</v>
      </c>
      <c r="B799" s="55" t="s">
        <v>69</v>
      </c>
      <c r="C799" s="356">
        <v>0.41</v>
      </c>
      <c r="D799" s="356">
        <v>0.92</v>
      </c>
      <c r="E799" s="55">
        <v>235.864</v>
      </c>
      <c r="F799" s="10">
        <f t="shared" si="60"/>
        <v>219.3</v>
      </c>
      <c r="G799" s="10">
        <f t="shared" si="61"/>
        <v>16.564</v>
      </c>
      <c r="H799" s="55"/>
      <c r="I799" s="153">
        <f t="shared" si="62"/>
        <v>0.949954210901197</v>
      </c>
      <c r="J799" s="55"/>
      <c r="K799" s="55"/>
      <c r="L799" s="55">
        <v>224.06</v>
      </c>
      <c r="M799" s="166">
        <f t="shared" si="63"/>
        <v>5448.92999999998</v>
      </c>
      <c r="O799" s="343" t="s">
        <v>1611</v>
      </c>
    </row>
    <row r="800" spans="1:15">
      <c r="A800" s="203">
        <v>46200</v>
      </c>
      <c r="B800" s="55" t="s">
        <v>51</v>
      </c>
      <c r="C800" s="356">
        <v>0.28</v>
      </c>
      <c r="D800" s="356">
        <v>0.93</v>
      </c>
      <c r="E800" s="55">
        <v>271.525</v>
      </c>
      <c r="F800" s="10">
        <f t="shared" si="60"/>
        <v>279.5</v>
      </c>
      <c r="G800" s="10">
        <f t="shared" si="61"/>
        <v>-7.97500000000002</v>
      </c>
      <c r="H800" s="55"/>
      <c r="I800" s="153">
        <f t="shared" si="62"/>
        <v>0.94996777460639</v>
      </c>
      <c r="J800" s="55"/>
      <c r="K800" s="55"/>
      <c r="L800" s="55">
        <v>257.94</v>
      </c>
      <c r="M800" s="166">
        <f t="shared" si="63"/>
        <v>5190.98999999998</v>
      </c>
      <c r="O800" s="343" t="s">
        <v>1611</v>
      </c>
    </row>
    <row r="801" spans="1:15">
      <c r="A801" s="203">
        <v>46200</v>
      </c>
      <c r="B801" s="55" t="s">
        <v>210</v>
      </c>
      <c r="C801" s="356">
        <v>0.48</v>
      </c>
      <c r="D801" s="356">
        <v>0.89</v>
      </c>
      <c r="E801" s="55">
        <v>181.949</v>
      </c>
      <c r="F801" s="10">
        <f t="shared" si="60"/>
        <v>176.3</v>
      </c>
      <c r="G801" s="10">
        <f t="shared" si="61"/>
        <v>5.649</v>
      </c>
      <c r="H801" s="55"/>
      <c r="I801" s="153">
        <f t="shared" si="62"/>
        <v>0.949936520673375</v>
      </c>
      <c r="J801" s="55"/>
      <c r="K801" s="55"/>
      <c r="L801" s="55">
        <v>172.84</v>
      </c>
      <c r="M801" s="166">
        <f t="shared" si="63"/>
        <v>5018.14999999998</v>
      </c>
      <c r="O801" s="343" t="s">
        <v>1611</v>
      </c>
    </row>
    <row r="802" spans="1:15">
      <c r="A802" s="203">
        <v>46200</v>
      </c>
      <c r="B802" s="55" t="s">
        <v>151</v>
      </c>
      <c r="C802" s="356">
        <v>0.54</v>
      </c>
      <c r="D802" s="356">
        <v>0.92</v>
      </c>
      <c r="E802" s="55">
        <v>172.313</v>
      </c>
      <c r="F802" s="10">
        <f t="shared" si="60"/>
        <v>163.4</v>
      </c>
      <c r="G802" s="10">
        <f t="shared" si="61"/>
        <v>8.91299999999998</v>
      </c>
      <c r="H802" s="55"/>
      <c r="I802" s="153">
        <f t="shared" si="62"/>
        <v>0.949957345063924</v>
      </c>
      <c r="J802" s="55"/>
      <c r="K802" s="55"/>
      <c r="L802" s="55">
        <v>163.69</v>
      </c>
      <c r="M802" s="166">
        <f t="shared" si="63"/>
        <v>4854.45999999998</v>
      </c>
      <c r="O802" s="343" t="s">
        <v>1611</v>
      </c>
    </row>
    <row r="803" spans="1:15">
      <c r="A803" s="203">
        <v>46200</v>
      </c>
      <c r="B803" s="55" t="s">
        <v>154</v>
      </c>
      <c r="C803" s="356">
        <v>0.47</v>
      </c>
      <c r="D803" s="356">
        <v>0.92</v>
      </c>
      <c r="E803" s="55">
        <v>199.893</v>
      </c>
      <c r="F803" s="10">
        <f t="shared" si="60"/>
        <v>193.5</v>
      </c>
      <c r="G803" s="10">
        <f t="shared" si="61"/>
        <v>6.39299999999997</v>
      </c>
      <c r="H803" s="55"/>
      <c r="I803" s="153">
        <f t="shared" si="62"/>
        <v>0.949908200887475</v>
      </c>
      <c r="J803" s="55"/>
      <c r="K803" s="55"/>
      <c r="L803" s="55">
        <v>189.88</v>
      </c>
      <c r="M803" s="166">
        <f t="shared" si="63"/>
        <v>4664.57999999998</v>
      </c>
      <c r="O803" s="343" t="s">
        <v>1611</v>
      </c>
    </row>
    <row r="804" spans="1:15">
      <c r="A804" s="203">
        <v>46200</v>
      </c>
      <c r="B804" s="55" t="s">
        <v>114</v>
      </c>
      <c r="C804" s="356">
        <v>0.28</v>
      </c>
      <c r="D804" s="356">
        <v>0.87</v>
      </c>
      <c r="E804" s="55">
        <v>245.663</v>
      </c>
      <c r="F804" s="10">
        <f t="shared" si="60"/>
        <v>253.7</v>
      </c>
      <c r="G804" s="10">
        <f t="shared" si="61"/>
        <v>-8.03699999999998</v>
      </c>
      <c r="H804" s="55"/>
      <c r="I804" s="153">
        <f t="shared" si="62"/>
        <v>0.949959904421911</v>
      </c>
      <c r="J804" s="55"/>
      <c r="K804" s="55"/>
      <c r="L804" s="55">
        <v>233.37</v>
      </c>
      <c r="M804" s="166">
        <f t="shared" si="63"/>
        <v>4431.20999999998</v>
      </c>
      <c r="O804" s="343" t="s">
        <v>1611</v>
      </c>
    </row>
    <row r="805" spans="1:15">
      <c r="A805" s="203">
        <v>46200</v>
      </c>
      <c r="B805" s="55" t="s">
        <v>111</v>
      </c>
      <c r="C805" s="356">
        <v>0.3</v>
      </c>
      <c r="D805" s="356">
        <v>0.95</v>
      </c>
      <c r="E805" s="55">
        <v>266.228</v>
      </c>
      <c r="F805" s="10">
        <f t="shared" si="60"/>
        <v>279.5</v>
      </c>
      <c r="G805" s="10">
        <f t="shared" si="61"/>
        <v>-13.2719999999999</v>
      </c>
      <c r="H805" s="55"/>
      <c r="I805" s="153">
        <f t="shared" si="62"/>
        <v>0.949975209219165</v>
      </c>
      <c r="J805" s="55"/>
      <c r="K805" s="55"/>
      <c r="L805" s="55">
        <v>252.91</v>
      </c>
      <c r="M805" s="166">
        <f t="shared" si="63"/>
        <v>4178.29999999998</v>
      </c>
      <c r="O805" s="343" t="s">
        <v>1611</v>
      </c>
    </row>
    <row r="806" spans="1:15">
      <c r="A806" s="203">
        <v>46201</v>
      </c>
      <c r="B806" s="55" t="s">
        <v>160</v>
      </c>
      <c r="C806" s="356">
        <v>0.23</v>
      </c>
      <c r="D806" s="356">
        <v>0.9</v>
      </c>
      <c r="E806" s="55">
        <v>297.174</v>
      </c>
      <c r="F806" s="10">
        <f t="shared" si="60"/>
        <v>288.1</v>
      </c>
      <c r="G806" s="10">
        <f t="shared" si="61"/>
        <v>9.07399999999996</v>
      </c>
      <c r="H806" s="55"/>
      <c r="I806" s="153">
        <f t="shared" si="62"/>
        <v>0.949948515011408</v>
      </c>
      <c r="J806" s="55"/>
      <c r="K806" s="55"/>
      <c r="L806" s="55">
        <v>282.3</v>
      </c>
      <c r="M806" s="166">
        <f t="shared" si="63"/>
        <v>3895.99999999998</v>
      </c>
      <c r="O806" s="343" t="s">
        <v>1611</v>
      </c>
    </row>
    <row r="807" spans="1:15">
      <c r="A807" s="203">
        <v>46201</v>
      </c>
      <c r="B807" s="55" t="s">
        <v>221</v>
      </c>
      <c r="C807" s="356">
        <v>0.34</v>
      </c>
      <c r="D807" s="356">
        <v>0.92</v>
      </c>
      <c r="E807" s="55">
        <v>260.846</v>
      </c>
      <c r="F807" s="10">
        <f t="shared" si="60"/>
        <v>249.4</v>
      </c>
      <c r="G807" s="10">
        <f t="shared" si="61"/>
        <v>11.446</v>
      </c>
      <c r="H807" s="55"/>
      <c r="I807" s="153">
        <f t="shared" si="62"/>
        <v>0.93557117992992</v>
      </c>
      <c r="J807" s="55"/>
      <c r="K807" s="55"/>
      <c r="L807" s="55">
        <v>244.04</v>
      </c>
      <c r="M807" s="166">
        <f t="shared" si="63"/>
        <v>3651.95999999998</v>
      </c>
      <c r="O807" s="343" t="s">
        <v>1611</v>
      </c>
    </row>
    <row r="808" spans="1:15">
      <c r="A808" s="203">
        <v>46201</v>
      </c>
      <c r="B808" s="55" t="s">
        <v>163</v>
      </c>
      <c r="C808" s="356">
        <v>0.43</v>
      </c>
      <c r="D808" s="356">
        <v>0.94</v>
      </c>
      <c r="E808" s="55">
        <v>228.732</v>
      </c>
      <c r="F808" s="10">
        <f t="shared" si="60"/>
        <v>219.3</v>
      </c>
      <c r="G808" s="10">
        <f t="shared" si="61"/>
        <v>9.43199999999999</v>
      </c>
      <c r="H808" s="55"/>
      <c r="I808" s="153">
        <f t="shared" si="62"/>
        <v>0.936467131839882</v>
      </c>
      <c r="J808" s="55"/>
      <c r="K808" s="55"/>
      <c r="L808" s="55">
        <v>214.2</v>
      </c>
      <c r="M808" s="166">
        <f t="shared" si="63"/>
        <v>3437.75999999998</v>
      </c>
      <c r="O808" s="343" t="s">
        <v>1611</v>
      </c>
    </row>
    <row r="809" spans="1:15">
      <c r="A809" s="203">
        <v>46201</v>
      </c>
      <c r="B809" s="55" t="s">
        <v>81</v>
      </c>
      <c r="C809" s="356">
        <v>0.22</v>
      </c>
      <c r="D809" s="356">
        <v>0.98</v>
      </c>
      <c r="E809" s="55">
        <v>360.066</v>
      </c>
      <c r="F809" s="10">
        <f t="shared" si="60"/>
        <v>326.8</v>
      </c>
      <c r="G809" s="10">
        <f t="shared" si="61"/>
        <v>33.266</v>
      </c>
      <c r="H809" s="55"/>
      <c r="I809" s="153">
        <f t="shared" si="62"/>
        <v>0.819960784967201</v>
      </c>
      <c r="J809" s="55"/>
      <c r="K809" s="55"/>
      <c r="L809" s="55">
        <v>295.24</v>
      </c>
      <c r="M809" s="166">
        <f t="shared" si="63"/>
        <v>3142.51999999998</v>
      </c>
      <c r="O809" s="343" t="s">
        <v>1611</v>
      </c>
    </row>
    <row r="810" spans="1:15">
      <c r="A810" s="203">
        <v>46201</v>
      </c>
      <c r="B810" s="55" t="s">
        <v>183</v>
      </c>
      <c r="C810" s="356">
        <v>0.4</v>
      </c>
      <c r="D810" s="356">
        <v>0.92</v>
      </c>
      <c r="E810" s="55">
        <v>230.485</v>
      </c>
      <c r="F810" s="10">
        <f t="shared" si="60"/>
        <v>223.6</v>
      </c>
      <c r="G810" s="10">
        <f t="shared" si="61"/>
        <v>6.88500000000002</v>
      </c>
      <c r="H810" s="55"/>
      <c r="I810" s="153">
        <f t="shared" si="62"/>
        <v>0.819923205414669</v>
      </c>
      <c r="J810" s="55"/>
      <c r="K810" s="55"/>
      <c r="L810" s="55">
        <v>188.98</v>
      </c>
      <c r="M810" s="166">
        <f t="shared" si="63"/>
        <v>2953.53999999998</v>
      </c>
      <c r="O810" s="343" t="s">
        <v>1611</v>
      </c>
    </row>
    <row r="811" spans="1:15">
      <c r="A811" s="203">
        <v>46201</v>
      </c>
      <c r="B811" s="55" t="s">
        <v>198</v>
      </c>
      <c r="C811" s="356">
        <v>0.16</v>
      </c>
      <c r="D811" s="356">
        <v>0.99</v>
      </c>
      <c r="E811" s="55">
        <v>371.627</v>
      </c>
      <c r="F811" s="10">
        <f t="shared" si="60"/>
        <v>356.9</v>
      </c>
      <c r="G811" s="10">
        <f t="shared" si="61"/>
        <v>14.727</v>
      </c>
      <c r="H811" s="55"/>
      <c r="I811" s="153">
        <f t="shared" si="62"/>
        <v>0.716847807075374</v>
      </c>
      <c r="J811" s="55"/>
      <c r="K811" s="55"/>
      <c r="L811" s="55">
        <v>266.4</v>
      </c>
      <c r="M811" s="166">
        <f t="shared" si="63"/>
        <v>2687.13999999998</v>
      </c>
      <c r="O811" s="343" t="s">
        <v>1611</v>
      </c>
    </row>
    <row r="812" spans="1:15">
      <c r="A812" s="203">
        <v>46201</v>
      </c>
      <c r="B812" s="55" t="s">
        <v>186</v>
      </c>
      <c r="C812" s="356">
        <v>0.34</v>
      </c>
      <c r="D812" s="356">
        <v>0.9</v>
      </c>
      <c r="E812" s="55">
        <v>250.191</v>
      </c>
      <c r="F812" s="10">
        <f t="shared" si="60"/>
        <v>240.8</v>
      </c>
      <c r="G812" s="10">
        <f t="shared" si="61"/>
        <v>9.39099999999999</v>
      </c>
      <c r="H812" s="55"/>
      <c r="I812" s="153">
        <f t="shared" si="62"/>
        <v>0.669928174874396</v>
      </c>
      <c r="J812" s="55"/>
      <c r="K812" s="55"/>
      <c r="L812" s="55">
        <v>167.61</v>
      </c>
      <c r="M812" s="166">
        <f t="shared" si="63"/>
        <v>2519.52999999998</v>
      </c>
      <c r="O812" s="343" t="s">
        <v>1611</v>
      </c>
    </row>
    <row r="813" spans="1:15">
      <c r="A813" s="203">
        <v>46201</v>
      </c>
      <c r="B813" s="55" t="s">
        <v>130</v>
      </c>
      <c r="C813" s="356">
        <v>0.35</v>
      </c>
      <c r="D813" s="356">
        <v>0.99</v>
      </c>
      <c r="E813" s="55">
        <v>265.326</v>
      </c>
      <c r="F813" s="10">
        <f t="shared" si="60"/>
        <v>275.2</v>
      </c>
      <c r="G813" s="10">
        <f t="shared" si="61"/>
        <v>-9.87399999999997</v>
      </c>
      <c r="H813" s="55"/>
      <c r="I813" s="153">
        <f t="shared" si="62"/>
        <v>0.669968265454573</v>
      </c>
      <c r="J813" s="55"/>
      <c r="K813" s="55"/>
      <c r="L813" s="55">
        <v>177.76</v>
      </c>
      <c r="M813" s="166">
        <f t="shared" si="63"/>
        <v>2341.76999999998</v>
      </c>
      <c r="O813" s="343" t="s">
        <v>1611</v>
      </c>
    </row>
    <row r="814" spans="1:15">
      <c r="A814" s="203">
        <v>46201</v>
      </c>
      <c r="B814" s="55" t="s">
        <v>180</v>
      </c>
      <c r="C814" s="356">
        <v>0.43</v>
      </c>
      <c r="D814" s="356">
        <v>0.43</v>
      </c>
      <c r="E814" s="55">
        <v>1.085</v>
      </c>
      <c r="F814" s="10">
        <f t="shared" si="60"/>
        <v>0</v>
      </c>
      <c r="G814" s="10">
        <f t="shared" si="61"/>
        <v>1.085</v>
      </c>
      <c r="H814" s="55"/>
      <c r="I814" s="153">
        <f t="shared" si="62"/>
        <v>0.654377880184332</v>
      </c>
      <c r="J814" s="55"/>
      <c r="K814" s="55"/>
      <c r="L814" s="55">
        <v>0.71</v>
      </c>
      <c r="M814" s="166">
        <f t="shared" si="63"/>
        <v>2341.05999999998</v>
      </c>
      <c r="O814" s="343" t="s">
        <v>1611</v>
      </c>
    </row>
    <row r="815" spans="1:15">
      <c r="A815" s="203">
        <v>46201</v>
      </c>
      <c r="B815" s="55" t="s">
        <v>180</v>
      </c>
      <c r="C815" s="356">
        <v>0.44</v>
      </c>
      <c r="D815" s="356">
        <v>0.9</v>
      </c>
      <c r="E815" s="55">
        <v>208.241</v>
      </c>
      <c r="F815" s="10">
        <f t="shared" si="60"/>
        <v>197.8</v>
      </c>
      <c r="G815" s="10">
        <f t="shared" si="61"/>
        <v>10.441</v>
      </c>
      <c r="H815" s="55"/>
      <c r="I815" s="153">
        <f t="shared" si="62"/>
        <v>0.669944919588361</v>
      </c>
      <c r="J815" s="55"/>
      <c r="K815" s="55"/>
      <c r="L815" s="55">
        <v>139.51</v>
      </c>
      <c r="M815" s="166">
        <f t="shared" si="63"/>
        <v>2201.54999999998</v>
      </c>
      <c r="O815" s="343" t="s">
        <v>1611</v>
      </c>
    </row>
    <row r="816" spans="1:15">
      <c r="A816" s="203">
        <v>46201</v>
      </c>
      <c r="B816" s="55" t="s">
        <v>207</v>
      </c>
      <c r="C816" s="356">
        <v>0.45</v>
      </c>
      <c r="D816" s="356">
        <v>0.91</v>
      </c>
      <c r="E816" s="55">
        <v>206.153</v>
      </c>
      <c r="F816" s="10">
        <f t="shared" si="60"/>
        <v>197.8</v>
      </c>
      <c r="G816" s="10">
        <f t="shared" si="61"/>
        <v>8.35299999999998</v>
      </c>
      <c r="H816" s="55"/>
      <c r="I816" s="153">
        <f t="shared" si="62"/>
        <v>0.669939316915107</v>
      </c>
      <c r="J816" s="55"/>
      <c r="K816" s="55"/>
      <c r="L816" s="55">
        <v>138.11</v>
      </c>
      <c r="M816" s="166">
        <f t="shared" si="63"/>
        <v>2063.43999999998</v>
      </c>
      <c r="O816" s="343" t="s">
        <v>1611</v>
      </c>
    </row>
    <row r="817" spans="1:15">
      <c r="A817" s="203">
        <v>46201</v>
      </c>
      <c r="B817" s="55" t="s">
        <v>141</v>
      </c>
      <c r="C817" s="356">
        <v>0.21</v>
      </c>
      <c r="D817" s="356">
        <v>1</v>
      </c>
      <c r="E817" s="55">
        <v>350.207</v>
      </c>
      <c r="F817" s="10">
        <f t="shared" si="60"/>
        <v>339.7</v>
      </c>
      <c r="G817" s="10">
        <f t="shared" si="61"/>
        <v>10.507</v>
      </c>
      <c r="H817" s="55"/>
      <c r="I817" s="153">
        <f t="shared" si="62"/>
        <v>0.686336937868175</v>
      </c>
      <c r="J817" s="55"/>
      <c r="K817" s="55"/>
      <c r="L817" s="55">
        <v>240.36</v>
      </c>
      <c r="M817" s="166">
        <f t="shared" si="63"/>
        <v>1823.07999999998</v>
      </c>
      <c r="O817" s="343" t="s">
        <v>1611</v>
      </c>
    </row>
    <row r="818" spans="1:15">
      <c r="A818" s="203">
        <v>46201</v>
      </c>
      <c r="B818" s="55" t="s">
        <v>63</v>
      </c>
      <c r="C818" s="356">
        <v>0.57</v>
      </c>
      <c r="D818" s="356">
        <v>0.98</v>
      </c>
      <c r="E818" s="55">
        <v>201.507</v>
      </c>
      <c r="F818" s="10">
        <f t="shared" si="60"/>
        <v>176.3</v>
      </c>
      <c r="G818" s="10">
        <f t="shared" si="61"/>
        <v>25.207</v>
      </c>
      <c r="H818" s="55"/>
      <c r="I818" s="153">
        <f t="shared" si="62"/>
        <v>0.794811098373754</v>
      </c>
      <c r="J818" s="55"/>
      <c r="K818" s="55"/>
      <c r="L818" s="55">
        <v>160.16</v>
      </c>
      <c r="M818" s="166">
        <f t="shared" si="63"/>
        <v>1662.91999999998</v>
      </c>
      <c r="O818" s="343" t="s">
        <v>1611</v>
      </c>
    </row>
    <row r="819" spans="1:15">
      <c r="A819" s="203">
        <v>46201</v>
      </c>
      <c r="B819" s="55" t="s">
        <v>148</v>
      </c>
      <c r="C819" s="356">
        <v>0.44</v>
      </c>
      <c r="D819" s="356">
        <v>0.9</v>
      </c>
      <c r="E819" s="55">
        <v>206.273</v>
      </c>
      <c r="F819" s="10">
        <f t="shared" si="60"/>
        <v>197.8</v>
      </c>
      <c r="G819" s="10">
        <f t="shared" si="61"/>
        <v>8.47299999999998</v>
      </c>
      <c r="H819" s="55"/>
      <c r="I819" s="153">
        <f t="shared" si="62"/>
        <v>0.819932807492983</v>
      </c>
      <c r="J819" s="55"/>
      <c r="K819" s="55"/>
      <c r="L819" s="55">
        <v>169.13</v>
      </c>
      <c r="M819" s="166">
        <f t="shared" si="63"/>
        <v>1493.78999999998</v>
      </c>
      <c r="O819" s="343" t="s">
        <v>1611</v>
      </c>
    </row>
    <row r="820" spans="1:15">
      <c r="A820" s="203">
        <v>46201</v>
      </c>
      <c r="B820" s="55" t="s">
        <v>87</v>
      </c>
      <c r="C820" s="356">
        <v>0.25</v>
      </c>
      <c r="D820" s="356">
        <v>0.9</v>
      </c>
      <c r="E820" s="55">
        <v>300.443</v>
      </c>
      <c r="F820" s="10">
        <f t="shared" si="60"/>
        <v>279.5</v>
      </c>
      <c r="G820" s="10">
        <f t="shared" si="61"/>
        <v>20.943</v>
      </c>
      <c r="H820" s="55"/>
      <c r="I820" s="153">
        <f t="shared" si="62"/>
        <v>0.866021175397663</v>
      </c>
      <c r="J820" s="55"/>
      <c r="K820" s="55"/>
      <c r="L820" s="55">
        <v>260.19</v>
      </c>
      <c r="M820" s="166">
        <f t="shared" si="63"/>
        <v>1233.59999999998</v>
      </c>
      <c r="O820" s="343" t="s">
        <v>1611</v>
      </c>
    </row>
    <row r="821" spans="1:15">
      <c r="A821" s="203">
        <v>46201</v>
      </c>
      <c r="B821" s="55" t="s">
        <v>201</v>
      </c>
      <c r="C821" s="356">
        <v>0.2</v>
      </c>
      <c r="D821" s="356">
        <v>0.89</v>
      </c>
      <c r="E821" s="55">
        <v>307.512</v>
      </c>
      <c r="F821" s="10">
        <f t="shared" si="60"/>
        <v>296.7</v>
      </c>
      <c r="G821" s="10">
        <f t="shared" si="61"/>
        <v>10.812</v>
      </c>
      <c r="H821" s="55"/>
      <c r="I821" s="153">
        <f t="shared" si="62"/>
        <v>0.949979187804053</v>
      </c>
      <c r="J821" s="55"/>
      <c r="K821" s="55"/>
      <c r="L821" s="55">
        <v>292.13</v>
      </c>
      <c r="M821" s="166">
        <f t="shared" si="63"/>
        <v>941.46999999998</v>
      </c>
      <c r="O821" s="343" t="s">
        <v>1611</v>
      </c>
    </row>
    <row r="822" spans="1:15">
      <c r="A822" s="203">
        <v>46201</v>
      </c>
      <c r="B822" s="55" t="s">
        <v>189</v>
      </c>
      <c r="C822" s="356">
        <v>0.23</v>
      </c>
      <c r="D822" s="356">
        <v>0.88</v>
      </c>
      <c r="E822" s="55">
        <v>292.196</v>
      </c>
      <c r="F822" s="10">
        <f t="shared" si="60"/>
        <v>279.5</v>
      </c>
      <c r="G822" s="10">
        <f t="shared" si="61"/>
        <v>12.696</v>
      </c>
      <c r="H822" s="55"/>
      <c r="I822" s="153">
        <f t="shared" si="62"/>
        <v>0.949944557762598</v>
      </c>
      <c r="J822" s="55"/>
      <c r="K822" s="55"/>
      <c r="L822" s="55">
        <v>277.57</v>
      </c>
      <c r="M822" s="166">
        <f t="shared" si="63"/>
        <v>663.89999999998</v>
      </c>
      <c r="O822" s="343" t="s">
        <v>1611</v>
      </c>
    </row>
    <row r="823" spans="1:15">
      <c r="A823" s="203">
        <v>46201</v>
      </c>
      <c r="B823" s="55" t="s">
        <v>93</v>
      </c>
      <c r="C823" s="356">
        <v>0.35</v>
      </c>
      <c r="D823" s="356">
        <v>0.91</v>
      </c>
      <c r="E823" s="55">
        <v>261.575</v>
      </c>
      <c r="F823" s="10">
        <f t="shared" si="60"/>
        <v>240.8</v>
      </c>
      <c r="G823" s="10">
        <f t="shared" si="61"/>
        <v>20.775</v>
      </c>
      <c r="H823" s="55"/>
      <c r="I823" s="153">
        <f t="shared" si="62"/>
        <v>0.949937876326101</v>
      </c>
      <c r="J823" s="55"/>
      <c r="K823" s="55"/>
      <c r="L823" s="55">
        <v>248.48</v>
      </c>
      <c r="M823" s="166">
        <f t="shared" si="63"/>
        <v>415.41999999998</v>
      </c>
      <c r="O823" s="343" t="s">
        <v>1611</v>
      </c>
    </row>
    <row r="824" spans="1:15">
      <c r="A824" s="203">
        <v>46201</v>
      </c>
      <c r="B824" s="55" t="s">
        <v>90</v>
      </c>
      <c r="C824" s="356">
        <v>0.25</v>
      </c>
      <c r="D824" s="356">
        <v>0.92</v>
      </c>
      <c r="E824" s="55">
        <v>308.991</v>
      </c>
      <c r="F824" s="10">
        <f t="shared" ref="F824:F855" si="64">(D824-C824)*430</f>
        <v>288.1</v>
      </c>
      <c r="G824" s="10">
        <f t="shared" ref="G824:G855" si="65">E824-F824</f>
        <v>20.891</v>
      </c>
      <c r="H824" s="55"/>
      <c r="I824" s="153">
        <f t="shared" ref="I824:I855" si="66">L824/E824</f>
        <v>0.949962943904515</v>
      </c>
      <c r="J824" s="55"/>
      <c r="K824" s="55"/>
      <c r="L824" s="55">
        <v>293.53</v>
      </c>
      <c r="M824" s="166">
        <f t="shared" ref="M824:M855" si="67">M823+K824-L824</f>
        <v>121.88999999998</v>
      </c>
      <c r="O824" s="343" t="s">
        <v>1611</v>
      </c>
    </row>
    <row r="825" spans="1:15">
      <c r="A825" s="203">
        <v>46201</v>
      </c>
      <c r="B825" s="55" t="s">
        <v>72</v>
      </c>
      <c r="C825" s="356">
        <v>0.42</v>
      </c>
      <c r="D825" s="356">
        <v>0.9</v>
      </c>
      <c r="E825" s="55">
        <v>227.21</v>
      </c>
      <c r="F825" s="10">
        <f t="shared" si="64"/>
        <v>206.4</v>
      </c>
      <c r="G825" s="10">
        <f t="shared" si="65"/>
        <v>20.81</v>
      </c>
      <c r="H825" s="55"/>
      <c r="I825" s="153">
        <f t="shared" si="66"/>
        <v>0.949958188460015</v>
      </c>
      <c r="J825" s="55"/>
      <c r="K825" s="55"/>
      <c r="L825" s="55">
        <v>215.84</v>
      </c>
      <c r="M825" s="166">
        <f t="shared" si="67"/>
        <v>-93.9500000000201</v>
      </c>
      <c r="O825" s="343" t="s">
        <v>1611</v>
      </c>
    </row>
    <row r="826" spans="1:15">
      <c r="A826" s="203">
        <v>46201</v>
      </c>
      <c r="B826" s="55" t="s">
        <v>75</v>
      </c>
      <c r="C826" s="356">
        <v>0.54</v>
      </c>
      <c r="D826" s="356">
        <v>0.7</v>
      </c>
      <c r="E826" s="55">
        <v>74.121</v>
      </c>
      <c r="F826" s="10">
        <f t="shared" si="64"/>
        <v>68.8</v>
      </c>
      <c r="G826" s="10">
        <f t="shared" si="65"/>
        <v>5.32100000000003</v>
      </c>
      <c r="H826" s="55"/>
      <c r="I826" s="153">
        <f t="shared" si="66"/>
        <v>0.949933217306836</v>
      </c>
      <c r="J826" s="55"/>
      <c r="K826" s="55"/>
      <c r="L826" s="55">
        <v>70.41</v>
      </c>
      <c r="M826" s="166">
        <f t="shared" si="67"/>
        <v>-164.36000000002</v>
      </c>
      <c r="O826" s="343" t="s">
        <v>1611</v>
      </c>
    </row>
    <row r="827" spans="1:15">
      <c r="A827" s="203">
        <v>46201</v>
      </c>
      <c r="B827" s="55" t="s">
        <v>60</v>
      </c>
      <c r="C827" s="356">
        <v>0.33</v>
      </c>
      <c r="D827" s="356">
        <v>0.92</v>
      </c>
      <c r="E827" s="55">
        <v>246.296</v>
      </c>
      <c r="F827" s="10">
        <f t="shared" si="64"/>
        <v>253.7</v>
      </c>
      <c r="G827" s="10">
        <f t="shared" si="65"/>
        <v>-7.40400000000005</v>
      </c>
      <c r="H827" s="55"/>
      <c r="I827" s="153">
        <f t="shared" si="66"/>
        <v>0.891569493617436</v>
      </c>
      <c r="J827" s="55"/>
      <c r="K827" s="55"/>
      <c r="L827" s="55">
        <v>219.59</v>
      </c>
      <c r="M827" s="166">
        <f t="shared" si="67"/>
        <v>-383.95000000002</v>
      </c>
      <c r="O827" s="343" t="s">
        <v>1611</v>
      </c>
    </row>
    <row r="828" spans="1:15">
      <c r="A828" s="203">
        <v>46201</v>
      </c>
      <c r="B828" s="55" t="s">
        <v>174</v>
      </c>
      <c r="C828" s="356">
        <v>0.48</v>
      </c>
      <c r="D828" s="356">
        <v>0.99</v>
      </c>
      <c r="E828" s="55">
        <v>231.328</v>
      </c>
      <c r="F828" s="10">
        <f t="shared" si="64"/>
        <v>219.3</v>
      </c>
      <c r="G828" s="10">
        <f t="shared" si="65"/>
        <v>12.028</v>
      </c>
      <c r="H828" s="55"/>
      <c r="I828" s="153">
        <f t="shared" si="66"/>
        <v>0.949949854751695</v>
      </c>
      <c r="J828" s="55"/>
      <c r="K828" s="55"/>
      <c r="L828" s="55">
        <v>219.75</v>
      </c>
      <c r="M828" s="166">
        <f t="shared" si="67"/>
        <v>-603.70000000002</v>
      </c>
      <c r="O828" s="343" t="s">
        <v>1611</v>
      </c>
    </row>
    <row r="829" spans="1:15">
      <c r="A829" s="203">
        <v>46201</v>
      </c>
      <c r="B829" s="55" t="s">
        <v>124</v>
      </c>
      <c r="C829" s="356">
        <v>0.47</v>
      </c>
      <c r="D829" s="356">
        <v>0.8</v>
      </c>
      <c r="E829" s="55">
        <v>143.304</v>
      </c>
      <c r="F829" s="10">
        <f t="shared" si="64"/>
        <v>141.9</v>
      </c>
      <c r="G829" s="10">
        <f t="shared" si="65"/>
        <v>1.40399999999997</v>
      </c>
      <c r="H829" s="55"/>
      <c r="I829" s="153">
        <f t="shared" si="66"/>
        <v>0.949938592083961</v>
      </c>
      <c r="J829" s="55"/>
      <c r="K829" s="55"/>
      <c r="L829" s="55">
        <v>136.13</v>
      </c>
      <c r="M829" s="166">
        <f t="shared" si="67"/>
        <v>-739.83000000002</v>
      </c>
      <c r="O829" s="343" t="s">
        <v>1611</v>
      </c>
    </row>
    <row r="830" spans="1:15">
      <c r="A830" s="203">
        <v>46201</v>
      </c>
      <c r="B830" s="55" t="s">
        <v>192</v>
      </c>
      <c r="C830" s="356">
        <v>0.49</v>
      </c>
      <c r="D830" s="356">
        <v>0.96</v>
      </c>
      <c r="E830" s="55">
        <v>209.768</v>
      </c>
      <c r="F830" s="10">
        <f t="shared" si="64"/>
        <v>202.1</v>
      </c>
      <c r="G830" s="10">
        <f t="shared" si="65"/>
        <v>7.66800000000001</v>
      </c>
      <c r="H830" s="55"/>
      <c r="I830" s="153">
        <f t="shared" si="66"/>
        <v>0.949954235155028</v>
      </c>
      <c r="J830" s="55"/>
      <c r="K830" s="55"/>
      <c r="L830" s="55">
        <v>199.27</v>
      </c>
      <c r="M830" s="166">
        <f t="shared" si="67"/>
        <v>-939.10000000002</v>
      </c>
      <c r="O830" s="343" t="s">
        <v>1611</v>
      </c>
    </row>
    <row r="831" spans="1:15">
      <c r="A831" s="203">
        <v>46201</v>
      </c>
      <c r="B831" s="55" t="s">
        <v>78</v>
      </c>
      <c r="C831" s="356">
        <v>0.39</v>
      </c>
      <c r="D831" s="356">
        <v>0.82</v>
      </c>
      <c r="E831" s="55">
        <v>202.923</v>
      </c>
      <c r="F831" s="10">
        <f t="shared" si="64"/>
        <v>184.9</v>
      </c>
      <c r="G831" s="10">
        <f t="shared" si="65"/>
        <v>18.023</v>
      </c>
      <c r="H831" s="55"/>
      <c r="I831" s="153">
        <f t="shared" si="66"/>
        <v>0.94996624335339</v>
      </c>
      <c r="J831" s="55"/>
      <c r="K831" s="55"/>
      <c r="L831" s="55">
        <v>192.77</v>
      </c>
      <c r="M831" s="166">
        <f t="shared" si="67"/>
        <v>-1131.87000000002</v>
      </c>
      <c r="O831" s="343" t="s">
        <v>1611</v>
      </c>
    </row>
    <row r="832" spans="1:15">
      <c r="A832" s="203">
        <v>46201</v>
      </c>
      <c r="B832" s="55" t="s">
        <v>84</v>
      </c>
      <c r="C832" s="356">
        <v>0.4</v>
      </c>
      <c r="D832" s="356">
        <v>0.81</v>
      </c>
      <c r="E832" s="55">
        <v>195.893</v>
      </c>
      <c r="F832" s="10">
        <f t="shared" si="64"/>
        <v>176.3</v>
      </c>
      <c r="G832" s="10">
        <f t="shared" si="65"/>
        <v>19.593</v>
      </c>
      <c r="H832" s="55"/>
      <c r="I832" s="153">
        <f t="shared" si="66"/>
        <v>0.949906326412889</v>
      </c>
      <c r="J832" s="55"/>
      <c r="K832" s="55"/>
      <c r="L832" s="55">
        <v>186.08</v>
      </c>
      <c r="M832" s="166">
        <f t="shared" si="67"/>
        <v>-1317.95000000002</v>
      </c>
      <c r="O832" s="343" t="s">
        <v>1611</v>
      </c>
    </row>
    <row r="833" spans="1:15">
      <c r="A833" s="203">
        <v>46201</v>
      </c>
      <c r="B833" s="55" t="s">
        <v>130</v>
      </c>
      <c r="C833" s="356">
        <v>0.15</v>
      </c>
      <c r="D833" s="356">
        <v>0.91</v>
      </c>
      <c r="E833" s="55">
        <v>313.522</v>
      </c>
      <c r="F833" s="10">
        <f t="shared" si="64"/>
        <v>326.8</v>
      </c>
      <c r="G833" s="10">
        <f t="shared" si="65"/>
        <v>-13.278</v>
      </c>
      <c r="H833" s="55"/>
      <c r="I833" s="153">
        <f t="shared" si="66"/>
        <v>0.949981181543879</v>
      </c>
      <c r="J833" s="55"/>
      <c r="K833" s="55"/>
      <c r="L833" s="55">
        <v>297.84</v>
      </c>
      <c r="M833" s="166">
        <f t="shared" si="67"/>
        <v>-1615.79000000002</v>
      </c>
      <c r="O833" s="343" t="s">
        <v>1611</v>
      </c>
    </row>
    <row r="834" spans="1:15">
      <c r="A834" s="203">
        <v>46201</v>
      </c>
      <c r="B834" s="55" t="s">
        <v>132</v>
      </c>
      <c r="C834" s="356">
        <v>0.33</v>
      </c>
      <c r="D834" s="356">
        <v>0.86</v>
      </c>
      <c r="E834" s="55">
        <v>237.886</v>
      </c>
      <c r="F834" s="10">
        <f t="shared" si="64"/>
        <v>227.9</v>
      </c>
      <c r="G834" s="10">
        <f t="shared" si="65"/>
        <v>9.98599999999999</v>
      </c>
      <c r="H834" s="55"/>
      <c r="I834" s="153">
        <f t="shared" si="66"/>
        <v>0.949950816777784</v>
      </c>
      <c r="J834" s="55"/>
      <c r="K834" s="55"/>
      <c r="L834" s="55">
        <v>225.98</v>
      </c>
      <c r="M834" s="166">
        <f t="shared" si="67"/>
        <v>-1841.77000000002</v>
      </c>
      <c r="O834" s="343" t="s">
        <v>1611</v>
      </c>
    </row>
    <row r="835" spans="1:15">
      <c r="A835" s="203">
        <v>46201</v>
      </c>
      <c r="B835" s="55" t="s">
        <v>144</v>
      </c>
      <c r="C835" s="356">
        <v>0.4</v>
      </c>
      <c r="D835" s="356">
        <v>0.4</v>
      </c>
      <c r="E835" s="55">
        <v>1.136</v>
      </c>
      <c r="F835" s="10">
        <f t="shared" si="64"/>
        <v>0</v>
      </c>
      <c r="G835" s="10">
        <f t="shared" si="65"/>
        <v>1.136</v>
      </c>
      <c r="H835" s="55"/>
      <c r="I835" s="153">
        <f t="shared" si="66"/>
        <v>0.941901408450704</v>
      </c>
      <c r="J835" s="55"/>
      <c r="K835" s="55"/>
      <c r="L835" s="55">
        <v>1.07</v>
      </c>
      <c r="M835" s="166">
        <f t="shared" si="67"/>
        <v>-1842.84000000002</v>
      </c>
      <c r="O835" s="343" t="s">
        <v>1611</v>
      </c>
    </row>
    <row r="836" spans="1:15">
      <c r="A836" s="203">
        <v>46201</v>
      </c>
      <c r="B836" s="55" t="s">
        <v>144</v>
      </c>
      <c r="C836" s="356">
        <v>0.41</v>
      </c>
      <c r="D836" s="356">
        <v>0.96</v>
      </c>
      <c r="E836" s="55">
        <v>245.022</v>
      </c>
      <c r="F836" s="10">
        <f t="shared" si="64"/>
        <v>236.5</v>
      </c>
      <c r="G836" s="10">
        <f t="shared" si="65"/>
        <v>8.52199999999996</v>
      </c>
      <c r="H836" s="55"/>
      <c r="I836" s="153">
        <f t="shared" si="66"/>
        <v>0.949955514198725</v>
      </c>
      <c r="J836" s="55"/>
      <c r="K836" s="55"/>
      <c r="L836" s="55">
        <v>232.76</v>
      </c>
      <c r="M836" s="166">
        <f t="shared" si="67"/>
        <v>-2075.60000000002</v>
      </c>
      <c r="O836" s="343" t="s">
        <v>1611</v>
      </c>
    </row>
    <row r="837" spans="1:15">
      <c r="A837" s="203">
        <v>46201</v>
      </c>
      <c r="B837" s="55" t="s">
        <v>99</v>
      </c>
      <c r="C837" s="356">
        <v>0.38</v>
      </c>
      <c r="D837" s="356">
        <v>0.78</v>
      </c>
      <c r="E837" s="55">
        <v>186.746</v>
      </c>
      <c r="F837" s="10">
        <f t="shared" si="64"/>
        <v>172</v>
      </c>
      <c r="G837" s="10">
        <f t="shared" si="65"/>
        <v>14.746</v>
      </c>
      <c r="H837" s="55"/>
      <c r="I837" s="153">
        <f t="shared" si="66"/>
        <v>0.949953412656764</v>
      </c>
      <c r="J837" s="55"/>
      <c r="K837" s="55"/>
      <c r="L837" s="55">
        <v>177.4</v>
      </c>
      <c r="M837" s="166">
        <f t="shared" si="67"/>
        <v>-2253.00000000002</v>
      </c>
      <c r="O837" s="343" t="s">
        <v>1611</v>
      </c>
    </row>
    <row r="838" spans="1:15">
      <c r="A838" s="203">
        <v>46201</v>
      </c>
      <c r="B838" s="55" t="s">
        <v>66</v>
      </c>
      <c r="C838" s="356">
        <v>0.32</v>
      </c>
      <c r="D838" s="356">
        <v>0.71</v>
      </c>
      <c r="E838" s="55">
        <v>184.388</v>
      </c>
      <c r="F838" s="10">
        <f t="shared" si="64"/>
        <v>167.7</v>
      </c>
      <c r="G838" s="10">
        <f t="shared" si="65"/>
        <v>16.688</v>
      </c>
      <c r="H838" s="55"/>
      <c r="I838" s="153">
        <f t="shared" si="66"/>
        <v>0.949899125756557</v>
      </c>
      <c r="J838" s="55"/>
      <c r="K838" s="55"/>
      <c r="L838" s="55">
        <v>175.15</v>
      </c>
      <c r="M838" s="166">
        <f t="shared" si="67"/>
        <v>-2428.15000000002</v>
      </c>
      <c r="O838" s="343" t="s">
        <v>1611</v>
      </c>
    </row>
    <row r="839" spans="1:15">
      <c r="A839" s="203">
        <v>46201</v>
      </c>
      <c r="B839" s="55" t="s">
        <v>127</v>
      </c>
      <c r="C839" s="356">
        <v>0.52</v>
      </c>
      <c r="D839" s="356">
        <v>0.75</v>
      </c>
      <c r="E839" s="55">
        <v>98.603</v>
      </c>
      <c r="F839" s="10">
        <f t="shared" si="64"/>
        <v>98.9</v>
      </c>
      <c r="G839" s="10">
        <f t="shared" si="65"/>
        <v>-0.296999999999997</v>
      </c>
      <c r="H839" s="55"/>
      <c r="I839" s="153">
        <f t="shared" si="66"/>
        <v>0.949971096214111</v>
      </c>
      <c r="J839" s="55"/>
      <c r="K839" s="55"/>
      <c r="L839" s="55">
        <v>93.67</v>
      </c>
      <c r="M839" s="166">
        <f t="shared" si="67"/>
        <v>-2521.82000000002</v>
      </c>
      <c r="O839" s="343" t="s">
        <v>1611</v>
      </c>
    </row>
    <row r="840" spans="1:15">
      <c r="A840" s="203">
        <v>46201</v>
      </c>
      <c r="B840" s="55" t="s">
        <v>151</v>
      </c>
      <c r="C840" s="356">
        <v>0.35</v>
      </c>
      <c r="D840" s="356">
        <v>0.86</v>
      </c>
      <c r="E840" s="55">
        <v>227.798</v>
      </c>
      <c r="F840" s="10">
        <f t="shared" si="64"/>
        <v>219.3</v>
      </c>
      <c r="G840" s="10">
        <f t="shared" si="65"/>
        <v>8.49799999999999</v>
      </c>
      <c r="H840" s="55"/>
      <c r="I840" s="153">
        <f t="shared" si="66"/>
        <v>0.94992054363954</v>
      </c>
      <c r="J840" s="55"/>
      <c r="K840" s="55"/>
      <c r="L840" s="55">
        <v>216.39</v>
      </c>
      <c r="M840" s="166">
        <f t="shared" si="67"/>
        <v>-2738.21000000002</v>
      </c>
      <c r="O840" s="343" t="s">
        <v>1611</v>
      </c>
    </row>
    <row r="841" spans="1:15">
      <c r="A841" s="203">
        <v>46201</v>
      </c>
      <c r="B841" s="55" t="s">
        <v>51</v>
      </c>
      <c r="C841" s="356">
        <v>0.27</v>
      </c>
      <c r="D841" s="356">
        <v>0.98</v>
      </c>
      <c r="E841" s="55">
        <v>301.115</v>
      </c>
      <c r="F841" s="10">
        <f t="shared" si="64"/>
        <v>305.3</v>
      </c>
      <c r="G841" s="10">
        <f t="shared" si="65"/>
        <v>-4.185</v>
      </c>
      <c r="H841" s="55"/>
      <c r="I841" s="153">
        <f t="shared" si="66"/>
        <v>0.949969280839546</v>
      </c>
      <c r="J841" s="55"/>
      <c r="K841" s="55"/>
      <c r="L841" s="55">
        <v>286.05</v>
      </c>
      <c r="M841" s="166">
        <f t="shared" si="67"/>
        <v>-3024.26000000002</v>
      </c>
      <c r="O841" s="343" t="s">
        <v>1611</v>
      </c>
    </row>
    <row r="842" spans="1:15">
      <c r="A842" s="203">
        <v>46201</v>
      </c>
      <c r="B842" s="55" t="s">
        <v>210</v>
      </c>
      <c r="C842" s="356">
        <v>0.23</v>
      </c>
      <c r="D842" s="356">
        <v>0.84</v>
      </c>
      <c r="E842" s="55">
        <v>270.375</v>
      </c>
      <c r="F842" s="10">
        <f t="shared" si="64"/>
        <v>262.3</v>
      </c>
      <c r="G842" s="10">
        <f t="shared" si="65"/>
        <v>8.07499999999999</v>
      </c>
      <c r="H842" s="55"/>
      <c r="I842" s="153">
        <f t="shared" si="66"/>
        <v>0.949939898289413</v>
      </c>
      <c r="J842" s="55"/>
      <c r="K842" s="55"/>
      <c r="L842" s="55">
        <v>256.84</v>
      </c>
      <c r="M842" s="166">
        <f t="shared" si="67"/>
        <v>-3281.10000000002</v>
      </c>
      <c r="O842" s="343" t="s">
        <v>1611</v>
      </c>
    </row>
    <row r="843" spans="1:15">
      <c r="A843" s="203">
        <v>46201</v>
      </c>
      <c r="B843" s="55" t="s">
        <v>141</v>
      </c>
      <c r="C843" s="356">
        <v>0.27</v>
      </c>
      <c r="D843" s="356">
        <v>0.99</v>
      </c>
      <c r="E843" s="55">
        <v>321.322</v>
      </c>
      <c r="F843" s="10">
        <f t="shared" si="64"/>
        <v>309.6</v>
      </c>
      <c r="G843" s="10">
        <f t="shared" si="65"/>
        <v>11.722</v>
      </c>
      <c r="H843" s="55"/>
      <c r="I843" s="153">
        <f t="shared" si="66"/>
        <v>0.94998163835654</v>
      </c>
      <c r="J843" s="55"/>
      <c r="K843" s="55"/>
      <c r="L843" s="55">
        <v>305.25</v>
      </c>
      <c r="M843" s="166">
        <f t="shared" si="67"/>
        <v>-3586.35000000002</v>
      </c>
      <c r="O843" s="343" t="s">
        <v>1611</v>
      </c>
    </row>
    <row r="844" spans="1:15">
      <c r="A844" s="203">
        <v>46201</v>
      </c>
      <c r="B844" s="55" t="s">
        <v>166</v>
      </c>
      <c r="C844" s="356">
        <v>0.4</v>
      </c>
      <c r="D844" s="356">
        <v>0.9</v>
      </c>
      <c r="E844" s="55">
        <v>221.212</v>
      </c>
      <c r="F844" s="10">
        <f t="shared" si="64"/>
        <v>215</v>
      </c>
      <c r="G844" s="10">
        <f t="shared" si="65"/>
        <v>6.21199999999999</v>
      </c>
      <c r="H844" s="55"/>
      <c r="I844" s="153">
        <f t="shared" si="66"/>
        <v>0.949993671229409</v>
      </c>
      <c r="J844" s="55"/>
      <c r="K844" s="55"/>
      <c r="L844" s="55">
        <v>210.15</v>
      </c>
      <c r="M844" s="166">
        <f t="shared" si="67"/>
        <v>-3796.50000000002</v>
      </c>
      <c r="O844" s="343" t="s">
        <v>1611</v>
      </c>
    </row>
    <row r="845" spans="1:15">
      <c r="A845" s="203">
        <v>46201</v>
      </c>
      <c r="B845" s="55" t="s">
        <v>75</v>
      </c>
      <c r="C845" s="356">
        <v>0.2</v>
      </c>
      <c r="D845" s="356">
        <v>0.95</v>
      </c>
      <c r="E845" s="55">
        <v>357.238</v>
      </c>
      <c r="F845" s="10">
        <f t="shared" si="64"/>
        <v>322.5</v>
      </c>
      <c r="G845" s="10">
        <f t="shared" si="65"/>
        <v>34.738</v>
      </c>
      <c r="H845" s="55"/>
      <c r="I845" s="153">
        <f t="shared" si="66"/>
        <v>0.9499829245489</v>
      </c>
      <c r="J845" s="55"/>
      <c r="K845" s="55"/>
      <c r="L845" s="55">
        <v>339.37</v>
      </c>
      <c r="M845" s="166">
        <f t="shared" si="67"/>
        <v>-4135.87000000002</v>
      </c>
      <c r="O845" s="343" t="s">
        <v>1611</v>
      </c>
    </row>
    <row r="846" spans="1:15">
      <c r="A846" s="203">
        <v>46201</v>
      </c>
      <c r="B846" s="55" t="s">
        <v>177</v>
      </c>
      <c r="C846" s="356">
        <v>0.43</v>
      </c>
      <c r="D846" s="356">
        <v>0.93</v>
      </c>
      <c r="E846" s="55">
        <v>223.35</v>
      </c>
      <c r="F846" s="10">
        <f t="shared" si="64"/>
        <v>215</v>
      </c>
      <c r="G846" s="10">
        <f t="shared" si="65"/>
        <v>8.34999999999999</v>
      </c>
      <c r="H846" s="55"/>
      <c r="I846" s="153">
        <f t="shared" si="66"/>
        <v>0.949944034027311</v>
      </c>
      <c r="J846" s="55"/>
      <c r="K846" s="55"/>
      <c r="L846" s="55">
        <v>212.17</v>
      </c>
      <c r="M846" s="166">
        <f t="shared" si="67"/>
        <v>-4348.04000000002</v>
      </c>
      <c r="O846" s="343" t="s">
        <v>1611</v>
      </c>
    </row>
    <row r="847" spans="1:15">
      <c r="A847" s="203">
        <v>46202</v>
      </c>
      <c r="B847" s="55" t="s">
        <v>138</v>
      </c>
      <c r="C847" s="356">
        <v>0.21</v>
      </c>
      <c r="D847" s="356">
        <v>0.9</v>
      </c>
      <c r="E847" s="55">
        <v>308.488</v>
      </c>
      <c r="F847" s="10">
        <f t="shared" si="64"/>
        <v>296.7</v>
      </c>
      <c r="G847" s="10">
        <f t="shared" si="65"/>
        <v>11.788</v>
      </c>
      <c r="H847" s="55"/>
      <c r="I847" s="153">
        <f t="shared" si="66"/>
        <v>0.819967065169472</v>
      </c>
      <c r="J847" s="55"/>
      <c r="K847" s="55"/>
      <c r="L847" s="55">
        <v>252.95</v>
      </c>
      <c r="M847" s="166">
        <f t="shared" si="67"/>
        <v>-4600.99000000002</v>
      </c>
      <c r="O847" s="343" t="s">
        <v>1611</v>
      </c>
    </row>
    <row r="848" spans="1:15">
      <c r="A848" s="203">
        <v>46202</v>
      </c>
      <c r="B848" s="55" t="s">
        <v>124</v>
      </c>
      <c r="C848" s="356">
        <v>0.24</v>
      </c>
      <c r="D848" s="356">
        <v>0.84</v>
      </c>
      <c r="E848" s="55">
        <v>250.641</v>
      </c>
      <c r="F848" s="10">
        <f t="shared" si="64"/>
        <v>258</v>
      </c>
      <c r="G848" s="10">
        <f t="shared" si="65"/>
        <v>-7.35900000000001</v>
      </c>
      <c r="H848" s="55"/>
      <c r="I848" s="153">
        <f t="shared" si="66"/>
        <v>0.66996221687593</v>
      </c>
      <c r="J848" s="55"/>
      <c r="K848" s="55"/>
      <c r="L848" s="55">
        <v>167.92</v>
      </c>
      <c r="M848" s="166">
        <f t="shared" si="67"/>
        <v>-4768.91000000002</v>
      </c>
      <c r="O848" s="343" t="s">
        <v>1611</v>
      </c>
    </row>
    <row r="849" spans="1:15">
      <c r="A849" s="203">
        <v>46202</v>
      </c>
      <c r="B849" s="55" t="s">
        <v>84</v>
      </c>
      <c r="C849" s="356">
        <v>0.29</v>
      </c>
      <c r="D849" s="356">
        <v>0.96</v>
      </c>
      <c r="E849" s="55">
        <v>315.595</v>
      </c>
      <c r="F849" s="10">
        <f t="shared" si="64"/>
        <v>288.1</v>
      </c>
      <c r="G849" s="10">
        <f t="shared" si="65"/>
        <v>27.4950000000001</v>
      </c>
      <c r="H849" s="55"/>
      <c r="I849" s="153">
        <f t="shared" si="66"/>
        <v>0.949951678575389</v>
      </c>
      <c r="J849" s="55"/>
      <c r="K849" s="55"/>
      <c r="L849" s="55">
        <v>299.8</v>
      </c>
      <c r="M849" s="166">
        <f t="shared" si="67"/>
        <v>-5068.71000000002</v>
      </c>
      <c r="O849" s="343" t="s">
        <v>1611</v>
      </c>
    </row>
    <row r="850" spans="1:15">
      <c r="A850" s="203">
        <v>46202</v>
      </c>
      <c r="B850" s="55" t="s">
        <v>105</v>
      </c>
      <c r="C850" s="356">
        <v>0.33</v>
      </c>
      <c r="D850" s="356">
        <v>0.92</v>
      </c>
      <c r="E850" s="55">
        <v>273.622</v>
      </c>
      <c r="F850" s="10">
        <f t="shared" si="64"/>
        <v>253.7</v>
      </c>
      <c r="G850" s="10">
        <f t="shared" si="65"/>
        <v>19.922</v>
      </c>
      <c r="H850" s="55"/>
      <c r="I850" s="153">
        <f t="shared" si="66"/>
        <v>0.949960164021899</v>
      </c>
      <c r="J850" s="55"/>
      <c r="K850" s="55"/>
      <c r="L850" s="55">
        <v>259.93</v>
      </c>
      <c r="M850" s="166">
        <f t="shared" si="67"/>
        <v>-5328.64000000002</v>
      </c>
      <c r="O850" s="343" t="s">
        <v>1611</v>
      </c>
    </row>
    <row r="851" spans="1:15">
      <c r="A851" s="203">
        <v>46202</v>
      </c>
      <c r="B851" s="55" t="s">
        <v>96</v>
      </c>
      <c r="C851" s="356">
        <v>0.37</v>
      </c>
      <c r="D851" s="356">
        <v>0.91</v>
      </c>
      <c r="E851" s="55">
        <v>251.546</v>
      </c>
      <c r="F851" s="10">
        <f t="shared" si="64"/>
        <v>232.2</v>
      </c>
      <c r="G851" s="10">
        <f t="shared" si="65"/>
        <v>19.346</v>
      </c>
      <c r="H851" s="55"/>
      <c r="I851" s="153">
        <f t="shared" si="66"/>
        <v>0.949965413880563</v>
      </c>
      <c r="J851" s="55"/>
      <c r="K851" s="55"/>
      <c r="L851" s="55">
        <v>238.96</v>
      </c>
      <c r="M851" s="166">
        <f t="shared" si="67"/>
        <v>-5567.60000000002</v>
      </c>
      <c r="O851" s="343" t="s">
        <v>1611</v>
      </c>
    </row>
    <row r="852" spans="1:15">
      <c r="A852" s="203">
        <v>46202</v>
      </c>
      <c r="B852" s="55" t="s">
        <v>99</v>
      </c>
      <c r="C852" s="356">
        <v>0.24</v>
      </c>
      <c r="D852" s="356">
        <v>0.93</v>
      </c>
      <c r="E852" s="55">
        <v>322.24</v>
      </c>
      <c r="F852" s="10">
        <f t="shared" si="64"/>
        <v>296.7</v>
      </c>
      <c r="G852" s="10">
        <f t="shared" si="65"/>
        <v>25.54</v>
      </c>
      <c r="H852" s="55"/>
      <c r="I852" s="153">
        <f t="shared" si="66"/>
        <v>0.949975173783515</v>
      </c>
      <c r="J852" s="55"/>
      <c r="K852" s="55"/>
      <c r="L852" s="55">
        <v>306.12</v>
      </c>
      <c r="M852" s="166">
        <f t="shared" si="67"/>
        <v>-5873.72000000002</v>
      </c>
      <c r="O852" s="343" t="s">
        <v>1611</v>
      </c>
    </row>
    <row r="853" spans="1:15">
      <c r="A853" s="203">
        <v>46202</v>
      </c>
      <c r="B853" s="55" t="s">
        <v>180</v>
      </c>
      <c r="C853" s="356">
        <v>0.3</v>
      </c>
      <c r="D853" s="356">
        <v>0.95</v>
      </c>
      <c r="E853" s="55">
        <v>287.436</v>
      </c>
      <c r="F853" s="10">
        <f t="shared" si="64"/>
        <v>279.5</v>
      </c>
      <c r="G853" s="10">
        <f t="shared" si="65"/>
        <v>7.93600000000004</v>
      </c>
      <c r="H853" s="55"/>
      <c r="I853" s="153">
        <f t="shared" si="66"/>
        <v>0.949985388051601</v>
      </c>
      <c r="J853" s="55"/>
      <c r="K853" s="55"/>
      <c r="L853" s="55">
        <v>273.06</v>
      </c>
      <c r="M853" s="166">
        <f t="shared" si="67"/>
        <v>-6146.78000000002</v>
      </c>
      <c r="O853" s="343" t="s">
        <v>1611</v>
      </c>
    </row>
    <row r="854" spans="1:15">
      <c r="A854" s="203">
        <v>46202</v>
      </c>
      <c r="B854" s="55" t="s">
        <v>54</v>
      </c>
      <c r="C854" s="356">
        <v>0.3</v>
      </c>
      <c r="D854" s="356">
        <v>0.94</v>
      </c>
      <c r="E854" s="55">
        <v>267.095</v>
      </c>
      <c r="F854" s="10">
        <f t="shared" si="64"/>
        <v>275.2</v>
      </c>
      <c r="G854" s="10">
        <f t="shared" si="65"/>
        <v>-8.1049999999999</v>
      </c>
      <c r="H854" s="55"/>
      <c r="I854" s="153">
        <f t="shared" si="66"/>
        <v>0.94786499185683</v>
      </c>
      <c r="J854" s="55"/>
      <c r="K854" s="55"/>
      <c r="L854" s="55">
        <v>253.17</v>
      </c>
      <c r="M854" s="166">
        <f t="shared" si="67"/>
        <v>-6399.95000000002</v>
      </c>
      <c r="O854" s="343" t="s">
        <v>1611</v>
      </c>
    </row>
    <row r="855" spans="1:15">
      <c r="A855" s="203">
        <v>46202</v>
      </c>
      <c r="B855" s="55" t="s">
        <v>102</v>
      </c>
      <c r="C855" s="356">
        <v>0.44</v>
      </c>
      <c r="D855" s="356">
        <v>0.91</v>
      </c>
      <c r="E855" s="55">
        <v>219.75</v>
      </c>
      <c r="F855" s="10">
        <f t="shared" si="64"/>
        <v>202.1</v>
      </c>
      <c r="G855" s="10">
        <f t="shared" si="65"/>
        <v>17.65</v>
      </c>
      <c r="H855" s="55"/>
      <c r="I855" s="153">
        <f t="shared" si="66"/>
        <v>0.891103526734926</v>
      </c>
      <c r="J855" s="55"/>
      <c r="K855" s="55"/>
      <c r="L855" s="55">
        <v>195.82</v>
      </c>
      <c r="M855" s="166">
        <f t="shared" si="67"/>
        <v>-6595.77000000002</v>
      </c>
      <c r="O855" s="343" t="s">
        <v>1611</v>
      </c>
    </row>
    <row r="856" spans="1:15">
      <c r="A856" s="203">
        <v>46202</v>
      </c>
      <c r="B856" s="55" t="s">
        <v>135</v>
      </c>
      <c r="C856" s="356">
        <v>0.21</v>
      </c>
      <c r="D856" s="356">
        <v>1</v>
      </c>
      <c r="E856" s="55">
        <v>350.483</v>
      </c>
      <c r="F856" s="10">
        <f>(D856-C856)*430</f>
        <v>339.7</v>
      </c>
      <c r="G856" s="10">
        <f>E856-F856</f>
        <v>10.783</v>
      </c>
      <c r="H856" s="55"/>
      <c r="I856" s="153">
        <f>L856/E856</f>
        <v>0.870256189315887</v>
      </c>
      <c r="J856" s="55"/>
      <c r="K856" s="55"/>
      <c r="L856" s="55">
        <v>305.01</v>
      </c>
      <c r="M856" s="166">
        <f>M855+K856-L856</f>
        <v>-6900.78000000002</v>
      </c>
      <c r="O856" s="343" t="s">
        <v>1611</v>
      </c>
    </row>
    <row r="857" spans="1:15">
      <c r="A857" s="203">
        <v>46202</v>
      </c>
      <c r="B857" s="55" t="s">
        <v>127</v>
      </c>
      <c r="C857" s="356">
        <v>0.16</v>
      </c>
      <c r="D857" s="356">
        <v>0.91</v>
      </c>
      <c r="E857" s="55">
        <v>312.21</v>
      </c>
      <c r="F857" s="10">
        <f>(D857-C857)*430</f>
        <v>322.5</v>
      </c>
      <c r="G857" s="10">
        <f>E857-F857</f>
        <v>-10.29</v>
      </c>
      <c r="H857" s="55"/>
      <c r="I857" s="153">
        <f>L857/E857</f>
        <v>0.84552064315685</v>
      </c>
      <c r="J857" s="55"/>
      <c r="K857" s="55"/>
      <c r="L857" s="55">
        <v>263.98</v>
      </c>
      <c r="M857" s="166">
        <f>M856+K857-L857</f>
        <v>-7164.76000000002</v>
      </c>
      <c r="O857" s="343" t="s">
        <v>1611</v>
      </c>
    </row>
    <row r="858" spans="1:15">
      <c r="A858" s="203">
        <v>46202</v>
      </c>
      <c r="B858" s="55" t="s">
        <v>66</v>
      </c>
      <c r="C858" s="356">
        <v>0.26</v>
      </c>
      <c r="D858" s="356">
        <v>0.96</v>
      </c>
      <c r="E858" s="55">
        <v>342.09</v>
      </c>
      <c r="F858" s="10">
        <f>(D858-C858)*430</f>
        <v>301</v>
      </c>
      <c r="G858" s="10">
        <f>E858-F858</f>
        <v>41.09</v>
      </c>
      <c r="H858" s="55"/>
      <c r="I858" s="153">
        <f>L858/E858</f>
        <v>0.836008068052267</v>
      </c>
      <c r="J858" s="55"/>
      <c r="K858" s="55"/>
      <c r="L858" s="55">
        <v>285.99</v>
      </c>
      <c r="M858" s="166">
        <f>M857+K858-L858</f>
        <v>-7450.75000000002</v>
      </c>
      <c r="O858" s="343" t="s">
        <v>1611</v>
      </c>
    </row>
    <row r="859" spans="1:15">
      <c r="A859" s="203">
        <v>46202</v>
      </c>
      <c r="B859" s="55" t="s">
        <v>338</v>
      </c>
      <c r="C859" s="356">
        <v>0.11</v>
      </c>
      <c r="D859" s="356">
        <v>0.89</v>
      </c>
      <c r="E859" s="55">
        <v>343.323</v>
      </c>
      <c r="F859" s="10">
        <f>(D859-C859)*430</f>
        <v>335.4</v>
      </c>
      <c r="G859" s="10">
        <f>E859-F859</f>
        <v>7.92299999999994</v>
      </c>
      <c r="H859" s="55"/>
      <c r="I859" s="153">
        <f>L859/E859</f>
        <v>0.819985844234147</v>
      </c>
      <c r="J859" s="55"/>
      <c r="K859" s="55"/>
      <c r="L859" s="55">
        <v>281.52</v>
      </c>
      <c r="M859" s="166">
        <f>M858+K859-L859</f>
        <v>-7732.27000000002</v>
      </c>
      <c r="O859" s="343" t="s">
        <v>1611</v>
      </c>
    </row>
    <row r="860" spans="1:15">
      <c r="A860" s="203">
        <v>46202</v>
      </c>
      <c r="B860" s="55" t="s">
        <v>69</v>
      </c>
      <c r="C860" s="356">
        <v>0.19</v>
      </c>
      <c r="D860" s="356">
        <v>0.9</v>
      </c>
      <c r="E860" s="55">
        <v>331.031</v>
      </c>
      <c r="F860" s="10">
        <f>(D860-C860)*430</f>
        <v>305.3</v>
      </c>
      <c r="G860" s="10">
        <f>E860-F860</f>
        <v>25.731</v>
      </c>
      <c r="H860" s="55"/>
      <c r="I860" s="153">
        <f>L860/E860</f>
        <v>0.845812023647332</v>
      </c>
      <c r="J860" s="55"/>
      <c r="K860" s="55"/>
      <c r="L860" s="55">
        <v>279.99</v>
      </c>
      <c r="M860" s="166">
        <f>M859+K860-L860</f>
        <v>-8012.26000000002</v>
      </c>
      <c r="O860" s="343" t="s">
        <v>1611</v>
      </c>
    </row>
    <row r="861" spans="1:15">
      <c r="A861" s="203">
        <v>46202</v>
      </c>
      <c r="B861" s="55" t="s">
        <v>144</v>
      </c>
      <c r="C861" s="356">
        <v>0.26</v>
      </c>
      <c r="D861" s="356">
        <v>0.94</v>
      </c>
      <c r="E861" s="55">
        <v>302.418</v>
      </c>
      <c r="F861" s="10">
        <f>(D861-C861)*430</f>
        <v>292.4</v>
      </c>
      <c r="G861" s="10">
        <f>E861-F861</f>
        <v>10.018</v>
      </c>
      <c r="H861" s="55"/>
      <c r="I861" s="153">
        <f>L861/E861</f>
        <v>0.833019198592676</v>
      </c>
      <c r="J861" s="55"/>
      <c r="K861" s="55"/>
      <c r="L861" s="55">
        <v>251.92</v>
      </c>
      <c r="M861" s="166">
        <f>M860+K861-L861</f>
        <v>-8264.18000000002</v>
      </c>
      <c r="O861" s="343" t="s">
        <v>1611</v>
      </c>
    </row>
    <row r="862" spans="1:15">
      <c r="A862" s="203">
        <v>46202</v>
      </c>
      <c r="B862" s="55" t="s">
        <v>192</v>
      </c>
      <c r="C862" s="356">
        <v>0.45</v>
      </c>
      <c r="D862" s="356">
        <v>0.88</v>
      </c>
      <c r="E862" s="55">
        <v>191.242</v>
      </c>
      <c r="F862" s="10">
        <f>(D862-C862)*430</f>
        <v>184.9</v>
      </c>
      <c r="G862" s="10">
        <f>E862-F862</f>
        <v>6.34199999999998</v>
      </c>
      <c r="H862" s="55"/>
      <c r="I862" s="153">
        <f>L862/E862</f>
        <v>0.819955867434978</v>
      </c>
      <c r="J862" s="55"/>
      <c r="K862" s="55"/>
      <c r="L862" s="55">
        <v>156.81</v>
      </c>
      <c r="M862" s="166">
        <f>M861+K862-L862</f>
        <v>-8420.99000000002</v>
      </c>
      <c r="O862" s="343" t="s">
        <v>1611</v>
      </c>
    </row>
    <row r="863" spans="1:15">
      <c r="A863" s="203">
        <v>46202</v>
      </c>
      <c r="B863" s="55" t="s">
        <v>221</v>
      </c>
      <c r="C863" s="356">
        <v>0.2</v>
      </c>
      <c r="D863" s="356">
        <v>0.88</v>
      </c>
      <c r="E863" s="55">
        <v>303.416</v>
      </c>
      <c r="F863" s="10">
        <f>(D863-C863)*430</f>
        <v>292.4</v>
      </c>
      <c r="G863" s="10">
        <f>E863-F863</f>
        <v>11.016</v>
      </c>
      <c r="H863" s="55"/>
      <c r="I863" s="153">
        <f>L863/E863</f>
        <v>0.838419859203206</v>
      </c>
      <c r="J863" s="55"/>
      <c r="K863" s="55"/>
      <c r="L863" s="55">
        <v>254.39</v>
      </c>
      <c r="M863" s="166">
        <f>M862+K863-L863</f>
        <v>-8675.38000000002</v>
      </c>
      <c r="O863" s="343" t="s">
        <v>1611</v>
      </c>
    </row>
    <row r="864" spans="1:15">
      <c r="A864" s="203">
        <v>46202</v>
      </c>
      <c r="B864" s="55" t="s">
        <v>223</v>
      </c>
      <c r="C864" s="356">
        <v>0.09</v>
      </c>
      <c r="D864" s="356">
        <v>0.93</v>
      </c>
      <c r="E864" s="55">
        <v>371.988</v>
      </c>
      <c r="F864" s="10">
        <f>(D864-C864)*430</f>
        <v>361.2</v>
      </c>
      <c r="G864" s="10">
        <f>E864-F864</f>
        <v>10.788</v>
      </c>
      <c r="H864" s="55"/>
      <c r="I864" s="153">
        <f>L864/E864</f>
        <v>0.887636160306246</v>
      </c>
      <c r="J864" s="55"/>
      <c r="K864" s="55"/>
      <c r="L864" s="55">
        <v>330.19</v>
      </c>
      <c r="M864" s="166">
        <f>M863+K864-L864</f>
        <v>-9005.57000000002</v>
      </c>
      <c r="O864" s="343" t="s">
        <v>1611</v>
      </c>
    </row>
    <row r="865" spans="1:17">
      <c r="A865" s="203">
        <v>46202</v>
      </c>
      <c r="B865" s="55" t="s">
        <v>204</v>
      </c>
      <c r="C865" s="356">
        <v>0.11</v>
      </c>
      <c r="D865" s="356">
        <v>0.9</v>
      </c>
      <c r="E865" s="55">
        <v>347.374</v>
      </c>
      <c r="F865" s="10">
        <f>(D865-C865)*430</f>
        <v>339.7</v>
      </c>
      <c r="G865" s="10">
        <f>E865-F865</f>
        <v>7.67400000000004</v>
      </c>
      <c r="H865" s="55"/>
      <c r="I865" s="153">
        <f>L865/E865</f>
        <v>0.884378220592215</v>
      </c>
      <c r="J865" s="55"/>
      <c r="K865" s="55"/>
      <c r="L865" s="55">
        <v>307.21</v>
      </c>
      <c r="M865" s="166">
        <f>M864+K865-L865</f>
        <v>-9312.78000000002</v>
      </c>
      <c r="O865" s="343" t="s">
        <v>1611</v>
      </c>
    </row>
    <row r="866" spans="1:17">
      <c r="A866" s="203">
        <v>46202</v>
      </c>
      <c r="B866" s="55" t="s">
        <v>160</v>
      </c>
      <c r="C866" s="356">
        <v>0.12</v>
      </c>
      <c r="D866" s="356">
        <v>0.92</v>
      </c>
      <c r="E866" s="55">
        <v>353.271</v>
      </c>
      <c r="F866" s="10">
        <f>(D866-C866)*430</f>
        <v>344</v>
      </c>
      <c r="G866" s="10">
        <f>E866-F866</f>
        <v>9.27100000000001</v>
      </c>
      <c r="H866" s="55"/>
      <c r="I866" s="153">
        <f>L866/E866</f>
        <v>0.898403775005591</v>
      </c>
      <c r="J866" s="55"/>
      <c r="K866" s="55"/>
      <c r="L866" s="55">
        <v>317.38</v>
      </c>
      <c r="M866" s="166">
        <f>M865+K866-L866</f>
        <v>-9630.16000000002</v>
      </c>
      <c r="O866" s="343" t="s">
        <v>1611</v>
      </c>
    </row>
    <row r="867" spans="1:17">
      <c r="A867" s="203">
        <v>46202</v>
      </c>
      <c r="B867" s="55" t="s">
        <v>163</v>
      </c>
      <c r="C867" s="356">
        <v>0.15</v>
      </c>
      <c r="D867" s="356">
        <v>0.86</v>
      </c>
      <c r="E867" s="55">
        <v>315.912</v>
      </c>
      <c r="F867" s="10">
        <f>(D867-C867)*430</f>
        <v>305.3</v>
      </c>
      <c r="G867" s="10">
        <f>E867-F867</f>
        <v>10.612</v>
      </c>
      <c r="H867" s="55"/>
      <c r="I867" s="153">
        <f>L867/E867</f>
        <v>0.926713768391198</v>
      </c>
      <c r="J867" s="55"/>
      <c r="K867" s="55"/>
      <c r="L867" s="55">
        <v>292.76</v>
      </c>
      <c r="M867" s="166">
        <f>M866+K867-L867</f>
        <v>-9922.92000000002</v>
      </c>
      <c r="O867" s="343" t="s">
        <v>1611</v>
      </c>
    </row>
    <row r="868" spans="1:17">
      <c r="A868" s="203">
        <v>46202</v>
      </c>
      <c r="B868" s="55" t="s">
        <v>154</v>
      </c>
      <c r="C868" s="356">
        <v>0.15</v>
      </c>
      <c r="D868" s="356">
        <v>0.84</v>
      </c>
      <c r="E868" s="55">
        <v>305.103</v>
      </c>
      <c r="F868" s="10">
        <f>(D868-C868)*430</f>
        <v>296.7</v>
      </c>
      <c r="G868" s="10">
        <f>E868-F868</f>
        <v>8.40300000000002</v>
      </c>
      <c r="H868" s="55"/>
      <c r="I868" s="153">
        <f>L868/E868</f>
        <v>0.94053483577677</v>
      </c>
      <c r="J868" s="55"/>
      <c r="K868" s="55"/>
      <c r="L868" s="55">
        <v>286.96</v>
      </c>
      <c r="M868" s="166">
        <f>M867+K868-L868</f>
        <v>-10209.88</v>
      </c>
      <c r="O868" s="343" t="s">
        <v>1611</v>
      </c>
      <c r="P868" s="144" t="str">
        <f>MIN(MAX(C868,0),100)&amp;"%"</f>
        <v>0.15%</v>
      </c>
      <c r="Q868" s="144" t="str">
        <f>MIN(MAX(D868,0),100)&amp;"%"</f>
        <v>0.84%</v>
      </c>
    </row>
    <row r="869" spans="1:17">
      <c r="A869" s="203">
        <v>46202</v>
      </c>
      <c r="B869" s="55" t="s">
        <v>81</v>
      </c>
      <c r="C869" s="356">
        <v>0.34</v>
      </c>
      <c r="D869" s="356">
        <v>0.9</v>
      </c>
      <c r="E869" s="55">
        <v>260.397</v>
      </c>
      <c r="F869" s="10">
        <f>(D869-C869)*430</f>
        <v>240.8</v>
      </c>
      <c r="G869" s="10">
        <f>E869-F869</f>
        <v>19.597</v>
      </c>
      <c r="H869" s="55"/>
      <c r="I869" s="153">
        <f>L869/E869</f>
        <v>0.949934139026179</v>
      </c>
      <c r="J869" s="55"/>
      <c r="K869" s="55"/>
      <c r="L869" s="55">
        <v>247.36</v>
      </c>
      <c r="M869" s="166">
        <f>M868+K869-L869</f>
        <v>-10457.24</v>
      </c>
      <c r="O869" s="343" t="s">
        <v>1611</v>
      </c>
      <c r="P869" s="144" t="str">
        <f>MIN(MAX(C869,0),100)&amp;"%"</f>
        <v>0.34%</v>
      </c>
      <c r="Q869" s="144" t="str">
        <f>MIN(MAX(D869,0),100)&amp;"%"</f>
        <v>0.9%</v>
      </c>
    </row>
  </sheetData>
  <autoFilter xmlns:etc="http://www.wps.cn/officeDocument/2017/etCustomData" ref="A1:O791" etc:filterBottomFollowUsedRange="0">
    <extLst/>
  </autoFilter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4"/>
  <sheetViews>
    <sheetView workbookViewId="0">
      <pane ySplit="1" topLeftCell="A396" activePane="bottomLeft" state="frozen"/>
      <selection/>
      <selection pane="bottomLeft" activeCell="S414" sqref="S414"/>
    </sheetView>
  </sheetViews>
  <sheetFormatPr defaultColWidth="9" defaultRowHeight="13.5"/>
  <cols>
    <col min="1" max="1" width="10.7583333333333" style="311" customWidth="1"/>
    <col min="2" max="2" width="12" style="144" customWidth="1"/>
    <col min="3" max="4" width="9" style="191"/>
    <col min="5" max="5" width="10.375" style="144"/>
    <col min="6" max="6" width="12.625" style="144"/>
    <col min="7" max="7" width="9.375" style="144"/>
    <col min="8" max="8" width="12.625" style="144"/>
    <col min="9" max="10" width="9" style="144"/>
    <col min="11" max="11" width="14.625" style="144" customWidth="1"/>
    <col min="12" max="12" width="11.75" style="144" customWidth="1"/>
    <col min="13" max="13" width="9" style="144"/>
    <col min="14" max="14" width="26" style="144" customWidth="1"/>
    <col min="15" max="16384" width="9" style="144"/>
  </cols>
  <sheetData>
    <row r="1" s="144" customFormat="1" ht="27" spans="1:16">
      <c r="A1" s="312" t="s">
        <v>335</v>
      </c>
      <c r="B1" s="139" t="s">
        <v>3</v>
      </c>
      <c r="C1" s="140" t="s">
        <v>1581</v>
      </c>
      <c r="D1" s="140" t="s">
        <v>1582</v>
      </c>
      <c r="E1" s="141" t="s">
        <v>1583</v>
      </c>
      <c r="F1" s="139" t="s">
        <v>1584</v>
      </c>
      <c r="G1" s="139" t="s">
        <v>1585</v>
      </c>
      <c r="H1" s="141" t="s">
        <v>1588</v>
      </c>
      <c r="I1" s="141" t="s">
        <v>1604</v>
      </c>
      <c r="J1" s="141" t="s">
        <v>1605</v>
      </c>
      <c r="K1" s="141" t="s">
        <v>1589</v>
      </c>
      <c r="L1" s="141" t="s">
        <v>1606</v>
      </c>
      <c r="M1" s="139" t="s">
        <v>1607</v>
      </c>
      <c r="N1" s="139" t="s">
        <v>1590</v>
      </c>
    </row>
    <row r="2" s="22" customFormat="1" spans="1:16">
      <c r="A2" s="312"/>
      <c r="B2" s="139"/>
      <c r="C2" s="140"/>
      <c r="D2" s="140"/>
      <c r="E2" s="141"/>
      <c r="F2" s="139"/>
      <c r="G2" s="139"/>
      <c r="H2" s="141"/>
      <c r="I2" s="141"/>
      <c r="J2" s="141"/>
      <c r="K2" s="141"/>
      <c r="L2" s="141">
        <v>13473.8</v>
      </c>
      <c r="M2" s="139"/>
      <c r="N2" s="144"/>
      <c r="O2" s="144"/>
      <c r="P2" s="144"/>
    </row>
    <row r="3" ht="15" spans="1:16">
      <c r="A3" s="324">
        <v>46174</v>
      </c>
      <c r="B3" s="325" t="s">
        <v>172</v>
      </c>
      <c r="C3" s="326">
        <v>0.49</v>
      </c>
      <c r="D3" s="326">
        <v>1</v>
      </c>
      <c r="E3" s="327">
        <v>210.845</v>
      </c>
      <c r="F3" s="10">
        <f t="shared" ref="F3:F66" si="0">(D3-C3)*430</f>
        <v>219.3</v>
      </c>
      <c r="G3" s="10">
        <f t="shared" ref="G3:G66" si="1">E3-F3</f>
        <v>-8.45500000000001</v>
      </c>
      <c r="H3" s="110">
        <f t="shared" ref="H3:H66" si="2">K3/E3</f>
        <v>0.789964191704807</v>
      </c>
      <c r="I3" s="153"/>
      <c r="J3" s="328"/>
      <c r="K3" s="327">
        <v>166.56</v>
      </c>
      <c r="L3" s="10">
        <f t="shared" ref="L3:L66" si="3">L2+J3-K3</f>
        <v>13307.24</v>
      </c>
      <c r="M3" s="327"/>
      <c r="N3" s="150" t="s">
        <v>1653</v>
      </c>
      <c r="O3" s="10"/>
      <c r="P3" s="150"/>
    </row>
    <row r="4" ht="15" spans="1:16">
      <c r="A4" s="329">
        <v>46174</v>
      </c>
      <c r="B4" s="330" t="s">
        <v>87</v>
      </c>
      <c r="C4" s="331">
        <v>0.34</v>
      </c>
      <c r="D4" s="331">
        <v>1</v>
      </c>
      <c r="E4" s="332">
        <v>302</v>
      </c>
      <c r="F4" s="10">
        <f t="shared" si="0"/>
        <v>283.8</v>
      </c>
      <c r="G4" s="10">
        <f t="shared" si="1"/>
        <v>18.2</v>
      </c>
      <c r="H4" s="110">
        <f t="shared" si="2"/>
        <v>0.790033112582781</v>
      </c>
      <c r="I4" s="153"/>
      <c r="J4" s="328"/>
      <c r="K4" s="332">
        <v>238.59</v>
      </c>
      <c r="L4" s="10">
        <f t="shared" si="3"/>
        <v>13068.65</v>
      </c>
      <c r="M4" s="332"/>
      <c r="N4" s="150" t="s">
        <v>1653</v>
      </c>
      <c r="O4" s="10"/>
      <c r="P4" s="150"/>
    </row>
    <row r="5" ht="15" spans="1:16">
      <c r="A5" s="329">
        <v>46174</v>
      </c>
      <c r="B5" s="330" t="s">
        <v>66</v>
      </c>
      <c r="C5" s="331">
        <v>0.32</v>
      </c>
      <c r="D5" s="331">
        <v>1</v>
      </c>
      <c r="E5" s="332">
        <v>313.417</v>
      </c>
      <c r="F5" s="10">
        <f t="shared" si="0"/>
        <v>292.4</v>
      </c>
      <c r="G5" s="247">
        <f t="shared" si="1"/>
        <v>21.017</v>
      </c>
      <c r="H5" s="110">
        <f t="shared" si="2"/>
        <v>0.789969912289378</v>
      </c>
      <c r="I5" s="153"/>
      <c r="J5" s="328"/>
      <c r="K5" s="332">
        <v>247.59</v>
      </c>
      <c r="L5" s="10">
        <f t="shared" si="3"/>
        <v>12821.06</v>
      </c>
      <c r="M5" s="332"/>
      <c r="N5" s="150" t="s">
        <v>1653</v>
      </c>
      <c r="O5" s="10"/>
      <c r="P5" s="150"/>
    </row>
    <row r="6" ht="15" spans="1:16">
      <c r="A6" s="329">
        <v>46174</v>
      </c>
      <c r="B6" s="330" t="s">
        <v>78</v>
      </c>
      <c r="C6" s="331">
        <v>0.14</v>
      </c>
      <c r="D6" s="331">
        <v>0.87</v>
      </c>
      <c r="E6" s="332">
        <v>336.942</v>
      </c>
      <c r="F6" s="10">
        <f t="shared" si="0"/>
        <v>313.9</v>
      </c>
      <c r="G6" s="247">
        <f t="shared" si="1"/>
        <v>23.042</v>
      </c>
      <c r="H6" s="110">
        <f t="shared" si="2"/>
        <v>0.789987594304064</v>
      </c>
      <c r="I6" s="153"/>
      <c r="J6" s="328"/>
      <c r="K6" s="332">
        <v>266.18</v>
      </c>
      <c r="L6" s="10">
        <f t="shared" si="3"/>
        <v>12554.88</v>
      </c>
      <c r="M6" s="332"/>
      <c r="N6" s="150" t="s">
        <v>1653</v>
      </c>
      <c r="O6" s="10"/>
      <c r="P6" s="150"/>
    </row>
    <row r="7" ht="15" spans="1:16">
      <c r="A7" s="329">
        <v>46174</v>
      </c>
      <c r="B7" s="330" t="s">
        <v>66</v>
      </c>
      <c r="C7" s="331">
        <v>0.87</v>
      </c>
      <c r="D7" s="331">
        <v>1</v>
      </c>
      <c r="E7" s="332">
        <v>55.338</v>
      </c>
      <c r="F7" s="10">
        <f t="shared" si="0"/>
        <v>55.9</v>
      </c>
      <c r="G7" s="10">
        <f t="shared" si="1"/>
        <v>-0.561999999999998</v>
      </c>
      <c r="H7" s="110">
        <f t="shared" si="2"/>
        <v>0.789873143228884</v>
      </c>
      <c r="I7" s="153"/>
      <c r="J7" s="328"/>
      <c r="K7" s="332">
        <v>43.71</v>
      </c>
      <c r="L7" s="10">
        <f t="shared" si="3"/>
        <v>12511.17</v>
      </c>
      <c r="M7" s="332"/>
      <c r="N7" s="150" t="s">
        <v>1653</v>
      </c>
      <c r="O7" s="10"/>
      <c r="P7" s="150"/>
    </row>
    <row r="8" ht="15" spans="1:16">
      <c r="A8" s="329">
        <v>46174</v>
      </c>
      <c r="B8" s="330" t="s">
        <v>99</v>
      </c>
      <c r="C8" s="331">
        <v>0.2</v>
      </c>
      <c r="D8" s="331">
        <v>0.2</v>
      </c>
      <c r="E8" s="332">
        <v>0.032</v>
      </c>
      <c r="F8" s="10">
        <f t="shared" si="0"/>
        <v>0</v>
      </c>
      <c r="G8" s="10">
        <f t="shared" si="1"/>
        <v>0.032</v>
      </c>
      <c r="H8" s="110">
        <f t="shared" si="2"/>
        <v>0.625</v>
      </c>
      <c r="I8" s="153"/>
      <c r="J8" s="328"/>
      <c r="K8" s="332">
        <v>0.02</v>
      </c>
      <c r="L8" s="10">
        <f t="shared" si="3"/>
        <v>12511.15</v>
      </c>
      <c r="M8" s="332"/>
      <c r="N8" s="150" t="s">
        <v>1653</v>
      </c>
      <c r="O8" s="10"/>
      <c r="P8" s="150"/>
    </row>
    <row r="9" ht="15" spans="1:16">
      <c r="A9" s="329">
        <v>46174</v>
      </c>
      <c r="B9" s="330" t="s">
        <v>99</v>
      </c>
      <c r="C9" s="331">
        <v>0.2</v>
      </c>
      <c r="D9" s="331">
        <v>0.95</v>
      </c>
      <c r="E9" s="332">
        <v>347.33</v>
      </c>
      <c r="F9" s="10">
        <f t="shared" si="0"/>
        <v>322.5</v>
      </c>
      <c r="G9" s="247">
        <f t="shared" si="1"/>
        <v>24.83</v>
      </c>
      <c r="H9" s="110">
        <f t="shared" si="2"/>
        <v>0.789997984625572</v>
      </c>
      <c r="I9" s="153"/>
      <c r="J9" s="328"/>
      <c r="K9" s="332">
        <v>274.39</v>
      </c>
      <c r="L9" s="10">
        <f t="shared" si="3"/>
        <v>12236.76</v>
      </c>
      <c r="M9" s="332"/>
      <c r="N9" s="150" t="s">
        <v>1653</v>
      </c>
      <c r="O9" s="10"/>
      <c r="P9" s="150"/>
    </row>
    <row r="10" ht="15" spans="1:16">
      <c r="A10" s="329">
        <v>46174</v>
      </c>
      <c r="B10" s="330" t="s">
        <v>111</v>
      </c>
      <c r="C10" s="331">
        <v>0.33</v>
      </c>
      <c r="D10" s="331">
        <v>0.98</v>
      </c>
      <c r="E10" s="332">
        <v>266.995</v>
      </c>
      <c r="F10" s="10">
        <f t="shared" si="0"/>
        <v>279.5</v>
      </c>
      <c r="G10" s="10">
        <f t="shared" si="1"/>
        <v>-12.5049999999999</v>
      </c>
      <c r="H10" s="110">
        <f t="shared" si="2"/>
        <v>0.790014794284537</v>
      </c>
      <c r="I10" s="153"/>
      <c r="J10" s="328"/>
      <c r="K10" s="332">
        <v>210.93</v>
      </c>
      <c r="L10" s="10">
        <f t="shared" si="3"/>
        <v>12025.83</v>
      </c>
      <c r="M10" s="332"/>
      <c r="N10" s="150" t="s">
        <v>1653</v>
      </c>
      <c r="O10" s="10"/>
      <c r="P10" s="150"/>
    </row>
    <row r="11" ht="15" spans="1:16">
      <c r="A11" s="329">
        <v>46174</v>
      </c>
      <c r="B11" s="330" t="s">
        <v>93</v>
      </c>
      <c r="C11" s="331">
        <v>0.45</v>
      </c>
      <c r="D11" s="331">
        <v>1</v>
      </c>
      <c r="E11" s="332">
        <v>251.135</v>
      </c>
      <c r="F11" s="10">
        <f t="shared" si="0"/>
        <v>236.5</v>
      </c>
      <c r="G11" s="10">
        <f t="shared" si="1"/>
        <v>14.635</v>
      </c>
      <c r="H11" s="110">
        <f t="shared" si="2"/>
        <v>0.789973520218209</v>
      </c>
      <c r="I11" s="153"/>
      <c r="J11" s="328"/>
      <c r="K11" s="332">
        <v>198.39</v>
      </c>
      <c r="L11" s="10">
        <f t="shared" si="3"/>
        <v>11827.44</v>
      </c>
      <c r="M11" s="332"/>
      <c r="N11" s="150" t="s">
        <v>1653</v>
      </c>
      <c r="O11" s="10"/>
      <c r="P11" s="150"/>
    </row>
    <row r="12" ht="15" spans="1:16">
      <c r="A12" s="329">
        <v>46174</v>
      </c>
      <c r="B12" s="330" t="s">
        <v>54</v>
      </c>
      <c r="C12" s="331">
        <v>0.21</v>
      </c>
      <c r="D12" s="331">
        <v>0.95</v>
      </c>
      <c r="E12" s="332">
        <v>308.468</v>
      </c>
      <c r="F12" s="10">
        <f t="shared" si="0"/>
        <v>318.2</v>
      </c>
      <c r="G12" s="10">
        <f t="shared" si="1"/>
        <v>-9.73199999999997</v>
      </c>
      <c r="H12" s="110">
        <f t="shared" si="2"/>
        <v>0.790000907711659</v>
      </c>
      <c r="I12" s="153"/>
      <c r="J12" s="328"/>
      <c r="K12" s="332">
        <v>243.69</v>
      </c>
      <c r="L12" s="10">
        <f t="shared" si="3"/>
        <v>11583.75</v>
      </c>
      <c r="M12" s="332"/>
      <c r="N12" s="150" t="s">
        <v>1653</v>
      </c>
      <c r="O12" s="10"/>
      <c r="P12" s="150"/>
    </row>
    <row r="13" ht="15" spans="1:16">
      <c r="A13" s="329">
        <v>46174</v>
      </c>
      <c r="B13" s="330" t="s">
        <v>102</v>
      </c>
      <c r="C13" s="331">
        <v>0.29</v>
      </c>
      <c r="D13" s="331">
        <v>0.86</v>
      </c>
      <c r="E13" s="332">
        <v>264.183</v>
      </c>
      <c r="F13" s="10">
        <f t="shared" si="0"/>
        <v>245.1</v>
      </c>
      <c r="G13" s="10">
        <f t="shared" si="1"/>
        <v>19.083</v>
      </c>
      <c r="H13" s="110">
        <f t="shared" si="2"/>
        <v>0.790020553934205</v>
      </c>
      <c r="I13" s="153"/>
      <c r="J13" s="328"/>
      <c r="K13" s="332">
        <v>208.71</v>
      </c>
      <c r="L13" s="10">
        <f t="shared" si="3"/>
        <v>11375.04</v>
      </c>
      <c r="M13" s="332"/>
      <c r="N13" s="150" t="s">
        <v>1653</v>
      </c>
      <c r="O13" s="10"/>
      <c r="P13" s="150"/>
    </row>
    <row r="14" ht="15" spans="1:16">
      <c r="A14" s="329">
        <v>46174</v>
      </c>
      <c r="B14" s="330" t="s">
        <v>90</v>
      </c>
      <c r="C14" s="331">
        <v>0.43</v>
      </c>
      <c r="D14" s="331">
        <v>1</v>
      </c>
      <c r="E14" s="332">
        <v>261.656</v>
      </c>
      <c r="F14" s="10">
        <f t="shared" si="0"/>
        <v>245.1</v>
      </c>
      <c r="G14" s="10">
        <f t="shared" si="1"/>
        <v>16.556</v>
      </c>
      <c r="H14" s="110">
        <f t="shared" si="2"/>
        <v>0.790006726388846</v>
      </c>
      <c r="I14" s="153"/>
      <c r="J14" s="328"/>
      <c r="K14" s="332">
        <v>206.71</v>
      </c>
      <c r="L14" s="10">
        <f t="shared" si="3"/>
        <v>11168.33</v>
      </c>
      <c r="M14" s="332"/>
      <c r="N14" s="150" t="s">
        <v>1653</v>
      </c>
      <c r="O14" s="10"/>
      <c r="P14" s="150"/>
    </row>
    <row r="15" ht="15" spans="1:16">
      <c r="A15" s="329">
        <v>46174</v>
      </c>
      <c r="B15" s="330" t="s">
        <v>72</v>
      </c>
      <c r="C15" s="331">
        <v>0.49</v>
      </c>
      <c r="D15" s="331">
        <v>0.68</v>
      </c>
      <c r="E15" s="332">
        <v>92.27</v>
      </c>
      <c r="F15" s="10">
        <f t="shared" si="0"/>
        <v>81.7</v>
      </c>
      <c r="G15" s="10">
        <f t="shared" si="1"/>
        <v>10.57</v>
      </c>
      <c r="H15" s="110">
        <f t="shared" si="2"/>
        <v>0.790072612983635</v>
      </c>
      <c r="I15" s="153"/>
      <c r="J15" s="328"/>
      <c r="K15" s="332">
        <v>72.9</v>
      </c>
      <c r="L15" s="10">
        <f t="shared" si="3"/>
        <v>11095.43</v>
      </c>
      <c r="M15" s="332"/>
      <c r="N15" s="150" t="s">
        <v>1653</v>
      </c>
      <c r="O15" s="10"/>
      <c r="P15" s="150"/>
    </row>
    <row r="16" ht="15" spans="1:16">
      <c r="A16" s="329">
        <v>46174</v>
      </c>
      <c r="B16" s="330" t="s">
        <v>72</v>
      </c>
      <c r="C16" s="331">
        <v>0.68</v>
      </c>
      <c r="D16" s="331">
        <v>0.95</v>
      </c>
      <c r="E16" s="332">
        <v>125.268</v>
      </c>
      <c r="F16" s="10">
        <f t="shared" si="0"/>
        <v>116.1</v>
      </c>
      <c r="G16" s="10">
        <f t="shared" si="1"/>
        <v>9.16800000000003</v>
      </c>
      <c r="H16" s="110">
        <f t="shared" si="2"/>
        <v>0.789986269438324</v>
      </c>
      <c r="I16" s="153"/>
      <c r="J16" s="328"/>
      <c r="K16" s="332">
        <v>98.96</v>
      </c>
      <c r="L16" s="10">
        <f t="shared" si="3"/>
        <v>10996.47</v>
      </c>
      <c r="M16" s="332"/>
      <c r="N16" s="150" t="s">
        <v>1653</v>
      </c>
      <c r="O16" s="10"/>
      <c r="P16" s="150"/>
    </row>
    <row r="17" ht="15" spans="1:16">
      <c r="A17" s="329">
        <v>46174</v>
      </c>
      <c r="B17" s="330" t="s">
        <v>117</v>
      </c>
      <c r="C17" s="331">
        <v>0.24</v>
      </c>
      <c r="D17" s="331">
        <v>1</v>
      </c>
      <c r="E17" s="332">
        <v>312.126</v>
      </c>
      <c r="F17" s="10">
        <f t="shared" si="0"/>
        <v>326.8</v>
      </c>
      <c r="G17" s="10">
        <f t="shared" si="1"/>
        <v>-14.674</v>
      </c>
      <c r="H17" s="110">
        <f t="shared" si="2"/>
        <v>0.790001473763801</v>
      </c>
      <c r="I17" s="153"/>
      <c r="J17" s="328"/>
      <c r="K17" s="332">
        <v>246.58</v>
      </c>
      <c r="L17" s="10">
        <f t="shared" si="3"/>
        <v>10749.89</v>
      </c>
      <c r="M17" s="332"/>
      <c r="N17" s="150" t="s">
        <v>1653</v>
      </c>
      <c r="O17" s="10"/>
      <c r="P17" s="150"/>
    </row>
    <row r="18" ht="15" spans="1:16">
      <c r="A18" s="329">
        <v>46174</v>
      </c>
      <c r="B18" s="330" t="s">
        <v>63</v>
      </c>
      <c r="C18" s="331">
        <v>0.21</v>
      </c>
      <c r="D18" s="331">
        <v>1</v>
      </c>
      <c r="E18" s="332">
        <v>365.53</v>
      </c>
      <c r="F18" s="10">
        <f t="shared" si="0"/>
        <v>339.7</v>
      </c>
      <c r="G18" s="247">
        <f t="shared" si="1"/>
        <v>25.83</v>
      </c>
      <c r="H18" s="110">
        <f t="shared" si="2"/>
        <v>0.790003556479632</v>
      </c>
      <c r="I18" s="153"/>
      <c r="J18" s="328"/>
      <c r="K18" s="332">
        <v>288.77</v>
      </c>
      <c r="L18" s="10">
        <f t="shared" si="3"/>
        <v>10461.12</v>
      </c>
      <c r="M18" s="332"/>
      <c r="N18" s="150" t="s">
        <v>1653</v>
      </c>
      <c r="O18" s="10"/>
      <c r="P18" s="150"/>
    </row>
    <row r="19" ht="15" spans="1:16">
      <c r="A19" s="329">
        <v>46174</v>
      </c>
      <c r="B19" s="330" t="s">
        <v>81</v>
      </c>
      <c r="C19" s="331">
        <v>0.29</v>
      </c>
      <c r="D19" s="331">
        <v>1</v>
      </c>
      <c r="E19" s="332">
        <v>329.963</v>
      </c>
      <c r="F19" s="10">
        <f t="shared" si="0"/>
        <v>305.3</v>
      </c>
      <c r="G19" s="247">
        <f t="shared" si="1"/>
        <v>24.663</v>
      </c>
      <c r="H19" s="110">
        <f t="shared" si="2"/>
        <v>0.789997666405021</v>
      </c>
      <c r="I19" s="153"/>
      <c r="J19" s="328"/>
      <c r="K19" s="332">
        <v>260.67</v>
      </c>
      <c r="L19" s="10">
        <f t="shared" si="3"/>
        <v>10200.45</v>
      </c>
      <c r="M19" s="332"/>
      <c r="N19" s="150" t="s">
        <v>1653</v>
      </c>
      <c r="O19" s="10"/>
      <c r="P19" s="150"/>
    </row>
    <row r="20" ht="15" spans="1:16">
      <c r="A20" s="324">
        <v>46175</v>
      </c>
      <c r="B20" s="325" t="s">
        <v>57</v>
      </c>
      <c r="C20" s="326">
        <v>0.38</v>
      </c>
      <c r="D20" s="326">
        <v>0.56</v>
      </c>
      <c r="E20" s="327">
        <v>71.823</v>
      </c>
      <c r="F20" s="10">
        <f t="shared" si="0"/>
        <v>77.4</v>
      </c>
      <c r="G20" s="10">
        <f t="shared" si="1"/>
        <v>-5.57700000000003</v>
      </c>
      <c r="H20" s="110">
        <f t="shared" si="2"/>
        <v>0.789997633070187</v>
      </c>
      <c r="I20" s="327">
        <v>7.18</v>
      </c>
      <c r="J20" s="327"/>
      <c r="K20" s="327">
        <v>56.74</v>
      </c>
      <c r="L20" s="10">
        <f t="shared" si="3"/>
        <v>10143.71</v>
      </c>
      <c r="M20" s="327"/>
      <c r="N20" s="150" t="s">
        <v>1653</v>
      </c>
      <c r="O20" s="10"/>
      <c r="P20" s="150"/>
    </row>
    <row r="21" ht="15" spans="1:16">
      <c r="A21" s="329">
        <v>46175</v>
      </c>
      <c r="B21" s="330" t="s">
        <v>108</v>
      </c>
      <c r="C21" s="331">
        <v>0.44</v>
      </c>
      <c r="D21" s="331">
        <v>0.98</v>
      </c>
      <c r="E21" s="332">
        <v>251.044</v>
      </c>
      <c r="F21" s="10">
        <f t="shared" si="0"/>
        <v>232.2</v>
      </c>
      <c r="G21" s="10">
        <f t="shared" si="1"/>
        <v>18.844</v>
      </c>
      <c r="H21" s="110">
        <f t="shared" si="2"/>
        <v>0.789981039180383</v>
      </c>
      <c r="I21" s="332">
        <v>25.1</v>
      </c>
      <c r="J21" s="332"/>
      <c r="K21" s="332">
        <v>198.32</v>
      </c>
      <c r="L21" s="10">
        <f t="shared" si="3"/>
        <v>9945.39</v>
      </c>
      <c r="M21" s="332"/>
      <c r="N21" s="150" t="s">
        <v>1653</v>
      </c>
      <c r="O21" s="10"/>
      <c r="P21" s="150"/>
    </row>
    <row r="22" ht="15" spans="1:16">
      <c r="A22" s="329">
        <v>46175</v>
      </c>
      <c r="B22" s="330" t="s">
        <v>57</v>
      </c>
      <c r="C22" s="331">
        <v>0.51</v>
      </c>
      <c r="D22" s="331">
        <v>0.98</v>
      </c>
      <c r="E22" s="332">
        <v>198.479</v>
      </c>
      <c r="F22" s="10">
        <f t="shared" si="0"/>
        <v>202.1</v>
      </c>
      <c r="G22" s="10">
        <f t="shared" si="1"/>
        <v>-3.62099999999998</v>
      </c>
      <c r="H22" s="110">
        <f t="shared" si="2"/>
        <v>0.79000801092307</v>
      </c>
      <c r="I22" s="332">
        <v>19.85</v>
      </c>
      <c r="J22" s="332"/>
      <c r="K22" s="332">
        <v>156.8</v>
      </c>
      <c r="L22" s="10">
        <f t="shared" si="3"/>
        <v>9788.59</v>
      </c>
      <c r="M22" s="332"/>
      <c r="N22" s="150" t="s">
        <v>1653</v>
      </c>
      <c r="O22" s="10"/>
      <c r="P22" s="150"/>
    </row>
    <row r="23" ht="15" spans="1:16">
      <c r="A23" s="329">
        <v>46175</v>
      </c>
      <c r="B23" s="330" t="s">
        <v>114</v>
      </c>
      <c r="C23" s="331">
        <v>0.13</v>
      </c>
      <c r="D23" s="331">
        <v>0.82</v>
      </c>
      <c r="E23" s="332">
        <v>279.883</v>
      </c>
      <c r="F23" s="10">
        <f t="shared" si="0"/>
        <v>296.7</v>
      </c>
      <c r="G23" s="10">
        <f t="shared" si="1"/>
        <v>-16.817</v>
      </c>
      <c r="H23" s="110">
        <f t="shared" si="2"/>
        <v>0.790008682199348</v>
      </c>
      <c r="I23" s="332">
        <v>27.99</v>
      </c>
      <c r="J23" s="332"/>
      <c r="K23" s="332">
        <v>221.11</v>
      </c>
      <c r="L23" s="10">
        <f t="shared" si="3"/>
        <v>9567.48</v>
      </c>
      <c r="M23" s="332"/>
      <c r="N23" s="150" t="s">
        <v>1653</v>
      </c>
      <c r="O23" s="10"/>
      <c r="P23" s="150"/>
    </row>
    <row r="24" ht="15" spans="1:16">
      <c r="A24" s="329">
        <v>46175</v>
      </c>
      <c r="B24" s="330" t="s">
        <v>69</v>
      </c>
      <c r="C24" s="331">
        <v>0.32</v>
      </c>
      <c r="D24" s="331">
        <v>0.95</v>
      </c>
      <c r="E24" s="332">
        <v>302.644</v>
      </c>
      <c r="F24" s="10">
        <f t="shared" si="0"/>
        <v>270.9</v>
      </c>
      <c r="G24" s="247">
        <f t="shared" si="1"/>
        <v>31.744</v>
      </c>
      <c r="H24" s="110">
        <f t="shared" si="2"/>
        <v>0.789971055101043</v>
      </c>
      <c r="I24" s="332">
        <v>30.26</v>
      </c>
      <c r="J24" s="332"/>
      <c r="K24" s="332">
        <v>239.08</v>
      </c>
      <c r="L24" s="10">
        <f t="shared" si="3"/>
        <v>9328.4</v>
      </c>
      <c r="M24" s="332"/>
      <c r="N24" s="150" t="s">
        <v>1653</v>
      </c>
      <c r="O24" s="10"/>
      <c r="P24" s="150"/>
    </row>
    <row r="25" ht="15" spans="1:16">
      <c r="A25" s="329">
        <v>46175</v>
      </c>
      <c r="B25" s="330" t="s">
        <v>60</v>
      </c>
      <c r="C25" s="331">
        <v>0.14</v>
      </c>
      <c r="D25" s="331">
        <v>1</v>
      </c>
      <c r="E25" s="332">
        <v>355.051</v>
      </c>
      <c r="F25" s="10">
        <f t="shared" si="0"/>
        <v>369.8</v>
      </c>
      <c r="G25" s="10">
        <f t="shared" si="1"/>
        <v>-14.749</v>
      </c>
      <c r="H25" s="110">
        <f t="shared" si="2"/>
        <v>0.789999183215932</v>
      </c>
      <c r="I25" s="332">
        <v>35.5</v>
      </c>
      <c r="J25" s="332"/>
      <c r="K25" s="332">
        <v>280.49</v>
      </c>
      <c r="L25" s="10">
        <f t="shared" si="3"/>
        <v>9047.91</v>
      </c>
      <c r="M25" s="332"/>
      <c r="N25" s="150" t="s">
        <v>1653</v>
      </c>
      <c r="O25" s="10"/>
      <c r="P25" s="150"/>
    </row>
    <row r="26" ht="15" spans="1:16">
      <c r="A26" s="329">
        <v>46175</v>
      </c>
      <c r="B26" s="330" t="s">
        <v>51</v>
      </c>
      <c r="C26" s="331">
        <v>0.34</v>
      </c>
      <c r="D26" s="331">
        <v>0.34</v>
      </c>
      <c r="E26" s="332">
        <v>0.161</v>
      </c>
      <c r="F26" s="10">
        <f t="shared" si="0"/>
        <v>0</v>
      </c>
      <c r="G26" s="10">
        <f t="shared" si="1"/>
        <v>0.161</v>
      </c>
      <c r="H26" s="110">
        <f t="shared" si="2"/>
        <v>0.807453416149068</v>
      </c>
      <c r="I26" s="332">
        <v>0.02</v>
      </c>
      <c r="J26" s="332"/>
      <c r="K26" s="332">
        <v>0.13</v>
      </c>
      <c r="L26" s="10">
        <f t="shared" si="3"/>
        <v>9047.78</v>
      </c>
      <c r="M26" s="332"/>
      <c r="N26" s="150" t="s">
        <v>1653</v>
      </c>
      <c r="O26" s="10"/>
      <c r="P26" s="150"/>
    </row>
    <row r="27" ht="15" spans="1:16">
      <c r="A27" s="329">
        <v>46175</v>
      </c>
      <c r="B27" s="330" t="s">
        <v>51</v>
      </c>
      <c r="C27" s="331">
        <v>0.34</v>
      </c>
      <c r="D27" s="331">
        <v>0.34</v>
      </c>
      <c r="E27" s="332">
        <v>0.001</v>
      </c>
      <c r="F27" s="10">
        <f t="shared" si="0"/>
        <v>0</v>
      </c>
      <c r="G27" s="10">
        <f t="shared" si="1"/>
        <v>0.001</v>
      </c>
      <c r="H27" s="110">
        <f t="shared" si="2"/>
        <v>0</v>
      </c>
      <c r="I27" s="332">
        <v>0</v>
      </c>
      <c r="J27" s="332"/>
      <c r="K27" s="332">
        <v>0</v>
      </c>
      <c r="L27" s="10">
        <f t="shared" si="3"/>
        <v>9047.78</v>
      </c>
      <c r="M27" s="332"/>
      <c r="N27" s="150" t="s">
        <v>1653</v>
      </c>
      <c r="O27" s="10"/>
      <c r="P27" s="150"/>
    </row>
    <row r="28" ht="15" spans="1:16">
      <c r="A28" s="329">
        <v>46175</v>
      </c>
      <c r="B28" s="330" t="s">
        <v>51</v>
      </c>
      <c r="C28" s="331">
        <v>0.34</v>
      </c>
      <c r="D28" s="331">
        <v>1</v>
      </c>
      <c r="E28" s="332">
        <v>269.499</v>
      </c>
      <c r="F28" s="10">
        <f t="shared" si="0"/>
        <v>283.8</v>
      </c>
      <c r="G28" s="10">
        <f t="shared" si="1"/>
        <v>-14.3009999999999</v>
      </c>
      <c r="H28" s="110">
        <f t="shared" si="2"/>
        <v>0.790021484309775</v>
      </c>
      <c r="I28" s="332">
        <v>26.95</v>
      </c>
      <c r="J28" s="332"/>
      <c r="K28" s="332">
        <v>212.91</v>
      </c>
      <c r="L28" s="10">
        <f t="shared" si="3"/>
        <v>8834.87</v>
      </c>
      <c r="M28" s="332"/>
      <c r="N28" s="150" t="s">
        <v>1653</v>
      </c>
      <c r="O28" s="10"/>
      <c r="P28" s="150"/>
    </row>
    <row r="29" ht="15" spans="1:16">
      <c r="A29" s="324">
        <v>46176</v>
      </c>
      <c r="B29" s="325" t="s">
        <v>121</v>
      </c>
      <c r="C29" s="326">
        <v>0.25</v>
      </c>
      <c r="D29" s="326">
        <v>1</v>
      </c>
      <c r="E29" s="327">
        <v>307.411</v>
      </c>
      <c r="F29" s="10">
        <f t="shared" si="0"/>
        <v>322.5</v>
      </c>
      <c r="G29" s="10">
        <f t="shared" si="1"/>
        <v>-15.089</v>
      </c>
      <c r="H29" s="110">
        <f t="shared" si="2"/>
        <v>0.789984743551792</v>
      </c>
      <c r="I29" s="327">
        <v>30.74</v>
      </c>
      <c r="J29" s="327"/>
      <c r="K29" s="327">
        <v>242.85</v>
      </c>
      <c r="L29" s="10">
        <f t="shared" si="3"/>
        <v>8592.02</v>
      </c>
      <c r="M29" s="10"/>
      <c r="N29" s="150" t="s">
        <v>1653</v>
      </c>
      <c r="O29" s="10"/>
      <c r="P29" s="150"/>
    </row>
    <row r="30" ht="15" spans="1:16">
      <c r="A30" s="329">
        <v>46176</v>
      </c>
      <c r="B30" s="330" t="s">
        <v>105</v>
      </c>
      <c r="C30" s="331">
        <v>0.43</v>
      </c>
      <c r="D30" s="331">
        <v>1</v>
      </c>
      <c r="E30" s="332">
        <v>246.876</v>
      </c>
      <c r="F30" s="10">
        <f t="shared" si="0"/>
        <v>245.1</v>
      </c>
      <c r="G30" s="10">
        <f t="shared" si="1"/>
        <v>1.77599999999998</v>
      </c>
      <c r="H30" s="110">
        <f t="shared" si="2"/>
        <v>0.789991736742332</v>
      </c>
      <c r="I30" s="332">
        <v>24.69</v>
      </c>
      <c r="J30" s="332"/>
      <c r="K30" s="332">
        <v>195.03</v>
      </c>
      <c r="L30" s="10">
        <f t="shared" si="3"/>
        <v>8396.99</v>
      </c>
      <c r="M30" s="10"/>
      <c r="N30" s="150" t="s">
        <v>1653</v>
      </c>
      <c r="O30" s="10"/>
      <c r="P30" s="150"/>
    </row>
    <row r="31" ht="15" spans="1:16">
      <c r="A31" s="329">
        <v>46176</v>
      </c>
      <c r="B31" s="330" t="s">
        <v>135</v>
      </c>
      <c r="C31" s="331">
        <v>0.18</v>
      </c>
      <c r="D31" s="331">
        <v>0.99</v>
      </c>
      <c r="E31" s="332">
        <v>354.793</v>
      </c>
      <c r="F31" s="10">
        <f t="shared" si="0"/>
        <v>348.3</v>
      </c>
      <c r="G31" s="10">
        <f t="shared" si="1"/>
        <v>6.49299999999999</v>
      </c>
      <c r="H31" s="110">
        <f t="shared" si="2"/>
        <v>0.79000994946349</v>
      </c>
      <c r="I31" s="332">
        <v>35.48</v>
      </c>
      <c r="J31" s="332"/>
      <c r="K31" s="332">
        <v>280.29</v>
      </c>
      <c r="L31" s="10">
        <f t="shared" si="3"/>
        <v>8116.7</v>
      </c>
      <c r="M31" s="10"/>
      <c r="N31" s="150" t="s">
        <v>1653</v>
      </c>
      <c r="O31" s="10"/>
      <c r="P31" s="150"/>
    </row>
    <row r="32" ht="15" spans="1:16">
      <c r="A32" s="329">
        <v>46176</v>
      </c>
      <c r="B32" s="330" t="s">
        <v>132</v>
      </c>
      <c r="C32" s="331">
        <v>0.24</v>
      </c>
      <c r="D32" s="331">
        <v>1</v>
      </c>
      <c r="E32" s="332">
        <v>321.381</v>
      </c>
      <c r="F32" s="10">
        <f t="shared" si="0"/>
        <v>326.8</v>
      </c>
      <c r="G32" s="10">
        <f t="shared" si="1"/>
        <v>-5.41900000000004</v>
      </c>
      <c r="H32" s="110">
        <f t="shared" si="2"/>
        <v>0.79002803526033</v>
      </c>
      <c r="I32" s="332">
        <v>32.14</v>
      </c>
      <c r="J32" s="332"/>
      <c r="K32" s="332">
        <v>253.9</v>
      </c>
      <c r="L32" s="10">
        <f t="shared" si="3"/>
        <v>7862.8</v>
      </c>
      <c r="M32" s="10"/>
      <c r="N32" s="150" t="s">
        <v>1653</v>
      </c>
      <c r="O32" s="10"/>
      <c r="P32" s="150"/>
    </row>
    <row r="33" ht="15" spans="1:16">
      <c r="A33" s="329">
        <v>46176</v>
      </c>
      <c r="B33" s="330" t="s">
        <v>84</v>
      </c>
      <c r="C33" s="331">
        <v>0.28</v>
      </c>
      <c r="D33" s="331">
        <v>1</v>
      </c>
      <c r="E33" s="332">
        <v>333.992</v>
      </c>
      <c r="F33" s="10">
        <f t="shared" si="0"/>
        <v>309.6</v>
      </c>
      <c r="G33" s="247">
        <f t="shared" si="1"/>
        <v>24.3920000000001</v>
      </c>
      <c r="H33" s="110">
        <f t="shared" si="2"/>
        <v>0.790018922608925</v>
      </c>
      <c r="I33" s="332">
        <v>33.4</v>
      </c>
      <c r="J33" s="332"/>
      <c r="K33" s="332">
        <v>263.86</v>
      </c>
      <c r="L33" s="10">
        <f t="shared" si="3"/>
        <v>7598.94</v>
      </c>
      <c r="M33" s="10"/>
      <c r="N33" s="150" t="s">
        <v>1653</v>
      </c>
      <c r="O33" s="10"/>
      <c r="P33" s="150"/>
    </row>
    <row r="34" ht="15" spans="1:16">
      <c r="A34" s="329">
        <v>46176</v>
      </c>
      <c r="B34" s="330" t="s">
        <v>124</v>
      </c>
      <c r="C34" s="331">
        <v>0.35</v>
      </c>
      <c r="D34" s="331">
        <v>1</v>
      </c>
      <c r="E34" s="332">
        <v>276.637</v>
      </c>
      <c r="F34" s="10">
        <f t="shared" si="0"/>
        <v>279.5</v>
      </c>
      <c r="G34" s="10">
        <f t="shared" si="1"/>
        <v>-2.863</v>
      </c>
      <c r="H34" s="110">
        <f t="shared" si="2"/>
        <v>0.789988324049205</v>
      </c>
      <c r="I34" s="332">
        <v>27.66</v>
      </c>
      <c r="J34" s="332"/>
      <c r="K34" s="332">
        <v>218.54</v>
      </c>
      <c r="L34" s="10">
        <f t="shared" si="3"/>
        <v>7380.4</v>
      </c>
      <c r="M34" s="10"/>
      <c r="N34" s="150" t="s">
        <v>1653</v>
      </c>
      <c r="O34" s="10"/>
      <c r="P34" s="150"/>
    </row>
    <row r="35" ht="15" spans="1:16">
      <c r="A35" s="329">
        <v>46176</v>
      </c>
      <c r="B35" s="330" t="s">
        <v>96</v>
      </c>
      <c r="C35" s="331">
        <v>0.49</v>
      </c>
      <c r="D35" s="331">
        <v>1</v>
      </c>
      <c r="E35" s="332">
        <v>229.552</v>
      </c>
      <c r="F35" s="10">
        <f t="shared" si="0"/>
        <v>219.3</v>
      </c>
      <c r="G35" s="10">
        <f t="shared" si="1"/>
        <v>10.252</v>
      </c>
      <c r="H35" s="110">
        <f t="shared" si="2"/>
        <v>0.790017076740782</v>
      </c>
      <c r="I35" s="332">
        <v>22.96</v>
      </c>
      <c r="J35" s="332"/>
      <c r="K35" s="332">
        <v>181.35</v>
      </c>
      <c r="L35" s="10">
        <f t="shared" si="3"/>
        <v>7199.05</v>
      </c>
      <c r="M35" s="10"/>
      <c r="N35" s="150" t="s">
        <v>1653</v>
      </c>
      <c r="O35" s="10"/>
      <c r="P35" s="150"/>
    </row>
    <row r="36" ht="15" spans="1:16">
      <c r="A36" s="329">
        <v>46176</v>
      </c>
      <c r="B36" s="330" t="s">
        <v>75</v>
      </c>
      <c r="C36" s="331">
        <v>0.41</v>
      </c>
      <c r="D36" s="331">
        <v>0.94</v>
      </c>
      <c r="E36" s="332">
        <v>233.767</v>
      </c>
      <c r="F36" s="10">
        <f t="shared" si="0"/>
        <v>227.9</v>
      </c>
      <c r="G36" s="10">
        <f t="shared" si="1"/>
        <v>5.86699999999999</v>
      </c>
      <c r="H36" s="110">
        <f t="shared" si="2"/>
        <v>0.790017410498488</v>
      </c>
      <c r="I36" s="332">
        <v>23.38</v>
      </c>
      <c r="J36" s="332"/>
      <c r="K36" s="332">
        <v>184.68</v>
      </c>
      <c r="L36" s="10">
        <f t="shared" si="3"/>
        <v>7014.37</v>
      </c>
      <c r="M36" s="10"/>
      <c r="N36" s="150" t="s">
        <v>1653</v>
      </c>
      <c r="O36" s="10"/>
      <c r="P36" s="150"/>
    </row>
    <row r="37" ht="15" spans="1:16">
      <c r="A37" s="329">
        <v>46176</v>
      </c>
      <c r="B37" s="330" t="s">
        <v>111</v>
      </c>
      <c r="C37" s="331">
        <v>0.35</v>
      </c>
      <c r="D37" s="331">
        <v>0.96</v>
      </c>
      <c r="E37" s="332">
        <v>247.103</v>
      </c>
      <c r="F37" s="10">
        <f t="shared" si="0"/>
        <v>262.3</v>
      </c>
      <c r="G37" s="10">
        <f t="shared" si="1"/>
        <v>-15.197</v>
      </c>
      <c r="H37" s="110">
        <f t="shared" si="2"/>
        <v>0.789994455753269</v>
      </c>
      <c r="I37" s="332">
        <v>24.71</v>
      </c>
      <c r="J37" s="332"/>
      <c r="K37" s="332">
        <v>195.21</v>
      </c>
      <c r="L37" s="10">
        <f t="shared" si="3"/>
        <v>6819.16</v>
      </c>
      <c r="M37" s="10"/>
      <c r="N37" s="150" t="s">
        <v>1653</v>
      </c>
      <c r="O37" s="10"/>
      <c r="P37" s="150"/>
    </row>
    <row r="38" ht="15" spans="1:16">
      <c r="A38" s="329">
        <v>46176</v>
      </c>
      <c r="B38" s="330" t="s">
        <v>127</v>
      </c>
      <c r="C38" s="331">
        <v>0.33</v>
      </c>
      <c r="D38" s="331">
        <v>1</v>
      </c>
      <c r="E38" s="332">
        <v>278.194</v>
      </c>
      <c r="F38" s="10">
        <f t="shared" si="0"/>
        <v>288.1</v>
      </c>
      <c r="G38" s="10">
        <f t="shared" si="1"/>
        <v>-9.90599999999995</v>
      </c>
      <c r="H38" s="110">
        <f t="shared" si="2"/>
        <v>0.789988281558912</v>
      </c>
      <c r="I38" s="332">
        <v>27.82</v>
      </c>
      <c r="J38" s="332"/>
      <c r="K38" s="332">
        <v>219.77</v>
      </c>
      <c r="L38" s="10">
        <f t="shared" si="3"/>
        <v>6599.39</v>
      </c>
      <c r="M38" s="10"/>
      <c r="N38" s="150" t="s">
        <v>1653</v>
      </c>
      <c r="O38" s="10"/>
      <c r="P38" s="150"/>
    </row>
    <row r="39" ht="15" spans="1:16">
      <c r="A39" s="329">
        <v>46176</v>
      </c>
      <c r="B39" s="330" t="s">
        <v>99</v>
      </c>
      <c r="C39" s="331">
        <v>0.21</v>
      </c>
      <c r="D39" s="331">
        <v>0.95</v>
      </c>
      <c r="E39" s="332">
        <v>347.612</v>
      </c>
      <c r="F39" s="10">
        <f t="shared" si="0"/>
        <v>318.2</v>
      </c>
      <c r="G39" s="247">
        <f t="shared" si="1"/>
        <v>29.412</v>
      </c>
      <c r="H39" s="110">
        <f t="shared" si="2"/>
        <v>0.78998998883813</v>
      </c>
      <c r="I39" s="332">
        <v>34.76</v>
      </c>
      <c r="J39" s="332"/>
      <c r="K39" s="332">
        <v>274.61</v>
      </c>
      <c r="L39" s="10">
        <f t="shared" si="3"/>
        <v>6324.78</v>
      </c>
      <c r="M39" s="10"/>
      <c r="N39" s="150" t="s">
        <v>1653</v>
      </c>
      <c r="O39" s="10"/>
      <c r="P39" s="150"/>
    </row>
    <row r="40" ht="15" spans="1:16">
      <c r="A40" s="329">
        <v>46176</v>
      </c>
      <c r="B40" s="330" t="s">
        <v>66</v>
      </c>
      <c r="C40" s="331">
        <v>0.31</v>
      </c>
      <c r="D40" s="331">
        <v>1</v>
      </c>
      <c r="E40" s="332">
        <v>319.639</v>
      </c>
      <c r="F40" s="10">
        <f t="shared" si="0"/>
        <v>296.7</v>
      </c>
      <c r="G40" s="247">
        <f t="shared" si="1"/>
        <v>22.939</v>
      </c>
      <c r="H40" s="110">
        <f t="shared" si="2"/>
        <v>0.78998495177372</v>
      </c>
      <c r="I40" s="332">
        <v>31.96</v>
      </c>
      <c r="J40" s="332"/>
      <c r="K40" s="332">
        <v>252.51</v>
      </c>
      <c r="L40" s="10">
        <f t="shared" si="3"/>
        <v>6072.27</v>
      </c>
      <c r="M40" s="10"/>
      <c r="N40" s="150" t="s">
        <v>1653</v>
      </c>
      <c r="O40" s="10"/>
      <c r="P40" s="150"/>
    </row>
    <row r="41" ht="15" spans="1:16">
      <c r="A41" s="329">
        <v>46176</v>
      </c>
      <c r="B41" s="330" t="s">
        <v>78</v>
      </c>
      <c r="C41" s="331">
        <v>0.21</v>
      </c>
      <c r="D41" s="331">
        <v>0.83</v>
      </c>
      <c r="E41" s="332">
        <v>291.673</v>
      </c>
      <c r="F41" s="10">
        <f t="shared" si="0"/>
        <v>266.6</v>
      </c>
      <c r="G41" s="247">
        <f t="shared" si="1"/>
        <v>25.073</v>
      </c>
      <c r="H41" s="110">
        <f t="shared" si="2"/>
        <v>0.789994274410041</v>
      </c>
      <c r="I41" s="332">
        <v>29.17</v>
      </c>
      <c r="J41" s="332"/>
      <c r="K41" s="332">
        <v>230.42</v>
      </c>
      <c r="L41" s="10">
        <f t="shared" si="3"/>
        <v>5841.85</v>
      </c>
      <c r="M41" s="10"/>
      <c r="N41" s="150" t="s">
        <v>1653</v>
      </c>
      <c r="O41" s="10"/>
      <c r="P41" s="150"/>
    </row>
    <row r="42" ht="15" spans="1:16">
      <c r="A42" s="329">
        <v>46176</v>
      </c>
      <c r="B42" s="330" t="s">
        <v>60</v>
      </c>
      <c r="C42" s="331">
        <v>0.8</v>
      </c>
      <c r="D42" s="331">
        <v>1</v>
      </c>
      <c r="E42" s="332">
        <v>90.595</v>
      </c>
      <c r="F42" s="10">
        <f t="shared" si="0"/>
        <v>86</v>
      </c>
      <c r="G42" s="10">
        <f t="shared" si="1"/>
        <v>4.59500000000001</v>
      </c>
      <c r="H42" s="110">
        <f t="shared" si="2"/>
        <v>0.789999448093162</v>
      </c>
      <c r="I42" s="332">
        <v>9.06</v>
      </c>
      <c r="J42" s="332"/>
      <c r="K42" s="332">
        <v>71.57</v>
      </c>
      <c r="L42" s="10">
        <f t="shared" si="3"/>
        <v>5770.28</v>
      </c>
      <c r="M42" s="10"/>
      <c r="N42" s="150" t="s">
        <v>1653</v>
      </c>
      <c r="O42" s="10"/>
      <c r="P42" s="150"/>
    </row>
    <row r="43" ht="15" spans="1:16">
      <c r="A43" s="329">
        <v>46176</v>
      </c>
      <c r="B43" s="330" t="s">
        <v>90</v>
      </c>
      <c r="C43" s="331">
        <v>0.53</v>
      </c>
      <c r="D43" s="331">
        <v>1</v>
      </c>
      <c r="E43" s="332">
        <v>205.741</v>
      </c>
      <c r="F43" s="10">
        <f t="shared" si="0"/>
        <v>202.1</v>
      </c>
      <c r="G43" s="10">
        <f t="shared" si="1"/>
        <v>3.64100000000002</v>
      </c>
      <c r="H43" s="110">
        <f t="shared" si="2"/>
        <v>0.789973802013211</v>
      </c>
      <c r="I43" s="332">
        <v>20.57</v>
      </c>
      <c r="J43" s="332"/>
      <c r="K43" s="332">
        <v>162.53</v>
      </c>
      <c r="L43" s="10">
        <f t="shared" si="3"/>
        <v>5607.75</v>
      </c>
      <c r="M43" s="10"/>
      <c r="N43" s="150" t="s">
        <v>1653</v>
      </c>
      <c r="O43" s="10"/>
      <c r="P43" s="150"/>
    </row>
    <row r="44" ht="15" spans="1:16">
      <c r="A44" s="329">
        <v>46176</v>
      </c>
      <c r="B44" s="330" t="s">
        <v>93</v>
      </c>
      <c r="C44" s="331">
        <v>0.44</v>
      </c>
      <c r="D44" s="331">
        <v>1</v>
      </c>
      <c r="E44" s="332">
        <v>249.742</v>
      </c>
      <c r="F44" s="10">
        <f t="shared" si="0"/>
        <v>240.8</v>
      </c>
      <c r="G44" s="10">
        <f t="shared" si="1"/>
        <v>8.94199999999998</v>
      </c>
      <c r="H44" s="110">
        <f t="shared" si="2"/>
        <v>0.789975254462605</v>
      </c>
      <c r="I44" s="332">
        <v>24.97</v>
      </c>
      <c r="J44" s="332"/>
      <c r="K44" s="332">
        <v>197.29</v>
      </c>
      <c r="L44" s="10">
        <f t="shared" si="3"/>
        <v>5410.46</v>
      </c>
      <c r="M44" s="10"/>
      <c r="N44" s="150" t="s">
        <v>1653</v>
      </c>
      <c r="O44" s="10"/>
      <c r="P44" s="150"/>
    </row>
    <row r="45" ht="15" spans="1:16">
      <c r="A45" s="329">
        <v>46176</v>
      </c>
      <c r="B45" s="330" t="s">
        <v>78</v>
      </c>
      <c r="C45" s="331">
        <v>0.83</v>
      </c>
      <c r="D45" s="331">
        <v>0.98</v>
      </c>
      <c r="E45" s="332">
        <v>57.554</v>
      </c>
      <c r="F45" s="10">
        <f t="shared" si="0"/>
        <v>64.5</v>
      </c>
      <c r="G45" s="10">
        <f t="shared" si="1"/>
        <v>-6.94600000000001</v>
      </c>
      <c r="H45" s="110">
        <f t="shared" si="2"/>
        <v>0.790040657469507</v>
      </c>
      <c r="I45" s="332">
        <v>5.76</v>
      </c>
      <c r="J45" s="332"/>
      <c r="K45" s="332">
        <v>45.47</v>
      </c>
      <c r="L45" s="10">
        <f t="shared" si="3"/>
        <v>5364.99</v>
      </c>
      <c r="M45" s="10"/>
      <c r="N45" s="150" t="s">
        <v>1653</v>
      </c>
      <c r="O45" s="10"/>
      <c r="P45" s="150"/>
    </row>
    <row r="46" ht="15" spans="1:16">
      <c r="A46" s="329">
        <v>46176</v>
      </c>
      <c r="B46" s="330" t="s">
        <v>130</v>
      </c>
      <c r="C46" s="331">
        <v>0.37</v>
      </c>
      <c r="D46" s="331">
        <v>0.7</v>
      </c>
      <c r="E46" s="332">
        <v>132.314</v>
      </c>
      <c r="F46" s="10">
        <f t="shared" si="0"/>
        <v>141.9</v>
      </c>
      <c r="G46" s="10">
        <f t="shared" si="1"/>
        <v>-9.58599999999998</v>
      </c>
      <c r="H46" s="110">
        <f t="shared" si="2"/>
        <v>0.790014662091691</v>
      </c>
      <c r="I46" s="332">
        <v>13.23</v>
      </c>
      <c r="J46" s="332"/>
      <c r="K46" s="332">
        <v>104.53</v>
      </c>
      <c r="L46" s="10">
        <f t="shared" si="3"/>
        <v>5260.46</v>
      </c>
      <c r="M46" s="10"/>
      <c r="N46" s="150" t="s">
        <v>1653</v>
      </c>
      <c r="O46" s="10"/>
      <c r="P46" s="150"/>
    </row>
    <row r="47" ht="15" spans="1:16">
      <c r="A47" s="329">
        <v>46176</v>
      </c>
      <c r="B47" s="330" t="s">
        <v>87</v>
      </c>
      <c r="C47" s="331">
        <v>0.26</v>
      </c>
      <c r="D47" s="331">
        <v>1</v>
      </c>
      <c r="E47" s="332">
        <v>335.721</v>
      </c>
      <c r="F47" s="10">
        <f t="shared" si="0"/>
        <v>318.2</v>
      </c>
      <c r="G47" s="10">
        <f t="shared" si="1"/>
        <v>17.521</v>
      </c>
      <c r="H47" s="110">
        <f t="shared" si="2"/>
        <v>0.789971434613861</v>
      </c>
      <c r="I47" s="332">
        <v>33.57</v>
      </c>
      <c r="J47" s="332"/>
      <c r="K47" s="332">
        <v>265.21</v>
      </c>
      <c r="L47" s="10">
        <f t="shared" si="3"/>
        <v>4995.25</v>
      </c>
      <c r="M47" s="10"/>
      <c r="N47" s="150" t="s">
        <v>1653</v>
      </c>
      <c r="O47" s="10"/>
      <c r="P47" s="150"/>
    </row>
    <row r="48" ht="15" spans="1:16">
      <c r="A48" s="324">
        <v>46177</v>
      </c>
      <c r="B48" s="325" t="s">
        <v>81</v>
      </c>
      <c r="C48" s="326">
        <v>0.24</v>
      </c>
      <c r="D48" s="326">
        <v>1</v>
      </c>
      <c r="E48" s="327">
        <v>348.29</v>
      </c>
      <c r="F48" s="10">
        <f t="shared" si="0"/>
        <v>326.8</v>
      </c>
      <c r="G48" s="247">
        <f t="shared" si="1"/>
        <v>21.49</v>
      </c>
      <c r="H48" s="110">
        <f t="shared" si="2"/>
        <v>0.790002584053519</v>
      </c>
      <c r="I48" s="327">
        <v>34.83</v>
      </c>
      <c r="J48" s="327">
        <v>10000</v>
      </c>
      <c r="K48" s="327">
        <v>275.15</v>
      </c>
      <c r="L48" s="10">
        <f t="shared" si="3"/>
        <v>14720.1</v>
      </c>
      <c r="M48" s="327"/>
      <c r="N48" s="150" t="s">
        <v>1653</v>
      </c>
    </row>
    <row r="49" ht="15" spans="1:16">
      <c r="A49" s="329">
        <v>46177</v>
      </c>
      <c r="B49" s="330" t="s">
        <v>72</v>
      </c>
      <c r="C49" s="331">
        <v>0.48</v>
      </c>
      <c r="D49" s="331">
        <v>0.48</v>
      </c>
      <c r="E49" s="332">
        <v>0</v>
      </c>
      <c r="F49" s="10">
        <f t="shared" si="0"/>
        <v>0</v>
      </c>
      <c r="G49" s="10">
        <f t="shared" si="1"/>
        <v>0</v>
      </c>
      <c r="H49" s="110" t="e">
        <f t="shared" si="2"/>
        <v>#DIV/0!</v>
      </c>
      <c r="I49" s="332">
        <v>0</v>
      </c>
      <c r="J49" s="332"/>
      <c r="K49" s="332">
        <v>0</v>
      </c>
      <c r="L49" s="10">
        <f t="shared" si="3"/>
        <v>14720.1</v>
      </c>
      <c r="M49" s="332"/>
      <c r="N49" s="150" t="s">
        <v>1653</v>
      </c>
    </row>
    <row r="50" ht="15" spans="1:16">
      <c r="A50" s="329">
        <v>46177</v>
      </c>
      <c r="B50" s="330" t="s">
        <v>72</v>
      </c>
      <c r="C50" s="331">
        <v>0.48</v>
      </c>
      <c r="D50" s="331">
        <v>0.48</v>
      </c>
      <c r="E50" s="332">
        <v>0.034</v>
      </c>
      <c r="F50" s="10">
        <f t="shared" si="0"/>
        <v>0</v>
      </c>
      <c r="G50" s="10">
        <f t="shared" si="1"/>
        <v>0.034</v>
      </c>
      <c r="H50" s="110">
        <f t="shared" si="2"/>
        <v>0.588235294117647</v>
      </c>
      <c r="I50" s="332">
        <v>0</v>
      </c>
      <c r="J50" s="332"/>
      <c r="K50" s="332">
        <v>0.02</v>
      </c>
      <c r="L50" s="10">
        <f t="shared" si="3"/>
        <v>14720.08</v>
      </c>
      <c r="M50" s="332"/>
      <c r="N50" s="150" t="s">
        <v>1653</v>
      </c>
    </row>
    <row r="51" ht="15" spans="1:16">
      <c r="A51" s="329">
        <v>46177</v>
      </c>
      <c r="B51" s="330" t="s">
        <v>72</v>
      </c>
      <c r="C51" s="331">
        <v>0.48</v>
      </c>
      <c r="D51" s="331">
        <v>0.96</v>
      </c>
      <c r="E51" s="332">
        <v>224.367</v>
      </c>
      <c r="F51" s="10">
        <f t="shared" si="0"/>
        <v>206.4</v>
      </c>
      <c r="G51" s="10">
        <f t="shared" si="1"/>
        <v>17.967</v>
      </c>
      <c r="H51" s="110">
        <f t="shared" si="2"/>
        <v>0.79000031198884</v>
      </c>
      <c r="I51" s="332">
        <v>22.44</v>
      </c>
      <c r="J51" s="332"/>
      <c r="K51" s="332">
        <v>177.25</v>
      </c>
      <c r="L51" s="10">
        <f t="shared" si="3"/>
        <v>14542.83</v>
      </c>
      <c r="M51" s="332"/>
      <c r="N51" s="150" t="s">
        <v>1653</v>
      </c>
    </row>
    <row r="52" ht="15" spans="1:16">
      <c r="A52" s="329">
        <v>46177</v>
      </c>
      <c r="B52" s="330" t="s">
        <v>54</v>
      </c>
      <c r="C52" s="331">
        <v>0.29</v>
      </c>
      <c r="D52" s="331">
        <v>0.95</v>
      </c>
      <c r="E52" s="332">
        <v>276.427</v>
      </c>
      <c r="F52" s="10">
        <f t="shared" si="0"/>
        <v>283.8</v>
      </c>
      <c r="G52" s="10">
        <f t="shared" si="1"/>
        <v>-7.37299999999993</v>
      </c>
      <c r="H52" s="110">
        <f t="shared" si="2"/>
        <v>0.789973483053392</v>
      </c>
      <c r="I52" s="332">
        <v>27.64</v>
      </c>
      <c r="J52" s="332"/>
      <c r="K52" s="332">
        <v>218.37</v>
      </c>
      <c r="L52" s="10">
        <f t="shared" si="3"/>
        <v>14324.46</v>
      </c>
      <c r="M52" s="332"/>
      <c r="N52" s="150" t="s">
        <v>1653</v>
      </c>
    </row>
    <row r="53" ht="15" spans="1:16">
      <c r="A53" s="329">
        <v>46177</v>
      </c>
      <c r="B53" s="330" t="s">
        <v>144</v>
      </c>
      <c r="C53" s="331">
        <v>0.34</v>
      </c>
      <c r="D53" s="331">
        <v>1</v>
      </c>
      <c r="E53" s="332">
        <v>287.24</v>
      </c>
      <c r="F53" s="10">
        <f t="shared" si="0"/>
        <v>283.8</v>
      </c>
      <c r="G53" s="10">
        <f t="shared" si="1"/>
        <v>3.44000000000005</v>
      </c>
      <c r="H53" s="110">
        <f t="shared" si="2"/>
        <v>0.79000139256371</v>
      </c>
      <c r="I53" s="332">
        <v>28.72</v>
      </c>
      <c r="J53" s="332"/>
      <c r="K53" s="332">
        <v>226.92</v>
      </c>
      <c r="L53" s="10">
        <f t="shared" si="3"/>
        <v>14097.54</v>
      </c>
      <c r="M53" s="332"/>
      <c r="N53" s="150" t="s">
        <v>1653</v>
      </c>
    </row>
    <row r="54" ht="15" spans="1:16">
      <c r="A54" s="329">
        <v>46177</v>
      </c>
      <c r="B54" s="330" t="s">
        <v>121</v>
      </c>
      <c r="C54" s="331">
        <v>0.54</v>
      </c>
      <c r="D54" s="331">
        <v>1</v>
      </c>
      <c r="E54" s="332">
        <v>188.062</v>
      </c>
      <c r="F54" s="10">
        <f t="shared" si="0"/>
        <v>197.8</v>
      </c>
      <c r="G54" s="10">
        <f t="shared" si="1"/>
        <v>-9.73799999999997</v>
      </c>
      <c r="H54" s="110">
        <f t="shared" si="2"/>
        <v>0.790005423743234</v>
      </c>
      <c r="I54" s="332">
        <v>18.81</v>
      </c>
      <c r="J54" s="332"/>
      <c r="K54" s="332">
        <v>148.57</v>
      </c>
      <c r="L54" s="10">
        <f t="shared" si="3"/>
        <v>13948.97</v>
      </c>
      <c r="M54" s="332"/>
      <c r="N54" s="150" t="s">
        <v>1653</v>
      </c>
    </row>
    <row r="55" ht="15" spans="1:16">
      <c r="A55" s="329">
        <v>46177</v>
      </c>
      <c r="B55" s="330" t="s">
        <v>57</v>
      </c>
      <c r="C55" s="331">
        <v>0.3</v>
      </c>
      <c r="D55" s="331">
        <v>1</v>
      </c>
      <c r="E55" s="332">
        <v>284.124</v>
      </c>
      <c r="F55" s="10">
        <f t="shared" si="0"/>
        <v>301</v>
      </c>
      <c r="G55" s="10">
        <f t="shared" si="1"/>
        <v>-16.876</v>
      </c>
      <c r="H55" s="110">
        <f t="shared" si="2"/>
        <v>0.790007179963678</v>
      </c>
      <c r="I55" s="332">
        <v>28.41</v>
      </c>
      <c r="J55" s="332"/>
      <c r="K55" s="332">
        <v>224.46</v>
      </c>
      <c r="L55" s="10">
        <f t="shared" si="3"/>
        <v>13724.51</v>
      </c>
      <c r="M55" s="332"/>
      <c r="N55" s="150" t="s">
        <v>1653</v>
      </c>
    </row>
    <row r="56" ht="15" spans="1:16">
      <c r="A56" s="329">
        <v>46177</v>
      </c>
      <c r="B56" s="330" t="s">
        <v>114</v>
      </c>
      <c r="C56" s="331">
        <v>0.08</v>
      </c>
      <c r="D56" s="331">
        <v>1</v>
      </c>
      <c r="E56" s="332">
        <v>377.343</v>
      </c>
      <c r="F56" s="10">
        <f t="shared" si="0"/>
        <v>395.6</v>
      </c>
      <c r="G56" s="10">
        <f t="shared" si="1"/>
        <v>-18.257</v>
      </c>
      <c r="H56" s="110">
        <f t="shared" si="2"/>
        <v>0.790023930482346</v>
      </c>
      <c r="I56" s="332">
        <v>37.74</v>
      </c>
      <c r="J56" s="332"/>
      <c r="K56" s="332">
        <v>298.11</v>
      </c>
      <c r="L56" s="10">
        <f t="shared" si="3"/>
        <v>13426.4</v>
      </c>
      <c r="M56" s="332"/>
      <c r="N56" s="150" t="s">
        <v>1653</v>
      </c>
    </row>
    <row r="57" ht="15" spans="1:16">
      <c r="A57" s="324">
        <v>46178</v>
      </c>
      <c r="B57" s="325" t="s">
        <v>108</v>
      </c>
      <c r="C57" s="326">
        <v>0.46</v>
      </c>
      <c r="D57" s="326">
        <v>1</v>
      </c>
      <c r="E57" s="327">
        <v>256.825</v>
      </c>
      <c r="F57" s="10">
        <f t="shared" si="0"/>
        <v>232.2</v>
      </c>
      <c r="G57" s="247">
        <f t="shared" si="1"/>
        <v>24.625</v>
      </c>
      <c r="H57" s="110">
        <f t="shared" si="2"/>
        <v>0.78999318602161</v>
      </c>
      <c r="I57" s="327">
        <v>25.68</v>
      </c>
      <c r="J57" s="10"/>
      <c r="K57" s="327">
        <v>202.89</v>
      </c>
      <c r="L57" s="10">
        <f t="shared" si="3"/>
        <v>13223.51</v>
      </c>
      <c r="M57" s="10"/>
      <c r="N57" s="150" t="s">
        <v>1653</v>
      </c>
      <c r="O57" s="150"/>
      <c r="P57" s="150"/>
    </row>
    <row r="58" ht="15" spans="1:16">
      <c r="A58" s="329">
        <v>46178</v>
      </c>
      <c r="B58" s="330" t="s">
        <v>84</v>
      </c>
      <c r="C58" s="331">
        <v>0.38</v>
      </c>
      <c r="D58" s="331">
        <v>1</v>
      </c>
      <c r="E58" s="332">
        <v>284.73</v>
      </c>
      <c r="F58" s="10">
        <f t="shared" si="0"/>
        <v>266.6</v>
      </c>
      <c r="G58" s="10">
        <f t="shared" si="1"/>
        <v>18.13</v>
      </c>
      <c r="H58" s="110">
        <f t="shared" si="2"/>
        <v>0.790046710919116</v>
      </c>
      <c r="I58" s="332">
        <v>28.48</v>
      </c>
      <c r="J58" s="10"/>
      <c r="K58" s="332">
        <v>224.95</v>
      </c>
      <c r="L58" s="10">
        <f t="shared" si="3"/>
        <v>12998.56</v>
      </c>
      <c r="M58" s="10"/>
      <c r="N58" s="150" t="s">
        <v>1653</v>
      </c>
      <c r="O58" s="150"/>
      <c r="P58" s="150"/>
    </row>
    <row r="59" ht="15" spans="1:16">
      <c r="A59" s="329">
        <v>46178</v>
      </c>
      <c r="B59" s="330" t="s">
        <v>69</v>
      </c>
      <c r="C59" s="331">
        <v>0.32</v>
      </c>
      <c r="D59" s="331">
        <v>1</v>
      </c>
      <c r="E59" s="332">
        <v>319.196</v>
      </c>
      <c r="F59" s="10">
        <f t="shared" si="0"/>
        <v>292.4</v>
      </c>
      <c r="G59" s="247">
        <f t="shared" si="1"/>
        <v>26.796</v>
      </c>
      <c r="H59" s="110">
        <f t="shared" si="2"/>
        <v>0.79001616561611</v>
      </c>
      <c r="I59" s="332">
        <v>31.92</v>
      </c>
      <c r="J59" s="10"/>
      <c r="K59" s="332">
        <v>252.17</v>
      </c>
      <c r="L59" s="10">
        <f t="shared" si="3"/>
        <v>12746.39</v>
      </c>
      <c r="M59" s="10"/>
      <c r="N59" s="150" t="s">
        <v>1653</v>
      </c>
      <c r="O59" s="150"/>
      <c r="P59" s="150"/>
    </row>
    <row r="60" ht="15" spans="1:16">
      <c r="A60" s="329">
        <v>46178</v>
      </c>
      <c r="B60" s="330" t="s">
        <v>141</v>
      </c>
      <c r="C60" s="331">
        <v>0.39</v>
      </c>
      <c r="D60" s="331">
        <v>1</v>
      </c>
      <c r="E60" s="332">
        <v>268.059</v>
      </c>
      <c r="F60" s="10">
        <f t="shared" si="0"/>
        <v>262.3</v>
      </c>
      <c r="G60" s="10">
        <f t="shared" si="1"/>
        <v>5.75900000000001</v>
      </c>
      <c r="H60" s="110">
        <f t="shared" si="2"/>
        <v>0.79001264646962</v>
      </c>
      <c r="I60" s="332">
        <v>26.81</v>
      </c>
      <c r="J60" s="10"/>
      <c r="K60" s="332">
        <v>211.77</v>
      </c>
      <c r="L60" s="10">
        <f t="shared" si="3"/>
        <v>12534.62</v>
      </c>
      <c r="M60" s="10"/>
      <c r="N60" s="150" t="s">
        <v>1653</v>
      </c>
      <c r="O60" s="150"/>
      <c r="P60" s="150"/>
    </row>
    <row r="61" ht="15" spans="1:16">
      <c r="A61" s="329">
        <v>46178</v>
      </c>
      <c r="B61" s="330" t="s">
        <v>105</v>
      </c>
      <c r="C61" s="331">
        <v>0.51</v>
      </c>
      <c r="D61" s="331">
        <v>0.97</v>
      </c>
      <c r="E61" s="332">
        <v>223.05</v>
      </c>
      <c r="F61" s="10">
        <f t="shared" si="0"/>
        <v>197.8</v>
      </c>
      <c r="G61" s="247">
        <f t="shared" si="1"/>
        <v>25.25</v>
      </c>
      <c r="H61" s="110">
        <f t="shared" si="2"/>
        <v>0.790002241649854</v>
      </c>
      <c r="I61" s="332">
        <v>22.31</v>
      </c>
      <c r="J61" s="10"/>
      <c r="K61" s="332">
        <v>176.21</v>
      </c>
      <c r="L61" s="10">
        <f t="shared" si="3"/>
        <v>12358.41</v>
      </c>
      <c r="M61" s="10"/>
      <c r="N61" s="150" t="s">
        <v>1653</v>
      </c>
      <c r="O61" s="150"/>
      <c r="P61" s="150"/>
    </row>
    <row r="62" ht="15" spans="1:16">
      <c r="A62" s="329">
        <v>46178</v>
      </c>
      <c r="B62" s="330" t="s">
        <v>138</v>
      </c>
      <c r="C62" s="331">
        <v>0.31</v>
      </c>
      <c r="D62" s="331">
        <v>0.99</v>
      </c>
      <c r="E62" s="332">
        <v>293.248</v>
      </c>
      <c r="F62" s="10">
        <f t="shared" si="0"/>
        <v>292.4</v>
      </c>
      <c r="G62" s="10">
        <f t="shared" si="1"/>
        <v>0.848000000000013</v>
      </c>
      <c r="H62" s="110">
        <f t="shared" si="2"/>
        <v>0.789979812309035</v>
      </c>
      <c r="I62" s="332">
        <v>29.32</v>
      </c>
      <c r="J62" s="10"/>
      <c r="K62" s="332">
        <v>231.66</v>
      </c>
      <c r="L62" s="10">
        <f t="shared" si="3"/>
        <v>12126.75</v>
      </c>
      <c r="M62" s="10"/>
      <c r="N62" s="150" t="s">
        <v>1653</v>
      </c>
      <c r="O62" s="150"/>
      <c r="P62" s="150"/>
    </row>
    <row r="63" ht="15" spans="1:16">
      <c r="A63" s="329">
        <v>46178</v>
      </c>
      <c r="B63" s="330" t="s">
        <v>96</v>
      </c>
      <c r="C63" s="331">
        <v>0.46</v>
      </c>
      <c r="D63" s="331">
        <v>1</v>
      </c>
      <c r="E63" s="332">
        <v>236.789</v>
      </c>
      <c r="F63" s="10">
        <f t="shared" si="0"/>
        <v>232.2</v>
      </c>
      <c r="G63" s="10">
        <f t="shared" si="1"/>
        <v>4.58899999999997</v>
      </c>
      <c r="H63" s="110">
        <f t="shared" si="2"/>
        <v>0.789986021310112</v>
      </c>
      <c r="I63" s="332">
        <v>23.68</v>
      </c>
      <c r="J63" s="10"/>
      <c r="K63" s="332">
        <v>187.06</v>
      </c>
      <c r="L63" s="10">
        <f t="shared" si="3"/>
        <v>11939.69</v>
      </c>
      <c r="M63" s="10"/>
      <c r="N63" s="150" t="s">
        <v>1653</v>
      </c>
      <c r="O63" s="150"/>
      <c r="P63" s="150"/>
    </row>
    <row r="64" ht="15" spans="1:16">
      <c r="A64" s="329">
        <v>46178</v>
      </c>
      <c r="B64" s="330" t="s">
        <v>135</v>
      </c>
      <c r="C64" s="331">
        <v>0.36</v>
      </c>
      <c r="D64" s="331">
        <v>0.42</v>
      </c>
      <c r="E64" s="332">
        <v>26.318</v>
      </c>
      <c r="F64" s="10">
        <f t="shared" si="0"/>
        <v>25.8</v>
      </c>
      <c r="G64" s="10">
        <f t="shared" si="1"/>
        <v>0.518000000000001</v>
      </c>
      <c r="H64" s="110">
        <f t="shared" si="2"/>
        <v>0.789953643893913</v>
      </c>
      <c r="I64" s="332">
        <v>2.63</v>
      </c>
      <c r="J64" s="10"/>
      <c r="K64" s="332">
        <v>20.79</v>
      </c>
      <c r="L64" s="10">
        <f t="shared" si="3"/>
        <v>11918.9</v>
      </c>
      <c r="M64" s="10"/>
      <c r="N64" s="150" t="s">
        <v>1653</v>
      </c>
      <c r="O64" s="150"/>
      <c r="P64" s="150"/>
    </row>
    <row r="65" ht="15" spans="1:16">
      <c r="A65" s="329">
        <v>46178</v>
      </c>
      <c r="B65" s="330" t="s">
        <v>135</v>
      </c>
      <c r="C65" s="331">
        <v>0.42</v>
      </c>
      <c r="D65" s="331">
        <v>1</v>
      </c>
      <c r="E65" s="332">
        <v>252.102</v>
      </c>
      <c r="F65" s="10">
        <f t="shared" si="0"/>
        <v>249.4</v>
      </c>
      <c r="G65" s="10">
        <f t="shared" si="1"/>
        <v>2.70199999999997</v>
      </c>
      <c r="H65" s="110">
        <f t="shared" si="2"/>
        <v>0.789997699343916</v>
      </c>
      <c r="I65" s="332">
        <v>25.21</v>
      </c>
      <c r="J65" s="10"/>
      <c r="K65" s="332">
        <v>199.16</v>
      </c>
      <c r="L65" s="10">
        <f t="shared" si="3"/>
        <v>11719.74</v>
      </c>
      <c r="M65" s="10"/>
      <c r="N65" s="150" t="s">
        <v>1653</v>
      </c>
      <c r="O65" s="150"/>
      <c r="P65" s="150"/>
    </row>
    <row r="66" ht="15" spans="1:16">
      <c r="A66" s="329">
        <v>46178</v>
      </c>
      <c r="B66" s="330" t="s">
        <v>124</v>
      </c>
      <c r="C66" s="331">
        <v>0.4</v>
      </c>
      <c r="D66" s="331">
        <v>0.96</v>
      </c>
      <c r="E66" s="332">
        <v>235.008</v>
      </c>
      <c r="F66" s="10">
        <f t="shared" si="0"/>
        <v>240.8</v>
      </c>
      <c r="G66" s="10">
        <f t="shared" si="1"/>
        <v>-5.79199999999997</v>
      </c>
      <c r="H66" s="110">
        <f t="shared" si="2"/>
        <v>0.790015659041394</v>
      </c>
      <c r="I66" s="332">
        <v>23.5</v>
      </c>
      <c r="J66" s="10"/>
      <c r="K66" s="332">
        <v>185.66</v>
      </c>
      <c r="L66" s="10">
        <f t="shared" si="3"/>
        <v>11534.08</v>
      </c>
      <c r="M66" s="10"/>
      <c r="N66" s="150" t="s">
        <v>1653</v>
      </c>
      <c r="O66" s="150"/>
      <c r="P66" s="150"/>
    </row>
    <row r="67" ht="15" spans="1:16">
      <c r="A67" s="329">
        <v>46178</v>
      </c>
      <c r="B67" s="330" t="s">
        <v>111</v>
      </c>
      <c r="C67" s="331">
        <v>0.34</v>
      </c>
      <c r="D67" s="331">
        <v>1</v>
      </c>
      <c r="E67" s="332">
        <v>267.343</v>
      </c>
      <c r="F67" s="10">
        <f t="shared" ref="F67:F106" si="4">(D67-C67)*430</f>
        <v>283.8</v>
      </c>
      <c r="G67" s="10">
        <f t="shared" ref="G67:G106" si="5">E67-F67</f>
        <v>-16.4569999999999</v>
      </c>
      <c r="H67" s="110">
        <f t="shared" ref="H67:H106" si="6">K67/E67</f>
        <v>0.78999637170227</v>
      </c>
      <c r="I67" s="332">
        <v>26.73</v>
      </c>
      <c r="J67" s="10"/>
      <c r="K67" s="332">
        <v>211.2</v>
      </c>
      <c r="L67" s="10">
        <f t="shared" ref="L67:L130" si="7">L66+J67-K67</f>
        <v>11322.88</v>
      </c>
      <c r="M67" s="10"/>
      <c r="N67" s="150" t="s">
        <v>1653</v>
      </c>
      <c r="O67" s="150"/>
      <c r="P67" s="150"/>
    </row>
    <row r="68" ht="15" spans="1:16">
      <c r="A68" s="329">
        <v>46178</v>
      </c>
      <c r="B68" s="330" t="s">
        <v>81</v>
      </c>
      <c r="C68" s="331">
        <v>0.25</v>
      </c>
      <c r="D68" s="331">
        <v>1</v>
      </c>
      <c r="E68" s="332">
        <v>348.743</v>
      </c>
      <c r="F68" s="10">
        <f t="shared" si="4"/>
        <v>322.5</v>
      </c>
      <c r="G68" s="247">
        <f t="shared" si="5"/>
        <v>26.243</v>
      </c>
      <c r="H68" s="110">
        <f t="shared" si="6"/>
        <v>0.789980013935764</v>
      </c>
      <c r="I68" s="332">
        <v>34.87</v>
      </c>
      <c r="J68" s="10"/>
      <c r="K68" s="332">
        <v>275.5</v>
      </c>
      <c r="L68" s="10">
        <f t="shared" si="7"/>
        <v>11047.38</v>
      </c>
      <c r="M68" s="10"/>
      <c r="N68" s="150" t="s">
        <v>1653</v>
      </c>
      <c r="O68" s="150"/>
      <c r="P68" s="150"/>
    </row>
    <row r="69" ht="15" spans="1:16">
      <c r="A69" s="324">
        <v>46179</v>
      </c>
      <c r="B69" s="325" t="s">
        <v>66</v>
      </c>
      <c r="C69" s="326">
        <v>0.33</v>
      </c>
      <c r="D69" s="326">
        <v>1</v>
      </c>
      <c r="E69" s="327">
        <v>309.555</v>
      </c>
      <c r="F69" s="10">
        <f t="shared" si="4"/>
        <v>288.1</v>
      </c>
      <c r="G69" s="247">
        <f t="shared" si="5"/>
        <v>21.455</v>
      </c>
      <c r="H69" s="110">
        <f t="shared" si="6"/>
        <v>0.789972702750723</v>
      </c>
      <c r="I69" s="327">
        <v>30.95</v>
      </c>
      <c r="J69" s="327"/>
      <c r="K69" s="327">
        <v>244.54</v>
      </c>
      <c r="L69" s="10">
        <f t="shared" si="7"/>
        <v>10802.84</v>
      </c>
      <c r="M69" s="327"/>
      <c r="N69" s="150" t="s">
        <v>1653</v>
      </c>
      <c r="O69" s="10"/>
      <c r="P69" s="150"/>
    </row>
    <row r="70" ht="15" spans="1:16">
      <c r="A70" s="329">
        <v>46179</v>
      </c>
      <c r="B70" s="330" t="s">
        <v>72</v>
      </c>
      <c r="C70" s="331">
        <v>0.51</v>
      </c>
      <c r="D70" s="331">
        <v>1</v>
      </c>
      <c r="E70" s="332">
        <v>206.677</v>
      </c>
      <c r="F70" s="10">
        <f t="shared" si="4"/>
        <v>210.7</v>
      </c>
      <c r="G70" s="10">
        <f t="shared" si="5"/>
        <v>-4.023</v>
      </c>
      <c r="H70" s="110">
        <f t="shared" si="6"/>
        <v>0.790025014878288</v>
      </c>
      <c r="I70" s="332">
        <v>20.67</v>
      </c>
      <c r="J70" s="332"/>
      <c r="K70" s="332">
        <v>163.28</v>
      </c>
      <c r="L70" s="10">
        <f t="shared" si="7"/>
        <v>10639.56</v>
      </c>
      <c r="M70" s="332"/>
      <c r="N70" s="150" t="s">
        <v>1653</v>
      </c>
      <c r="O70" s="10"/>
      <c r="P70" s="150"/>
    </row>
    <row r="71" ht="15" spans="1:16">
      <c r="A71" s="329">
        <v>46179</v>
      </c>
      <c r="B71" s="330" t="s">
        <v>54</v>
      </c>
      <c r="C71" s="331">
        <v>0.37</v>
      </c>
      <c r="D71" s="331">
        <v>1</v>
      </c>
      <c r="E71" s="332">
        <v>263.704</v>
      </c>
      <c r="F71" s="10">
        <f t="shared" si="4"/>
        <v>270.9</v>
      </c>
      <c r="G71" s="10">
        <f t="shared" si="5"/>
        <v>-7.19599999999997</v>
      </c>
      <c r="H71" s="110">
        <f t="shared" si="6"/>
        <v>0.790014561781391</v>
      </c>
      <c r="I71" s="332">
        <v>26.37</v>
      </c>
      <c r="J71" s="332"/>
      <c r="K71" s="332">
        <v>208.33</v>
      </c>
      <c r="L71" s="10">
        <f t="shared" si="7"/>
        <v>10431.23</v>
      </c>
      <c r="M71" s="332"/>
      <c r="N71" s="150" t="s">
        <v>1653</v>
      </c>
      <c r="O71" s="10"/>
      <c r="P71" s="150"/>
    </row>
    <row r="72" ht="15" spans="1:16">
      <c r="A72" s="329">
        <v>46179</v>
      </c>
      <c r="B72" s="330" t="s">
        <v>99</v>
      </c>
      <c r="C72" s="331">
        <v>0.16</v>
      </c>
      <c r="D72" s="331">
        <v>1</v>
      </c>
      <c r="E72" s="332">
        <v>385.896</v>
      </c>
      <c r="F72" s="10">
        <f t="shared" si="4"/>
        <v>361.2</v>
      </c>
      <c r="G72" s="247">
        <f t="shared" si="5"/>
        <v>24.696</v>
      </c>
      <c r="H72" s="110">
        <f t="shared" si="6"/>
        <v>0.79000559736302</v>
      </c>
      <c r="I72" s="332">
        <v>38.59</v>
      </c>
      <c r="J72" s="332"/>
      <c r="K72" s="332">
        <v>304.86</v>
      </c>
      <c r="L72" s="10">
        <f t="shared" si="7"/>
        <v>10126.37</v>
      </c>
      <c r="M72" s="332"/>
      <c r="N72" s="150" t="s">
        <v>1653</v>
      </c>
      <c r="O72" s="10"/>
      <c r="P72" s="150"/>
    </row>
    <row r="73" ht="15" spans="1:16">
      <c r="A73" s="329">
        <v>46179</v>
      </c>
      <c r="B73" s="330" t="s">
        <v>90</v>
      </c>
      <c r="C73" s="331">
        <v>0.47</v>
      </c>
      <c r="D73" s="331">
        <v>1</v>
      </c>
      <c r="E73" s="332">
        <v>243.821</v>
      </c>
      <c r="F73" s="10">
        <f t="shared" si="4"/>
        <v>227.9</v>
      </c>
      <c r="G73" s="10">
        <f t="shared" si="5"/>
        <v>15.921</v>
      </c>
      <c r="H73" s="110">
        <f t="shared" si="6"/>
        <v>0.790005782930921</v>
      </c>
      <c r="I73" s="332">
        <v>24.38</v>
      </c>
      <c r="J73" s="332"/>
      <c r="K73" s="332">
        <v>192.62</v>
      </c>
      <c r="L73" s="10">
        <f t="shared" si="7"/>
        <v>9933.75</v>
      </c>
      <c r="M73" s="332"/>
      <c r="N73" s="150" t="s">
        <v>1653</v>
      </c>
      <c r="O73" s="10"/>
      <c r="P73" s="150"/>
    </row>
    <row r="74" ht="15" spans="1:16">
      <c r="A74" s="329">
        <v>46179</v>
      </c>
      <c r="B74" s="330" t="s">
        <v>166</v>
      </c>
      <c r="C74" s="331">
        <v>0.18</v>
      </c>
      <c r="D74" s="331">
        <v>1</v>
      </c>
      <c r="E74" s="332">
        <v>356.332</v>
      </c>
      <c r="F74" s="10">
        <f t="shared" si="4"/>
        <v>352.6</v>
      </c>
      <c r="G74" s="10">
        <f t="shared" si="5"/>
        <v>3.73199999999997</v>
      </c>
      <c r="H74" s="110">
        <f t="shared" si="6"/>
        <v>0.789993601472784</v>
      </c>
      <c r="I74" s="332">
        <v>35.63</v>
      </c>
      <c r="J74" s="332"/>
      <c r="K74" s="332">
        <v>281.5</v>
      </c>
      <c r="L74" s="10">
        <f t="shared" si="7"/>
        <v>9652.25</v>
      </c>
      <c r="M74" s="332"/>
      <c r="N74" s="150" t="s">
        <v>1653</v>
      </c>
      <c r="O74" s="10"/>
      <c r="P74" s="150"/>
    </row>
    <row r="75" ht="15" spans="1:16">
      <c r="A75" s="329">
        <v>46179</v>
      </c>
      <c r="B75" s="330" t="s">
        <v>151</v>
      </c>
      <c r="C75" s="331">
        <v>0.39</v>
      </c>
      <c r="D75" s="331">
        <v>1</v>
      </c>
      <c r="E75" s="332">
        <v>265.132</v>
      </c>
      <c r="F75" s="10">
        <f t="shared" si="4"/>
        <v>262.3</v>
      </c>
      <c r="G75" s="10">
        <f t="shared" si="5"/>
        <v>2.83199999999999</v>
      </c>
      <c r="H75" s="110">
        <f t="shared" si="6"/>
        <v>0.789983857097597</v>
      </c>
      <c r="I75" s="332">
        <v>26.51</v>
      </c>
      <c r="J75" s="332"/>
      <c r="K75" s="332">
        <v>209.45</v>
      </c>
      <c r="L75" s="10">
        <f t="shared" si="7"/>
        <v>9442.8</v>
      </c>
      <c r="M75" s="332"/>
      <c r="N75" s="150" t="s">
        <v>1653</v>
      </c>
      <c r="O75" s="10"/>
      <c r="P75" s="150"/>
    </row>
    <row r="76" ht="15" spans="1:16">
      <c r="A76" s="329">
        <v>46179</v>
      </c>
      <c r="B76" s="330" t="s">
        <v>163</v>
      </c>
      <c r="C76" s="331">
        <v>0.34</v>
      </c>
      <c r="D76" s="331">
        <v>0.97</v>
      </c>
      <c r="E76" s="332">
        <v>275.175</v>
      </c>
      <c r="F76" s="10">
        <f t="shared" si="4"/>
        <v>270.9</v>
      </c>
      <c r="G76" s="10">
        <f t="shared" si="5"/>
        <v>4.27500000000003</v>
      </c>
      <c r="H76" s="110">
        <f t="shared" si="6"/>
        <v>0.790006359589352</v>
      </c>
      <c r="I76" s="332">
        <v>27.52</v>
      </c>
      <c r="J76" s="332"/>
      <c r="K76" s="332">
        <v>217.39</v>
      </c>
      <c r="L76" s="10">
        <f t="shared" si="7"/>
        <v>9225.41</v>
      </c>
      <c r="M76" s="332"/>
      <c r="N76" s="150" t="s">
        <v>1653</v>
      </c>
      <c r="O76" s="10"/>
      <c r="P76" s="150"/>
    </row>
    <row r="77" ht="15" spans="1:16">
      <c r="A77" s="329">
        <v>46179</v>
      </c>
      <c r="B77" s="330" t="s">
        <v>154</v>
      </c>
      <c r="C77" s="331">
        <v>0.34</v>
      </c>
      <c r="D77" s="331">
        <v>0.99</v>
      </c>
      <c r="E77" s="332">
        <v>283.175</v>
      </c>
      <c r="F77" s="10">
        <f t="shared" si="4"/>
        <v>279.5</v>
      </c>
      <c r="G77" s="10">
        <f t="shared" si="5"/>
        <v>3.67500000000007</v>
      </c>
      <c r="H77" s="110">
        <f t="shared" si="6"/>
        <v>0.790006179924075</v>
      </c>
      <c r="I77" s="332">
        <v>28.32</v>
      </c>
      <c r="J77" s="332"/>
      <c r="K77" s="332">
        <v>223.71</v>
      </c>
      <c r="L77" s="10">
        <f t="shared" si="7"/>
        <v>9001.7</v>
      </c>
      <c r="M77" s="332"/>
      <c r="N77" s="150" t="s">
        <v>1653</v>
      </c>
      <c r="O77" s="10"/>
      <c r="P77" s="150"/>
    </row>
    <row r="78" ht="15" spans="1:16">
      <c r="A78" s="329">
        <v>46179</v>
      </c>
      <c r="B78" s="330" t="s">
        <v>338</v>
      </c>
      <c r="C78" s="331">
        <v>0.31</v>
      </c>
      <c r="D78" s="331">
        <v>0.98</v>
      </c>
      <c r="E78" s="332">
        <v>290.789</v>
      </c>
      <c r="F78" s="10">
        <f t="shared" si="4"/>
        <v>288.1</v>
      </c>
      <c r="G78" s="10">
        <f t="shared" si="5"/>
        <v>2.68900000000002</v>
      </c>
      <c r="H78" s="110">
        <f t="shared" si="6"/>
        <v>0.789988617176028</v>
      </c>
      <c r="I78" s="332">
        <v>29.08</v>
      </c>
      <c r="J78" s="332"/>
      <c r="K78" s="332">
        <v>229.72</v>
      </c>
      <c r="L78" s="10">
        <f t="shared" si="7"/>
        <v>8771.98</v>
      </c>
      <c r="M78" s="332"/>
      <c r="N78" s="150" t="s">
        <v>1653</v>
      </c>
      <c r="O78" s="10"/>
      <c r="P78" s="150"/>
    </row>
    <row r="79" ht="15" spans="1:16">
      <c r="A79" s="329">
        <v>46179</v>
      </c>
      <c r="B79" s="330" t="s">
        <v>51</v>
      </c>
      <c r="C79" s="331">
        <v>0.15</v>
      </c>
      <c r="D79" s="331">
        <v>0.97</v>
      </c>
      <c r="E79" s="332">
        <v>342.589</v>
      </c>
      <c r="F79" s="10">
        <f t="shared" si="4"/>
        <v>352.6</v>
      </c>
      <c r="G79" s="10">
        <f t="shared" si="5"/>
        <v>-10.011</v>
      </c>
      <c r="H79" s="110">
        <f t="shared" si="6"/>
        <v>0.790013689873288</v>
      </c>
      <c r="I79" s="332">
        <v>34.26</v>
      </c>
      <c r="J79" s="332"/>
      <c r="K79" s="332">
        <v>270.65</v>
      </c>
      <c r="L79" s="10">
        <f t="shared" si="7"/>
        <v>8501.33</v>
      </c>
      <c r="M79" s="332"/>
      <c r="N79" s="150" t="s">
        <v>1653</v>
      </c>
      <c r="O79" s="10"/>
      <c r="P79" s="150"/>
    </row>
    <row r="80" ht="15" spans="1:16">
      <c r="A80" s="329">
        <v>46179</v>
      </c>
      <c r="B80" s="330" t="s">
        <v>160</v>
      </c>
      <c r="C80" s="331">
        <v>0.34</v>
      </c>
      <c r="D80" s="331">
        <v>0.95</v>
      </c>
      <c r="E80" s="332">
        <v>268.914</v>
      </c>
      <c r="F80" s="10">
        <f t="shared" si="4"/>
        <v>262.3</v>
      </c>
      <c r="G80" s="10">
        <f t="shared" si="5"/>
        <v>6.61400000000003</v>
      </c>
      <c r="H80" s="110">
        <f t="shared" si="6"/>
        <v>0.789992339558372</v>
      </c>
      <c r="I80" s="332">
        <v>26.89</v>
      </c>
      <c r="J80" s="332"/>
      <c r="K80" s="332">
        <v>212.44</v>
      </c>
      <c r="L80" s="10">
        <f t="shared" si="7"/>
        <v>8288.89</v>
      </c>
      <c r="M80" s="332"/>
      <c r="N80" s="150" t="s">
        <v>1653</v>
      </c>
      <c r="O80" s="10"/>
      <c r="P80" s="150"/>
    </row>
    <row r="81" ht="15" spans="1:16">
      <c r="A81" s="329">
        <v>46179</v>
      </c>
      <c r="B81" s="330" t="s">
        <v>78</v>
      </c>
      <c r="C81" s="331">
        <v>0.14</v>
      </c>
      <c r="D81" s="331">
        <v>0.85</v>
      </c>
      <c r="E81" s="332">
        <v>330.613</v>
      </c>
      <c r="F81" s="10">
        <f t="shared" si="4"/>
        <v>305.3</v>
      </c>
      <c r="G81" s="247">
        <f t="shared" si="5"/>
        <v>25.313</v>
      </c>
      <c r="H81" s="110">
        <f t="shared" si="6"/>
        <v>0.789987084597399</v>
      </c>
      <c r="I81" s="332">
        <v>33.06</v>
      </c>
      <c r="J81" s="332"/>
      <c r="K81" s="332">
        <v>261.18</v>
      </c>
      <c r="L81" s="10">
        <f t="shared" si="7"/>
        <v>8027.71</v>
      </c>
      <c r="M81" s="332"/>
      <c r="N81" s="150" t="s">
        <v>1653</v>
      </c>
      <c r="O81" s="10"/>
      <c r="P81" s="150"/>
    </row>
    <row r="82" ht="15" spans="1:16">
      <c r="A82" s="329">
        <v>46179</v>
      </c>
      <c r="B82" s="330" t="s">
        <v>127</v>
      </c>
      <c r="C82" s="331">
        <v>0.32</v>
      </c>
      <c r="D82" s="331">
        <v>1</v>
      </c>
      <c r="E82" s="332">
        <v>280.142</v>
      </c>
      <c r="F82" s="10">
        <f t="shared" si="4"/>
        <v>292.4</v>
      </c>
      <c r="G82" s="10">
        <f t="shared" si="5"/>
        <v>-12.258</v>
      </c>
      <c r="H82" s="110">
        <f t="shared" si="6"/>
        <v>0.789992218232182</v>
      </c>
      <c r="I82" s="332">
        <v>28.01</v>
      </c>
      <c r="J82" s="332"/>
      <c r="K82" s="332">
        <v>221.31</v>
      </c>
      <c r="L82" s="10">
        <f t="shared" si="7"/>
        <v>7806.4</v>
      </c>
      <c r="M82" s="332"/>
      <c r="N82" s="150" t="s">
        <v>1653</v>
      </c>
      <c r="O82" s="10"/>
      <c r="P82" s="150"/>
    </row>
    <row r="83" ht="15" spans="1:16">
      <c r="A83" s="329">
        <v>46179</v>
      </c>
      <c r="B83" s="330" t="s">
        <v>93</v>
      </c>
      <c r="C83" s="331">
        <v>0.44</v>
      </c>
      <c r="D83" s="331">
        <v>1</v>
      </c>
      <c r="E83" s="332">
        <v>253.094</v>
      </c>
      <c r="F83" s="10">
        <f t="shared" si="4"/>
        <v>240.8</v>
      </c>
      <c r="G83" s="10">
        <f t="shared" si="5"/>
        <v>12.294</v>
      </c>
      <c r="H83" s="110">
        <f t="shared" si="6"/>
        <v>0.789983168309008</v>
      </c>
      <c r="I83" s="332">
        <v>25.31</v>
      </c>
      <c r="J83" s="332"/>
      <c r="K83" s="332">
        <v>199.94</v>
      </c>
      <c r="L83" s="10">
        <f t="shared" si="7"/>
        <v>7606.46</v>
      </c>
      <c r="M83" s="332"/>
      <c r="N83" s="150" t="s">
        <v>1653</v>
      </c>
      <c r="O83" s="10"/>
      <c r="P83" s="150"/>
    </row>
    <row r="84" ht="15" spans="1:16">
      <c r="A84" s="329">
        <v>46180</v>
      </c>
      <c r="B84" s="330" t="s">
        <v>114</v>
      </c>
      <c r="C84" s="331">
        <v>0.17</v>
      </c>
      <c r="D84" s="331">
        <v>0.96</v>
      </c>
      <c r="E84" s="332">
        <v>326.524</v>
      </c>
      <c r="F84" s="10">
        <f t="shared" si="4"/>
        <v>339.7</v>
      </c>
      <c r="G84" s="10">
        <f t="shared" si="5"/>
        <v>-13.176</v>
      </c>
      <c r="H84" s="110">
        <f t="shared" si="6"/>
        <v>0.790018497874582</v>
      </c>
      <c r="I84" s="332">
        <v>32.65</v>
      </c>
      <c r="J84" s="332"/>
      <c r="K84" s="332">
        <v>257.96</v>
      </c>
      <c r="L84" s="10">
        <f t="shared" si="7"/>
        <v>7348.5</v>
      </c>
      <c r="M84" s="332"/>
      <c r="N84" s="150" t="s">
        <v>1653</v>
      </c>
      <c r="O84" s="10"/>
      <c r="P84" s="150"/>
    </row>
    <row r="85" ht="15" spans="1:16">
      <c r="A85" s="329">
        <v>46180</v>
      </c>
      <c r="B85" s="330" t="s">
        <v>87</v>
      </c>
      <c r="C85" s="331">
        <v>0.48</v>
      </c>
      <c r="D85" s="331">
        <v>1</v>
      </c>
      <c r="E85" s="332">
        <v>229.559</v>
      </c>
      <c r="F85" s="10">
        <f t="shared" si="4"/>
        <v>223.6</v>
      </c>
      <c r="G85" s="10">
        <f t="shared" si="5"/>
        <v>5.959</v>
      </c>
      <c r="H85" s="110">
        <f t="shared" si="6"/>
        <v>0.790036548338336</v>
      </c>
      <c r="I85" s="332">
        <v>22.96</v>
      </c>
      <c r="J85" s="332"/>
      <c r="K85" s="332">
        <v>181.36</v>
      </c>
      <c r="L85" s="10">
        <f t="shared" si="7"/>
        <v>7167.14</v>
      </c>
      <c r="M85" s="332"/>
      <c r="N85" s="150" t="s">
        <v>1653</v>
      </c>
      <c r="O85" s="10"/>
      <c r="P85" s="150"/>
    </row>
    <row r="86" ht="15" spans="1:16">
      <c r="A86" s="329">
        <v>46180</v>
      </c>
      <c r="B86" s="330" t="s">
        <v>69</v>
      </c>
      <c r="C86" s="331">
        <v>0.32</v>
      </c>
      <c r="D86" s="331">
        <v>0.98</v>
      </c>
      <c r="E86" s="332">
        <v>313.585</v>
      </c>
      <c r="F86" s="10">
        <f t="shared" si="4"/>
        <v>283.8</v>
      </c>
      <c r="G86" s="247">
        <f t="shared" si="5"/>
        <v>29.785</v>
      </c>
      <c r="H86" s="110">
        <f t="shared" si="6"/>
        <v>0.790025033085129</v>
      </c>
      <c r="I86" s="332">
        <v>31.36</v>
      </c>
      <c r="J86" s="332"/>
      <c r="K86" s="332">
        <v>247.74</v>
      </c>
      <c r="L86" s="10">
        <f t="shared" si="7"/>
        <v>6919.4</v>
      </c>
      <c r="M86" s="332"/>
      <c r="N86" s="150" t="s">
        <v>1653</v>
      </c>
      <c r="O86" s="10"/>
      <c r="P86" s="150"/>
    </row>
    <row r="87" ht="15" spans="1:16">
      <c r="A87" s="329">
        <v>46180</v>
      </c>
      <c r="B87" s="330" t="s">
        <v>177</v>
      </c>
      <c r="C87" s="331">
        <v>0.37</v>
      </c>
      <c r="D87" s="331">
        <v>1</v>
      </c>
      <c r="E87" s="332">
        <v>275.91</v>
      </c>
      <c r="F87" s="10">
        <f t="shared" si="4"/>
        <v>270.9</v>
      </c>
      <c r="G87" s="10">
        <f t="shared" si="5"/>
        <v>5.01000000000005</v>
      </c>
      <c r="H87" s="110">
        <f t="shared" si="6"/>
        <v>0.790003986807292</v>
      </c>
      <c r="I87" s="332">
        <v>27.59</v>
      </c>
      <c r="J87" s="332"/>
      <c r="K87" s="332">
        <v>217.97</v>
      </c>
      <c r="L87" s="10">
        <f t="shared" si="7"/>
        <v>6701.43</v>
      </c>
      <c r="M87" s="332"/>
      <c r="N87" s="150" t="s">
        <v>1653</v>
      </c>
      <c r="O87" s="10"/>
      <c r="P87" s="150"/>
    </row>
    <row r="88" ht="15" spans="1:16">
      <c r="A88" s="329">
        <v>46180</v>
      </c>
      <c r="B88" s="330" t="s">
        <v>108</v>
      </c>
      <c r="C88" s="331">
        <v>0.37</v>
      </c>
      <c r="D88" s="331">
        <v>1</v>
      </c>
      <c r="E88" s="332">
        <v>291.005</v>
      </c>
      <c r="F88" s="10">
        <f t="shared" si="4"/>
        <v>270.9</v>
      </c>
      <c r="G88" s="247">
        <f t="shared" si="5"/>
        <v>20.105</v>
      </c>
      <c r="H88" s="110">
        <f t="shared" si="6"/>
        <v>0.789986426350063</v>
      </c>
      <c r="I88" s="332">
        <v>29.1</v>
      </c>
      <c r="J88" s="332"/>
      <c r="K88" s="332">
        <v>229.89</v>
      </c>
      <c r="L88" s="10">
        <f t="shared" si="7"/>
        <v>6471.54</v>
      </c>
      <c r="M88" s="332"/>
      <c r="N88" s="150" t="s">
        <v>1653</v>
      </c>
      <c r="O88" s="10"/>
      <c r="P88" s="150"/>
    </row>
    <row r="89" ht="15" spans="1:16">
      <c r="A89" s="329">
        <v>46180</v>
      </c>
      <c r="B89" s="330" t="s">
        <v>174</v>
      </c>
      <c r="C89" s="331">
        <v>0.25</v>
      </c>
      <c r="D89" s="331">
        <v>1</v>
      </c>
      <c r="E89" s="332">
        <v>329.319</v>
      </c>
      <c r="F89" s="10">
        <f t="shared" si="4"/>
        <v>322.5</v>
      </c>
      <c r="G89" s="10">
        <f t="shared" si="5"/>
        <v>6.81900000000002</v>
      </c>
      <c r="H89" s="110">
        <f t="shared" si="6"/>
        <v>0.789993896495495</v>
      </c>
      <c r="I89" s="332">
        <v>32.93</v>
      </c>
      <c r="J89" s="332"/>
      <c r="K89" s="332">
        <v>260.16</v>
      </c>
      <c r="L89" s="10">
        <f t="shared" si="7"/>
        <v>6211.38</v>
      </c>
      <c r="M89" s="332"/>
      <c r="N89" s="150" t="s">
        <v>1653</v>
      </c>
      <c r="O89" s="10"/>
      <c r="P89" s="150"/>
    </row>
    <row r="90" ht="15" spans="1:16">
      <c r="A90" s="324">
        <v>46181</v>
      </c>
      <c r="B90" s="325" t="s">
        <v>105</v>
      </c>
      <c r="C90" s="326">
        <v>0.29</v>
      </c>
      <c r="D90" s="326">
        <v>0.95</v>
      </c>
      <c r="E90" s="327">
        <v>313.524</v>
      </c>
      <c r="F90" s="10">
        <f t="shared" si="4"/>
        <v>283.8</v>
      </c>
      <c r="G90" s="247">
        <f t="shared" si="5"/>
        <v>29.724</v>
      </c>
      <c r="H90" s="110">
        <f t="shared" si="6"/>
        <v>0.789987369387989</v>
      </c>
      <c r="I90" s="327">
        <v>31.35</v>
      </c>
      <c r="J90" s="327">
        <v>20000</v>
      </c>
      <c r="K90" s="327">
        <v>247.68</v>
      </c>
      <c r="L90" s="10">
        <f t="shared" si="7"/>
        <v>25963.7</v>
      </c>
      <c r="M90" s="327"/>
      <c r="N90" s="150" t="s">
        <v>1653</v>
      </c>
      <c r="O90" s="10"/>
      <c r="P90" s="150"/>
    </row>
    <row r="91" ht="15" spans="1:16">
      <c r="A91" s="329">
        <v>46181</v>
      </c>
      <c r="B91" s="330" t="s">
        <v>57</v>
      </c>
      <c r="C91" s="331">
        <v>0.26</v>
      </c>
      <c r="D91" s="331">
        <v>0.97</v>
      </c>
      <c r="E91" s="332">
        <v>294.195</v>
      </c>
      <c r="F91" s="10">
        <f t="shared" si="4"/>
        <v>305.3</v>
      </c>
      <c r="G91" s="10">
        <f t="shared" si="5"/>
        <v>-11.105</v>
      </c>
      <c r="H91" s="110">
        <f t="shared" si="6"/>
        <v>0.789986233620558</v>
      </c>
      <c r="I91" s="332">
        <v>29.42</v>
      </c>
      <c r="J91" s="332"/>
      <c r="K91" s="332">
        <v>232.41</v>
      </c>
      <c r="L91" s="10">
        <f t="shared" si="7"/>
        <v>25731.29</v>
      </c>
      <c r="M91" s="332"/>
      <c r="N91" s="150" t="s">
        <v>1653</v>
      </c>
      <c r="O91" s="10"/>
      <c r="P91" s="150"/>
    </row>
    <row r="92" ht="15" spans="1:16">
      <c r="A92" s="329">
        <v>46181</v>
      </c>
      <c r="B92" s="330" t="s">
        <v>63</v>
      </c>
      <c r="C92" s="331">
        <v>0.29</v>
      </c>
      <c r="D92" s="331">
        <v>0.95</v>
      </c>
      <c r="E92" s="332">
        <v>312.172</v>
      </c>
      <c r="F92" s="10">
        <f t="shared" si="4"/>
        <v>283.8</v>
      </c>
      <c r="G92" s="247">
        <f t="shared" si="5"/>
        <v>28.3720000000001</v>
      </c>
      <c r="H92" s="110">
        <f t="shared" si="6"/>
        <v>0.790013197852466</v>
      </c>
      <c r="I92" s="332">
        <v>31.22</v>
      </c>
      <c r="J92" s="332"/>
      <c r="K92" s="332">
        <v>246.62</v>
      </c>
      <c r="L92" s="10">
        <f t="shared" si="7"/>
        <v>25484.67</v>
      </c>
      <c r="M92" s="332"/>
      <c r="N92" s="150" t="s">
        <v>1653</v>
      </c>
      <c r="O92" s="10"/>
      <c r="P92" s="150"/>
    </row>
    <row r="93" ht="15" spans="1:16">
      <c r="A93" s="329">
        <v>46181</v>
      </c>
      <c r="B93" s="330" t="s">
        <v>339</v>
      </c>
      <c r="C93" s="331">
        <v>0.35</v>
      </c>
      <c r="D93" s="331">
        <v>1</v>
      </c>
      <c r="E93" s="332">
        <v>285.811</v>
      </c>
      <c r="F93" s="10">
        <f t="shared" si="4"/>
        <v>279.5</v>
      </c>
      <c r="G93" s="10">
        <f t="shared" si="5"/>
        <v>6.31099999999998</v>
      </c>
      <c r="H93" s="110">
        <f t="shared" si="6"/>
        <v>0.789997585817201</v>
      </c>
      <c r="I93" s="332">
        <v>28.58</v>
      </c>
      <c r="J93" s="332"/>
      <c r="K93" s="332">
        <v>225.79</v>
      </c>
      <c r="L93" s="10">
        <f t="shared" si="7"/>
        <v>25258.88</v>
      </c>
      <c r="M93" s="332"/>
      <c r="N93" s="150" t="s">
        <v>1653</v>
      </c>
      <c r="O93" s="10"/>
      <c r="P93" s="150"/>
    </row>
    <row r="94" ht="15" spans="1:16">
      <c r="A94" s="329">
        <v>46181</v>
      </c>
      <c r="B94" s="330" t="s">
        <v>111</v>
      </c>
      <c r="C94" s="331">
        <v>0.24</v>
      </c>
      <c r="D94" s="331">
        <v>0.98</v>
      </c>
      <c r="E94" s="332">
        <v>290.239</v>
      </c>
      <c r="F94" s="10">
        <f t="shared" si="4"/>
        <v>318.2</v>
      </c>
      <c r="G94" s="10">
        <f t="shared" si="5"/>
        <v>-27.961</v>
      </c>
      <c r="H94" s="110">
        <f t="shared" si="6"/>
        <v>0.78996964570578</v>
      </c>
      <c r="I94" s="332">
        <v>29.02</v>
      </c>
      <c r="J94" s="332"/>
      <c r="K94" s="332">
        <v>229.28</v>
      </c>
      <c r="L94" s="10">
        <f t="shared" si="7"/>
        <v>25029.6</v>
      </c>
      <c r="M94" s="332"/>
      <c r="N94" s="150" t="s">
        <v>1653</v>
      </c>
      <c r="O94" s="10"/>
      <c r="P94" s="150"/>
    </row>
    <row r="95" ht="15" spans="1:16">
      <c r="A95" s="329">
        <v>46181</v>
      </c>
      <c r="B95" s="330" t="s">
        <v>84</v>
      </c>
      <c r="C95" s="331">
        <v>0.25</v>
      </c>
      <c r="D95" s="331">
        <v>0.96</v>
      </c>
      <c r="E95" s="332">
        <v>341.994</v>
      </c>
      <c r="F95" s="10">
        <f t="shared" si="4"/>
        <v>305.3</v>
      </c>
      <c r="G95" s="247">
        <f t="shared" si="5"/>
        <v>36.694</v>
      </c>
      <c r="H95" s="110">
        <f t="shared" si="6"/>
        <v>0.790013859892279</v>
      </c>
      <c r="I95" s="332">
        <v>34.2</v>
      </c>
      <c r="J95" s="332"/>
      <c r="K95" s="332">
        <v>270.18</v>
      </c>
      <c r="L95" s="10">
        <f t="shared" si="7"/>
        <v>24759.42</v>
      </c>
      <c r="M95" s="332"/>
      <c r="N95" s="150" t="s">
        <v>1653</v>
      </c>
      <c r="O95" s="10"/>
      <c r="P95" s="150"/>
    </row>
    <row r="96" ht="15" spans="1:16">
      <c r="A96" s="329">
        <v>46181</v>
      </c>
      <c r="B96" s="330" t="s">
        <v>102</v>
      </c>
      <c r="C96" s="331">
        <v>0.18</v>
      </c>
      <c r="D96" s="331">
        <v>0.91</v>
      </c>
      <c r="E96" s="332">
        <v>331.436</v>
      </c>
      <c r="F96" s="10">
        <f t="shared" si="4"/>
        <v>313.9</v>
      </c>
      <c r="G96" s="10">
        <f t="shared" si="5"/>
        <v>17.536</v>
      </c>
      <c r="H96" s="110">
        <f t="shared" si="6"/>
        <v>0.789986603748537</v>
      </c>
      <c r="I96" s="332">
        <v>33.14</v>
      </c>
      <c r="J96" s="332"/>
      <c r="K96" s="332">
        <v>261.83</v>
      </c>
      <c r="L96" s="10">
        <f t="shared" si="7"/>
        <v>24497.59</v>
      </c>
      <c r="M96" s="332"/>
      <c r="N96" s="150" t="s">
        <v>1653</v>
      </c>
      <c r="O96" s="10"/>
      <c r="P96" s="150"/>
    </row>
    <row r="97" ht="15" spans="1:16">
      <c r="A97" s="329">
        <v>46181</v>
      </c>
      <c r="B97" s="330" t="s">
        <v>132</v>
      </c>
      <c r="C97" s="331">
        <v>0.34</v>
      </c>
      <c r="D97" s="331">
        <v>0.95</v>
      </c>
      <c r="E97" s="332">
        <v>271.299</v>
      </c>
      <c r="F97" s="10">
        <f t="shared" si="4"/>
        <v>262.3</v>
      </c>
      <c r="G97" s="10">
        <f t="shared" si="5"/>
        <v>8.99900000000002</v>
      </c>
      <c r="H97" s="110">
        <f t="shared" si="6"/>
        <v>0.790013969826649</v>
      </c>
      <c r="I97" s="332">
        <v>27.13</v>
      </c>
      <c r="J97" s="332"/>
      <c r="K97" s="332">
        <v>214.33</v>
      </c>
      <c r="L97" s="10">
        <f t="shared" si="7"/>
        <v>24283.26</v>
      </c>
      <c r="M97" s="332"/>
      <c r="N97" s="150" t="s">
        <v>1653</v>
      </c>
      <c r="O97" s="10"/>
      <c r="P97" s="150"/>
    </row>
    <row r="98" ht="15" spans="1:16">
      <c r="A98" s="329">
        <v>46181</v>
      </c>
      <c r="B98" s="330" t="s">
        <v>81</v>
      </c>
      <c r="C98" s="331">
        <v>0.23</v>
      </c>
      <c r="D98" s="331">
        <v>1</v>
      </c>
      <c r="E98" s="332">
        <v>355.323</v>
      </c>
      <c r="F98" s="10">
        <f t="shared" si="4"/>
        <v>331.1</v>
      </c>
      <c r="G98" s="247">
        <f t="shared" si="5"/>
        <v>24.223</v>
      </c>
      <c r="H98" s="110">
        <f t="shared" si="6"/>
        <v>0.789985449858298</v>
      </c>
      <c r="I98" s="332">
        <v>35.53</v>
      </c>
      <c r="J98" s="332"/>
      <c r="K98" s="332">
        <v>280.7</v>
      </c>
      <c r="L98" s="10">
        <f t="shared" si="7"/>
        <v>24002.56</v>
      </c>
      <c r="M98" s="332"/>
      <c r="N98" s="150" t="s">
        <v>1653</v>
      </c>
      <c r="O98" s="10"/>
      <c r="P98" s="150"/>
    </row>
    <row r="99" ht="15" spans="1:16">
      <c r="A99" s="329">
        <v>46181</v>
      </c>
      <c r="B99" s="330" t="s">
        <v>90</v>
      </c>
      <c r="C99" s="331">
        <v>0.31</v>
      </c>
      <c r="D99" s="331">
        <v>0.95</v>
      </c>
      <c r="E99" s="332">
        <v>294.665</v>
      </c>
      <c r="F99" s="10">
        <f t="shared" si="4"/>
        <v>275.2</v>
      </c>
      <c r="G99" s="10">
        <f t="shared" si="5"/>
        <v>19.4650000000001</v>
      </c>
      <c r="H99" s="110">
        <f t="shared" si="6"/>
        <v>0.790015780632243</v>
      </c>
      <c r="I99" s="332">
        <v>29.47</v>
      </c>
      <c r="J99" s="332"/>
      <c r="K99" s="332">
        <v>232.79</v>
      </c>
      <c r="L99" s="10">
        <f t="shared" si="7"/>
        <v>23769.77</v>
      </c>
      <c r="M99" s="332"/>
      <c r="N99" s="150" t="s">
        <v>1653</v>
      </c>
      <c r="O99" s="10"/>
      <c r="P99" s="150"/>
    </row>
    <row r="100" ht="15" spans="1:16">
      <c r="A100" s="329">
        <v>46181</v>
      </c>
      <c r="B100" s="330" t="s">
        <v>141</v>
      </c>
      <c r="C100" s="331">
        <v>0.25</v>
      </c>
      <c r="D100" s="331">
        <v>1</v>
      </c>
      <c r="E100" s="332">
        <v>329.502</v>
      </c>
      <c r="F100" s="10">
        <f t="shared" si="4"/>
        <v>322.5</v>
      </c>
      <c r="G100" s="10">
        <f t="shared" si="5"/>
        <v>7.00200000000001</v>
      </c>
      <c r="H100" s="110">
        <f t="shared" si="6"/>
        <v>0.79001037929967</v>
      </c>
      <c r="I100" s="332">
        <v>32.95</v>
      </c>
      <c r="J100" s="332"/>
      <c r="K100" s="332">
        <v>260.31</v>
      </c>
      <c r="L100" s="10">
        <f t="shared" si="7"/>
        <v>23509.46</v>
      </c>
      <c r="M100" s="332"/>
      <c r="N100" s="150" t="s">
        <v>1653</v>
      </c>
      <c r="O100" s="10"/>
      <c r="P100" s="150"/>
    </row>
    <row r="101" ht="15" spans="1:16">
      <c r="A101" s="329">
        <v>46181</v>
      </c>
      <c r="B101" s="330" t="s">
        <v>66</v>
      </c>
      <c r="C101" s="331">
        <v>0.5</v>
      </c>
      <c r="D101" s="331">
        <v>1</v>
      </c>
      <c r="E101" s="332">
        <v>228.98</v>
      </c>
      <c r="F101" s="10">
        <f t="shared" si="4"/>
        <v>215</v>
      </c>
      <c r="G101" s="10">
        <f t="shared" si="5"/>
        <v>13.98</v>
      </c>
      <c r="H101" s="110">
        <f t="shared" si="6"/>
        <v>0.79002532972312</v>
      </c>
      <c r="I101" s="332">
        <v>22.9</v>
      </c>
      <c r="J101" s="332"/>
      <c r="K101" s="332">
        <v>180.9</v>
      </c>
      <c r="L101" s="10">
        <f t="shared" si="7"/>
        <v>23328.56</v>
      </c>
      <c r="M101" s="332"/>
      <c r="N101" s="150" t="s">
        <v>1653</v>
      </c>
      <c r="O101" s="10"/>
      <c r="P101" s="150"/>
    </row>
    <row r="102" ht="15" spans="1:16">
      <c r="A102" s="329">
        <v>46181</v>
      </c>
      <c r="B102" s="330" t="s">
        <v>172</v>
      </c>
      <c r="C102" s="331">
        <v>0.07</v>
      </c>
      <c r="D102" s="331">
        <v>0.74</v>
      </c>
      <c r="E102" s="332">
        <v>273.002</v>
      </c>
      <c r="F102" s="10">
        <f t="shared" si="4"/>
        <v>288.1</v>
      </c>
      <c r="G102" s="10">
        <f t="shared" si="5"/>
        <v>-15.098</v>
      </c>
      <c r="H102" s="110">
        <f t="shared" si="6"/>
        <v>0.789994212496612</v>
      </c>
      <c r="I102" s="332">
        <v>27.3</v>
      </c>
      <c r="J102" s="332"/>
      <c r="K102" s="332">
        <v>215.67</v>
      </c>
      <c r="L102" s="10">
        <f t="shared" si="7"/>
        <v>23112.89</v>
      </c>
      <c r="M102" s="332"/>
      <c r="N102" s="150" t="s">
        <v>1653</v>
      </c>
      <c r="O102" s="10"/>
      <c r="P102" s="150"/>
    </row>
    <row r="103" ht="15" spans="1:16">
      <c r="A103" s="329">
        <v>46181</v>
      </c>
      <c r="B103" s="330" t="s">
        <v>51</v>
      </c>
      <c r="C103" s="331">
        <v>0.16</v>
      </c>
      <c r="D103" s="331">
        <v>0.93</v>
      </c>
      <c r="E103" s="332">
        <v>312.668</v>
      </c>
      <c r="F103" s="10">
        <f t="shared" si="4"/>
        <v>331.1</v>
      </c>
      <c r="G103" s="10">
        <f t="shared" si="5"/>
        <v>-18.432</v>
      </c>
      <c r="H103" s="110">
        <f t="shared" si="6"/>
        <v>0.790007292079778</v>
      </c>
      <c r="I103" s="332">
        <v>31.27</v>
      </c>
      <c r="J103" s="332"/>
      <c r="K103" s="332">
        <v>247.01</v>
      </c>
      <c r="L103" s="10">
        <f t="shared" si="7"/>
        <v>22865.88</v>
      </c>
      <c r="M103" s="332"/>
      <c r="N103" s="150" t="s">
        <v>1653</v>
      </c>
      <c r="O103" s="10"/>
      <c r="P103" s="150"/>
    </row>
    <row r="104" ht="15" spans="1:16">
      <c r="A104" s="329">
        <v>46181</v>
      </c>
      <c r="B104" s="330" t="s">
        <v>60</v>
      </c>
      <c r="C104" s="331">
        <v>0.22</v>
      </c>
      <c r="D104" s="331">
        <v>1</v>
      </c>
      <c r="E104" s="332">
        <v>316.819</v>
      </c>
      <c r="F104" s="10">
        <f t="shared" si="4"/>
        <v>335.4</v>
      </c>
      <c r="G104" s="10">
        <f t="shared" si="5"/>
        <v>-18.581</v>
      </c>
      <c r="H104" s="110">
        <f t="shared" si="6"/>
        <v>0.790009437565298</v>
      </c>
      <c r="I104" s="332">
        <v>31.68</v>
      </c>
      <c r="J104" s="332"/>
      <c r="K104" s="332">
        <v>250.29</v>
      </c>
      <c r="L104" s="10">
        <f t="shared" si="7"/>
        <v>22615.59</v>
      </c>
      <c r="M104" s="332"/>
      <c r="N104" s="150" t="s">
        <v>1653</v>
      </c>
      <c r="O104" s="10"/>
      <c r="P104" s="150"/>
    </row>
    <row r="105" ht="15" spans="1:16">
      <c r="A105" s="329">
        <v>46181</v>
      </c>
      <c r="B105" s="330" t="s">
        <v>93</v>
      </c>
      <c r="C105" s="331">
        <v>0.23</v>
      </c>
      <c r="D105" s="331">
        <v>0.26</v>
      </c>
      <c r="E105" s="332">
        <v>12.764</v>
      </c>
      <c r="F105" s="10">
        <f t="shared" si="4"/>
        <v>12.9</v>
      </c>
      <c r="G105" s="10">
        <f t="shared" si="5"/>
        <v>-0.136000000000001</v>
      </c>
      <c r="H105" s="110">
        <f t="shared" si="6"/>
        <v>0.790504544030085</v>
      </c>
      <c r="I105" s="332">
        <v>1.28</v>
      </c>
      <c r="J105" s="332"/>
      <c r="K105" s="332">
        <v>10.09</v>
      </c>
      <c r="L105" s="10">
        <f t="shared" si="7"/>
        <v>22605.5</v>
      </c>
      <c r="M105" s="332"/>
      <c r="N105" s="150" t="s">
        <v>1653</v>
      </c>
      <c r="O105" s="10"/>
      <c r="P105" s="150"/>
    </row>
    <row r="106" ht="15" spans="1:16">
      <c r="A106" s="329">
        <v>46181</v>
      </c>
      <c r="B106" s="330" t="s">
        <v>144</v>
      </c>
      <c r="C106" s="331">
        <v>0.28</v>
      </c>
      <c r="D106" s="331">
        <v>1</v>
      </c>
      <c r="E106" s="332">
        <v>311.72</v>
      </c>
      <c r="F106" s="10">
        <f t="shared" si="4"/>
        <v>309.6</v>
      </c>
      <c r="G106" s="10">
        <f t="shared" si="5"/>
        <v>2.12000000000006</v>
      </c>
      <c r="H106" s="110">
        <f t="shared" si="6"/>
        <v>0.789971769536764</v>
      </c>
      <c r="I106" s="332">
        <v>31.17</v>
      </c>
      <c r="J106" s="332"/>
      <c r="K106" s="332">
        <v>246.25</v>
      </c>
      <c r="L106" s="10">
        <f t="shared" si="7"/>
        <v>22359.25</v>
      </c>
      <c r="M106" s="332"/>
      <c r="N106" s="150" t="s">
        <v>1653</v>
      </c>
      <c r="O106" s="10"/>
      <c r="P106" s="150"/>
    </row>
    <row r="107" ht="15" spans="1:16">
      <c r="A107" s="324">
        <v>46182</v>
      </c>
      <c r="B107" s="325" t="s">
        <v>93</v>
      </c>
      <c r="C107" s="326">
        <v>0.26</v>
      </c>
      <c r="D107" s="326">
        <v>1</v>
      </c>
      <c r="E107" s="327">
        <v>342.718</v>
      </c>
      <c r="F107" s="10">
        <v>318.2</v>
      </c>
      <c r="G107" s="247">
        <v>24.518</v>
      </c>
      <c r="H107" s="153">
        <v>0.790008111625301</v>
      </c>
      <c r="I107" s="327">
        <v>34.27</v>
      </c>
      <c r="J107" s="10"/>
      <c r="K107" s="327">
        <v>270.75</v>
      </c>
      <c r="L107" s="10">
        <f t="shared" si="7"/>
        <v>22088.5</v>
      </c>
      <c r="M107" s="10"/>
      <c r="N107" s="150" t="s">
        <v>1653</v>
      </c>
      <c r="O107" s="150"/>
    </row>
    <row r="108" ht="15" spans="1:16">
      <c r="A108" s="329">
        <v>46182</v>
      </c>
      <c r="B108" s="330" t="s">
        <v>54</v>
      </c>
      <c r="C108" s="331">
        <v>0.27</v>
      </c>
      <c r="D108" s="331">
        <v>0.98</v>
      </c>
      <c r="E108" s="332">
        <v>293.23</v>
      </c>
      <c r="F108" s="10">
        <v>305.3</v>
      </c>
      <c r="G108" s="10">
        <v>-12.07</v>
      </c>
      <c r="H108" s="153">
        <v>0.790028305425775</v>
      </c>
      <c r="I108" s="332">
        <v>29.33</v>
      </c>
      <c r="J108" s="10"/>
      <c r="K108" s="332">
        <v>231.66</v>
      </c>
      <c r="L108" s="10">
        <f t="shared" si="7"/>
        <v>21856.84</v>
      </c>
      <c r="M108" s="10"/>
      <c r="N108" s="150" t="s">
        <v>1653</v>
      </c>
      <c r="O108" s="150"/>
    </row>
    <row r="109" ht="15" spans="1:16">
      <c r="A109" s="329">
        <v>46182</v>
      </c>
      <c r="B109" s="330" t="s">
        <v>72</v>
      </c>
      <c r="C109" s="331">
        <v>0.2</v>
      </c>
      <c r="D109" s="331">
        <v>1</v>
      </c>
      <c r="E109" s="332">
        <v>360.563</v>
      </c>
      <c r="F109" s="10">
        <v>344</v>
      </c>
      <c r="G109" s="10">
        <v>16.563</v>
      </c>
      <c r="H109" s="153">
        <v>0.790014505093423</v>
      </c>
      <c r="I109" s="332">
        <v>36.06</v>
      </c>
      <c r="J109" s="10"/>
      <c r="K109" s="332">
        <v>284.85</v>
      </c>
      <c r="L109" s="10">
        <f t="shared" si="7"/>
        <v>21571.99</v>
      </c>
      <c r="M109" s="10"/>
      <c r="N109" s="150" t="s">
        <v>1653</v>
      </c>
      <c r="O109" s="150"/>
    </row>
    <row r="110" ht="15" spans="1:16">
      <c r="A110" s="329">
        <v>46182</v>
      </c>
      <c r="B110" s="330" t="s">
        <v>124</v>
      </c>
      <c r="C110" s="331">
        <v>0.38</v>
      </c>
      <c r="D110" s="331">
        <v>1</v>
      </c>
      <c r="E110" s="332">
        <v>261.505</v>
      </c>
      <c r="F110" s="10">
        <v>266.6</v>
      </c>
      <c r="G110" s="10">
        <v>-5.09500000000003</v>
      </c>
      <c r="H110" s="153">
        <v>0.790004015219594</v>
      </c>
      <c r="I110" s="332">
        <v>26.15</v>
      </c>
      <c r="J110" s="10"/>
      <c r="K110" s="332">
        <v>206.59</v>
      </c>
      <c r="L110" s="10">
        <f t="shared" si="7"/>
        <v>21365.4</v>
      </c>
      <c r="M110" s="10"/>
      <c r="N110" s="150" t="s">
        <v>1653</v>
      </c>
      <c r="O110" s="150"/>
    </row>
    <row r="111" ht="15" spans="1:16">
      <c r="A111" s="329">
        <v>46182</v>
      </c>
      <c r="B111" s="330" t="s">
        <v>78</v>
      </c>
      <c r="C111" s="331">
        <v>0.3</v>
      </c>
      <c r="D111" s="331">
        <v>1</v>
      </c>
      <c r="E111" s="332">
        <v>318.845</v>
      </c>
      <c r="F111" s="10">
        <v>301</v>
      </c>
      <c r="G111" s="10">
        <v>17.845</v>
      </c>
      <c r="H111" s="153">
        <v>0.790007683984381</v>
      </c>
      <c r="I111" s="332">
        <v>31.89</v>
      </c>
      <c r="J111" s="10"/>
      <c r="K111" s="332">
        <v>251.89</v>
      </c>
      <c r="L111" s="10">
        <f t="shared" si="7"/>
        <v>21113.51</v>
      </c>
      <c r="M111" s="10"/>
      <c r="N111" s="150" t="s">
        <v>1653</v>
      </c>
      <c r="O111" s="150"/>
    </row>
    <row r="112" ht="15" spans="1:16">
      <c r="A112" s="329">
        <v>46182</v>
      </c>
      <c r="B112" s="330" t="s">
        <v>166</v>
      </c>
      <c r="C112" s="331">
        <v>0.14</v>
      </c>
      <c r="D112" s="331">
        <v>1</v>
      </c>
      <c r="E112" s="332">
        <v>373.805</v>
      </c>
      <c r="F112" s="10">
        <v>369.8</v>
      </c>
      <c r="G112" s="10">
        <v>4.005</v>
      </c>
      <c r="H112" s="153">
        <v>0.790010834526023</v>
      </c>
      <c r="I112" s="332">
        <v>37.38</v>
      </c>
      <c r="J112" s="10"/>
      <c r="K112" s="332">
        <v>295.31</v>
      </c>
      <c r="L112" s="10">
        <f t="shared" si="7"/>
        <v>20818.2</v>
      </c>
      <c r="M112" s="10"/>
      <c r="N112" s="150" t="s">
        <v>1653</v>
      </c>
      <c r="O112" s="150"/>
    </row>
    <row r="113" ht="15" spans="1:15">
      <c r="A113" s="329">
        <v>46182</v>
      </c>
      <c r="B113" s="330" t="s">
        <v>99</v>
      </c>
      <c r="C113" s="331">
        <v>0.23</v>
      </c>
      <c r="D113" s="331">
        <v>0.92</v>
      </c>
      <c r="E113" s="332">
        <v>315.191</v>
      </c>
      <c r="F113" s="10">
        <v>296.7</v>
      </c>
      <c r="G113" s="10">
        <v>18.4909999999999</v>
      </c>
      <c r="H113" s="153">
        <v>0.789997176315314</v>
      </c>
      <c r="I113" s="332">
        <v>31.52</v>
      </c>
      <c r="J113" s="10"/>
      <c r="K113" s="332">
        <v>249</v>
      </c>
      <c r="L113" s="10">
        <f t="shared" si="7"/>
        <v>20569.2</v>
      </c>
      <c r="M113" s="10"/>
      <c r="N113" s="150" t="s">
        <v>1653</v>
      </c>
      <c r="O113" s="150"/>
    </row>
    <row r="114" ht="15" spans="1:15">
      <c r="A114" s="329">
        <v>46182</v>
      </c>
      <c r="B114" s="330" t="s">
        <v>114</v>
      </c>
      <c r="C114" s="331">
        <v>0.13</v>
      </c>
      <c r="D114" s="331">
        <v>0.91</v>
      </c>
      <c r="E114" s="332">
        <v>318.28</v>
      </c>
      <c r="F114" s="10">
        <v>335.4</v>
      </c>
      <c r="G114" s="10">
        <v>-17.1200000000001</v>
      </c>
      <c r="H114" s="153">
        <v>0.789964810858364</v>
      </c>
      <c r="I114" s="332">
        <v>31.82</v>
      </c>
      <c r="J114" s="10"/>
      <c r="K114" s="332">
        <v>251.43</v>
      </c>
      <c r="L114" s="10">
        <f t="shared" si="7"/>
        <v>20317.77</v>
      </c>
      <c r="M114" s="10"/>
      <c r="N114" s="150" t="s">
        <v>1653</v>
      </c>
      <c r="O114" s="150"/>
    </row>
    <row r="115" ht="15" spans="1:15">
      <c r="A115" s="329">
        <v>46182</v>
      </c>
      <c r="B115" s="330" t="s">
        <v>87</v>
      </c>
      <c r="C115" s="331">
        <v>0.47</v>
      </c>
      <c r="D115" s="331">
        <v>0.47</v>
      </c>
      <c r="E115" s="332">
        <v>0</v>
      </c>
      <c r="F115" s="10">
        <v>0</v>
      </c>
      <c r="G115" s="10">
        <v>0</v>
      </c>
      <c r="H115" s="153" t="e">
        <v>#DIV/0!</v>
      </c>
      <c r="I115" s="332">
        <v>0</v>
      </c>
      <c r="J115" s="10"/>
      <c r="K115" s="332">
        <v>0</v>
      </c>
      <c r="L115" s="10">
        <f t="shared" si="7"/>
        <v>20317.77</v>
      </c>
      <c r="M115" s="10"/>
      <c r="N115" s="150" t="s">
        <v>1653</v>
      </c>
      <c r="O115" s="150"/>
    </row>
    <row r="116" ht="15" spans="1:15">
      <c r="A116" s="329">
        <v>46182</v>
      </c>
      <c r="B116" s="330" t="s">
        <v>87</v>
      </c>
      <c r="C116" s="331">
        <v>0.47</v>
      </c>
      <c r="D116" s="331">
        <v>0.84</v>
      </c>
      <c r="E116" s="332">
        <v>168.979</v>
      </c>
      <c r="F116" s="10">
        <v>159.1</v>
      </c>
      <c r="G116" s="10">
        <v>9.87900000000002</v>
      </c>
      <c r="H116" s="153">
        <v>0.790038998928861</v>
      </c>
      <c r="I116" s="332">
        <v>16.9</v>
      </c>
      <c r="J116" s="10"/>
      <c r="K116" s="332">
        <v>133.5</v>
      </c>
      <c r="L116" s="10">
        <f t="shared" si="7"/>
        <v>20184.27</v>
      </c>
      <c r="M116" s="10"/>
      <c r="N116" s="150" t="s">
        <v>1653</v>
      </c>
      <c r="O116" s="150"/>
    </row>
    <row r="117" ht="15" spans="1:15">
      <c r="A117" s="329">
        <v>46182</v>
      </c>
      <c r="B117" s="330" t="s">
        <v>87</v>
      </c>
      <c r="C117" s="331">
        <v>0.84</v>
      </c>
      <c r="D117" s="331">
        <v>1</v>
      </c>
      <c r="E117" s="332">
        <v>66.197</v>
      </c>
      <c r="F117" s="10">
        <v>68.8</v>
      </c>
      <c r="G117" s="10">
        <v>-2.60300000000001</v>
      </c>
      <c r="H117" s="153">
        <v>0.790066015076212</v>
      </c>
      <c r="I117" s="332">
        <v>6.62</v>
      </c>
      <c r="J117" s="10"/>
      <c r="K117" s="332">
        <v>52.3</v>
      </c>
      <c r="L117" s="10">
        <f t="shared" si="7"/>
        <v>20131.97</v>
      </c>
      <c r="M117" s="10"/>
      <c r="N117" s="150" t="s">
        <v>1653</v>
      </c>
      <c r="O117" s="150"/>
    </row>
    <row r="118" ht="15" spans="1:15">
      <c r="A118" s="329">
        <v>46182</v>
      </c>
      <c r="B118" s="330" t="s">
        <v>154</v>
      </c>
      <c r="C118" s="331">
        <v>0.3</v>
      </c>
      <c r="D118" s="331">
        <v>1</v>
      </c>
      <c r="E118" s="332">
        <v>306.031</v>
      </c>
      <c r="F118" s="10">
        <v>301</v>
      </c>
      <c r="G118" s="10">
        <v>5.03100000000001</v>
      </c>
      <c r="H118" s="153">
        <v>0.789985328283736</v>
      </c>
      <c r="I118" s="332">
        <v>30.6</v>
      </c>
      <c r="J118" s="10"/>
      <c r="K118" s="332">
        <v>241.76</v>
      </c>
      <c r="L118" s="10">
        <f t="shared" si="7"/>
        <v>19890.21</v>
      </c>
      <c r="M118" s="10"/>
      <c r="N118" s="150" t="s">
        <v>1653</v>
      </c>
      <c r="O118" s="150"/>
    </row>
    <row r="119" ht="15" spans="1:15">
      <c r="A119" s="329">
        <v>46182</v>
      </c>
      <c r="B119" s="330" t="s">
        <v>338</v>
      </c>
      <c r="C119" s="331">
        <v>0.36</v>
      </c>
      <c r="D119" s="331">
        <v>1</v>
      </c>
      <c r="E119" s="332">
        <v>277.282</v>
      </c>
      <c r="F119" s="10">
        <v>275.2</v>
      </c>
      <c r="G119" s="10">
        <v>2.08199999999999</v>
      </c>
      <c r="H119" s="153">
        <v>0.789989974105784</v>
      </c>
      <c r="I119" s="332">
        <v>27.73</v>
      </c>
      <c r="J119" s="10"/>
      <c r="K119" s="332">
        <v>219.05</v>
      </c>
      <c r="L119" s="10">
        <f t="shared" si="7"/>
        <v>19671.16</v>
      </c>
      <c r="M119" s="10"/>
      <c r="N119" s="150" t="s">
        <v>1653</v>
      </c>
      <c r="O119" s="150"/>
    </row>
    <row r="120" ht="15" spans="1:15">
      <c r="A120" s="329">
        <v>46182</v>
      </c>
      <c r="B120" s="330" t="s">
        <v>160</v>
      </c>
      <c r="C120" s="331">
        <v>0.38</v>
      </c>
      <c r="D120" s="331">
        <v>0.95</v>
      </c>
      <c r="E120" s="332">
        <v>250.569</v>
      </c>
      <c r="F120" s="10">
        <v>245.1</v>
      </c>
      <c r="G120" s="10">
        <v>5.46900000000002</v>
      </c>
      <c r="H120" s="153">
        <v>0.79000195554917</v>
      </c>
      <c r="I120" s="332">
        <v>25.06</v>
      </c>
      <c r="J120" s="10"/>
      <c r="K120" s="332">
        <v>197.95</v>
      </c>
      <c r="L120" s="10">
        <f t="shared" si="7"/>
        <v>19473.21</v>
      </c>
      <c r="M120" s="10"/>
      <c r="N120" s="150" t="s">
        <v>1653</v>
      </c>
      <c r="O120" s="150"/>
    </row>
    <row r="121" ht="15" spans="1:15">
      <c r="A121" s="329">
        <v>46182</v>
      </c>
      <c r="B121" s="330" t="s">
        <v>180</v>
      </c>
      <c r="C121" s="331">
        <v>0.35</v>
      </c>
      <c r="D121" s="331">
        <v>0.66</v>
      </c>
      <c r="E121" s="332">
        <v>134.457</v>
      </c>
      <c r="F121" s="10">
        <v>133.3</v>
      </c>
      <c r="G121" s="10">
        <v>1.15699999999998</v>
      </c>
      <c r="H121" s="153">
        <v>0.789992339558372</v>
      </c>
      <c r="I121" s="332">
        <v>13.44</v>
      </c>
      <c r="J121" s="10"/>
      <c r="K121" s="332">
        <v>106.22</v>
      </c>
      <c r="L121" s="10">
        <f t="shared" si="7"/>
        <v>19366.99</v>
      </c>
      <c r="M121" s="10"/>
      <c r="N121" s="150" t="s">
        <v>1653</v>
      </c>
      <c r="O121" s="150"/>
    </row>
    <row r="122" ht="15" spans="1:15">
      <c r="A122" s="329">
        <v>46182</v>
      </c>
      <c r="B122" s="330" t="s">
        <v>180</v>
      </c>
      <c r="C122" s="331">
        <v>0.66</v>
      </c>
      <c r="D122" s="331">
        <v>0.95</v>
      </c>
      <c r="E122" s="332">
        <v>130.964</v>
      </c>
      <c r="F122" s="10">
        <v>124.7</v>
      </c>
      <c r="G122" s="10">
        <v>6.26400000000002</v>
      </c>
      <c r="H122" s="153">
        <v>0.790064445191045</v>
      </c>
      <c r="I122" s="332">
        <v>13.1</v>
      </c>
      <c r="J122" s="10"/>
      <c r="K122" s="332">
        <v>103.47</v>
      </c>
      <c r="L122" s="10">
        <f t="shared" si="7"/>
        <v>19263.52</v>
      </c>
      <c r="M122" s="10"/>
      <c r="N122" s="150" t="s">
        <v>1653</v>
      </c>
      <c r="O122" s="150"/>
    </row>
    <row r="123" ht="15" spans="1:15">
      <c r="A123" s="329">
        <v>46182</v>
      </c>
      <c r="B123" s="330" t="s">
        <v>163</v>
      </c>
      <c r="C123" s="331">
        <v>0.37</v>
      </c>
      <c r="D123" s="331">
        <v>0.99</v>
      </c>
      <c r="E123" s="332">
        <v>274.725</v>
      </c>
      <c r="F123" s="10">
        <v>266.6</v>
      </c>
      <c r="G123" s="10">
        <v>8.125</v>
      </c>
      <c r="H123" s="153">
        <v>0.78998998998999</v>
      </c>
      <c r="I123" s="332">
        <v>27.47</v>
      </c>
      <c r="J123" s="10"/>
      <c r="K123" s="332">
        <v>217.03</v>
      </c>
      <c r="L123" s="10">
        <f t="shared" si="7"/>
        <v>19046.49</v>
      </c>
      <c r="M123" s="10"/>
      <c r="N123" s="150" t="s">
        <v>1653</v>
      </c>
      <c r="O123" s="150"/>
    </row>
    <row r="124" ht="15" spans="1:15">
      <c r="A124" s="329">
        <v>46182</v>
      </c>
      <c r="B124" s="330" t="s">
        <v>111</v>
      </c>
      <c r="C124" s="331">
        <v>0.34</v>
      </c>
      <c r="D124" s="331">
        <v>1</v>
      </c>
      <c r="E124" s="332">
        <v>268.363</v>
      </c>
      <c r="F124" s="10">
        <v>283.8</v>
      </c>
      <c r="G124" s="10">
        <v>-15.437</v>
      </c>
      <c r="H124" s="153">
        <v>0.7900120359364</v>
      </c>
      <c r="I124" s="332">
        <v>26.84</v>
      </c>
      <c r="J124" s="10"/>
      <c r="K124" s="332">
        <v>212.01</v>
      </c>
      <c r="L124" s="10">
        <f t="shared" si="7"/>
        <v>18834.48</v>
      </c>
      <c r="M124" s="10"/>
      <c r="N124" s="150" t="s">
        <v>1653</v>
      </c>
      <c r="O124" s="150"/>
    </row>
    <row r="125" ht="15" spans="1:15">
      <c r="A125" s="324">
        <v>46183</v>
      </c>
      <c r="B125" s="325" t="s">
        <v>105</v>
      </c>
      <c r="C125" s="326">
        <v>0.3</v>
      </c>
      <c r="D125" s="326">
        <v>1</v>
      </c>
      <c r="E125" s="327">
        <v>316.453</v>
      </c>
      <c r="F125" s="10">
        <f t="shared" ref="F125:F188" si="8">(D125-C125)*430</f>
        <v>301</v>
      </c>
      <c r="G125" s="10">
        <f t="shared" ref="G125:G188" si="9">E125-F125</f>
        <v>15.453</v>
      </c>
      <c r="H125" s="153">
        <f t="shared" ref="H125:H188" si="10">K125/E125</f>
        <v>0.790006730857347</v>
      </c>
      <c r="I125" s="327">
        <v>31.65</v>
      </c>
      <c r="J125" s="10"/>
      <c r="K125" s="327">
        <v>250</v>
      </c>
      <c r="L125" s="10">
        <f t="shared" si="7"/>
        <v>18584.48</v>
      </c>
      <c r="M125" s="10"/>
      <c r="N125" s="150" t="s">
        <v>1653</v>
      </c>
    </row>
    <row r="126" ht="15" spans="1:15">
      <c r="A126" s="329">
        <v>46183</v>
      </c>
      <c r="B126" s="330" t="s">
        <v>102</v>
      </c>
      <c r="C126" s="331">
        <v>0.37</v>
      </c>
      <c r="D126" s="331">
        <v>1</v>
      </c>
      <c r="E126" s="332">
        <v>290.252</v>
      </c>
      <c r="F126" s="10">
        <f t="shared" si="8"/>
        <v>270.9</v>
      </c>
      <c r="G126" s="10">
        <f t="shared" si="9"/>
        <v>19.352</v>
      </c>
      <c r="H126" s="153">
        <f t="shared" si="10"/>
        <v>0.790003169659468</v>
      </c>
      <c r="I126" s="332">
        <v>29.03</v>
      </c>
      <c r="J126" s="10"/>
      <c r="K126" s="332">
        <v>229.3</v>
      </c>
      <c r="L126" s="10">
        <f t="shared" si="7"/>
        <v>18355.18</v>
      </c>
      <c r="M126" s="10"/>
      <c r="N126" s="150" t="s">
        <v>1653</v>
      </c>
    </row>
    <row r="127" ht="15" spans="1:15">
      <c r="A127" s="329">
        <v>46183</v>
      </c>
      <c r="B127" s="330" t="s">
        <v>57</v>
      </c>
      <c r="C127" s="331">
        <v>0.33</v>
      </c>
      <c r="D127" s="331">
        <v>1</v>
      </c>
      <c r="E127" s="332">
        <v>271.25</v>
      </c>
      <c r="F127" s="10">
        <f t="shared" si="8"/>
        <v>288.1</v>
      </c>
      <c r="G127" s="10">
        <f t="shared" si="9"/>
        <v>-16.85</v>
      </c>
      <c r="H127" s="153">
        <f t="shared" si="10"/>
        <v>0.790009216589862</v>
      </c>
      <c r="I127" s="332">
        <v>27.13</v>
      </c>
      <c r="J127" s="10"/>
      <c r="K127" s="332">
        <v>214.29</v>
      </c>
      <c r="L127" s="10">
        <f t="shared" si="7"/>
        <v>18140.89</v>
      </c>
      <c r="M127" s="10"/>
      <c r="N127" s="150" t="s">
        <v>1653</v>
      </c>
    </row>
    <row r="128" ht="15" spans="1:15">
      <c r="A128" s="329">
        <v>46183</v>
      </c>
      <c r="B128" s="330" t="s">
        <v>75</v>
      </c>
      <c r="C128" s="331">
        <v>0.49</v>
      </c>
      <c r="D128" s="331">
        <v>1</v>
      </c>
      <c r="E128" s="332">
        <v>247.189</v>
      </c>
      <c r="F128" s="10">
        <f t="shared" si="8"/>
        <v>219.3</v>
      </c>
      <c r="G128" s="10">
        <f t="shared" si="9"/>
        <v>27.889</v>
      </c>
      <c r="H128" s="153">
        <f t="shared" si="10"/>
        <v>0.790002791386348</v>
      </c>
      <c r="I128" s="332">
        <v>24.72</v>
      </c>
      <c r="J128" s="10"/>
      <c r="K128" s="332">
        <v>195.28</v>
      </c>
      <c r="L128" s="10">
        <f t="shared" si="7"/>
        <v>17945.61</v>
      </c>
      <c r="M128" s="10"/>
      <c r="N128" s="150" t="s">
        <v>1653</v>
      </c>
    </row>
    <row r="129" ht="15" spans="1:15">
      <c r="A129" s="329">
        <v>46183</v>
      </c>
      <c r="B129" s="330" t="s">
        <v>69</v>
      </c>
      <c r="C129" s="331">
        <v>0.23</v>
      </c>
      <c r="D129" s="331">
        <v>0.96</v>
      </c>
      <c r="E129" s="332">
        <v>349.783</v>
      </c>
      <c r="F129" s="10">
        <f t="shared" si="8"/>
        <v>313.9</v>
      </c>
      <c r="G129" s="10">
        <f t="shared" si="9"/>
        <v>35.883</v>
      </c>
      <c r="H129" s="153">
        <f t="shared" si="10"/>
        <v>0.790004088249</v>
      </c>
      <c r="I129" s="332">
        <v>34.98</v>
      </c>
      <c r="J129" s="10"/>
      <c r="K129" s="332">
        <v>276.33</v>
      </c>
      <c r="L129" s="10">
        <f t="shared" si="7"/>
        <v>17669.28</v>
      </c>
      <c r="M129" s="10"/>
      <c r="N129" s="150" t="s">
        <v>1653</v>
      </c>
    </row>
    <row r="130" ht="15" spans="1:15">
      <c r="A130" s="329">
        <v>46183</v>
      </c>
      <c r="B130" s="330" t="s">
        <v>96</v>
      </c>
      <c r="C130" s="331">
        <v>0.47</v>
      </c>
      <c r="D130" s="331">
        <v>1</v>
      </c>
      <c r="E130" s="332">
        <v>233.167</v>
      </c>
      <c r="F130" s="10">
        <f t="shared" si="8"/>
        <v>227.9</v>
      </c>
      <c r="G130" s="10">
        <f t="shared" si="9"/>
        <v>5.267</v>
      </c>
      <c r="H130" s="153">
        <f t="shared" si="10"/>
        <v>0.789991722670875</v>
      </c>
      <c r="I130" s="332">
        <v>23.31</v>
      </c>
      <c r="J130" s="10"/>
      <c r="K130" s="332">
        <v>184.2</v>
      </c>
      <c r="L130" s="10">
        <f t="shared" si="7"/>
        <v>17485.08</v>
      </c>
      <c r="M130" s="10"/>
      <c r="N130" s="150" t="s">
        <v>1653</v>
      </c>
    </row>
    <row r="131" ht="15" spans="1:15">
      <c r="A131" s="329">
        <v>46183</v>
      </c>
      <c r="B131" s="330" t="s">
        <v>135</v>
      </c>
      <c r="C131" s="331">
        <v>0.39</v>
      </c>
      <c r="D131" s="331">
        <v>1</v>
      </c>
      <c r="E131" s="332">
        <v>264.368</v>
      </c>
      <c r="F131" s="10">
        <f t="shared" si="8"/>
        <v>262.3</v>
      </c>
      <c r="G131" s="10">
        <f t="shared" si="9"/>
        <v>2.06799999999998</v>
      </c>
      <c r="H131" s="153">
        <f t="shared" si="10"/>
        <v>0.789997276523634</v>
      </c>
      <c r="I131" s="332">
        <v>26.44</v>
      </c>
      <c r="J131" s="10"/>
      <c r="K131" s="332">
        <v>208.85</v>
      </c>
      <c r="L131" s="10">
        <f t="shared" ref="L131:L194" si="11">L130+J131-K131</f>
        <v>17276.23</v>
      </c>
      <c r="M131" s="10"/>
      <c r="N131" s="150" t="s">
        <v>1653</v>
      </c>
    </row>
    <row r="132" ht="15" spans="1:15">
      <c r="A132" s="329">
        <v>46183</v>
      </c>
      <c r="B132" s="330" t="s">
        <v>151</v>
      </c>
      <c r="C132" s="331">
        <v>0.4</v>
      </c>
      <c r="D132" s="331">
        <v>1</v>
      </c>
      <c r="E132" s="332">
        <v>260.516</v>
      </c>
      <c r="F132" s="10">
        <f t="shared" si="8"/>
        <v>258</v>
      </c>
      <c r="G132" s="10">
        <f t="shared" si="9"/>
        <v>2.51600000000002</v>
      </c>
      <c r="H132" s="153">
        <f t="shared" si="10"/>
        <v>0.790009058944556</v>
      </c>
      <c r="I132" s="332">
        <v>26.05</v>
      </c>
      <c r="J132" s="10"/>
      <c r="K132" s="332">
        <v>205.81</v>
      </c>
      <c r="L132" s="10">
        <f t="shared" si="11"/>
        <v>17070.42</v>
      </c>
      <c r="M132" s="10"/>
      <c r="N132" s="150" t="s">
        <v>1653</v>
      </c>
    </row>
    <row r="133" ht="15" spans="1:15">
      <c r="A133" s="329">
        <v>46183</v>
      </c>
      <c r="B133" s="330" t="s">
        <v>63</v>
      </c>
      <c r="C133" s="331">
        <v>0.38</v>
      </c>
      <c r="D133" s="331">
        <v>1</v>
      </c>
      <c r="E133" s="332">
        <v>283.573</v>
      </c>
      <c r="F133" s="10">
        <f t="shared" si="8"/>
        <v>266.6</v>
      </c>
      <c r="G133" s="10">
        <f t="shared" si="9"/>
        <v>16.973</v>
      </c>
      <c r="H133" s="153">
        <f t="shared" si="10"/>
        <v>0.789955320146841</v>
      </c>
      <c r="I133" s="332">
        <v>28.35</v>
      </c>
      <c r="J133" s="10"/>
      <c r="K133" s="332">
        <v>224.01</v>
      </c>
      <c r="L133" s="10">
        <f t="shared" si="11"/>
        <v>16846.41</v>
      </c>
      <c r="M133" s="10"/>
      <c r="N133" s="150" t="s">
        <v>1653</v>
      </c>
    </row>
    <row r="134" ht="15" spans="1:15">
      <c r="A134" s="329">
        <v>46183</v>
      </c>
      <c r="B134" s="330" t="s">
        <v>81</v>
      </c>
      <c r="C134" s="331">
        <v>0.14</v>
      </c>
      <c r="D134" s="331">
        <v>0.98</v>
      </c>
      <c r="E134" s="332">
        <v>390.95</v>
      </c>
      <c r="F134" s="10">
        <f t="shared" si="8"/>
        <v>361.2</v>
      </c>
      <c r="G134" s="10">
        <f t="shared" si="9"/>
        <v>29.75</v>
      </c>
      <c r="H134" s="153">
        <f t="shared" si="10"/>
        <v>0.789998721064075</v>
      </c>
      <c r="I134" s="332">
        <v>39.1</v>
      </c>
      <c r="J134" s="10"/>
      <c r="K134" s="332">
        <v>308.85</v>
      </c>
      <c r="L134" s="10">
        <f t="shared" si="11"/>
        <v>16537.56</v>
      </c>
      <c r="M134" s="10"/>
      <c r="N134" s="150" t="s">
        <v>1653</v>
      </c>
    </row>
    <row r="135" ht="15" spans="1:15">
      <c r="A135" s="329">
        <v>46183</v>
      </c>
      <c r="B135" s="330" t="s">
        <v>108</v>
      </c>
      <c r="C135" s="331">
        <v>0.34</v>
      </c>
      <c r="D135" s="331">
        <v>0.99</v>
      </c>
      <c r="E135" s="332">
        <v>309.081</v>
      </c>
      <c r="F135" s="10">
        <f t="shared" si="8"/>
        <v>279.5</v>
      </c>
      <c r="G135" s="10">
        <f t="shared" si="9"/>
        <v>29.5810000000001</v>
      </c>
      <c r="H135" s="153">
        <f t="shared" si="10"/>
        <v>0.790019444741023</v>
      </c>
      <c r="I135" s="332">
        <v>30.91</v>
      </c>
      <c r="J135" s="10"/>
      <c r="K135" s="332">
        <v>244.18</v>
      </c>
      <c r="L135" s="10">
        <f t="shared" si="11"/>
        <v>16293.38</v>
      </c>
      <c r="M135" s="10"/>
      <c r="N135" s="150" t="s">
        <v>1653</v>
      </c>
    </row>
    <row r="136" ht="15" spans="1:15">
      <c r="A136" s="329">
        <v>46183</v>
      </c>
      <c r="B136" s="330" t="s">
        <v>60</v>
      </c>
      <c r="C136" s="331">
        <v>0.19</v>
      </c>
      <c r="D136" s="331">
        <v>1</v>
      </c>
      <c r="E136" s="332">
        <v>331.596</v>
      </c>
      <c r="F136" s="10">
        <f t="shared" si="8"/>
        <v>348.3</v>
      </c>
      <c r="G136" s="10">
        <f t="shared" si="9"/>
        <v>-16.704</v>
      </c>
      <c r="H136" s="153">
        <f t="shared" si="10"/>
        <v>0.789997466796946</v>
      </c>
      <c r="I136" s="332">
        <v>33.16</v>
      </c>
      <c r="J136" s="10"/>
      <c r="K136" s="332">
        <v>261.96</v>
      </c>
      <c r="L136" s="10">
        <f t="shared" si="11"/>
        <v>16031.42</v>
      </c>
      <c r="M136" s="10"/>
      <c r="N136" s="150" t="s">
        <v>1653</v>
      </c>
    </row>
    <row r="137" ht="15" spans="1:15">
      <c r="A137" s="329">
        <v>46183</v>
      </c>
      <c r="B137" s="330" t="s">
        <v>141</v>
      </c>
      <c r="C137" s="331">
        <v>0.24</v>
      </c>
      <c r="D137" s="331">
        <v>1</v>
      </c>
      <c r="E137" s="332">
        <v>332.77</v>
      </c>
      <c r="F137" s="10">
        <f t="shared" si="8"/>
        <v>326.8</v>
      </c>
      <c r="G137" s="10">
        <f t="shared" si="9"/>
        <v>5.96999999999997</v>
      </c>
      <c r="H137" s="153">
        <f t="shared" si="10"/>
        <v>0.790035159419419</v>
      </c>
      <c r="I137" s="332">
        <v>33.28</v>
      </c>
      <c r="J137" s="10"/>
      <c r="K137" s="332">
        <v>262.9</v>
      </c>
      <c r="L137" s="10">
        <f t="shared" si="11"/>
        <v>15768.52</v>
      </c>
      <c r="M137" s="10"/>
      <c r="N137" s="150" t="s">
        <v>1653</v>
      </c>
    </row>
    <row r="138" ht="15" spans="1:15">
      <c r="A138" s="329">
        <v>46183</v>
      </c>
      <c r="B138" s="330" t="s">
        <v>132</v>
      </c>
      <c r="C138" s="331">
        <v>0.34</v>
      </c>
      <c r="D138" s="331">
        <v>0.95</v>
      </c>
      <c r="E138" s="332">
        <v>264.058</v>
      </c>
      <c r="F138" s="10">
        <f t="shared" si="8"/>
        <v>262.3</v>
      </c>
      <c r="G138" s="10">
        <f t="shared" si="9"/>
        <v>1.75800000000004</v>
      </c>
      <c r="H138" s="153">
        <f t="shared" si="10"/>
        <v>0.790015829855562</v>
      </c>
      <c r="I138" s="332">
        <v>26.41</v>
      </c>
      <c r="J138" s="10"/>
      <c r="K138" s="332">
        <v>208.61</v>
      </c>
      <c r="L138" s="10">
        <f t="shared" si="11"/>
        <v>15559.91</v>
      </c>
      <c r="M138" s="10"/>
      <c r="N138" s="150" t="s">
        <v>1653</v>
      </c>
    </row>
    <row r="139" ht="15" spans="1:15">
      <c r="A139" s="324">
        <v>46184</v>
      </c>
      <c r="B139" s="325" t="s">
        <v>84</v>
      </c>
      <c r="C139" s="326">
        <v>0.3</v>
      </c>
      <c r="D139" s="326">
        <v>1</v>
      </c>
      <c r="E139" s="327">
        <v>323.482</v>
      </c>
      <c r="F139" s="10">
        <f t="shared" si="8"/>
        <v>301</v>
      </c>
      <c r="G139" s="10">
        <f t="shared" si="9"/>
        <v>22.482</v>
      </c>
      <c r="H139" s="153">
        <f t="shared" si="10"/>
        <v>0.78999758873755</v>
      </c>
      <c r="I139" s="327">
        <v>32.35</v>
      </c>
      <c r="K139" s="327">
        <v>255.55</v>
      </c>
      <c r="L139" s="10">
        <f t="shared" si="11"/>
        <v>15304.36</v>
      </c>
      <c r="M139" s="327"/>
      <c r="N139" s="150" t="s">
        <v>1653</v>
      </c>
      <c r="O139" s="10"/>
    </row>
    <row r="140" ht="15" spans="1:15">
      <c r="A140" s="329">
        <v>46184</v>
      </c>
      <c r="B140" s="330" t="s">
        <v>144</v>
      </c>
      <c r="C140" s="331">
        <v>0.25</v>
      </c>
      <c r="D140" s="331">
        <v>1</v>
      </c>
      <c r="E140" s="332">
        <v>328.65</v>
      </c>
      <c r="F140" s="10">
        <f t="shared" si="8"/>
        <v>322.5</v>
      </c>
      <c r="G140" s="10">
        <f t="shared" si="9"/>
        <v>6.14999999999998</v>
      </c>
      <c r="H140" s="153">
        <f t="shared" si="10"/>
        <v>0.790019777879203</v>
      </c>
      <c r="I140" s="332">
        <v>32.87</v>
      </c>
      <c r="K140" s="332">
        <v>259.64</v>
      </c>
      <c r="L140" s="10">
        <f t="shared" si="11"/>
        <v>15044.72</v>
      </c>
      <c r="M140" s="332"/>
      <c r="N140" s="150" t="s">
        <v>1653</v>
      </c>
      <c r="O140" s="105"/>
    </row>
    <row r="141" ht="15" spans="1:15">
      <c r="A141" s="329">
        <v>46184</v>
      </c>
      <c r="B141" s="330" t="s">
        <v>72</v>
      </c>
      <c r="C141" s="331">
        <v>0.56</v>
      </c>
      <c r="D141" s="331">
        <v>1</v>
      </c>
      <c r="E141" s="332">
        <v>190.947</v>
      </c>
      <c r="F141" s="10">
        <f t="shared" si="8"/>
        <v>189.2</v>
      </c>
      <c r="G141" s="10">
        <f t="shared" si="9"/>
        <v>1.74700000000001</v>
      </c>
      <c r="H141" s="153">
        <f t="shared" si="10"/>
        <v>0.789957422740342</v>
      </c>
      <c r="I141" s="332">
        <v>19.09</v>
      </c>
      <c r="K141" s="332">
        <v>150.84</v>
      </c>
      <c r="L141" s="10">
        <f t="shared" si="11"/>
        <v>14893.88</v>
      </c>
      <c r="M141" s="332"/>
      <c r="N141" s="150" t="s">
        <v>1653</v>
      </c>
      <c r="O141" s="105"/>
    </row>
    <row r="142" ht="15" spans="1:15">
      <c r="A142" s="329">
        <v>46184</v>
      </c>
      <c r="B142" s="330" t="s">
        <v>172</v>
      </c>
      <c r="C142" s="331">
        <v>0.44</v>
      </c>
      <c r="D142" s="331">
        <v>1</v>
      </c>
      <c r="E142" s="332">
        <v>225.831</v>
      </c>
      <c r="F142" s="10">
        <f t="shared" si="8"/>
        <v>240.8</v>
      </c>
      <c r="G142" s="10">
        <f t="shared" si="9"/>
        <v>-14.969</v>
      </c>
      <c r="H142" s="153">
        <f t="shared" si="10"/>
        <v>0.789971261695693</v>
      </c>
      <c r="I142" s="332">
        <v>22.58</v>
      </c>
      <c r="K142" s="332">
        <v>178.4</v>
      </c>
      <c r="L142" s="10">
        <f t="shared" si="11"/>
        <v>14715.48</v>
      </c>
      <c r="M142" s="332"/>
      <c r="N142" s="150" t="s">
        <v>1653</v>
      </c>
      <c r="O142" s="105"/>
    </row>
    <row r="143" ht="15" spans="1:15">
      <c r="A143" s="329">
        <v>46184</v>
      </c>
      <c r="B143" s="330" t="s">
        <v>93</v>
      </c>
      <c r="C143" s="331">
        <v>0.47</v>
      </c>
      <c r="D143" s="331">
        <v>1</v>
      </c>
      <c r="E143" s="332">
        <v>237.711</v>
      </c>
      <c r="F143" s="10">
        <f t="shared" si="8"/>
        <v>227.9</v>
      </c>
      <c r="G143" s="10">
        <f t="shared" si="9"/>
        <v>9.81100000000001</v>
      </c>
      <c r="H143" s="153">
        <f t="shared" si="10"/>
        <v>0.789992890526732</v>
      </c>
      <c r="I143" s="332">
        <v>23.77</v>
      </c>
      <c r="K143" s="332">
        <v>187.79</v>
      </c>
      <c r="L143" s="10">
        <f t="shared" si="11"/>
        <v>14527.69</v>
      </c>
      <c r="M143" s="332"/>
      <c r="N143" s="150" t="s">
        <v>1653</v>
      </c>
      <c r="O143" s="105"/>
    </row>
    <row r="144" ht="15" spans="1:15">
      <c r="A144" s="329">
        <v>46184</v>
      </c>
      <c r="B144" s="330" t="s">
        <v>54</v>
      </c>
      <c r="C144" s="331">
        <v>0.34</v>
      </c>
      <c r="D144" s="331">
        <v>1</v>
      </c>
      <c r="E144" s="332">
        <v>270.209</v>
      </c>
      <c r="F144" s="10">
        <f t="shared" si="8"/>
        <v>283.8</v>
      </c>
      <c r="G144" s="10">
        <f t="shared" si="9"/>
        <v>-13.591</v>
      </c>
      <c r="H144" s="153">
        <f t="shared" si="10"/>
        <v>0.789981088712811</v>
      </c>
      <c r="I144" s="332">
        <v>27.02</v>
      </c>
      <c r="K144" s="332">
        <v>213.46</v>
      </c>
      <c r="L144" s="10">
        <f t="shared" si="11"/>
        <v>14314.23</v>
      </c>
      <c r="M144" s="332"/>
      <c r="N144" s="150" t="s">
        <v>1653</v>
      </c>
      <c r="O144" s="105"/>
    </row>
    <row r="145" ht="15" spans="1:15">
      <c r="A145" s="329">
        <v>46184</v>
      </c>
      <c r="B145" s="330" t="s">
        <v>148</v>
      </c>
      <c r="C145" s="331">
        <v>0.4</v>
      </c>
      <c r="D145" s="331">
        <v>0.66</v>
      </c>
      <c r="E145" s="332">
        <v>115.275</v>
      </c>
      <c r="F145" s="10">
        <f t="shared" si="8"/>
        <v>111.8</v>
      </c>
      <c r="G145" s="10">
        <f t="shared" si="9"/>
        <v>3.47500000000001</v>
      </c>
      <c r="H145" s="153">
        <f t="shared" si="10"/>
        <v>0.79002385599653</v>
      </c>
      <c r="I145" s="332">
        <v>11.53</v>
      </c>
      <c r="K145" s="332">
        <v>91.07</v>
      </c>
      <c r="L145" s="10">
        <f t="shared" si="11"/>
        <v>14223.16</v>
      </c>
      <c r="M145" s="332"/>
      <c r="N145" s="150" t="s">
        <v>1653</v>
      </c>
      <c r="O145" s="105"/>
    </row>
    <row r="146" ht="15" spans="1:15">
      <c r="A146" s="329">
        <v>46184</v>
      </c>
      <c r="B146" s="330" t="s">
        <v>148</v>
      </c>
      <c r="C146" s="331">
        <v>0.66</v>
      </c>
      <c r="D146" s="331">
        <v>1</v>
      </c>
      <c r="E146" s="332">
        <v>147.737</v>
      </c>
      <c r="F146" s="10">
        <f t="shared" si="8"/>
        <v>146.2</v>
      </c>
      <c r="G146" s="10">
        <f t="shared" si="9"/>
        <v>1.53700000000001</v>
      </c>
      <c r="H146" s="153">
        <f t="shared" si="10"/>
        <v>0.789984905609292</v>
      </c>
      <c r="I146" s="332">
        <v>14.77</v>
      </c>
      <c r="K146" s="332">
        <v>116.71</v>
      </c>
      <c r="L146" s="10">
        <f t="shared" si="11"/>
        <v>14106.45</v>
      </c>
      <c r="M146" s="332"/>
      <c r="N146" s="150" t="s">
        <v>1653</v>
      </c>
      <c r="O146" s="105"/>
    </row>
    <row r="147" ht="15" spans="1:15">
      <c r="A147" s="329">
        <v>46184</v>
      </c>
      <c r="B147" s="330" t="s">
        <v>177</v>
      </c>
      <c r="C147" s="331">
        <v>0.34</v>
      </c>
      <c r="D147" s="331">
        <v>0.99</v>
      </c>
      <c r="E147" s="332">
        <v>285.347</v>
      </c>
      <c r="F147" s="10">
        <f t="shared" si="8"/>
        <v>279.5</v>
      </c>
      <c r="G147" s="10">
        <f t="shared" si="9"/>
        <v>5.84700000000004</v>
      </c>
      <c r="H147" s="153">
        <f t="shared" si="10"/>
        <v>0.78998552639418</v>
      </c>
      <c r="I147" s="332">
        <v>28.53</v>
      </c>
      <c r="K147" s="332">
        <v>225.42</v>
      </c>
      <c r="L147" s="10">
        <f t="shared" si="11"/>
        <v>13881.03</v>
      </c>
      <c r="M147" s="332"/>
      <c r="N147" s="150" t="s">
        <v>1653</v>
      </c>
      <c r="O147" s="105"/>
    </row>
    <row r="148" ht="15" spans="1:15">
      <c r="A148" s="329">
        <v>46184</v>
      </c>
      <c r="B148" s="330" t="s">
        <v>66</v>
      </c>
      <c r="C148" s="331">
        <v>0.28</v>
      </c>
      <c r="D148" s="331">
        <v>1</v>
      </c>
      <c r="E148" s="332">
        <v>339.655</v>
      </c>
      <c r="F148" s="10">
        <f t="shared" si="8"/>
        <v>309.6</v>
      </c>
      <c r="G148" s="10">
        <f t="shared" si="9"/>
        <v>30.055</v>
      </c>
      <c r="H148" s="153">
        <f t="shared" si="10"/>
        <v>0.790007507618024</v>
      </c>
      <c r="I148" s="332">
        <v>33.97</v>
      </c>
      <c r="K148" s="332">
        <v>268.33</v>
      </c>
      <c r="L148" s="10">
        <f t="shared" si="11"/>
        <v>13612.7</v>
      </c>
      <c r="M148" s="332"/>
      <c r="N148" s="150" t="s">
        <v>1653</v>
      </c>
      <c r="O148" s="105"/>
    </row>
    <row r="149" ht="15" spans="1:15">
      <c r="A149" s="329">
        <v>46184</v>
      </c>
      <c r="B149" s="330" t="s">
        <v>99</v>
      </c>
      <c r="C149" s="331">
        <v>0.23</v>
      </c>
      <c r="D149" s="331">
        <v>0.93</v>
      </c>
      <c r="E149" s="332">
        <v>319.806</v>
      </c>
      <c r="F149" s="10">
        <f t="shared" si="8"/>
        <v>301</v>
      </c>
      <c r="G149" s="10">
        <f t="shared" si="9"/>
        <v>18.8059999999999</v>
      </c>
      <c r="H149" s="153">
        <f t="shared" si="10"/>
        <v>0.790010193679919</v>
      </c>
      <c r="I149" s="332">
        <v>31.98</v>
      </c>
      <c r="K149" s="332">
        <v>252.65</v>
      </c>
      <c r="L149" s="10">
        <f t="shared" si="11"/>
        <v>13360.05</v>
      </c>
      <c r="M149" s="332"/>
      <c r="N149" s="150" t="s">
        <v>1653</v>
      </c>
      <c r="O149" s="105"/>
    </row>
    <row r="150" ht="15" spans="1:15">
      <c r="A150" s="329">
        <v>46184</v>
      </c>
      <c r="B150" s="330" t="s">
        <v>54</v>
      </c>
      <c r="C150" s="331">
        <v>0.77</v>
      </c>
      <c r="D150" s="331">
        <v>0.95</v>
      </c>
      <c r="E150" s="332">
        <v>76.676</v>
      </c>
      <c r="F150" s="10">
        <f t="shared" si="8"/>
        <v>77.4</v>
      </c>
      <c r="G150" s="10">
        <f t="shared" si="9"/>
        <v>-0.723999999999975</v>
      </c>
      <c r="H150" s="153">
        <f t="shared" si="10"/>
        <v>0.789947310762168</v>
      </c>
      <c r="I150" s="332">
        <v>7.67</v>
      </c>
      <c r="K150" s="332">
        <v>60.57</v>
      </c>
      <c r="L150" s="10">
        <f t="shared" si="11"/>
        <v>13299.48</v>
      </c>
      <c r="M150" s="332"/>
      <c r="N150" s="150" t="s">
        <v>1653</v>
      </c>
      <c r="O150" s="105"/>
    </row>
    <row r="151" ht="15" spans="1:15">
      <c r="A151" s="329">
        <v>46184</v>
      </c>
      <c r="B151" s="330" t="s">
        <v>174</v>
      </c>
      <c r="C151" s="331">
        <v>0.24</v>
      </c>
      <c r="D151" s="331">
        <v>1</v>
      </c>
      <c r="E151" s="332">
        <v>331.735</v>
      </c>
      <c r="F151" s="10">
        <f t="shared" si="8"/>
        <v>326.8</v>
      </c>
      <c r="G151" s="10">
        <f t="shared" si="9"/>
        <v>4.935</v>
      </c>
      <c r="H151" s="153">
        <f t="shared" si="10"/>
        <v>0.789998040604699</v>
      </c>
      <c r="I151" s="332">
        <v>33.17</v>
      </c>
      <c r="K151" s="332">
        <v>262.07</v>
      </c>
      <c r="L151" s="10">
        <f t="shared" si="11"/>
        <v>13037.41</v>
      </c>
      <c r="M151" s="332"/>
      <c r="N151" s="150" t="s">
        <v>1653</v>
      </c>
      <c r="O151" s="105"/>
    </row>
    <row r="152" ht="15" spans="1:15">
      <c r="A152" s="329">
        <v>46184</v>
      </c>
      <c r="B152" s="330" t="s">
        <v>114</v>
      </c>
      <c r="C152" s="331">
        <v>0.15</v>
      </c>
      <c r="D152" s="331">
        <v>0.9</v>
      </c>
      <c r="E152" s="332">
        <v>303.958</v>
      </c>
      <c r="F152" s="10">
        <f t="shared" si="8"/>
        <v>322.5</v>
      </c>
      <c r="G152" s="10">
        <f t="shared" si="9"/>
        <v>-18.542</v>
      </c>
      <c r="H152" s="153">
        <f t="shared" si="10"/>
        <v>0.79001046197172</v>
      </c>
      <c r="I152" s="332">
        <v>30.4</v>
      </c>
      <c r="K152" s="332">
        <v>240.13</v>
      </c>
      <c r="L152" s="10">
        <f t="shared" si="11"/>
        <v>12797.28</v>
      </c>
      <c r="M152" s="332"/>
      <c r="N152" s="150" t="s">
        <v>1653</v>
      </c>
      <c r="O152" s="105"/>
    </row>
    <row r="153" ht="15" spans="1:15">
      <c r="A153" s="329">
        <v>46184</v>
      </c>
      <c r="B153" s="330" t="s">
        <v>51</v>
      </c>
      <c r="C153" s="331">
        <v>0.16</v>
      </c>
      <c r="D153" s="331">
        <v>1</v>
      </c>
      <c r="E153" s="332">
        <v>346.761</v>
      </c>
      <c r="F153" s="10">
        <f t="shared" si="8"/>
        <v>361.2</v>
      </c>
      <c r="G153" s="10">
        <f t="shared" si="9"/>
        <v>-14.439</v>
      </c>
      <c r="H153" s="153">
        <f t="shared" si="10"/>
        <v>0.790025406548026</v>
      </c>
      <c r="I153" s="332">
        <v>34.68</v>
      </c>
      <c r="K153" s="332">
        <v>273.95</v>
      </c>
      <c r="L153" s="10">
        <f t="shared" si="11"/>
        <v>12523.33</v>
      </c>
      <c r="M153" s="332"/>
      <c r="N153" s="150" t="s">
        <v>1653</v>
      </c>
      <c r="O153" s="105"/>
    </row>
    <row r="154" ht="15" spans="1:15">
      <c r="A154" s="329">
        <v>46184</v>
      </c>
      <c r="B154" s="330" t="s">
        <v>78</v>
      </c>
      <c r="C154" s="331">
        <v>0.21</v>
      </c>
      <c r="D154" s="331">
        <v>1</v>
      </c>
      <c r="E154" s="332">
        <v>349.37</v>
      </c>
      <c r="F154" s="10">
        <f t="shared" si="8"/>
        <v>339.7</v>
      </c>
      <c r="G154" s="10">
        <f t="shared" si="9"/>
        <v>9.67000000000002</v>
      </c>
      <c r="H154" s="153">
        <f t="shared" si="10"/>
        <v>0.790022039671408</v>
      </c>
      <c r="I154" s="332">
        <v>34.94</v>
      </c>
      <c r="K154" s="332">
        <v>276.01</v>
      </c>
      <c r="L154" s="10">
        <f t="shared" si="11"/>
        <v>12247.32</v>
      </c>
      <c r="M154" s="332"/>
      <c r="N154" s="150" t="s">
        <v>1653</v>
      </c>
      <c r="O154" s="105"/>
    </row>
    <row r="155" ht="15" spans="1:15">
      <c r="A155" s="329">
        <v>46184</v>
      </c>
      <c r="B155" s="330" t="s">
        <v>102</v>
      </c>
      <c r="C155" s="331">
        <v>0.44</v>
      </c>
      <c r="D155" s="331">
        <v>0.95</v>
      </c>
      <c r="E155" s="332">
        <v>243.386</v>
      </c>
      <c r="F155" s="10">
        <f t="shared" si="8"/>
        <v>219.3</v>
      </c>
      <c r="G155" s="10">
        <f t="shared" si="9"/>
        <v>24.086</v>
      </c>
      <c r="H155" s="153">
        <f t="shared" si="10"/>
        <v>0.79002079002079</v>
      </c>
      <c r="I155" s="332">
        <v>24.34</v>
      </c>
      <c r="K155" s="332">
        <v>192.28</v>
      </c>
      <c r="L155" s="10">
        <f t="shared" si="11"/>
        <v>12055.04</v>
      </c>
      <c r="M155" s="332"/>
      <c r="N155" s="150" t="s">
        <v>1653</v>
      </c>
      <c r="O155" s="105"/>
    </row>
    <row r="156" ht="15" spans="1:15">
      <c r="A156" s="333">
        <v>46185</v>
      </c>
      <c r="B156" s="334" t="s">
        <v>69</v>
      </c>
      <c r="C156" s="335">
        <v>0.24</v>
      </c>
      <c r="D156" s="335">
        <v>1</v>
      </c>
      <c r="E156" s="336">
        <v>351.471</v>
      </c>
      <c r="F156" s="10">
        <f t="shared" si="8"/>
        <v>326.8</v>
      </c>
      <c r="G156" s="10">
        <f t="shared" si="9"/>
        <v>24.671</v>
      </c>
      <c r="H156" s="153">
        <f t="shared" si="10"/>
        <v>0.790022505412964</v>
      </c>
      <c r="I156" s="336">
        <v>35.15</v>
      </c>
      <c r="K156" s="336">
        <v>277.67</v>
      </c>
      <c r="L156" s="10">
        <f t="shared" si="11"/>
        <v>11777.37</v>
      </c>
      <c r="M156" s="336"/>
      <c r="N156" s="150" t="s">
        <v>1653</v>
      </c>
      <c r="O156" s="105"/>
    </row>
    <row r="157" ht="15" spans="1:15">
      <c r="A157" s="337">
        <v>46185</v>
      </c>
      <c r="B157" s="338" t="s">
        <v>111</v>
      </c>
      <c r="C157" s="339">
        <v>0.3</v>
      </c>
      <c r="D157" s="339">
        <v>1</v>
      </c>
      <c r="E157" s="340">
        <v>281.163</v>
      </c>
      <c r="F157" s="10">
        <f t="shared" si="8"/>
        <v>301</v>
      </c>
      <c r="G157" s="10">
        <f t="shared" si="9"/>
        <v>-19.837</v>
      </c>
      <c r="H157" s="153">
        <f t="shared" si="10"/>
        <v>0.79000437468657</v>
      </c>
      <c r="I157" s="340">
        <v>28.12</v>
      </c>
      <c r="K157" s="340">
        <v>222.12</v>
      </c>
      <c r="L157" s="10">
        <f t="shared" si="11"/>
        <v>11555.25</v>
      </c>
      <c r="M157" s="340"/>
      <c r="N157" s="150" t="s">
        <v>1653</v>
      </c>
      <c r="O157" s="105"/>
    </row>
    <row r="158" ht="15" spans="1:15">
      <c r="A158" s="337">
        <v>46185</v>
      </c>
      <c r="B158" s="338" t="s">
        <v>87</v>
      </c>
      <c r="C158" s="339">
        <v>0.26</v>
      </c>
      <c r="D158" s="339">
        <v>1</v>
      </c>
      <c r="E158" s="340">
        <v>340.601</v>
      </c>
      <c r="F158" s="10">
        <f t="shared" si="8"/>
        <v>318.2</v>
      </c>
      <c r="G158" s="10">
        <f t="shared" si="9"/>
        <v>22.401</v>
      </c>
      <c r="H158" s="153">
        <f t="shared" si="10"/>
        <v>0.789985936623791</v>
      </c>
      <c r="I158" s="340">
        <v>34.06</v>
      </c>
      <c r="K158" s="340">
        <v>269.07</v>
      </c>
      <c r="L158" s="10">
        <f t="shared" si="11"/>
        <v>11286.18</v>
      </c>
      <c r="M158" s="340"/>
      <c r="N158" s="150" t="s">
        <v>1653</v>
      </c>
      <c r="O158" s="105"/>
    </row>
    <row r="159" ht="15" spans="1:15">
      <c r="A159" s="337">
        <v>46185</v>
      </c>
      <c r="B159" s="338" t="s">
        <v>57</v>
      </c>
      <c r="C159" s="339">
        <v>0.29</v>
      </c>
      <c r="D159" s="339">
        <v>1</v>
      </c>
      <c r="E159" s="340">
        <v>285.197</v>
      </c>
      <c r="F159" s="10">
        <f t="shared" si="8"/>
        <v>305.3</v>
      </c>
      <c r="G159" s="10">
        <f t="shared" si="9"/>
        <v>-20.103</v>
      </c>
      <c r="H159" s="153">
        <f t="shared" si="10"/>
        <v>0.790015322741824</v>
      </c>
      <c r="I159" s="340">
        <v>28.52</v>
      </c>
      <c r="K159" s="340">
        <v>225.31</v>
      </c>
      <c r="L159" s="10">
        <f t="shared" si="11"/>
        <v>11060.87</v>
      </c>
      <c r="M159" s="340"/>
      <c r="N159" s="150" t="s">
        <v>1653</v>
      </c>
      <c r="O159" s="105"/>
    </row>
    <row r="160" ht="15" spans="1:15">
      <c r="A160" s="337">
        <v>46185</v>
      </c>
      <c r="B160" s="338" t="s">
        <v>180</v>
      </c>
      <c r="C160" s="339">
        <v>0.32</v>
      </c>
      <c r="D160" s="339">
        <v>0.72</v>
      </c>
      <c r="E160" s="340">
        <v>175.826</v>
      </c>
      <c r="F160" s="10">
        <f t="shared" si="8"/>
        <v>172</v>
      </c>
      <c r="G160" s="10">
        <f t="shared" si="9"/>
        <v>3.82600000000002</v>
      </c>
      <c r="H160" s="153">
        <f t="shared" si="10"/>
        <v>0.789985553899878</v>
      </c>
      <c r="I160" s="340">
        <v>17.58</v>
      </c>
      <c r="K160" s="340">
        <v>138.9</v>
      </c>
      <c r="L160" s="10">
        <f t="shared" si="11"/>
        <v>10921.97</v>
      </c>
      <c r="M160" s="340"/>
      <c r="N160" s="150" t="s">
        <v>1653</v>
      </c>
      <c r="O160" s="105"/>
    </row>
    <row r="161" ht="15" spans="1:15">
      <c r="A161" s="337">
        <v>46185</v>
      </c>
      <c r="B161" s="338" t="s">
        <v>180</v>
      </c>
      <c r="C161" s="339">
        <v>0.66</v>
      </c>
      <c r="D161" s="339">
        <v>0.95</v>
      </c>
      <c r="E161" s="340">
        <v>132.777</v>
      </c>
      <c r="F161" s="10">
        <f t="shared" si="8"/>
        <v>124.7</v>
      </c>
      <c r="G161" s="10">
        <f t="shared" si="9"/>
        <v>8.07700000000001</v>
      </c>
      <c r="H161" s="153">
        <f t="shared" si="10"/>
        <v>0.79004646889145</v>
      </c>
      <c r="I161" s="340">
        <v>13.28</v>
      </c>
      <c r="K161" s="340">
        <v>104.9</v>
      </c>
      <c r="L161" s="10">
        <f t="shared" si="11"/>
        <v>10817.07</v>
      </c>
      <c r="M161" s="340"/>
      <c r="N161" s="150" t="s">
        <v>1653</v>
      </c>
      <c r="O161" s="105"/>
    </row>
    <row r="162" ht="15" spans="1:15">
      <c r="A162" s="337">
        <v>46185</v>
      </c>
      <c r="B162" s="338" t="s">
        <v>166</v>
      </c>
      <c r="C162" s="339">
        <v>0.11</v>
      </c>
      <c r="D162" s="339">
        <v>0.28</v>
      </c>
      <c r="E162" s="340">
        <v>75.935</v>
      </c>
      <c r="F162" s="10">
        <f t="shared" si="8"/>
        <v>73.1</v>
      </c>
      <c r="G162" s="10">
        <f t="shared" si="9"/>
        <v>2.83499999999998</v>
      </c>
      <c r="H162" s="153">
        <f t="shared" si="10"/>
        <v>0.790017778363074</v>
      </c>
      <c r="I162" s="340">
        <v>7.59</v>
      </c>
      <c r="K162" s="340">
        <v>59.99</v>
      </c>
      <c r="L162" s="10">
        <f t="shared" si="11"/>
        <v>10757.08</v>
      </c>
      <c r="M162" s="340"/>
      <c r="N162" s="150" t="s">
        <v>1653</v>
      </c>
      <c r="O162" s="105"/>
    </row>
    <row r="163" ht="15" spans="1:15">
      <c r="A163" s="337">
        <v>46185</v>
      </c>
      <c r="B163" s="338" t="s">
        <v>166</v>
      </c>
      <c r="C163" s="339">
        <v>0.28</v>
      </c>
      <c r="D163" s="339">
        <v>1</v>
      </c>
      <c r="E163" s="340">
        <v>312.475</v>
      </c>
      <c r="F163" s="10">
        <f t="shared" si="8"/>
        <v>309.6</v>
      </c>
      <c r="G163" s="10">
        <f t="shared" si="9"/>
        <v>2.87500000000006</v>
      </c>
      <c r="H163" s="153">
        <f t="shared" si="10"/>
        <v>0.789951196095688</v>
      </c>
      <c r="I163" s="340">
        <v>31.24</v>
      </c>
      <c r="K163" s="340">
        <v>246.84</v>
      </c>
      <c r="L163" s="10">
        <f t="shared" si="11"/>
        <v>10510.24</v>
      </c>
      <c r="M163" s="340"/>
      <c r="N163" s="150" t="s">
        <v>1653</v>
      </c>
      <c r="O163" s="105"/>
    </row>
    <row r="164" ht="15" spans="1:15">
      <c r="A164" s="337">
        <v>46185</v>
      </c>
      <c r="B164" s="338" t="s">
        <v>45</v>
      </c>
      <c r="C164" s="339">
        <v>0.22</v>
      </c>
      <c r="D164" s="339">
        <v>0.22</v>
      </c>
      <c r="E164" s="340">
        <v>0</v>
      </c>
      <c r="F164" s="10">
        <f t="shared" si="8"/>
        <v>0</v>
      </c>
      <c r="G164" s="10">
        <f t="shared" si="9"/>
        <v>0</v>
      </c>
      <c r="H164" s="153" t="e">
        <f t="shared" si="10"/>
        <v>#DIV/0!</v>
      </c>
      <c r="I164" s="340">
        <v>0</v>
      </c>
      <c r="K164" s="340">
        <v>0</v>
      </c>
      <c r="L164" s="10">
        <f t="shared" si="11"/>
        <v>10510.24</v>
      </c>
      <c r="M164" s="340"/>
      <c r="N164" s="150" t="s">
        <v>1653</v>
      </c>
      <c r="O164" s="105"/>
    </row>
    <row r="165" ht="15" spans="1:15">
      <c r="A165" s="337">
        <v>46185</v>
      </c>
      <c r="B165" s="338" t="s">
        <v>45</v>
      </c>
      <c r="C165" s="339">
        <v>0.22</v>
      </c>
      <c r="D165" s="339">
        <v>1</v>
      </c>
      <c r="E165" s="340">
        <v>321.871</v>
      </c>
      <c r="F165" s="10">
        <f t="shared" si="8"/>
        <v>335.4</v>
      </c>
      <c r="G165" s="10">
        <f t="shared" si="9"/>
        <v>-13.5290000000001</v>
      </c>
      <c r="H165" s="153">
        <f t="shared" si="10"/>
        <v>0.790005934054326</v>
      </c>
      <c r="I165" s="340">
        <v>32.19</v>
      </c>
      <c r="K165" s="340">
        <v>254.28</v>
      </c>
      <c r="L165" s="10">
        <f t="shared" si="11"/>
        <v>10255.96</v>
      </c>
      <c r="M165" s="340"/>
      <c r="N165" s="150" t="s">
        <v>1653</v>
      </c>
      <c r="O165" s="105"/>
    </row>
    <row r="166" ht="15" spans="1:15">
      <c r="A166" s="337">
        <v>46185</v>
      </c>
      <c r="B166" s="338" t="s">
        <v>96</v>
      </c>
      <c r="C166" s="339">
        <v>0.85</v>
      </c>
      <c r="D166" s="339">
        <v>1</v>
      </c>
      <c r="E166" s="340">
        <v>63.759</v>
      </c>
      <c r="F166" s="10">
        <f t="shared" si="8"/>
        <v>64.5</v>
      </c>
      <c r="G166" s="10">
        <f t="shared" si="9"/>
        <v>-0.741000000000014</v>
      </c>
      <c r="H166" s="153">
        <f t="shared" si="10"/>
        <v>0.790006116783513</v>
      </c>
      <c r="I166" s="340">
        <v>6.38</v>
      </c>
      <c r="K166" s="340">
        <v>50.37</v>
      </c>
      <c r="L166" s="10">
        <f t="shared" si="11"/>
        <v>10205.59</v>
      </c>
      <c r="M166" s="340"/>
      <c r="N166" s="150" t="s">
        <v>1653</v>
      </c>
      <c r="O166" s="105"/>
    </row>
    <row r="167" ht="15" spans="1:15">
      <c r="A167" s="337">
        <v>46185</v>
      </c>
      <c r="B167" s="338" t="s">
        <v>338</v>
      </c>
      <c r="C167" s="339">
        <v>0.29</v>
      </c>
      <c r="D167" s="339">
        <v>0.57</v>
      </c>
      <c r="E167" s="340">
        <v>117.874</v>
      </c>
      <c r="F167" s="10">
        <f t="shared" si="8"/>
        <v>120.4</v>
      </c>
      <c r="G167" s="10">
        <f t="shared" si="9"/>
        <v>-2.526</v>
      </c>
      <c r="H167" s="153">
        <f t="shared" si="10"/>
        <v>0.789996097527869</v>
      </c>
      <c r="I167" s="340">
        <v>11.79</v>
      </c>
      <c r="K167" s="340">
        <v>93.12</v>
      </c>
      <c r="L167" s="10">
        <f t="shared" si="11"/>
        <v>10112.47</v>
      </c>
      <c r="M167" s="340"/>
      <c r="N167" s="150" t="s">
        <v>1653</v>
      </c>
      <c r="O167" s="105"/>
    </row>
    <row r="168" ht="15" spans="1:15">
      <c r="A168" s="337">
        <v>46185</v>
      </c>
      <c r="B168" s="338" t="s">
        <v>338</v>
      </c>
      <c r="C168" s="339">
        <v>0.57</v>
      </c>
      <c r="D168" s="339">
        <v>1</v>
      </c>
      <c r="E168" s="340">
        <v>189.165</v>
      </c>
      <c r="F168" s="10">
        <f t="shared" si="8"/>
        <v>184.9</v>
      </c>
      <c r="G168" s="10">
        <f t="shared" si="9"/>
        <v>4.26499999999996</v>
      </c>
      <c r="H168" s="153">
        <f t="shared" si="10"/>
        <v>0.790051013665319</v>
      </c>
      <c r="I168" s="340">
        <v>18.92</v>
      </c>
      <c r="K168" s="340">
        <v>149.45</v>
      </c>
      <c r="L168" s="10">
        <f t="shared" si="11"/>
        <v>9963.02</v>
      </c>
      <c r="M168" s="340"/>
      <c r="N168" s="150" t="s">
        <v>1653</v>
      </c>
      <c r="O168" s="105"/>
    </row>
    <row r="169" ht="15" spans="1:15">
      <c r="A169" s="337">
        <v>46185</v>
      </c>
      <c r="B169" s="338" t="s">
        <v>154</v>
      </c>
      <c r="C169" s="339">
        <v>0.31</v>
      </c>
      <c r="D169" s="339">
        <v>0.96</v>
      </c>
      <c r="E169" s="340">
        <v>286.272</v>
      </c>
      <c r="F169" s="10">
        <f t="shared" si="8"/>
        <v>279.5</v>
      </c>
      <c r="G169" s="10">
        <f t="shared" si="9"/>
        <v>6.77200000000005</v>
      </c>
      <c r="H169" s="153">
        <f t="shared" si="10"/>
        <v>0.790017885088308</v>
      </c>
      <c r="I169" s="340">
        <v>28.63</v>
      </c>
      <c r="K169" s="340">
        <v>226.16</v>
      </c>
      <c r="L169" s="10">
        <f t="shared" si="11"/>
        <v>9736.86</v>
      </c>
      <c r="M169" s="340"/>
      <c r="N169" s="150" t="s">
        <v>1653</v>
      </c>
      <c r="O169" s="105"/>
    </row>
    <row r="170" ht="15" spans="1:15">
      <c r="A170" s="337">
        <v>46185</v>
      </c>
      <c r="B170" s="338" t="s">
        <v>160</v>
      </c>
      <c r="C170" s="339">
        <v>0.4</v>
      </c>
      <c r="D170" s="339">
        <v>0.4</v>
      </c>
      <c r="E170" s="340">
        <v>0.083</v>
      </c>
      <c r="F170" s="10">
        <f t="shared" si="8"/>
        <v>0</v>
      </c>
      <c r="G170" s="10">
        <f t="shared" si="9"/>
        <v>0.083</v>
      </c>
      <c r="H170" s="153">
        <f t="shared" si="10"/>
        <v>0.843373493975904</v>
      </c>
      <c r="I170" s="340">
        <v>0.01</v>
      </c>
      <c r="K170" s="340">
        <v>0.07</v>
      </c>
      <c r="L170" s="10">
        <f t="shared" si="11"/>
        <v>9736.79</v>
      </c>
      <c r="M170" s="340"/>
      <c r="N170" s="150" t="s">
        <v>1653</v>
      </c>
      <c r="O170" s="105"/>
    </row>
    <row r="171" ht="15" spans="1:15">
      <c r="A171" s="337">
        <v>46185</v>
      </c>
      <c r="B171" s="338" t="s">
        <v>160</v>
      </c>
      <c r="C171" s="339">
        <v>0.4</v>
      </c>
      <c r="D171" s="339">
        <v>0.97</v>
      </c>
      <c r="E171" s="340">
        <v>249.761</v>
      </c>
      <c r="F171" s="10">
        <f t="shared" si="8"/>
        <v>245.1</v>
      </c>
      <c r="G171" s="10">
        <f t="shared" si="9"/>
        <v>4.66100000000003</v>
      </c>
      <c r="H171" s="153">
        <f t="shared" si="10"/>
        <v>0.790035273721678</v>
      </c>
      <c r="I171" s="340">
        <v>24.98</v>
      </c>
      <c r="K171" s="340">
        <v>197.32</v>
      </c>
      <c r="L171" s="10">
        <f t="shared" si="11"/>
        <v>9539.47</v>
      </c>
      <c r="M171" s="340"/>
      <c r="N171" s="150" t="s">
        <v>1653</v>
      </c>
      <c r="O171" s="105"/>
    </row>
    <row r="172" ht="15" spans="1:15">
      <c r="A172" s="337">
        <v>46185</v>
      </c>
      <c r="B172" s="338" t="s">
        <v>132</v>
      </c>
      <c r="C172" s="339">
        <v>0.44</v>
      </c>
      <c r="D172" s="339">
        <v>0.98</v>
      </c>
      <c r="E172" s="340">
        <v>237.834</v>
      </c>
      <c r="F172" s="10">
        <f t="shared" si="8"/>
        <v>232.2</v>
      </c>
      <c r="G172" s="10">
        <f t="shared" si="9"/>
        <v>5.63399999999999</v>
      </c>
      <c r="H172" s="153">
        <f t="shared" si="10"/>
        <v>0.790004793259164</v>
      </c>
      <c r="I172" s="340">
        <v>23.78</v>
      </c>
      <c r="K172" s="340">
        <v>187.89</v>
      </c>
      <c r="L172" s="10">
        <f t="shared" si="11"/>
        <v>9351.58</v>
      </c>
      <c r="M172" s="340"/>
      <c r="N172" s="150" t="s">
        <v>1653</v>
      </c>
      <c r="O172" s="105"/>
    </row>
    <row r="173" ht="15" spans="1:15">
      <c r="A173" s="337">
        <v>46185</v>
      </c>
      <c r="B173" s="338" t="s">
        <v>124</v>
      </c>
      <c r="C173" s="339">
        <v>0.38</v>
      </c>
      <c r="D173" s="339">
        <v>0.66</v>
      </c>
      <c r="E173" s="340">
        <v>113.95</v>
      </c>
      <c r="F173" s="10">
        <f t="shared" si="8"/>
        <v>120.4</v>
      </c>
      <c r="G173" s="10">
        <f t="shared" si="9"/>
        <v>-6.45</v>
      </c>
      <c r="H173" s="153">
        <f t="shared" si="10"/>
        <v>0.790083369899079</v>
      </c>
      <c r="I173" s="340">
        <v>11.4</v>
      </c>
      <c r="K173" s="340">
        <v>90.03</v>
      </c>
      <c r="L173" s="10">
        <f t="shared" si="11"/>
        <v>9261.55</v>
      </c>
      <c r="M173" s="340"/>
      <c r="N173" s="150" t="s">
        <v>1653</v>
      </c>
      <c r="O173" s="105"/>
    </row>
    <row r="174" ht="15" spans="1:15">
      <c r="A174" s="337">
        <v>46185</v>
      </c>
      <c r="B174" s="338" t="s">
        <v>124</v>
      </c>
      <c r="C174" s="339">
        <v>0.66</v>
      </c>
      <c r="D174" s="339">
        <v>0.95</v>
      </c>
      <c r="E174" s="340">
        <v>122.908</v>
      </c>
      <c r="F174" s="10">
        <f t="shared" si="8"/>
        <v>124.7</v>
      </c>
      <c r="G174" s="10">
        <f t="shared" si="9"/>
        <v>-1.79199999999997</v>
      </c>
      <c r="H174" s="153">
        <f t="shared" si="10"/>
        <v>0.790021804927263</v>
      </c>
      <c r="I174" s="340">
        <v>12.29</v>
      </c>
      <c r="K174" s="340">
        <v>97.1</v>
      </c>
      <c r="L174" s="10">
        <f t="shared" si="11"/>
        <v>9164.45</v>
      </c>
      <c r="M174" s="340"/>
      <c r="N174" s="150" t="s">
        <v>1653</v>
      </c>
      <c r="O174" s="105"/>
    </row>
    <row r="175" ht="15" spans="1:15">
      <c r="A175" s="337">
        <v>46185</v>
      </c>
      <c r="B175" s="338" t="s">
        <v>63</v>
      </c>
      <c r="C175" s="339">
        <v>0.36</v>
      </c>
      <c r="D175" s="339">
        <v>1</v>
      </c>
      <c r="E175" s="340">
        <v>280.2</v>
      </c>
      <c r="F175" s="10">
        <f t="shared" si="8"/>
        <v>275.2</v>
      </c>
      <c r="G175" s="10">
        <f t="shared" si="9"/>
        <v>5</v>
      </c>
      <c r="H175" s="153">
        <f t="shared" si="10"/>
        <v>0.790007137758744</v>
      </c>
      <c r="I175" s="340">
        <v>28.02</v>
      </c>
      <c r="K175" s="340">
        <v>221.36</v>
      </c>
      <c r="L175" s="10">
        <f t="shared" si="11"/>
        <v>8943.09</v>
      </c>
      <c r="M175" s="340"/>
      <c r="N175" s="150" t="s">
        <v>1653</v>
      </c>
      <c r="O175" s="105"/>
    </row>
    <row r="176" ht="15" spans="1:15">
      <c r="A176" s="337">
        <v>46185</v>
      </c>
      <c r="B176" s="338" t="s">
        <v>60</v>
      </c>
      <c r="C176" s="339">
        <v>0.15</v>
      </c>
      <c r="D176" s="339">
        <v>1</v>
      </c>
      <c r="E176" s="340">
        <v>349.734</v>
      </c>
      <c r="F176" s="10">
        <f t="shared" si="8"/>
        <v>365.5</v>
      </c>
      <c r="G176" s="10">
        <f t="shared" si="9"/>
        <v>-15.766</v>
      </c>
      <c r="H176" s="153">
        <f t="shared" si="10"/>
        <v>0.790000400304231</v>
      </c>
      <c r="I176" s="340">
        <v>34.97</v>
      </c>
      <c r="K176" s="340">
        <v>276.29</v>
      </c>
      <c r="L176" s="10">
        <f t="shared" si="11"/>
        <v>8666.8</v>
      </c>
      <c r="M176" s="340"/>
      <c r="N176" s="150" t="s">
        <v>1653</v>
      </c>
      <c r="O176" s="105"/>
    </row>
    <row r="177" ht="15" spans="1:15">
      <c r="A177" s="337">
        <v>46185</v>
      </c>
      <c r="B177" s="338" t="s">
        <v>163</v>
      </c>
      <c r="C177" s="339">
        <v>0.32</v>
      </c>
      <c r="D177" s="339">
        <v>0.94</v>
      </c>
      <c r="E177" s="340">
        <v>268.636</v>
      </c>
      <c r="F177" s="10">
        <f t="shared" si="8"/>
        <v>266.6</v>
      </c>
      <c r="G177" s="10">
        <f t="shared" si="9"/>
        <v>2.03600000000006</v>
      </c>
      <c r="H177" s="153">
        <f t="shared" si="10"/>
        <v>0.789990917077383</v>
      </c>
      <c r="I177" s="340">
        <v>26.86</v>
      </c>
      <c r="K177" s="340">
        <v>212.22</v>
      </c>
      <c r="L177" s="10">
        <f t="shared" si="11"/>
        <v>8454.58</v>
      </c>
      <c r="M177" s="340"/>
      <c r="N177" s="150" t="s">
        <v>1653</v>
      </c>
      <c r="O177" s="105"/>
    </row>
    <row r="178" ht="15" spans="1:15">
      <c r="A178" s="337">
        <v>46185</v>
      </c>
      <c r="B178" s="338" t="s">
        <v>144</v>
      </c>
      <c r="C178" s="339">
        <v>0.27</v>
      </c>
      <c r="D178" s="339">
        <v>1</v>
      </c>
      <c r="E178" s="340">
        <v>316.152</v>
      </c>
      <c r="F178" s="10">
        <f t="shared" si="8"/>
        <v>313.9</v>
      </c>
      <c r="G178" s="10">
        <f t="shared" si="9"/>
        <v>2.25200000000001</v>
      </c>
      <c r="H178" s="153">
        <f t="shared" si="10"/>
        <v>0.790031377312179</v>
      </c>
      <c r="I178" s="340">
        <v>31.62</v>
      </c>
      <c r="K178" s="340">
        <v>249.77</v>
      </c>
      <c r="L178" s="10">
        <f t="shared" si="11"/>
        <v>8204.81</v>
      </c>
      <c r="M178" s="340"/>
      <c r="N178" s="150" t="s">
        <v>1653</v>
      </c>
      <c r="O178" s="105"/>
    </row>
    <row r="179" ht="15" spans="1:15">
      <c r="A179" s="337">
        <v>46185</v>
      </c>
      <c r="B179" s="338" t="s">
        <v>81</v>
      </c>
      <c r="C179" s="339">
        <v>0.26</v>
      </c>
      <c r="D179" s="339">
        <v>1</v>
      </c>
      <c r="E179" s="340">
        <v>344.819</v>
      </c>
      <c r="F179" s="10">
        <f t="shared" si="8"/>
        <v>318.2</v>
      </c>
      <c r="G179" s="10">
        <f t="shared" si="9"/>
        <v>26.619</v>
      </c>
      <c r="H179" s="153">
        <f t="shared" si="10"/>
        <v>0.789979670493795</v>
      </c>
      <c r="I179" s="340">
        <v>34.48</v>
      </c>
      <c r="K179" s="340">
        <v>272.4</v>
      </c>
      <c r="L179" s="10">
        <f t="shared" si="11"/>
        <v>7932.41</v>
      </c>
      <c r="M179" s="340"/>
      <c r="N179" s="150" t="s">
        <v>1653</v>
      </c>
      <c r="O179" s="105"/>
    </row>
    <row r="180" ht="15" spans="1:15">
      <c r="A180" s="333">
        <v>46186</v>
      </c>
      <c r="B180" s="334" t="s">
        <v>141</v>
      </c>
      <c r="C180" s="335">
        <v>0.19</v>
      </c>
      <c r="D180" s="335">
        <v>1</v>
      </c>
      <c r="E180" s="336">
        <v>351.042</v>
      </c>
      <c r="F180" s="10">
        <f t="shared" si="8"/>
        <v>348.3</v>
      </c>
      <c r="G180" s="10">
        <f t="shared" si="9"/>
        <v>2.74199999999996</v>
      </c>
      <c r="H180" s="153">
        <f t="shared" si="10"/>
        <v>0.789990941254893</v>
      </c>
      <c r="I180" s="336">
        <v>35.1</v>
      </c>
      <c r="K180" s="336">
        <v>277.32</v>
      </c>
      <c r="L180" s="10">
        <f t="shared" si="11"/>
        <v>7655.09</v>
      </c>
      <c r="M180" s="105"/>
      <c r="N180" s="150" t="s">
        <v>1653</v>
      </c>
    </row>
    <row r="181" ht="15" spans="1:15">
      <c r="A181" s="337">
        <v>46186</v>
      </c>
      <c r="B181" s="338" t="s">
        <v>172</v>
      </c>
      <c r="C181" s="339">
        <v>0.45</v>
      </c>
      <c r="D181" s="339">
        <v>0.45</v>
      </c>
      <c r="E181" s="340">
        <v>0.589</v>
      </c>
      <c r="F181" s="10">
        <f t="shared" si="8"/>
        <v>0</v>
      </c>
      <c r="G181" s="10">
        <f t="shared" si="9"/>
        <v>0.589</v>
      </c>
      <c r="H181" s="153">
        <f t="shared" si="10"/>
        <v>0.797962648556876</v>
      </c>
      <c r="I181" s="340">
        <v>0.06</v>
      </c>
      <c r="K181" s="340">
        <v>0.47</v>
      </c>
      <c r="L181" s="10">
        <f t="shared" si="11"/>
        <v>7654.62</v>
      </c>
      <c r="M181" s="105"/>
      <c r="N181" s="150" t="s">
        <v>1653</v>
      </c>
    </row>
    <row r="182" ht="15" spans="1:15">
      <c r="A182" s="337">
        <v>46186</v>
      </c>
      <c r="B182" s="338" t="s">
        <v>172</v>
      </c>
      <c r="C182" s="339">
        <v>0.45</v>
      </c>
      <c r="D182" s="339">
        <v>1</v>
      </c>
      <c r="E182" s="340">
        <v>221.687</v>
      </c>
      <c r="F182" s="10">
        <f t="shared" si="8"/>
        <v>236.5</v>
      </c>
      <c r="G182" s="10">
        <f t="shared" si="9"/>
        <v>-14.813</v>
      </c>
      <c r="H182" s="153">
        <f t="shared" si="10"/>
        <v>0.789987685340142</v>
      </c>
      <c r="I182" s="340">
        <v>22.17</v>
      </c>
      <c r="K182" s="340">
        <v>175.13</v>
      </c>
      <c r="L182" s="10">
        <f t="shared" si="11"/>
        <v>7479.49</v>
      </c>
      <c r="M182" s="105"/>
      <c r="N182" s="150" t="s">
        <v>1653</v>
      </c>
    </row>
    <row r="183" ht="15" spans="1:15">
      <c r="A183" s="337">
        <v>46186</v>
      </c>
      <c r="B183" s="338" t="s">
        <v>105</v>
      </c>
      <c r="C183" s="339">
        <v>0.31</v>
      </c>
      <c r="D183" s="339">
        <v>0.95</v>
      </c>
      <c r="E183" s="340">
        <v>299.604</v>
      </c>
      <c r="F183" s="10">
        <f t="shared" si="8"/>
        <v>275.2</v>
      </c>
      <c r="G183" s="10">
        <f t="shared" si="9"/>
        <v>24.4040000000001</v>
      </c>
      <c r="H183" s="153">
        <f t="shared" si="10"/>
        <v>0.790009479179183</v>
      </c>
      <c r="I183" s="340">
        <v>29.96</v>
      </c>
      <c r="K183" s="340">
        <v>236.69</v>
      </c>
      <c r="L183" s="10">
        <f t="shared" si="11"/>
        <v>7242.8</v>
      </c>
      <c r="M183" s="105"/>
      <c r="N183" s="150" t="s">
        <v>1653</v>
      </c>
    </row>
    <row r="184" ht="15" spans="1:15">
      <c r="A184" s="337">
        <v>46186</v>
      </c>
      <c r="B184" s="338" t="s">
        <v>108</v>
      </c>
      <c r="C184" s="339">
        <v>0.45</v>
      </c>
      <c r="D184" s="339">
        <v>1</v>
      </c>
      <c r="E184" s="340">
        <v>258.647</v>
      </c>
      <c r="F184" s="10">
        <f t="shared" si="8"/>
        <v>236.5</v>
      </c>
      <c r="G184" s="10">
        <f t="shared" si="9"/>
        <v>22.147</v>
      </c>
      <c r="H184" s="153">
        <f t="shared" si="10"/>
        <v>0.790034293844506</v>
      </c>
      <c r="I184" s="340">
        <v>25.87</v>
      </c>
      <c r="K184" s="340">
        <v>204.34</v>
      </c>
      <c r="L184" s="10">
        <f t="shared" si="11"/>
        <v>7038.46</v>
      </c>
      <c r="M184" s="105"/>
      <c r="N184" s="150" t="s">
        <v>1653</v>
      </c>
    </row>
    <row r="185" ht="15" spans="1:15">
      <c r="A185" s="337">
        <v>46186</v>
      </c>
      <c r="B185" s="338" t="s">
        <v>130</v>
      </c>
      <c r="C185" s="339">
        <v>0.57</v>
      </c>
      <c r="D185" s="339">
        <v>1</v>
      </c>
      <c r="E185" s="340">
        <v>178.621</v>
      </c>
      <c r="F185" s="10">
        <f t="shared" si="8"/>
        <v>184.9</v>
      </c>
      <c r="G185" s="10">
        <f t="shared" si="9"/>
        <v>-6.27900000000002</v>
      </c>
      <c r="H185" s="153">
        <f t="shared" si="10"/>
        <v>0.789996696916936</v>
      </c>
      <c r="I185" s="340">
        <v>17.86</v>
      </c>
      <c r="K185" s="340">
        <v>141.11</v>
      </c>
      <c r="L185" s="10">
        <f t="shared" si="11"/>
        <v>6897.35</v>
      </c>
      <c r="M185" s="105"/>
      <c r="N185" s="150" t="s">
        <v>1653</v>
      </c>
    </row>
    <row r="186" ht="15" spans="1:15">
      <c r="A186" s="337">
        <v>46186</v>
      </c>
      <c r="B186" s="338" t="s">
        <v>151</v>
      </c>
      <c r="C186" s="339">
        <v>0.36</v>
      </c>
      <c r="D186" s="339">
        <v>0.87</v>
      </c>
      <c r="E186" s="340">
        <v>224.863</v>
      </c>
      <c r="F186" s="10">
        <f t="shared" si="8"/>
        <v>219.3</v>
      </c>
      <c r="G186" s="10">
        <f t="shared" si="9"/>
        <v>5.56299999999999</v>
      </c>
      <c r="H186" s="153">
        <f t="shared" si="10"/>
        <v>0.789947657017829</v>
      </c>
      <c r="I186" s="340">
        <v>22.48</v>
      </c>
      <c r="K186" s="340">
        <v>177.63</v>
      </c>
      <c r="L186" s="10">
        <f t="shared" si="11"/>
        <v>6719.72</v>
      </c>
      <c r="M186" s="105"/>
      <c r="N186" s="150" t="s">
        <v>1653</v>
      </c>
    </row>
    <row r="187" ht="15" spans="1:15">
      <c r="A187" s="337">
        <v>46186</v>
      </c>
      <c r="B187" s="338" t="s">
        <v>138</v>
      </c>
      <c r="C187" s="339">
        <v>0.8</v>
      </c>
      <c r="D187" s="339">
        <v>1</v>
      </c>
      <c r="E187" s="340">
        <v>84.721</v>
      </c>
      <c r="F187" s="10">
        <f t="shared" si="8"/>
        <v>86</v>
      </c>
      <c r="G187" s="10">
        <f t="shared" si="9"/>
        <v>-1.27899999999998</v>
      </c>
      <c r="H187" s="153">
        <f t="shared" si="10"/>
        <v>0.789886804924399</v>
      </c>
      <c r="I187" s="340">
        <v>8.47</v>
      </c>
      <c r="K187" s="340">
        <v>66.92</v>
      </c>
      <c r="L187" s="10">
        <f t="shared" si="11"/>
        <v>6652.8</v>
      </c>
      <c r="M187" s="105"/>
      <c r="N187" s="150" t="s">
        <v>1653</v>
      </c>
    </row>
    <row r="188" ht="15" spans="1:15">
      <c r="A188" s="337">
        <v>46186</v>
      </c>
      <c r="B188" s="338" t="s">
        <v>135</v>
      </c>
      <c r="C188" s="339">
        <v>0.37</v>
      </c>
      <c r="D188" s="339">
        <v>1</v>
      </c>
      <c r="E188" s="340">
        <v>276.608</v>
      </c>
      <c r="F188" s="10">
        <f t="shared" si="8"/>
        <v>270.9</v>
      </c>
      <c r="G188" s="10">
        <f t="shared" si="9"/>
        <v>5.70800000000003</v>
      </c>
      <c r="H188" s="153">
        <f t="shared" si="10"/>
        <v>0.789998843128181</v>
      </c>
      <c r="I188" s="340">
        <v>27.66</v>
      </c>
      <c r="K188" s="340">
        <v>218.52</v>
      </c>
      <c r="L188" s="10">
        <f t="shared" si="11"/>
        <v>6434.28</v>
      </c>
      <c r="M188" s="105"/>
      <c r="N188" s="150" t="s">
        <v>1653</v>
      </c>
    </row>
    <row r="189" ht="15" spans="1:15">
      <c r="A189" s="337">
        <v>46186</v>
      </c>
      <c r="B189" s="338" t="s">
        <v>138</v>
      </c>
      <c r="C189" s="339">
        <v>0.79</v>
      </c>
      <c r="D189" s="339">
        <v>1</v>
      </c>
      <c r="E189" s="340">
        <v>90.699</v>
      </c>
      <c r="F189" s="10">
        <f t="shared" ref="F189:F213" si="12">(D189-C189)*430</f>
        <v>90.3</v>
      </c>
      <c r="G189" s="10">
        <f t="shared" ref="G189:G213" si="13">E189-F189</f>
        <v>0.399000000000015</v>
      </c>
      <c r="H189" s="153">
        <f t="shared" ref="H189:H213" si="14">K189/E189</f>
        <v>0.789975633689456</v>
      </c>
      <c r="I189" s="340">
        <v>9.07</v>
      </c>
      <c r="K189" s="340">
        <v>71.65</v>
      </c>
      <c r="L189" s="10">
        <f t="shared" si="11"/>
        <v>6362.63</v>
      </c>
      <c r="M189" s="105"/>
      <c r="N189" s="150" t="s">
        <v>1653</v>
      </c>
    </row>
    <row r="190" ht="15" spans="1:15">
      <c r="A190" s="337">
        <v>46186</v>
      </c>
      <c r="B190" s="338" t="s">
        <v>151</v>
      </c>
      <c r="C190" s="339">
        <v>0.69</v>
      </c>
      <c r="D190" s="339">
        <v>1</v>
      </c>
      <c r="E190" s="340">
        <v>136.926</v>
      </c>
      <c r="F190" s="10">
        <f t="shared" si="12"/>
        <v>133.3</v>
      </c>
      <c r="G190" s="10">
        <f t="shared" si="13"/>
        <v>3.62599999999998</v>
      </c>
      <c r="H190" s="153">
        <f t="shared" si="14"/>
        <v>0.789988753049092</v>
      </c>
      <c r="I190" s="340">
        <v>13.69</v>
      </c>
      <c r="K190" s="340">
        <v>108.17</v>
      </c>
      <c r="L190" s="10">
        <f t="shared" si="11"/>
        <v>6254.46</v>
      </c>
      <c r="M190" s="105"/>
      <c r="N190" s="150" t="s">
        <v>1653</v>
      </c>
    </row>
    <row r="191" ht="15" spans="1:15">
      <c r="A191" s="337">
        <v>46186</v>
      </c>
      <c r="B191" s="338" t="s">
        <v>151</v>
      </c>
      <c r="C191" s="339">
        <v>0.99</v>
      </c>
      <c r="D191" s="339">
        <v>1</v>
      </c>
      <c r="E191" s="340">
        <v>0.413</v>
      </c>
      <c r="F191" s="10">
        <f t="shared" si="12"/>
        <v>4.3</v>
      </c>
      <c r="G191" s="10">
        <f t="shared" si="13"/>
        <v>-3.887</v>
      </c>
      <c r="H191" s="153">
        <f t="shared" si="14"/>
        <v>0.774818401937046</v>
      </c>
      <c r="I191" s="340">
        <v>0.04</v>
      </c>
      <c r="K191" s="340">
        <v>0.32</v>
      </c>
      <c r="L191" s="10">
        <f t="shared" si="11"/>
        <v>6254.14</v>
      </c>
      <c r="M191" s="105"/>
      <c r="N191" s="150" t="s">
        <v>1653</v>
      </c>
    </row>
    <row r="192" ht="15" spans="1:15">
      <c r="A192" s="337">
        <v>46186</v>
      </c>
      <c r="B192" s="338" t="s">
        <v>151</v>
      </c>
      <c r="C192" s="339">
        <v>0.99</v>
      </c>
      <c r="D192" s="339">
        <v>0.99</v>
      </c>
      <c r="E192" s="340">
        <v>0.028</v>
      </c>
      <c r="F192" s="10">
        <f t="shared" si="12"/>
        <v>0</v>
      </c>
      <c r="G192" s="10">
        <f t="shared" si="13"/>
        <v>0.028</v>
      </c>
      <c r="H192" s="153">
        <f t="shared" si="14"/>
        <v>0.714285714285714</v>
      </c>
      <c r="I192" s="340">
        <v>0</v>
      </c>
      <c r="K192" s="340">
        <v>0.02</v>
      </c>
      <c r="L192" s="10">
        <f t="shared" si="11"/>
        <v>6254.12</v>
      </c>
      <c r="M192" s="105"/>
      <c r="N192" s="150" t="s">
        <v>1653</v>
      </c>
    </row>
    <row r="193" ht="15" spans="1:14">
      <c r="A193" s="337">
        <v>46186</v>
      </c>
      <c r="B193" s="338" t="s">
        <v>114</v>
      </c>
      <c r="C193" s="339">
        <v>0.19</v>
      </c>
      <c r="D193" s="339">
        <v>0.63</v>
      </c>
      <c r="E193" s="340">
        <v>180.473</v>
      </c>
      <c r="F193" s="10">
        <f t="shared" si="12"/>
        <v>189.2</v>
      </c>
      <c r="G193" s="10">
        <f t="shared" si="13"/>
        <v>-8.72699999999998</v>
      </c>
      <c r="H193" s="153">
        <f t="shared" si="14"/>
        <v>0.790035074498678</v>
      </c>
      <c r="I193" s="340">
        <v>18.05</v>
      </c>
      <c r="K193" s="340">
        <v>142.58</v>
      </c>
      <c r="L193" s="10">
        <f t="shared" si="11"/>
        <v>6111.54</v>
      </c>
      <c r="M193" s="105"/>
      <c r="N193" s="150" t="s">
        <v>1653</v>
      </c>
    </row>
    <row r="194" ht="15" spans="1:14">
      <c r="A194" s="337">
        <v>46186</v>
      </c>
      <c r="B194" s="338" t="s">
        <v>75</v>
      </c>
      <c r="C194" s="339">
        <v>0.32</v>
      </c>
      <c r="D194" s="339">
        <v>0.96</v>
      </c>
      <c r="E194" s="340">
        <v>299.285</v>
      </c>
      <c r="F194" s="10">
        <f t="shared" si="12"/>
        <v>275.2</v>
      </c>
      <c r="G194" s="10">
        <f t="shared" si="13"/>
        <v>24.0850000000001</v>
      </c>
      <c r="H194" s="153">
        <f t="shared" si="14"/>
        <v>0.790016205289273</v>
      </c>
      <c r="I194" s="340">
        <v>29.93</v>
      </c>
      <c r="K194" s="340">
        <v>236.44</v>
      </c>
      <c r="L194" s="10">
        <f t="shared" si="11"/>
        <v>5875.1</v>
      </c>
      <c r="M194" s="105"/>
      <c r="N194" s="150" t="s">
        <v>1653</v>
      </c>
    </row>
    <row r="195" ht="15" spans="1:14">
      <c r="A195" s="337">
        <v>46186</v>
      </c>
      <c r="B195" s="338" t="s">
        <v>339</v>
      </c>
      <c r="C195" s="339">
        <v>0.36</v>
      </c>
      <c r="D195" s="339">
        <v>1</v>
      </c>
      <c r="E195" s="340">
        <v>278.573</v>
      </c>
      <c r="F195" s="10">
        <f t="shared" si="12"/>
        <v>275.2</v>
      </c>
      <c r="G195" s="10">
        <f t="shared" si="13"/>
        <v>3.37299999999999</v>
      </c>
      <c r="H195" s="153">
        <f t="shared" si="14"/>
        <v>0.790026312672082</v>
      </c>
      <c r="I195" s="340">
        <v>27.86</v>
      </c>
      <c r="K195" s="340">
        <v>220.08</v>
      </c>
      <c r="L195" s="10">
        <f t="shared" ref="L195:L258" si="15">L194+J195-K195</f>
        <v>5655.02</v>
      </c>
      <c r="M195" s="105"/>
      <c r="N195" s="150" t="s">
        <v>1653</v>
      </c>
    </row>
    <row r="196" ht="15" spans="1:14">
      <c r="A196" s="337">
        <v>46186</v>
      </c>
      <c r="B196" s="338" t="s">
        <v>93</v>
      </c>
      <c r="C196" s="339">
        <v>0.48</v>
      </c>
      <c r="D196" s="339">
        <v>1</v>
      </c>
      <c r="E196" s="340">
        <v>237.976</v>
      </c>
      <c r="F196" s="10">
        <f t="shared" si="12"/>
        <v>223.6</v>
      </c>
      <c r="G196" s="10">
        <f t="shared" si="13"/>
        <v>14.376</v>
      </c>
      <c r="H196" s="153">
        <f t="shared" si="14"/>
        <v>0.78999562981141</v>
      </c>
      <c r="I196" s="340">
        <v>23.8</v>
      </c>
      <c r="K196" s="340">
        <v>188</v>
      </c>
      <c r="L196" s="10">
        <f t="shared" si="15"/>
        <v>5467.02</v>
      </c>
      <c r="M196" s="105"/>
      <c r="N196" s="150" t="s">
        <v>1653</v>
      </c>
    </row>
    <row r="197" ht="15" spans="1:14">
      <c r="A197" s="337">
        <v>46186</v>
      </c>
      <c r="B197" s="338" t="s">
        <v>114</v>
      </c>
      <c r="C197" s="339">
        <v>0.59</v>
      </c>
      <c r="D197" s="339">
        <v>0.9</v>
      </c>
      <c r="E197" s="340">
        <v>124.29</v>
      </c>
      <c r="F197" s="10">
        <f t="shared" si="12"/>
        <v>133.3</v>
      </c>
      <c r="G197" s="10">
        <f t="shared" si="13"/>
        <v>-9.01000000000001</v>
      </c>
      <c r="H197" s="153">
        <f t="shared" si="14"/>
        <v>0.790007241129616</v>
      </c>
      <c r="I197" s="340">
        <v>12.43</v>
      </c>
      <c r="K197" s="340">
        <v>98.19</v>
      </c>
      <c r="L197" s="10">
        <f t="shared" si="15"/>
        <v>5368.83</v>
      </c>
      <c r="M197" s="105"/>
      <c r="N197" s="150" t="s">
        <v>1653</v>
      </c>
    </row>
    <row r="198" ht="15" spans="1:14">
      <c r="A198" s="337">
        <v>46186</v>
      </c>
      <c r="B198" s="338" t="s">
        <v>99</v>
      </c>
      <c r="C198" s="339">
        <v>0.28</v>
      </c>
      <c r="D198" s="339">
        <v>0.95</v>
      </c>
      <c r="E198" s="340">
        <v>314.895</v>
      </c>
      <c r="F198" s="10">
        <f t="shared" si="12"/>
        <v>288.1</v>
      </c>
      <c r="G198" s="10">
        <f t="shared" si="13"/>
        <v>26.795</v>
      </c>
      <c r="H198" s="153">
        <f t="shared" si="14"/>
        <v>0.790009368202099</v>
      </c>
      <c r="I198" s="340">
        <v>31.49</v>
      </c>
      <c r="K198" s="340">
        <v>248.77</v>
      </c>
      <c r="L198" s="10">
        <f t="shared" si="15"/>
        <v>5120.06</v>
      </c>
      <c r="M198" s="105"/>
      <c r="N198" s="150" t="s">
        <v>1653</v>
      </c>
    </row>
    <row r="199" ht="15" spans="1:14">
      <c r="A199" s="337">
        <v>46187</v>
      </c>
      <c r="B199" s="338" t="s">
        <v>84</v>
      </c>
      <c r="C199" s="339">
        <v>0.27</v>
      </c>
      <c r="D199" s="339">
        <v>1</v>
      </c>
      <c r="E199" s="340">
        <v>338.28</v>
      </c>
      <c r="F199" s="10">
        <f t="shared" si="12"/>
        <v>313.9</v>
      </c>
      <c r="G199" s="10">
        <f t="shared" si="13"/>
        <v>24.38</v>
      </c>
      <c r="H199" s="153">
        <f t="shared" si="14"/>
        <v>0.789996452642781</v>
      </c>
      <c r="I199" s="340">
        <v>33.83</v>
      </c>
      <c r="J199" s="144">
        <v>20000</v>
      </c>
      <c r="K199" s="340">
        <v>267.24</v>
      </c>
      <c r="L199" s="10">
        <f t="shared" si="15"/>
        <v>24852.82</v>
      </c>
      <c r="M199" s="105"/>
      <c r="N199" s="150" t="s">
        <v>1653</v>
      </c>
    </row>
    <row r="200" ht="15" spans="1:14">
      <c r="A200" s="337">
        <v>46187</v>
      </c>
      <c r="B200" s="338" t="s">
        <v>54</v>
      </c>
      <c r="C200" s="339">
        <v>0.25</v>
      </c>
      <c r="D200" s="339">
        <v>1</v>
      </c>
      <c r="E200" s="340">
        <v>304.891</v>
      </c>
      <c r="F200" s="10">
        <f t="shared" si="12"/>
        <v>322.5</v>
      </c>
      <c r="G200" s="10">
        <f t="shared" si="13"/>
        <v>-17.609</v>
      </c>
      <c r="H200" s="153">
        <f t="shared" si="14"/>
        <v>0.789987241341988</v>
      </c>
      <c r="I200" s="340">
        <v>30.49</v>
      </c>
      <c r="K200" s="340">
        <v>240.86</v>
      </c>
      <c r="L200" s="10">
        <f t="shared" si="15"/>
        <v>24611.96</v>
      </c>
      <c r="M200" s="105"/>
      <c r="N200" s="150" t="s">
        <v>1653</v>
      </c>
    </row>
    <row r="201" ht="15" spans="1:14">
      <c r="A201" s="337">
        <v>46187</v>
      </c>
      <c r="B201" s="338" t="s">
        <v>51</v>
      </c>
      <c r="C201" s="339">
        <v>0.16</v>
      </c>
      <c r="D201" s="339">
        <v>1</v>
      </c>
      <c r="E201" s="340">
        <v>340.014</v>
      </c>
      <c r="F201" s="10">
        <f t="shared" si="12"/>
        <v>361.2</v>
      </c>
      <c r="G201" s="10">
        <f t="shared" si="13"/>
        <v>-21.186</v>
      </c>
      <c r="H201" s="153">
        <f t="shared" si="14"/>
        <v>0.78999688248131</v>
      </c>
      <c r="I201" s="340">
        <v>34</v>
      </c>
      <c r="K201" s="340">
        <v>268.61</v>
      </c>
      <c r="L201" s="10">
        <f t="shared" si="15"/>
        <v>24343.35</v>
      </c>
      <c r="M201" s="105"/>
      <c r="N201" s="150" t="s">
        <v>1653</v>
      </c>
    </row>
    <row r="202" ht="15" spans="1:14">
      <c r="A202" s="337">
        <v>46187</v>
      </c>
      <c r="B202" s="338" t="s">
        <v>183</v>
      </c>
      <c r="C202" s="339">
        <v>0.3</v>
      </c>
      <c r="D202" s="339">
        <v>0.31</v>
      </c>
      <c r="E202" s="340">
        <v>5.678</v>
      </c>
      <c r="F202" s="10">
        <f t="shared" si="12"/>
        <v>4.3</v>
      </c>
      <c r="G202" s="10">
        <f t="shared" si="13"/>
        <v>1.378</v>
      </c>
      <c r="H202" s="153">
        <f t="shared" si="14"/>
        <v>0.790771398379711</v>
      </c>
      <c r="I202" s="340">
        <v>0.57</v>
      </c>
      <c r="K202" s="340">
        <v>4.49</v>
      </c>
      <c r="L202" s="10">
        <f t="shared" si="15"/>
        <v>24338.86</v>
      </c>
      <c r="M202" s="105"/>
      <c r="N202" s="150" t="s">
        <v>1653</v>
      </c>
    </row>
    <row r="203" ht="15" spans="1:14">
      <c r="A203" s="337">
        <v>46187</v>
      </c>
      <c r="B203" s="338" t="s">
        <v>183</v>
      </c>
      <c r="C203" s="339">
        <v>0.31</v>
      </c>
      <c r="D203" s="339">
        <v>1</v>
      </c>
      <c r="E203" s="340">
        <v>298.665</v>
      </c>
      <c r="F203" s="10">
        <f t="shared" si="12"/>
        <v>296.7</v>
      </c>
      <c r="G203" s="10">
        <f t="shared" si="13"/>
        <v>1.96500000000003</v>
      </c>
      <c r="H203" s="153">
        <f t="shared" si="14"/>
        <v>0.790015569283311</v>
      </c>
      <c r="I203" s="340">
        <v>29.87</v>
      </c>
      <c r="K203" s="340">
        <v>235.95</v>
      </c>
      <c r="L203" s="10">
        <f t="shared" si="15"/>
        <v>24102.91</v>
      </c>
      <c r="M203" s="105"/>
      <c r="N203" s="150" t="s">
        <v>1653</v>
      </c>
    </row>
    <row r="204" ht="15" spans="1:14">
      <c r="A204" s="337">
        <v>46187</v>
      </c>
      <c r="B204" s="338" t="s">
        <v>111</v>
      </c>
      <c r="C204" s="339">
        <v>0.35</v>
      </c>
      <c r="D204" s="339">
        <v>1</v>
      </c>
      <c r="E204" s="340">
        <v>259.308</v>
      </c>
      <c r="F204" s="10">
        <f t="shared" si="12"/>
        <v>279.5</v>
      </c>
      <c r="G204" s="10">
        <f t="shared" si="13"/>
        <v>-20.192</v>
      </c>
      <c r="H204" s="153">
        <f t="shared" si="14"/>
        <v>0.789987196692736</v>
      </c>
      <c r="I204" s="340">
        <v>25.93</v>
      </c>
      <c r="K204" s="340">
        <v>204.85</v>
      </c>
      <c r="L204" s="10">
        <f t="shared" si="15"/>
        <v>23898.06</v>
      </c>
      <c r="M204" s="105"/>
      <c r="N204" s="150" t="s">
        <v>1653</v>
      </c>
    </row>
    <row r="205" ht="15" spans="1:14">
      <c r="A205" s="337">
        <v>46187</v>
      </c>
      <c r="B205" s="338" t="s">
        <v>81</v>
      </c>
      <c r="C205" s="339">
        <v>0.22</v>
      </c>
      <c r="D205" s="339">
        <v>1</v>
      </c>
      <c r="E205" s="340">
        <v>358.89</v>
      </c>
      <c r="F205" s="10">
        <f t="shared" si="12"/>
        <v>335.4</v>
      </c>
      <c r="G205" s="10">
        <f t="shared" si="13"/>
        <v>23.49</v>
      </c>
      <c r="H205" s="153">
        <f t="shared" si="14"/>
        <v>0.789991362255844</v>
      </c>
      <c r="I205" s="340">
        <v>35.89</v>
      </c>
      <c r="K205" s="340">
        <v>283.52</v>
      </c>
      <c r="L205" s="10">
        <f t="shared" si="15"/>
        <v>23614.54</v>
      </c>
      <c r="M205" s="105"/>
      <c r="N205" s="150" t="s">
        <v>1653</v>
      </c>
    </row>
    <row r="206" ht="15" spans="1:14">
      <c r="A206" s="337">
        <v>46187</v>
      </c>
      <c r="B206" s="338" t="s">
        <v>87</v>
      </c>
      <c r="C206" s="339">
        <v>0.43</v>
      </c>
      <c r="D206" s="339">
        <v>1</v>
      </c>
      <c r="E206" s="340">
        <v>252.988</v>
      </c>
      <c r="F206" s="10">
        <f t="shared" si="12"/>
        <v>245.1</v>
      </c>
      <c r="G206" s="10">
        <f t="shared" si="13"/>
        <v>7.88799999999998</v>
      </c>
      <c r="H206" s="153">
        <f t="shared" si="14"/>
        <v>0.789997944566541</v>
      </c>
      <c r="I206" s="340">
        <v>25.3</v>
      </c>
      <c r="K206" s="340">
        <v>199.86</v>
      </c>
      <c r="L206" s="10">
        <f t="shared" si="15"/>
        <v>23414.68</v>
      </c>
      <c r="M206" s="105"/>
      <c r="N206" s="150" t="s">
        <v>1653</v>
      </c>
    </row>
    <row r="207" ht="15" spans="1:14">
      <c r="A207" s="337">
        <v>46187</v>
      </c>
      <c r="B207" s="338" t="s">
        <v>78</v>
      </c>
      <c r="C207" s="339">
        <v>0.25</v>
      </c>
      <c r="D207" s="339">
        <v>1</v>
      </c>
      <c r="E207" s="340">
        <v>334.674</v>
      </c>
      <c r="F207" s="10">
        <f t="shared" si="12"/>
        <v>322.5</v>
      </c>
      <c r="G207" s="10">
        <f t="shared" si="13"/>
        <v>12.174</v>
      </c>
      <c r="H207" s="153">
        <f t="shared" si="14"/>
        <v>0.790022529386806</v>
      </c>
      <c r="I207" s="340">
        <v>33.47</v>
      </c>
      <c r="K207" s="340">
        <v>264.4</v>
      </c>
      <c r="L207" s="10">
        <f t="shared" si="15"/>
        <v>23150.28</v>
      </c>
      <c r="M207" s="105"/>
      <c r="N207" s="150" t="s">
        <v>1653</v>
      </c>
    </row>
    <row r="208" ht="15" spans="1:14">
      <c r="A208" s="337">
        <v>46187</v>
      </c>
      <c r="B208" s="338" t="s">
        <v>96</v>
      </c>
      <c r="C208" s="339">
        <v>0.47</v>
      </c>
      <c r="D208" s="339">
        <v>1</v>
      </c>
      <c r="E208" s="340">
        <v>238.463</v>
      </c>
      <c r="F208" s="10">
        <f t="shared" si="12"/>
        <v>227.9</v>
      </c>
      <c r="G208" s="10">
        <f t="shared" si="13"/>
        <v>10.563</v>
      </c>
      <c r="H208" s="153">
        <f t="shared" si="14"/>
        <v>0.790017738600957</v>
      </c>
      <c r="I208" s="340">
        <v>23.85</v>
      </c>
      <c r="K208" s="340">
        <v>188.39</v>
      </c>
      <c r="L208" s="10">
        <f t="shared" si="15"/>
        <v>22961.89</v>
      </c>
      <c r="M208" s="105"/>
      <c r="N208" s="150" t="s">
        <v>1653</v>
      </c>
    </row>
    <row r="209" ht="15" spans="1:16">
      <c r="A209" s="337">
        <v>46187</v>
      </c>
      <c r="B209" s="338" t="s">
        <v>60</v>
      </c>
      <c r="C209" s="339">
        <v>0.2</v>
      </c>
      <c r="D209" s="339">
        <v>1</v>
      </c>
      <c r="E209" s="340">
        <v>327.141</v>
      </c>
      <c r="F209" s="10">
        <f t="shared" si="12"/>
        <v>344</v>
      </c>
      <c r="G209" s="10">
        <f t="shared" si="13"/>
        <v>-16.859</v>
      </c>
      <c r="H209" s="153">
        <f t="shared" si="14"/>
        <v>0.789995751067582</v>
      </c>
      <c r="I209" s="340">
        <v>32.71</v>
      </c>
      <c r="K209" s="340">
        <v>258.44</v>
      </c>
      <c r="L209" s="10">
        <f t="shared" si="15"/>
        <v>22703.45</v>
      </c>
      <c r="M209" s="105"/>
      <c r="N209" s="150" t="s">
        <v>1653</v>
      </c>
    </row>
    <row r="210" ht="15" spans="1:16">
      <c r="A210" s="337">
        <v>46187</v>
      </c>
      <c r="B210" s="338" t="s">
        <v>117</v>
      </c>
      <c r="C210" s="339">
        <v>0.37</v>
      </c>
      <c r="D210" s="339">
        <v>0.97</v>
      </c>
      <c r="E210" s="340">
        <v>249.373</v>
      </c>
      <c r="F210" s="10">
        <f t="shared" si="12"/>
        <v>258</v>
      </c>
      <c r="G210" s="10">
        <f t="shared" si="13"/>
        <v>-8.62700000000001</v>
      </c>
      <c r="H210" s="153">
        <f t="shared" si="14"/>
        <v>0.790021373605001</v>
      </c>
      <c r="I210" s="340">
        <v>24.94</v>
      </c>
      <c r="K210" s="340">
        <v>197.01</v>
      </c>
      <c r="L210" s="10">
        <f t="shared" si="15"/>
        <v>22506.44</v>
      </c>
      <c r="M210" s="105"/>
      <c r="N210" s="150" t="s">
        <v>1653</v>
      </c>
    </row>
    <row r="211" ht="15" spans="1:16">
      <c r="A211" s="337">
        <v>46187</v>
      </c>
      <c r="B211" s="338" t="s">
        <v>57</v>
      </c>
      <c r="C211" s="339">
        <v>0.31</v>
      </c>
      <c r="D211" s="339">
        <v>0.99</v>
      </c>
      <c r="E211" s="340">
        <v>280.199</v>
      </c>
      <c r="F211" s="10">
        <f t="shared" si="12"/>
        <v>292.4</v>
      </c>
      <c r="G211" s="10">
        <f t="shared" si="13"/>
        <v>-12.201</v>
      </c>
      <c r="H211" s="153">
        <f t="shared" si="14"/>
        <v>0.790009957208984</v>
      </c>
      <c r="I211" s="340">
        <v>28.02</v>
      </c>
      <c r="K211" s="340">
        <v>221.36</v>
      </c>
      <c r="L211" s="10">
        <f t="shared" si="15"/>
        <v>22285.08</v>
      </c>
      <c r="M211" s="105"/>
      <c r="N211" s="150" t="s">
        <v>1653</v>
      </c>
    </row>
    <row r="212" ht="15" spans="1:16">
      <c r="A212" s="337">
        <v>46187</v>
      </c>
      <c r="B212" s="338" t="s">
        <v>66</v>
      </c>
      <c r="C212" s="339">
        <v>0.24</v>
      </c>
      <c r="D212" s="339">
        <v>0.95</v>
      </c>
      <c r="E212" s="340">
        <v>326.438</v>
      </c>
      <c r="F212" s="10">
        <f t="shared" si="12"/>
        <v>305.3</v>
      </c>
      <c r="G212" s="10">
        <f t="shared" si="13"/>
        <v>21.138</v>
      </c>
      <c r="H212" s="153">
        <f t="shared" si="14"/>
        <v>0.789981558519535</v>
      </c>
      <c r="I212" s="340">
        <v>32.64</v>
      </c>
      <c r="K212" s="340">
        <v>257.88</v>
      </c>
      <c r="L212" s="10">
        <f t="shared" si="15"/>
        <v>22027.2</v>
      </c>
      <c r="M212" s="105"/>
      <c r="N212" s="150" t="s">
        <v>1653</v>
      </c>
    </row>
    <row r="213" ht="15" spans="1:16">
      <c r="A213" s="337">
        <v>46187</v>
      </c>
      <c r="B213" s="338" t="s">
        <v>102</v>
      </c>
      <c r="C213" s="339">
        <v>0.42</v>
      </c>
      <c r="D213" s="339">
        <v>0.95</v>
      </c>
      <c r="E213" s="340">
        <v>239.528</v>
      </c>
      <c r="F213" s="10">
        <f t="shared" si="12"/>
        <v>227.9</v>
      </c>
      <c r="G213" s="10">
        <f t="shared" si="13"/>
        <v>11.628</v>
      </c>
      <c r="H213" s="153">
        <f t="shared" si="14"/>
        <v>0.789970274873919</v>
      </c>
      <c r="I213" s="340">
        <v>23.95</v>
      </c>
      <c r="K213" s="340">
        <v>189.22</v>
      </c>
      <c r="L213" s="10">
        <f t="shared" si="15"/>
        <v>21837.98</v>
      </c>
      <c r="M213" s="105"/>
      <c r="N213" s="150" t="s">
        <v>1653</v>
      </c>
    </row>
    <row r="214" ht="15" spans="1:16">
      <c r="A214" s="333">
        <v>46188</v>
      </c>
      <c r="B214" s="334" t="s">
        <v>132</v>
      </c>
      <c r="C214" s="335">
        <v>0.38</v>
      </c>
      <c r="D214" s="335">
        <v>1</v>
      </c>
      <c r="E214" s="336">
        <v>270.739</v>
      </c>
      <c r="F214" s="10">
        <v>266.6</v>
      </c>
      <c r="G214" s="10">
        <v>4.13899999999995</v>
      </c>
      <c r="H214" s="153">
        <v>0.7899859274061</v>
      </c>
      <c r="I214" s="336">
        <v>27.07</v>
      </c>
      <c r="K214" s="336">
        <v>213.88</v>
      </c>
      <c r="L214" s="10">
        <f t="shared" si="15"/>
        <v>21624.1</v>
      </c>
      <c r="N214" s="150" t="s">
        <v>1653</v>
      </c>
      <c r="O214" s="105"/>
      <c r="P214" s="150"/>
    </row>
    <row r="215" ht="15" spans="1:16">
      <c r="A215" s="337">
        <v>46188</v>
      </c>
      <c r="B215" s="338" t="s">
        <v>127</v>
      </c>
      <c r="C215" s="339">
        <v>0.29</v>
      </c>
      <c r="D215" s="339">
        <v>1</v>
      </c>
      <c r="E215" s="340">
        <v>292.624</v>
      </c>
      <c r="F215" s="10">
        <v>305.3</v>
      </c>
      <c r="G215" s="10">
        <v>-12.676</v>
      </c>
      <c r="H215" s="153">
        <v>0.789989884630105</v>
      </c>
      <c r="I215" s="340">
        <v>29.26</v>
      </c>
      <c r="K215" s="340">
        <v>231.17</v>
      </c>
      <c r="L215" s="10">
        <f t="shared" si="15"/>
        <v>21392.93</v>
      </c>
      <c r="N215" s="150" t="s">
        <v>1653</v>
      </c>
      <c r="O215" s="105"/>
      <c r="P215" s="150"/>
    </row>
    <row r="216" ht="15" spans="1:16">
      <c r="A216" s="337">
        <v>46188</v>
      </c>
      <c r="B216" s="338" t="s">
        <v>63</v>
      </c>
      <c r="C216" s="339">
        <v>0.37</v>
      </c>
      <c r="D216" s="339">
        <v>1</v>
      </c>
      <c r="E216" s="340">
        <v>270.872</v>
      </c>
      <c r="F216" s="10">
        <v>270.9</v>
      </c>
      <c r="G216" s="10">
        <v>-0.0279999999999632</v>
      </c>
      <c r="H216" s="153">
        <v>0.790004134794294</v>
      </c>
      <c r="I216" s="340">
        <v>27.09</v>
      </c>
      <c r="K216" s="340">
        <v>213.99</v>
      </c>
      <c r="L216" s="10">
        <f t="shared" si="15"/>
        <v>21178.94</v>
      </c>
      <c r="N216" s="150" t="s">
        <v>1653</v>
      </c>
      <c r="O216" s="105"/>
      <c r="P216" s="150"/>
    </row>
    <row r="217" ht="15" spans="1:16">
      <c r="A217" s="337">
        <v>46188</v>
      </c>
      <c r="B217" s="338" t="s">
        <v>72</v>
      </c>
      <c r="C217" s="339">
        <v>0.31</v>
      </c>
      <c r="D217" s="339">
        <v>1</v>
      </c>
      <c r="E217" s="340">
        <v>313.65</v>
      </c>
      <c r="F217" s="10">
        <v>296.7</v>
      </c>
      <c r="G217" s="10">
        <v>16.95</v>
      </c>
      <c r="H217" s="153">
        <v>0.789988841064881</v>
      </c>
      <c r="I217" s="340">
        <v>31.37</v>
      </c>
      <c r="K217" s="340">
        <v>247.78</v>
      </c>
      <c r="L217" s="10">
        <f t="shared" si="15"/>
        <v>20931.16</v>
      </c>
      <c r="N217" s="150" t="s">
        <v>1653</v>
      </c>
      <c r="O217" s="105"/>
      <c r="P217" s="150"/>
    </row>
    <row r="218" ht="15" spans="1:16">
      <c r="A218" s="337">
        <v>46188</v>
      </c>
      <c r="B218" s="338" t="s">
        <v>180</v>
      </c>
      <c r="C218" s="339">
        <v>0.28</v>
      </c>
      <c r="D218" s="339">
        <v>1</v>
      </c>
      <c r="E218" s="340">
        <v>323.953</v>
      </c>
      <c r="F218" s="10">
        <v>309.6</v>
      </c>
      <c r="G218" s="10">
        <v>14.353</v>
      </c>
      <c r="H218" s="153">
        <v>0.790022009365556</v>
      </c>
      <c r="I218" s="340">
        <v>32.4</v>
      </c>
      <c r="K218" s="340">
        <v>255.93</v>
      </c>
      <c r="L218" s="10">
        <f t="shared" si="15"/>
        <v>20675.23</v>
      </c>
      <c r="N218" s="150" t="s">
        <v>1653</v>
      </c>
      <c r="O218" s="105"/>
      <c r="P218" s="150"/>
    </row>
    <row r="219" ht="15" spans="1:16">
      <c r="A219" s="337">
        <v>46188</v>
      </c>
      <c r="B219" s="338" t="s">
        <v>172</v>
      </c>
      <c r="C219" s="339">
        <v>0.72</v>
      </c>
      <c r="D219" s="339">
        <v>1</v>
      </c>
      <c r="E219" s="340">
        <v>110.11</v>
      </c>
      <c r="F219" s="10">
        <v>120.4</v>
      </c>
      <c r="G219" s="10">
        <v>-10.29</v>
      </c>
      <c r="H219" s="153">
        <v>0.790028153664517</v>
      </c>
      <c r="I219" s="340">
        <v>11.01</v>
      </c>
      <c r="K219" s="340">
        <v>86.99</v>
      </c>
      <c r="L219" s="10">
        <f t="shared" si="15"/>
        <v>20588.24</v>
      </c>
      <c r="N219" s="150" t="s">
        <v>1653</v>
      </c>
      <c r="O219" s="105"/>
      <c r="P219" s="150"/>
    </row>
    <row r="220" ht="15" spans="1:16">
      <c r="A220" s="337">
        <v>46188</v>
      </c>
      <c r="B220" s="338" t="s">
        <v>177</v>
      </c>
      <c r="C220" s="339">
        <v>0.35</v>
      </c>
      <c r="D220" s="339">
        <v>1</v>
      </c>
      <c r="E220" s="340">
        <v>281.928</v>
      </c>
      <c r="F220" s="10">
        <v>279.5</v>
      </c>
      <c r="G220" s="10">
        <v>2.428</v>
      </c>
      <c r="H220" s="153">
        <v>0.789988933344684</v>
      </c>
      <c r="I220" s="340">
        <v>28.19</v>
      </c>
      <c r="K220" s="340">
        <v>222.72</v>
      </c>
      <c r="L220" s="10">
        <f t="shared" si="15"/>
        <v>20365.52</v>
      </c>
      <c r="N220" s="150" t="s">
        <v>1653</v>
      </c>
      <c r="O220" s="105"/>
      <c r="P220" s="150"/>
    </row>
    <row r="221" ht="15" spans="1:16">
      <c r="A221" s="337">
        <v>46188</v>
      </c>
      <c r="B221" s="338" t="s">
        <v>166</v>
      </c>
      <c r="C221" s="339">
        <v>0.05</v>
      </c>
      <c r="D221" s="339">
        <v>1</v>
      </c>
      <c r="E221" s="340">
        <v>410.787</v>
      </c>
      <c r="F221" s="10">
        <v>408.5</v>
      </c>
      <c r="G221" s="10">
        <v>2.28699999999998</v>
      </c>
      <c r="H221" s="153">
        <v>0.789995788571693</v>
      </c>
      <c r="I221" s="340">
        <v>41.08</v>
      </c>
      <c r="K221" s="340">
        <v>324.52</v>
      </c>
      <c r="L221" s="10">
        <f t="shared" si="15"/>
        <v>20041</v>
      </c>
      <c r="N221" s="150" t="s">
        <v>1653</v>
      </c>
      <c r="O221" s="105"/>
      <c r="P221" s="150"/>
    </row>
    <row r="222" ht="15" spans="1:16">
      <c r="A222" s="337">
        <v>46188</v>
      </c>
      <c r="B222" s="338" t="s">
        <v>105</v>
      </c>
      <c r="C222" s="339">
        <v>0.55</v>
      </c>
      <c r="D222" s="339">
        <v>1</v>
      </c>
      <c r="E222" s="340">
        <v>211.514</v>
      </c>
      <c r="F222" s="10">
        <v>193.5</v>
      </c>
      <c r="G222" s="10">
        <v>18.014</v>
      </c>
      <c r="H222" s="153">
        <v>0.789971349414223</v>
      </c>
      <c r="I222" s="340">
        <v>21.15</v>
      </c>
      <c r="K222" s="340">
        <v>167.09</v>
      </c>
      <c r="L222" s="10">
        <f t="shared" si="15"/>
        <v>19873.91</v>
      </c>
      <c r="N222" s="150" t="s">
        <v>1653</v>
      </c>
      <c r="O222" s="105"/>
      <c r="P222" s="150"/>
    </row>
    <row r="223" ht="15" spans="1:16">
      <c r="A223" s="337">
        <v>46188</v>
      </c>
      <c r="B223" s="338" t="s">
        <v>174</v>
      </c>
      <c r="C223" s="339">
        <v>0.23</v>
      </c>
      <c r="D223" s="339">
        <v>1</v>
      </c>
      <c r="E223" s="340">
        <v>336.961</v>
      </c>
      <c r="F223" s="10">
        <v>331.1</v>
      </c>
      <c r="G223" s="10">
        <v>5.86099999999999</v>
      </c>
      <c r="H223" s="153">
        <v>0.789972726814082</v>
      </c>
      <c r="I223" s="340">
        <v>33.69</v>
      </c>
      <c r="K223" s="340">
        <v>266.19</v>
      </c>
      <c r="L223" s="10">
        <f t="shared" si="15"/>
        <v>19607.72</v>
      </c>
      <c r="N223" s="150" t="s">
        <v>1653</v>
      </c>
      <c r="O223" s="105"/>
      <c r="P223" s="150"/>
    </row>
    <row r="224" ht="15" spans="1:16">
      <c r="A224" s="324">
        <v>46189</v>
      </c>
      <c r="B224" s="325" t="s">
        <v>124</v>
      </c>
      <c r="C224" s="326">
        <v>0.45</v>
      </c>
      <c r="D224" s="326">
        <v>1</v>
      </c>
      <c r="E224" s="327">
        <v>230.712</v>
      </c>
      <c r="F224" s="10">
        <f t="shared" ref="F224:F287" si="16">(D224-C224)*430</f>
        <v>236.5</v>
      </c>
      <c r="G224" s="10">
        <f t="shared" ref="G224:G287" si="17">E224-F224</f>
        <v>-5.78800000000001</v>
      </c>
      <c r="H224" s="153">
        <f t="shared" ref="H224:H287" si="18">K224/E224</f>
        <v>0.789989250667499</v>
      </c>
      <c r="I224" s="327">
        <v>23.07</v>
      </c>
      <c r="K224" s="327">
        <v>182.26</v>
      </c>
      <c r="L224" s="10">
        <f t="shared" si="15"/>
        <v>19425.46</v>
      </c>
      <c r="N224" s="150" t="s">
        <v>1653</v>
      </c>
      <c r="O224" s="105"/>
      <c r="P224" s="150"/>
    </row>
    <row r="225" ht="15" spans="1:16">
      <c r="A225" s="329">
        <v>46189</v>
      </c>
      <c r="B225" s="330" t="s">
        <v>192</v>
      </c>
      <c r="C225" s="331">
        <v>0.32</v>
      </c>
      <c r="D225" s="331">
        <v>1</v>
      </c>
      <c r="E225" s="332">
        <v>298.645</v>
      </c>
      <c r="F225" s="10">
        <f t="shared" si="16"/>
        <v>292.4</v>
      </c>
      <c r="G225" s="10">
        <f t="shared" si="17"/>
        <v>6.245</v>
      </c>
      <c r="H225" s="153">
        <f t="shared" si="18"/>
        <v>0.790001506805739</v>
      </c>
      <c r="I225" s="332">
        <v>29.87</v>
      </c>
      <c r="K225" s="332">
        <v>235.93</v>
      </c>
      <c r="L225" s="10">
        <f t="shared" si="15"/>
        <v>19189.53</v>
      </c>
      <c r="N225" s="150" t="s">
        <v>1653</v>
      </c>
      <c r="O225" s="105"/>
      <c r="P225" s="150"/>
    </row>
    <row r="226" ht="15" spans="1:16">
      <c r="A226" s="329">
        <v>46189</v>
      </c>
      <c r="B226" s="330" t="s">
        <v>69</v>
      </c>
      <c r="C226" s="331">
        <v>0.23</v>
      </c>
      <c r="D226" s="331">
        <v>0.85</v>
      </c>
      <c r="E226" s="332">
        <v>283.808</v>
      </c>
      <c r="F226" s="10">
        <f t="shared" si="16"/>
        <v>266.6</v>
      </c>
      <c r="G226" s="10">
        <f t="shared" si="17"/>
        <v>17.208</v>
      </c>
      <c r="H226" s="153">
        <f t="shared" si="18"/>
        <v>0.789970684406359</v>
      </c>
      <c r="I226" s="332">
        <v>28.38</v>
      </c>
      <c r="K226" s="332">
        <v>224.2</v>
      </c>
      <c r="L226" s="10">
        <f t="shared" si="15"/>
        <v>18965.33</v>
      </c>
      <c r="N226" s="150" t="s">
        <v>1653</v>
      </c>
      <c r="O226" s="105"/>
      <c r="P226" s="150"/>
    </row>
    <row r="227" ht="15" spans="1:16">
      <c r="A227" s="329">
        <v>46189</v>
      </c>
      <c r="B227" s="330" t="s">
        <v>195</v>
      </c>
      <c r="C227" s="331">
        <v>0.16</v>
      </c>
      <c r="D227" s="331">
        <v>0.98</v>
      </c>
      <c r="E227" s="332">
        <v>358.08</v>
      </c>
      <c r="F227" s="10">
        <f t="shared" si="16"/>
        <v>352.6</v>
      </c>
      <c r="G227" s="10">
        <f t="shared" si="17"/>
        <v>5.47999999999996</v>
      </c>
      <c r="H227" s="153">
        <f t="shared" si="18"/>
        <v>0.789991063449509</v>
      </c>
      <c r="I227" s="332">
        <v>35.81</v>
      </c>
      <c r="K227" s="332">
        <v>282.88</v>
      </c>
      <c r="L227" s="10">
        <f t="shared" si="15"/>
        <v>18682.45</v>
      </c>
      <c r="N227" s="150" t="s">
        <v>1653</v>
      </c>
      <c r="O227" s="105"/>
      <c r="P227" s="150"/>
    </row>
    <row r="228" ht="15" spans="1:16">
      <c r="A228" s="329">
        <v>46189</v>
      </c>
      <c r="B228" s="330" t="s">
        <v>189</v>
      </c>
      <c r="C228" s="331">
        <v>0.27</v>
      </c>
      <c r="D228" s="331">
        <v>0.99</v>
      </c>
      <c r="E228" s="332">
        <v>316.184</v>
      </c>
      <c r="F228" s="10">
        <f t="shared" si="16"/>
        <v>309.6</v>
      </c>
      <c r="G228" s="10">
        <f t="shared" si="17"/>
        <v>6.584</v>
      </c>
      <c r="H228" s="153">
        <f t="shared" si="18"/>
        <v>0.789983047845558</v>
      </c>
      <c r="I228" s="332">
        <v>31.62</v>
      </c>
      <c r="K228" s="332">
        <v>249.78</v>
      </c>
      <c r="L228" s="10">
        <f t="shared" si="15"/>
        <v>18432.67</v>
      </c>
      <c r="N228" s="150" t="s">
        <v>1653</v>
      </c>
      <c r="O228" s="105"/>
      <c r="P228" s="150"/>
    </row>
    <row r="229" ht="15" spans="1:16">
      <c r="A229" s="329">
        <v>46189</v>
      </c>
      <c r="B229" s="330" t="s">
        <v>54</v>
      </c>
      <c r="C229" s="331">
        <v>0.31</v>
      </c>
      <c r="D229" s="331">
        <v>0.96</v>
      </c>
      <c r="E229" s="332">
        <v>268.438</v>
      </c>
      <c r="F229" s="10">
        <f t="shared" si="16"/>
        <v>279.5</v>
      </c>
      <c r="G229" s="10">
        <f t="shared" si="17"/>
        <v>-11.062</v>
      </c>
      <c r="H229" s="153">
        <f t="shared" si="18"/>
        <v>0.789977573964938</v>
      </c>
      <c r="I229" s="332">
        <v>26.84</v>
      </c>
      <c r="K229" s="332">
        <v>212.06</v>
      </c>
      <c r="L229" s="10">
        <f t="shared" si="15"/>
        <v>18220.61</v>
      </c>
      <c r="N229" s="150" t="s">
        <v>1653</v>
      </c>
      <c r="O229" s="105"/>
      <c r="P229" s="150"/>
    </row>
    <row r="230" ht="15" spans="1:16">
      <c r="A230" s="329">
        <v>46189</v>
      </c>
      <c r="B230" s="330" t="s">
        <v>151</v>
      </c>
      <c r="C230" s="331">
        <v>0.3</v>
      </c>
      <c r="D230" s="331">
        <v>1</v>
      </c>
      <c r="E230" s="332">
        <v>305.666</v>
      </c>
      <c r="F230" s="10">
        <f t="shared" si="16"/>
        <v>301</v>
      </c>
      <c r="G230" s="10">
        <f t="shared" si="17"/>
        <v>4.666</v>
      </c>
      <c r="H230" s="153">
        <f t="shared" si="18"/>
        <v>0.790012628162766</v>
      </c>
      <c r="I230" s="332">
        <v>30.57</v>
      </c>
      <c r="K230" s="332">
        <v>241.48</v>
      </c>
      <c r="L230" s="10">
        <f t="shared" si="15"/>
        <v>17979.13</v>
      </c>
      <c r="N230" s="150" t="s">
        <v>1653</v>
      </c>
      <c r="O230" s="105"/>
      <c r="P230" s="150"/>
    </row>
    <row r="231" ht="15" spans="1:16">
      <c r="A231" s="329">
        <v>46189</v>
      </c>
      <c r="B231" s="330" t="s">
        <v>154</v>
      </c>
      <c r="C231" s="331">
        <v>0.37</v>
      </c>
      <c r="D231" s="331">
        <v>1</v>
      </c>
      <c r="E231" s="332">
        <v>274.302</v>
      </c>
      <c r="F231" s="10">
        <f t="shared" si="16"/>
        <v>270.9</v>
      </c>
      <c r="G231" s="10">
        <f t="shared" si="17"/>
        <v>3.40200000000004</v>
      </c>
      <c r="H231" s="153">
        <f t="shared" si="18"/>
        <v>0.790005176775962</v>
      </c>
      <c r="I231" s="332">
        <v>27.43</v>
      </c>
      <c r="K231" s="332">
        <v>216.7</v>
      </c>
      <c r="L231" s="10">
        <f t="shared" si="15"/>
        <v>17762.43</v>
      </c>
      <c r="N231" s="150" t="s">
        <v>1653</v>
      </c>
      <c r="O231" s="105"/>
      <c r="P231" s="150"/>
    </row>
    <row r="232" ht="15" spans="1:16">
      <c r="A232" s="329">
        <v>46189</v>
      </c>
      <c r="B232" s="330" t="s">
        <v>108</v>
      </c>
      <c r="C232" s="331">
        <v>0.22</v>
      </c>
      <c r="D232" s="331">
        <v>0.99</v>
      </c>
      <c r="E232" s="332">
        <v>355.088</v>
      </c>
      <c r="F232" s="10">
        <f t="shared" si="16"/>
        <v>331.1</v>
      </c>
      <c r="G232" s="10">
        <f t="shared" si="17"/>
        <v>23.988</v>
      </c>
      <c r="H232" s="153">
        <f t="shared" si="18"/>
        <v>0.790001351777587</v>
      </c>
      <c r="I232" s="332">
        <v>35.51</v>
      </c>
      <c r="K232" s="332">
        <v>280.52</v>
      </c>
      <c r="L232" s="10">
        <f t="shared" si="15"/>
        <v>17481.91</v>
      </c>
      <c r="N232" s="150" t="s">
        <v>1653</v>
      </c>
      <c r="O232" s="105"/>
      <c r="P232" s="150"/>
    </row>
    <row r="233" ht="15" spans="1:16">
      <c r="A233" s="329">
        <v>46189</v>
      </c>
      <c r="B233" s="330" t="s">
        <v>66</v>
      </c>
      <c r="C233" s="331">
        <v>0.26</v>
      </c>
      <c r="D233" s="331">
        <v>1</v>
      </c>
      <c r="E233" s="332">
        <v>340.144</v>
      </c>
      <c r="F233" s="10">
        <f t="shared" si="16"/>
        <v>318.2</v>
      </c>
      <c r="G233" s="10">
        <f t="shared" si="17"/>
        <v>21.944</v>
      </c>
      <c r="H233" s="153">
        <f t="shared" si="18"/>
        <v>0.789988945858225</v>
      </c>
      <c r="I233" s="332">
        <v>34.01</v>
      </c>
      <c r="K233" s="332">
        <v>268.71</v>
      </c>
      <c r="L233" s="10">
        <f t="shared" si="15"/>
        <v>17213.2</v>
      </c>
      <c r="N233" s="150" t="s">
        <v>1653</v>
      </c>
      <c r="O233" s="105"/>
      <c r="P233" s="150"/>
    </row>
    <row r="234" ht="15" spans="1:16">
      <c r="A234" s="329">
        <v>46189</v>
      </c>
      <c r="B234" s="330" t="s">
        <v>160</v>
      </c>
      <c r="C234" s="331">
        <v>0.23</v>
      </c>
      <c r="D234" s="331">
        <v>0.45</v>
      </c>
      <c r="E234" s="332">
        <v>96.713</v>
      </c>
      <c r="F234" s="10">
        <f t="shared" si="16"/>
        <v>94.6</v>
      </c>
      <c r="G234" s="10">
        <f t="shared" si="17"/>
        <v>2.113</v>
      </c>
      <c r="H234" s="153">
        <f t="shared" si="18"/>
        <v>0.789966188619938</v>
      </c>
      <c r="I234" s="332">
        <v>9.67</v>
      </c>
      <c r="K234" s="332">
        <v>76.4</v>
      </c>
      <c r="L234" s="10">
        <f t="shared" si="15"/>
        <v>17136.8</v>
      </c>
      <c r="N234" s="150" t="s">
        <v>1653</v>
      </c>
      <c r="O234" s="105"/>
      <c r="P234" s="150"/>
    </row>
    <row r="235" ht="15" spans="1:16">
      <c r="A235" s="329">
        <v>46189</v>
      </c>
      <c r="B235" s="330" t="s">
        <v>160</v>
      </c>
      <c r="C235" s="331">
        <v>0.45</v>
      </c>
      <c r="D235" s="331">
        <v>0.96</v>
      </c>
      <c r="E235" s="332">
        <v>222.139</v>
      </c>
      <c r="F235" s="10">
        <f t="shared" si="16"/>
        <v>219.3</v>
      </c>
      <c r="G235" s="10">
        <f t="shared" si="17"/>
        <v>2.839</v>
      </c>
      <c r="H235" s="153">
        <f t="shared" si="18"/>
        <v>0.790000855320317</v>
      </c>
      <c r="I235" s="332">
        <v>22.21</v>
      </c>
      <c r="K235" s="332">
        <v>175.49</v>
      </c>
      <c r="L235" s="10">
        <f t="shared" si="15"/>
        <v>16961.31</v>
      </c>
      <c r="N235" s="150" t="s">
        <v>1653</v>
      </c>
      <c r="O235" s="105"/>
      <c r="P235" s="150"/>
    </row>
    <row r="236" ht="15" spans="1:16">
      <c r="A236" s="329">
        <v>46189</v>
      </c>
      <c r="B236" s="330" t="s">
        <v>96</v>
      </c>
      <c r="C236" s="331">
        <v>0.34</v>
      </c>
      <c r="D236" s="331">
        <v>0.96</v>
      </c>
      <c r="E236" s="332">
        <v>304.701</v>
      </c>
      <c r="F236" s="10">
        <f t="shared" si="16"/>
        <v>266.6</v>
      </c>
      <c r="G236" s="10">
        <f t="shared" si="17"/>
        <v>38.101</v>
      </c>
      <c r="H236" s="153">
        <f t="shared" si="18"/>
        <v>0.789987561576759</v>
      </c>
      <c r="I236" s="332">
        <v>30.47</v>
      </c>
      <c r="K236" s="332">
        <v>240.71</v>
      </c>
      <c r="L236" s="10">
        <f t="shared" si="15"/>
        <v>16720.6</v>
      </c>
      <c r="N236" s="150" t="s">
        <v>1653</v>
      </c>
      <c r="O236" s="105"/>
      <c r="P236" s="150"/>
    </row>
    <row r="237" ht="15" spans="1:16">
      <c r="A237" s="329">
        <v>46189</v>
      </c>
      <c r="B237" s="330" t="s">
        <v>81</v>
      </c>
      <c r="C237" s="331">
        <v>0.15</v>
      </c>
      <c r="D237" s="331">
        <v>0.96</v>
      </c>
      <c r="E237" s="332">
        <v>376.726</v>
      </c>
      <c r="F237" s="10">
        <f t="shared" si="16"/>
        <v>348.3</v>
      </c>
      <c r="G237" s="10">
        <f t="shared" si="17"/>
        <v>28.426</v>
      </c>
      <c r="H237" s="153">
        <f t="shared" si="18"/>
        <v>0.789990603250108</v>
      </c>
      <c r="I237" s="332">
        <v>37.67</v>
      </c>
      <c r="K237" s="332">
        <v>297.61</v>
      </c>
      <c r="L237" s="10">
        <f t="shared" si="15"/>
        <v>16422.99</v>
      </c>
      <c r="N237" s="150" t="s">
        <v>1653</v>
      </c>
      <c r="O237" s="105"/>
      <c r="P237" s="150"/>
    </row>
    <row r="238" ht="15" spans="1:16">
      <c r="A238" s="329">
        <v>46189</v>
      </c>
      <c r="B238" s="330" t="s">
        <v>338</v>
      </c>
      <c r="C238" s="331">
        <v>0.24</v>
      </c>
      <c r="D238" s="331">
        <v>0.98</v>
      </c>
      <c r="E238" s="332">
        <v>329.966</v>
      </c>
      <c r="F238" s="10">
        <f t="shared" si="16"/>
        <v>318.2</v>
      </c>
      <c r="G238" s="10">
        <f t="shared" si="17"/>
        <v>11.766</v>
      </c>
      <c r="H238" s="153">
        <f t="shared" si="18"/>
        <v>0.789990483868035</v>
      </c>
      <c r="I238" s="332">
        <v>33</v>
      </c>
      <c r="K238" s="332">
        <v>260.67</v>
      </c>
      <c r="L238" s="10">
        <f t="shared" si="15"/>
        <v>16162.32</v>
      </c>
      <c r="N238" s="150" t="s">
        <v>1653</v>
      </c>
      <c r="O238" s="105"/>
      <c r="P238" s="150"/>
    </row>
    <row r="239" ht="15" spans="1:16">
      <c r="A239" s="329">
        <v>46189</v>
      </c>
      <c r="B239" s="330" t="s">
        <v>163</v>
      </c>
      <c r="C239" s="331">
        <v>0.26</v>
      </c>
      <c r="D239" s="331">
        <v>0.97</v>
      </c>
      <c r="E239" s="332">
        <v>314.654</v>
      </c>
      <c r="F239" s="10">
        <f t="shared" si="16"/>
        <v>305.3</v>
      </c>
      <c r="G239" s="10">
        <f t="shared" si="17"/>
        <v>9.35399999999998</v>
      </c>
      <c r="H239" s="153">
        <f t="shared" si="18"/>
        <v>0.790010614834072</v>
      </c>
      <c r="I239" s="332">
        <v>31.47</v>
      </c>
      <c r="K239" s="332">
        <v>248.58</v>
      </c>
      <c r="L239" s="10">
        <f t="shared" si="15"/>
        <v>15913.74</v>
      </c>
      <c r="N239" s="150" t="s">
        <v>1653</v>
      </c>
      <c r="O239" s="105"/>
      <c r="P239" s="150"/>
    </row>
    <row r="240" ht="15" spans="1:16">
      <c r="A240" s="324">
        <v>46190</v>
      </c>
      <c r="B240" s="325" t="s">
        <v>102</v>
      </c>
      <c r="C240" s="326">
        <v>0.41</v>
      </c>
      <c r="D240" s="326">
        <v>1</v>
      </c>
      <c r="E240" s="327">
        <v>266.567</v>
      </c>
      <c r="F240" s="10">
        <f t="shared" si="16"/>
        <v>253.7</v>
      </c>
      <c r="G240" s="10">
        <f t="shared" si="17"/>
        <v>12.867</v>
      </c>
      <c r="H240" s="153">
        <f t="shared" si="18"/>
        <v>0.790007765402319</v>
      </c>
      <c r="I240" s="327">
        <v>26.66</v>
      </c>
      <c r="K240" s="327">
        <v>210.59</v>
      </c>
      <c r="L240" s="10">
        <f t="shared" si="15"/>
        <v>15703.15</v>
      </c>
      <c r="N240" s="150" t="s">
        <v>1653</v>
      </c>
      <c r="O240" s="105"/>
      <c r="P240" s="150"/>
    </row>
    <row r="241" ht="15" spans="1:16">
      <c r="A241" s="329">
        <v>46190</v>
      </c>
      <c r="B241" s="330" t="s">
        <v>99</v>
      </c>
      <c r="C241" s="331">
        <v>0.24</v>
      </c>
      <c r="D241" s="331">
        <v>1</v>
      </c>
      <c r="E241" s="332">
        <v>352.505</v>
      </c>
      <c r="F241" s="10">
        <f t="shared" si="16"/>
        <v>326.8</v>
      </c>
      <c r="G241" s="10">
        <f t="shared" si="17"/>
        <v>25.705</v>
      </c>
      <c r="H241" s="153">
        <f t="shared" si="18"/>
        <v>0.790002978681154</v>
      </c>
      <c r="I241" s="332">
        <v>35.25</v>
      </c>
      <c r="K241" s="332">
        <v>278.48</v>
      </c>
      <c r="L241" s="10">
        <f t="shared" si="15"/>
        <v>15424.67</v>
      </c>
      <c r="N241" s="150" t="s">
        <v>1653</v>
      </c>
      <c r="O241" s="105"/>
      <c r="P241" s="150"/>
    </row>
    <row r="242" ht="15" spans="1:16">
      <c r="A242" s="329">
        <v>46190</v>
      </c>
      <c r="B242" s="330" t="s">
        <v>51</v>
      </c>
      <c r="C242" s="331">
        <v>0.1</v>
      </c>
      <c r="D242" s="331">
        <v>1</v>
      </c>
      <c r="E242" s="332">
        <v>365.532</v>
      </c>
      <c r="F242" s="10">
        <f t="shared" si="16"/>
        <v>387</v>
      </c>
      <c r="G242" s="10">
        <f t="shared" si="17"/>
        <v>-21.468</v>
      </c>
      <c r="H242" s="153">
        <f t="shared" si="18"/>
        <v>0.789999233993193</v>
      </c>
      <c r="I242" s="332">
        <v>36.55</v>
      </c>
      <c r="K242" s="332">
        <v>288.77</v>
      </c>
      <c r="L242" s="10">
        <f t="shared" si="15"/>
        <v>15135.9</v>
      </c>
      <c r="N242" s="150" t="s">
        <v>1653</v>
      </c>
      <c r="O242" s="105"/>
      <c r="P242" s="150"/>
    </row>
    <row r="243" ht="15" spans="1:16">
      <c r="A243" s="329">
        <v>46190</v>
      </c>
      <c r="B243" s="330" t="s">
        <v>141</v>
      </c>
      <c r="C243" s="331">
        <v>0.4</v>
      </c>
      <c r="D243" s="331">
        <v>1</v>
      </c>
      <c r="E243" s="332">
        <v>260.059</v>
      </c>
      <c r="F243" s="10">
        <f t="shared" si="16"/>
        <v>258</v>
      </c>
      <c r="G243" s="10">
        <f t="shared" si="17"/>
        <v>2.05900000000003</v>
      </c>
      <c r="H243" s="153">
        <f t="shared" si="18"/>
        <v>0.790013035503482</v>
      </c>
      <c r="I243" s="332">
        <v>26.01</v>
      </c>
      <c r="K243" s="332">
        <v>205.45</v>
      </c>
      <c r="L243" s="10">
        <f t="shared" si="15"/>
        <v>14930.45</v>
      </c>
      <c r="N243" s="150" t="s">
        <v>1653</v>
      </c>
      <c r="O243" s="105"/>
      <c r="P243" s="150"/>
    </row>
    <row r="244" ht="15" spans="1:16">
      <c r="A244" s="329">
        <v>46190</v>
      </c>
      <c r="B244" s="330" t="s">
        <v>78</v>
      </c>
      <c r="C244" s="331">
        <v>0.22</v>
      </c>
      <c r="D244" s="331">
        <v>1</v>
      </c>
      <c r="E244" s="332">
        <v>349.506</v>
      </c>
      <c r="F244" s="10">
        <f t="shared" si="16"/>
        <v>335.4</v>
      </c>
      <c r="G244" s="10">
        <f t="shared" si="17"/>
        <v>14.106</v>
      </c>
      <c r="H244" s="153">
        <f t="shared" si="18"/>
        <v>0.790000743907115</v>
      </c>
      <c r="I244" s="332">
        <v>34.95</v>
      </c>
      <c r="K244" s="332">
        <v>276.11</v>
      </c>
      <c r="L244" s="10">
        <f t="shared" si="15"/>
        <v>14654.34</v>
      </c>
      <c r="N244" s="150" t="s">
        <v>1653</v>
      </c>
      <c r="O244" s="105"/>
      <c r="P244" s="150"/>
    </row>
    <row r="245" ht="15" spans="1:16">
      <c r="A245" s="329">
        <v>46190</v>
      </c>
      <c r="B245" s="330" t="s">
        <v>87</v>
      </c>
      <c r="C245" s="331">
        <v>0.29</v>
      </c>
      <c r="D245" s="331">
        <v>1</v>
      </c>
      <c r="E245" s="332">
        <v>325.224</v>
      </c>
      <c r="F245" s="10">
        <f t="shared" si="16"/>
        <v>305.3</v>
      </c>
      <c r="G245" s="10">
        <f t="shared" si="17"/>
        <v>19.924</v>
      </c>
      <c r="H245" s="153">
        <f t="shared" si="18"/>
        <v>0.789978599365361</v>
      </c>
      <c r="I245" s="332">
        <v>32.52</v>
      </c>
      <c r="K245" s="332">
        <v>256.92</v>
      </c>
      <c r="L245" s="10">
        <f t="shared" si="15"/>
        <v>14397.42</v>
      </c>
      <c r="N245" s="150" t="s">
        <v>1653</v>
      </c>
      <c r="O245" s="105"/>
      <c r="P245" s="150"/>
    </row>
    <row r="246" ht="15" spans="1:16">
      <c r="A246" s="329">
        <v>46190</v>
      </c>
      <c r="B246" s="330" t="s">
        <v>57</v>
      </c>
      <c r="C246" s="331">
        <v>0.35</v>
      </c>
      <c r="D246" s="331">
        <v>1</v>
      </c>
      <c r="E246" s="332">
        <v>262.936</v>
      </c>
      <c r="F246" s="10">
        <f t="shared" si="16"/>
        <v>279.5</v>
      </c>
      <c r="G246" s="10">
        <f t="shared" si="17"/>
        <v>-16.564</v>
      </c>
      <c r="H246" s="153">
        <f t="shared" si="18"/>
        <v>0.789964097727204</v>
      </c>
      <c r="I246" s="332">
        <v>26.29</v>
      </c>
      <c r="K246" s="332">
        <v>207.71</v>
      </c>
      <c r="L246" s="10">
        <f t="shared" si="15"/>
        <v>14189.71</v>
      </c>
      <c r="N246" s="150" t="s">
        <v>1653</v>
      </c>
      <c r="O246" s="105"/>
      <c r="P246" s="150"/>
    </row>
    <row r="247" ht="15" spans="1:16">
      <c r="A247" s="329">
        <v>46190</v>
      </c>
      <c r="B247" s="330" t="s">
        <v>132</v>
      </c>
      <c r="C247" s="331">
        <v>0.41</v>
      </c>
      <c r="D247" s="331">
        <v>0.98</v>
      </c>
      <c r="E247" s="332">
        <v>254.394</v>
      </c>
      <c r="F247" s="10">
        <f t="shared" si="16"/>
        <v>245.1</v>
      </c>
      <c r="G247" s="10">
        <f t="shared" si="17"/>
        <v>9.29400000000001</v>
      </c>
      <c r="H247" s="153">
        <f t="shared" si="18"/>
        <v>0.790034356156199</v>
      </c>
      <c r="I247" s="332">
        <v>25.44</v>
      </c>
      <c r="K247" s="332">
        <v>200.98</v>
      </c>
      <c r="L247" s="10">
        <f t="shared" si="15"/>
        <v>13988.73</v>
      </c>
      <c r="N247" s="150" t="s">
        <v>1653</v>
      </c>
      <c r="O247" s="105"/>
      <c r="P247" s="150"/>
    </row>
    <row r="248" ht="15" spans="1:16">
      <c r="A248" s="329">
        <v>46190</v>
      </c>
      <c r="B248" s="330" t="s">
        <v>111</v>
      </c>
      <c r="C248" s="331">
        <v>0.22</v>
      </c>
      <c r="D248" s="331">
        <v>0.98</v>
      </c>
      <c r="E248" s="332">
        <v>321.84</v>
      </c>
      <c r="F248" s="10">
        <f t="shared" si="16"/>
        <v>326.8</v>
      </c>
      <c r="G248" s="10">
        <f t="shared" si="17"/>
        <v>-4.96000000000004</v>
      </c>
      <c r="H248" s="153">
        <f t="shared" si="18"/>
        <v>0.789988814317673</v>
      </c>
      <c r="I248" s="332">
        <v>32.18</v>
      </c>
      <c r="K248" s="332">
        <v>254.25</v>
      </c>
      <c r="L248" s="10">
        <f t="shared" si="15"/>
        <v>13734.48</v>
      </c>
      <c r="N248" s="150" t="s">
        <v>1653</v>
      </c>
      <c r="O248" s="105"/>
      <c r="P248" s="150"/>
    </row>
    <row r="249" ht="15" spans="1:16">
      <c r="A249" s="329">
        <v>46190</v>
      </c>
      <c r="B249" s="330" t="s">
        <v>114</v>
      </c>
      <c r="C249" s="331">
        <v>0.08</v>
      </c>
      <c r="D249" s="331">
        <v>1</v>
      </c>
      <c r="E249" s="332">
        <v>385.592</v>
      </c>
      <c r="F249" s="10">
        <f t="shared" si="16"/>
        <v>395.6</v>
      </c>
      <c r="G249" s="10">
        <f t="shared" si="17"/>
        <v>-10.008</v>
      </c>
      <c r="H249" s="153">
        <f t="shared" si="18"/>
        <v>0.790006016722339</v>
      </c>
      <c r="I249" s="332">
        <v>38.56</v>
      </c>
      <c r="K249" s="332">
        <v>304.62</v>
      </c>
      <c r="L249" s="10">
        <f t="shared" si="15"/>
        <v>13429.86</v>
      </c>
      <c r="N249" s="150" t="s">
        <v>1653</v>
      </c>
      <c r="O249" s="105"/>
      <c r="P249" s="150"/>
    </row>
    <row r="250" ht="15" spans="1:16">
      <c r="A250" s="329">
        <v>46190</v>
      </c>
      <c r="B250" s="330" t="s">
        <v>60</v>
      </c>
      <c r="C250" s="331">
        <v>0.15</v>
      </c>
      <c r="D250" s="331">
        <v>1</v>
      </c>
      <c r="E250" s="332">
        <v>348.764</v>
      </c>
      <c r="F250" s="10">
        <f t="shared" si="16"/>
        <v>365.5</v>
      </c>
      <c r="G250" s="10">
        <f t="shared" si="17"/>
        <v>-16.736</v>
      </c>
      <c r="H250" s="153">
        <f t="shared" si="18"/>
        <v>0.790018465208565</v>
      </c>
      <c r="I250" s="332">
        <v>34.88</v>
      </c>
      <c r="K250" s="332">
        <v>275.53</v>
      </c>
      <c r="L250" s="10">
        <f t="shared" si="15"/>
        <v>13154.33</v>
      </c>
      <c r="N250" s="150" t="s">
        <v>1653</v>
      </c>
      <c r="O250" s="105"/>
      <c r="P250" s="150"/>
    </row>
    <row r="251" ht="15" spans="1:16">
      <c r="A251" s="329">
        <v>46190</v>
      </c>
      <c r="B251" s="330" t="s">
        <v>339</v>
      </c>
      <c r="C251" s="331">
        <v>0.36</v>
      </c>
      <c r="D251" s="331">
        <v>1</v>
      </c>
      <c r="E251" s="332">
        <v>280.596</v>
      </c>
      <c r="F251" s="10">
        <f t="shared" si="16"/>
        <v>275.2</v>
      </c>
      <c r="G251" s="10">
        <f t="shared" si="17"/>
        <v>5.39600000000002</v>
      </c>
      <c r="H251" s="153">
        <f t="shared" si="18"/>
        <v>0.789997006372151</v>
      </c>
      <c r="I251" s="332">
        <v>28.06</v>
      </c>
      <c r="K251" s="332">
        <v>221.67</v>
      </c>
      <c r="L251" s="10">
        <f t="shared" si="15"/>
        <v>12932.66</v>
      </c>
      <c r="N251" s="150" t="s">
        <v>1653</v>
      </c>
      <c r="O251" s="105"/>
      <c r="P251" s="150"/>
    </row>
    <row r="252" ht="15" spans="1:16">
      <c r="A252" s="329">
        <v>46190</v>
      </c>
      <c r="B252" s="330" t="s">
        <v>207</v>
      </c>
      <c r="C252" s="331">
        <v>0.3</v>
      </c>
      <c r="D252" s="331">
        <v>1</v>
      </c>
      <c r="E252" s="332">
        <v>307.385</v>
      </c>
      <c r="F252" s="10">
        <f t="shared" si="16"/>
        <v>301</v>
      </c>
      <c r="G252" s="10">
        <f t="shared" si="17"/>
        <v>6.38499999999999</v>
      </c>
      <c r="H252" s="153">
        <f t="shared" si="18"/>
        <v>0.789986499015892</v>
      </c>
      <c r="I252" s="332">
        <v>30.74</v>
      </c>
      <c r="K252" s="332">
        <v>242.83</v>
      </c>
      <c r="L252" s="10">
        <f t="shared" si="15"/>
        <v>12689.83</v>
      </c>
      <c r="N252" s="150" t="s">
        <v>1653</v>
      </c>
      <c r="O252" s="105"/>
      <c r="P252" s="150"/>
    </row>
    <row r="253" ht="15" spans="1:16">
      <c r="A253" s="329">
        <v>46191</v>
      </c>
      <c r="B253" s="338" t="s">
        <v>180</v>
      </c>
      <c r="C253" s="339">
        <v>0.41</v>
      </c>
      <c r="D253" s="191">
        <v>1</v>
      </c>
      <c r="E253" s="285">
        <v>261.108</v>
      </c>
      <c r="F253" s="10">
        <f t="shared" si="16"/>
        <v>253.7</v>
      </c>
      <c r="G253" s="10">
        <f t="shared" si="17"/>
        <v>7.40800000000002</v>
      </c>
      <c r="H253" s="153">
        <f t="shared" si="18"/>
        <v>0.790056221946474</v>
      </c>
      <c r="I253" s="285">
        <v>26.12</v>
      </c>
      <c r="K253" s="285">
        <v>206.29</v>
      </c>
      <c r="L253" s="10">
        <f t="shared" si="15"/>
        <v>12483.54</v>
      </c>
      <c r="N253" s="150" t="s">
        <v>1653</v>
      </c>
    </row>
    <row r="254" ht="15" spans="1:16">
      <c r="A254" s="329">
        <v>46191</v>
      </c>
      <c r="B254" s="338" t="s">
        <v>72</v>
      </c>
      <c r="C254" s="339">
        <v>0.31</v>
      </c>
      <c r="D254" s="191">
        <v>1</v>
      </c>
      <c r="E254" s="285">
        <v>315.869</v>
      </c>
      <c r="F254" s="10">
        <f t="shared" si="16"/>
        <v>296.7</v>
      </c>
      <c r="G254" s="10">
        <f t="shared" si="17"/>
        <v>19.169</v>
      </c>
      <c r="H254" s="153">
        <f t="shared" si="18"/>
        <v>0.790011048884189</v>
      </c>
      <c r="I254" s="285">
        <v>31.59</v>
      </c>
      <c r="K254" s="285">
        <v>249.54</v>
      </c>
      <c r="L254" s="10">
        <f t="shared" si="15"/>
        <v>12234</v>
      </c>
      <c r="N254" s="150" t="s">
        <v>1653</v>
      </c>
    </row>
    <row r="255" ht="15" spans="1:16">
      <c r="A255" s="329">
        <v>46191</v>
      </c>
      <c r="B255" s="338" t="s">
        <v>63</v>
      </c>
      <c r="C255" s="339">
        <v>0.4</v>
      </c>
      <c r="D255" s="191">
        <v>1</v>
      </c>
      <c r="E255" s="285">
        <v>259.59</v>
      </c>
      <c r="F255" s="10">
        <f t="shared" si="16"/>
        <v>258</v>
      </c>
      <c r="G255" s="10">
        <f t="shared" si="17"/>
        <v>1.58999999999997</v>
      </c>
      <c r="H255" s="153">
        <f t="shared" si="18"/>
        <v>0.790015023691205</v>
      </c>
      <c r="I255" s="285">
        <v>25.96</v>
      </c>
      <c r="K255" s="285">
        <v>205.08</v>
      </c>
      <c r="L255" s="10">
        <f t="shared" si="15"/>
        <v>12028.92</v>
      </c>
      <c r="N255" s="150" t="s">
        <v>1653</v>
      </c>
    </row>
    <row r="256" ht="15" spans="1:16">
      <c r="A256" s="329">
        <v>46191</v>
      </c>
      <c r="B256" s="338" t="s">
        <v>183</v>
      </c>
      <c r="C256" s="339">
        <v>0.37</v>
      </c>
      <c r="D256" s="191">
        <v>1</v>
      </c>
      <c r="E256" s="285">
        <v>277.369</v>
      </c>
      <c r="F256" s="10">
        <f t="shared" si="16"/>
        <v>270.9</v>
      </c>
      <c r="G256" s="10">
        <f t="shared" si="17"/>
        <v>6.46900000000005</v>
      </c>
      <c r="H256" s="153">
        <f t="shared" si="18"/>
        <v>0.789994555988593</v>
      </c>
      <c r="I256" s="285">
        <v>27.74</v>
      </c>
      <c r="K256" s="285">
        <v>219.12</v>
      </c>
      <c r="L256" s="10">
        <f t="shared" si="15"/>
        <v>11809.8</v>
      </c>
      <c r="N256" s="150" t="s">
        <v>1653</v>
      </c>
    </row>
    <row r="257" ht="15" spans="1:14">
      <c r="A257" s="329">
        <v>46191</v>
      </c>
      <c r="B257" s="338" t="s">
        <v>135</v>
      </c>
      <c r="C257" s="339">
        <v>0.39</v>
      </c>
      <c r="D257" s="191">
        <v>0.66</v>
      </c>
      <c r="E257" s="285">
        <v>117.685</v>
      </c>
      <c r="F257" s="10">
        <f t="shared" si="16"/>
        <v>116.1</v>
      </c>
      <c r="G257" s="10">
        <f t="shared" si="17"/>
        <v>1.58500000000001</v>
      </c>
      <c r="H257" s="153">
        <f t="shared" si="18"/>
        <v>0.789990228151421</v>
      </c>
      <c r="I257" s="285">
        <v>11.77</v>
      </c>
      <c r="K257" s="285">
        <v>92.97</v>
      </c>
      <c r="L257" s="10">
        <f t="shared" si="15"/>
        <v>11716.83</v>
      </c>
      <c r="N257" s="150" t="s">
        <v>1653</v>
      </c>
    </row>
    <row r="258" ht="15" spans="1:14">
      <c r="A258" s="329">
        <v>46191</v>
      </c>
      <c r="B258" s="338" t="s">
        <v>135</v>
      </c>
      <c r="C258" s="339">
        <v>0.66</v>
      </c>
      <c r="D258" s="191">
        <v>1</v>
      </c>
      <c r="E258" s="285">
        <v>151.784</v>
      </c>
      <c r="F258" s="10">
        <f t="shared" si="16"/>
        <v>146.2</v>
      </c>
      <c r="G258" s="10">
        <f t="shared" si="17"/>
        <v>5.584</v>
      </c>
      <c r="H258" s="153">
        <f t="shared" si="18"/>
        <v>0.79000421651821</v>
      </c>
      <c r="I258" s="285">
        <v>15.18</v>
      </c>
      <c r="K258" s="285">
        <v>119.91</v>
      </c>
      <c r="L258" s="10">
        <f t="shared" si="15"/>
        <v>11596.92</v>
      </c>
      <c r="N258" s="150" t="s">
        <v>1653</v>
      </c>
    </row>
    <row r="259" ht="15" spans="1:14">
      <c r="A259" s="329">
        <v>46191</v>
      </c>
      <c r="B259" s="338" t="s">
        <v>130</v>
      </c>
      <c r="C259" s="339">
        <v>0.35</v>
      </c>
      <c r="D259" s="191">
        <v>0.99</v>
      </c>
      <c r="E259" s="285">
        <v>262.772</v>
      </c>
      <c r="F259" s="10">
        <f t="shared" si="16"/>
        <v>275.2</v>
      </c>
      <c r="G259" s="10">
        <f t="shared" si="17"/>
        <v>-12.428</v>
      </c>
      <c r="H259" s="153">
        <f t="shared" si="18"/>
        <v>0.79000045666966</v>
      </c>
      <c r="I259" s="285">
        <v>26.28</v>
      </c>
      <c r="K259" s="285">
        <v>207.59</v>
      </c>
      <c r="L259" s="10">
        <f t="shared" ref="L259:L317" si="19">L258+J259-K259</f>
        <v>11389.33</v>
      </c>
      <c r="N259" s="150" t="s">
        <v>1653</v>
      </c>
    </row>
    <row r="260" ht="15" spans="1:14">
      <c r="A260" s="329">
        <v>46191</v>
      </c>
      <c r="B260" s="338" t="s">
        <v>198</v>
      </c>
      <c r="C260" s="339">
        <v>0.15</v>
      </c>
      <c r="D260" s="191">
        <v>0.94</v>
      </c>
      <c r="E260" s="285">
        <v>343.196</v>
      </c>
      <c r="F260" s="10">
        <f t="shared" si="16"/>
        <v>339.7</v>
      </c>
      <c r="G260" s="10">
        <f t="shared" si="17"/>
        <v>3.49600000000004</v>
      </c>
      <c r="H260" s="153">
        <f t="shared" si="18"/>
        <v>0.79001503514027</v>
      </c>
      <c r="I260" s="285">
        <v>34.32</v>
      </c>
      <c r="K260" s="285">
        <v>271.13</v>
      </c>
      <c r="L260" s="10">
        <f t="shared" si="19"/>
        <v>11118.2</v>
      </c>
      <c r="N260" s="150" t="s">
        <v>1653</v>
      </c>
    </row>
    <row r="261" ht="15" spans="1:14">
      <c r="A261" s="329">
        <v>46191</v>
      </c>
      <c r="B261" s="338" t="s">
        <v>138</v>
      </c>
      <c r="C261" s="339">
        <v>0.22</v>
      </c>
      <c r="D261" s="191">
        <v>1</v>
      </c>
      <c r="E261" s="285">
        <v>337.448</v>
      </c>
      <c r="F261" s="10">
        <f t="shared" si="16"/>
        <v>335.4</v>
      </c>
      <c r="G261" s="10">
        <f t="shared" si="17"/>
        <v>2.048</v>
      </c>
      <c r="H261" s="153">
        <f t="shared" si="18"/>
        <v>0.789988383395368</v>
      </c>
      <c r="I261" s="285">
        <v>33.74</v>
      </c>
      <c r="K261" s="285">
        <v>266.58</v>
      </c>
      <c r="L261" s="10">
        <f t="shared" si="19"/>
        <v>10851.62</v>
      </c>
      <c r="N261" s="150" t="s">
        <v>1653</v>
      </c>
    </row>
    <row r="262" ht="15" spans="1:14">
      <c r="A262" s="329">
        <v>46191</v>
      </c>
      <c r="B262" s="338" t="s">
        <v>69</v>
      </c>
      <c r="C262" s="339">
        <v>0.45</v>
      </c>
      <c r="D262" s="191">
        <v>0.95</v>
      </c>
      <c r="E262" s="285">
        <v>230.265</v>
      </c>
      <c r="F262" s="10">
        <f t="shared" si="16"/>
        <v>215</v>
      </c>
      <c r="G262" s="10">
        <f t="shared" si="17"/>
        <v>15.265</v>
      </c>
      <c r="H262" s="153">
        <f t="shared" si="18"/>
        <v>0.79000282283456</v>
      </c>
      <c r="I262" s="285">
        <v>23.03</v>
      </c>
      <c r="K262" s="285">
        <v>181.91</v>
      </c>
      <c r="L262" s="10">
        <f t="shared" si="19"/>
        <v>10669.71</v>
      </c>
      <c r="N262" s="150" t="s">
        <v>1653</v>
      </c>
    </row>
    <row r="263" ht="15" spans="1:14">
      <c r="A263" s="329">
        <v>46191</v>
      </c>
      <c r="B263" s="338" t="s">
        <v>186</v>
      </c>
      <c r="C263" s="339">
        <v>0.32</v>
      </c>
      <c r="D263" s="191">
        <v>0.99</v>
      </c>
      <c r="E263" s="285">
        <v>296.051</v>
      </c>
      <c r="F263" s="10">
        <f t="shared" si="16"/>
        <v>288.1</v>
      </c>
      <c r="G263" s="10">
        <f t="shared" si="17"/>
        <v>7.95099999999996</v>
      </c>
      <c r="H263" s="153">
        <f t="shared" si="18"/>
        <v>0.790032798402978</v>
      </c>
      <c r="I263" s="285">
        <v>29.61</v>
      </c>
      <c r="K263" s="285">
        <v>233.89</v>
      </c>
      <c r="L263" s="10">
        <f t="shared" si="19"/>
        <v>10435.82</v>
      </c>
      <c r="N263" s="150" t="s">
        <v>1653</v>
      </c>
    </row>
    <row r="264" ht="15" spans="1:14">
      <c r="A264" s="329">
        <v>46191</v>
      </c>
      <c r="B264" s="338" t="s">
        <v>105</v>
      </c>
      <c r="C264" s="339">
        <v>0.28</v>
      </c>
      <c r="D264" s="191">
        <v>0.96</v>
      </c>
      <c r="E264" s="285">
        <v>322.1</v>
      </c>
      <c r="F264" s="10">
        <f t="shared" si="16"/>
        <v>292.4</v>
      </c>
      <c r="G264" s="10">
        <f t="shared" si="17"/>
        <v>29.7</v>
      </c>
      <c r="H264" s="153">
        <f t="shared" si="18"/>
        <v>0.790003104625893</v>
      </c>
      <c r="I264" s="285">
        <v>32.21</v>
      </c>
      <c r="K264" s="285">
        <v>254.46</v>
      </c>
      <c r="L264" s="10">
        <f t="shared" si="19"/>
        <v>10181.36</v>
      </c>
      <c r="N264" s="150" t="s">
        <v>1653</v>
      </c>
    </row>
    <row r="265" ht="15" spans="1:14">
      <c r="A265" s="329">
        <v>46192</v>
      </c>
      <c r="B265" s="338" t="s">
        <v>144</v>
      </c>
      <c r="C265" s="339">
        <v>0.75</v>
      </c>
      <c r="D265" s="191">
        <v>1</v>
      </c>
      <c r="E265" s="285">
        <v>107.997</v>
      </c>
      <c r="F265" s="10">
        <f t="shared" si="16"/>
        <v>107.5</v>
      </c>
      <c r="G265" s="10">
        <f t="shared" si="17"/>
        <v>0.497</v>
      </c>
      <c r="H265" s="153">
        <f t="shared" si="18"/>
        <v>0.790021945054029</v>
      </c>
      <c r="I265" s="285">
        <v>10.8</v>
      </c>
      <c r="K265" s="285">
        <v>85.32</v>
      </c>
      <c r="L265" s="10">
        <f t="shared" si="19"/>
        <v>10096.04</v>
      </c>
      <c r="N265" s="150" t="s">
        <v>1653</v>
      </c>
    </row>
    <row r="266" ht="15" spans="1:14">
      <c r="A266" s="329">
        <v>46192</v>
      </c>
      <c r="B266" s="338" t="s">
        <v>75</v>
      </c>
      <c r="C266" s="339">
        <v>0.46</v>
      </c>
      <c r="D266" s="191">
        <v>0.96</v>
      </c>
      <c r="E266" s="285">
        <v>235.61</v>
      </c>
      <c r="F266" s="10">
        <f t="shared" si="16"/>
        <v>215</v>
      </c>
      <c r="G266" s="10">
        <f t="shared" si="17"/>
        <v>20.61</v>
      </c>
      <c r="H266" s="153">
        <f t="shared" si="18"/>
        <v>0.789991935826153</v>
      </c>
      <c r="I266" s="285">
        <v>23.56</v>
      </c>
      <c r="K266" s="285">
        <v>186.13</v>
      </c>
      <c r="L266" s="10">
        <f t="shared" si="19"/>
        <v>9909.91</v>
      </c>
      <c r="N266" s="150" t="s">
        <v>1653</v>
      </c>
    </row>
    <row r="267" ht="15" spans="1:14">
      <c r="A267" s="329">
        <v>46192</v>
      </c>
      <c r="B267" s="338" t="s">
        <v>166</v>
      </c>
      <c r="C267" s="339">
        <v>0.11</v>
      </c>
      <c r="D267" s="191">
        <v>1</v>
      </c>
      <c r="E267" s="285">
        <v>383.716</v>
      </c>
      <c r="F267" s="10">
        <f t="shared" si="16"/>
        <v>382.7</v>
      </c>
      <c r="G267" s="10">
        <f t="shared" si="17"/>
        <v>1.01600000000002</v>
      </c>
      <c r="H267" s="153">
        <f t="shared" si="18"/>
        <v>0.78998530162933</v>
      </c>
      <c r="I267" s="285">
        <v>38.37</v>
      </c>
      <c r="K267" s="285">
        <v>303.13</v>
      </c>
      <c r="L267" s="10">
        <f t="shared" si="19"/>
        <v>9606.78</v>
      </c>
      <c r="N267" s="150" t="s">
        <v>1653</v>
      </c>
    </row>
    <row r="268" ht="15" spans="1:14">
      <c r="A268" s="329">
        <v>46192</v>
      </c>
      <c r="B268" s="338" t="s">
        <v>210</v>
      </c>
      <c r="C268" s="339">
        <v>0.37</v>
      </c>
      <c r="D268" s="191">
        <v>0.7</v>
      </c>
      <c r="E268" s="285">
        <v>145.832</v>
      </c>
      <c r="F268" s="10">
        <f t="shared" si="16"/>
        <v>141.9</v>
      </c>
      <c r="G268" s="10">
        <f t="shared" si="17"/>
        <v>3.93199999999999</v>
      </c>
      <c r="H268" s="153">
        <f t="shared" si="18"/>
        <v>0.789950079543584</v>
      </c>
      <c r="I268" s="285">
        <v>14.58</v>
      </c>
      <c r="K268" s="285">
        <v>115.2</v>
      </c>
      <c r="L268" s="10">
        <f t="shared" si="19"/>
        <v>9491.58</v>
      </c>
      <c r="N268" s="150" t="s">
        <v>1653</v>
      </c>
    </row>
    <row r="269" ht="15" spans="1:14">
      <c r="A269" s="329">
        <v>46192</v>
      </c>
      <c r="B269" s="338" t="s">
        <v>54</v>
      </c>
      <c r="C269" s="339">
        <v>0.26</v>
      </c>
      <c r="D269" s="191">
        <v>0.95</v>
      </c>
      <c r="E269" s="285">
        <v>282.286</v>
      </c>
      <c r="F269" s="10">
        <f t="shared" si="16"/>
        <v>296.7</v>
      </c>
      <c r="G269" s="10">
        <f t="shared" si="17"/>
        <v>-14.414</v>
      </c>
      <c r="H269" s="153">
        <f t="shared" si="18"/>
        <v>0.790014382576536</v>
      </c>
      <c r="I269" s="285">
        <v>28.23</v>
      </c>
      <c r="K269" s="285">
        <v>223.01</v>
      </c>
      <c r="L269" s="10">
        <f t="shared" si="19"/>
        <v>9268.57</v>
      </c>
      <c r="N269" s="150" t="s">
        <v>1653</v>
      </c>
    </row>
    <row r="270" ht="15" spans="1:14">
      <c r="A270" s="329">
        <v>46192</v>
      </c>
      <c r="B270" s="338" t="s">
        <v>177</v>
      </c>
      <c r="C270" s="339">
        <v>0.31</v>
      </c>
      <c r="D270" s="191">
        <v>0.99</v>
      </c>
      <c r="E270" s="285">
        <v>301.814</v>
      </c>
      <c r="F270" s="10">
        <f t="shared" si="16"/>
        <v>292.4</v>
      </c>
      <c r="G270" s="10">
        <f t="shared" si="17"/>
        <v>9.41400000000004</v>
      </c>
      <c r="H270" s="153">
        <f t="shared" si="18"/>
        <v>0.789989861305307</v>
      </c>
      <c r="I270" s="285">
        <v>30.18</v>
      </c>
      <c r="K270" s="285">
        <v>238.43</v>
      </c>
      <c r="L270" s="10">
        <f t="shared" si="19"/>
        <v>9030.14</v>
      </c>
      <c r="N270" s="150" t="s">
        <v>1653</v>
      </c>
    </row>
    <row r="271" ht="15" spans="1:14">
      <c r="A271" s="329">
        <v>46192</v>
      </c>
      <c r="B271" s="338" t="s">
        <v>93</v>
      </c>
      <c r="C271" s="339">
        <v>0.25</v>
      </c>
      <c r="D271" s="191">
        <v>0.96</v>
      </c>
      <c r="E271" s="285">
        <v>340.584</v>
      </c>
      <c r="F271" s="10">
        <f t="shared" si="16"/>
        <v>305.3</v>
      </c>
      <c r="G271" s="10">
        <f t="shared" si="17"/>
        <v>35.284</v>
      </c>
      <c r="H271" s="153">
        <f t="shared" si="18"/>
        <v>0.789996006858807</v>
      </c>
      <c r="I271" s="285">
        <v>34.06</v>
      </c>
      <c r="K271" s="285">
        <v>269.06</v>
      </c>
      <c r="L271" s="10">
        <f t="shared" si="19"/>
        <v>8761.08</v>
      </c>
      <c r="N271" s="150" t="s">
        <v>1653</v>
      </c>
    </row>
    <row r="272" ht="15" spans="1:14">
      <c r="A272" s="329">
        <v>46192</v>
      </c>
      <c r="B272" s="338" t="s">
        <v>124</v>
      </c>
      <c r="C272" s="339">
        <v>0.34</v>
      </c>
      <c r="D272" s="191">
        <v>0.95</v>
      </c>
      <c r="E272" s="285">
        <v>256.863</v>
      </c>
      <c r="F272" s="10">
        <f t="shared" si="16"/>
        <v>262.3</v>
      </c>
      <c r="G272" s="10">
        <f t="shared" si="17"/>
        <v>-5.43700000000001</v>
      </c>
      <c r="H272" s="153">
        <f t="shared" si="18"/>
        <v>0.789954177908068</v>
      </c>
      <c r="I272" s="285">
        <v>25.68</v>
      </c>
      <c r="K272" s="285">
        <v>202.91</v>
      </c>
      <c r="L272" s="10">
        <f t="shared" si="19"/>
        <v>8558.17</v>
      </c>
      <c r="N272" s="150" t="s">
        <v>1653</v>
      </c>
    </row>
    <row r="273" ht="15" spans="1:14">
      <c r="A273" s="329">
        <v>46192</v>
      </c>
      <c r="B273" s="338" t="s">
        <v>81</v>
      </c>
      <c r="C273" s="339">
        <v>0.15</v>
      </c>
      <c r="D273" s="191">
        <v>0.98</v>
      </c>
      <c r="E273" s="285">
        <v>387.859</v>
      </c>
      <c r="F273" s="10">
        <f t="shared" si="16"/>
        <v>356.9</v>
      </c>
      <c r="G273" s="10">
        <f t="shared" si="17"/>
        <v>30.959</v>
      </c>
      <c r="H273" s="153">
        <f t="shared" si="18"/>
        <v>0.790029366341892</v>
      </c>
      <c r="I273" s="285">
        <v>38.79</v>
      </c>
      <c r="K273" s="285">
        <v>306.42</v>
      </c>
      <c r="L273" s="10">
        <f t="shared" si="19"/>
        <v>8251.75</v>
      </c>
      <c r="N273" s="150" t="s">
        <v>1653</v>
      </c>
    </row>
    <row r="274" ht="15" spans="1:14">
      <c r="A274" s="329">
        <v>46192</v>
      </c>
      <c r="B274" s="338" t="s">
        <v>90</v>
      </c>
      <c r="C274" s="339">
        <v>0.47</v>
      </c>
      <c r="D274" s="191">
        <v>0.95</v>
      </c>
      <c r="E274" s="285">
        <v>215.979</v>
      </c>
      <c r="F274" s="10">
        <f t="shared" si="16"/>
        <v>206.4</v>
      </c>
      <c r="G274" s="10">
        <f t="shared" si="17"/>
        <v>9.57900000000001</v>
      </c>
      <c r="H274" s="153">
        <f t="shared" si="18"/>
        <v>0.7899379106302</v>
      </c>
      <c r="I274" s="285">
        <v>21.59</v>
      </c>
      <c r="K274" s="285">
        <v>170.61</v>
      </c>
      <c r="L274" s="10">
        <f t="shared" si="19"/>
        <v>8081.14</v>
      </c>
      <c r="N274" s="150" t="s">
        <v>1653</v>
      </c>
    </row>
    <row r="275" ht="15" spans="1:14">
      <c r="A275" s="329">
        <v>46192</v>
      </c>
      <c r="B275" s="338" t="s">
        <v>189</v>
      </c>
      <c r="C275" s="339">
        <v>0.31</v>
      </c>
      <c r="D275" s="191">
        <v>0.99</v>
      </c>
      <c r="E275" s="285">
        <v>298.844</v>
      </c>
      <c r="F275" s="10">
        <f t="shared" si="16"/>
        <v>292.4</v>
      </c>
      <c r="G275" s="10">
        <f t="shared" si="17"/>
        <v>6.44400000000002</v>
      </c>
      <c r="H275" s="153">
        <f t="shared" si="18"/>
        <v>0.790010841776981</v>
      </c>
      <c r="I275" s="285">
        <v>29.89</v>
      </c>
      <c r="K275" s="285">
        <v>236.09</v>
      </c>
      <c r="L275" s="10">
        <f t="shared" si="19"/>
        <v>7845.05</v>
      </c>
      <c r="N275" s="150" t="s">
        <v>1653</v>
      </c>
    </row>
    <row r="276" ht="15" spans="1:14">
      <c r="A276" s="329">
        <v>46192</v>
      </c>
      <c r="B276" s="338" t="s">
        <v>210</v>
      </c>
      <c r="C276" s="339">
        <v>0.49</v>
      </c>
      <c r="D276" s="191">
        <v>0.96</v>
      </c>
      <c r="E276" s="285">
        <v>212.096</v>
      </c>
      <c r="F276" s="10">
        <f t="shared" si="16"/>
        <v>202.1</v>
      </c>
      <c r="G276" s="10">
        <f t="shared" si="17"/>
        <v>9.99600000000001</v>
      </c>
      <c r="H276" s="153">
        <f t="shared" si="18"/>
        <v>0.790019613759807</v>
      </c>
      <c r="I276" s="285">
        <v>21.21</v>
      </c>
      <c r="K276" s="285">
        <v>167.56</v>
      </c>
      <c r="L276" s="10">
        <f t="shared" si="19"/>
        <v>7677.49</v>
      </c>
      <c r="N276" s="150" t="s">
        <v>1653</v>
      </c>
    </row>
    <row r="277" ht="15" spans="1:14">
      <c r="A277" s="329">
        <v>46192</v>
      </c>
      <c r="B277" s="338" t="s">
        <v>99</v>
      </c>
      <c r="C277" s="339">
        <v>0.27</v>
      </c>
      <c r="D277" s="191">
        <v>1</v>
      </c>
      <c r="E277" s="285">
        <v>335.152</v>
      </c>
      <c r="F277" s="10">
        <f t="shared" si="16"/>
        <v>313.9</v>
      </c>
      <c r="G277" s="10">
        <f t="shared" si="17"/>
        <v>21.252</v>
      </c>
      <c r="H277" s="153">
        <f t="shared" si="18"/>
        <v>0.789999761302334</v>
      </c>
      <c r="I277" s="285">
        <v>33.52</v>
      </c>
      <c r="K277" s="285">
        <v>264.77</v>
      </c>
      <c r="L277" s="10">
        <f t="shared" si="19"/>
        <v>7412.72</v>
      </c>
      <c r="N277" s="150" t="s">
        <v>1653</v>
      </c>
    </row>
    <row r="278" ht="15" spans="1:14">
      <c r="A278" s="329">
        <v>46192</v>
      </c>
      <c r="B278" s="338" t="s">
        <v>66</v>
      </c>
      <c r="C278" s="339">
        <v>0.28</v>
      </c>
      <c r="D278" s="191">
        <v>1</v>
      </c>
      <c r="E278" s="285">
        <v>332.135</v>
      </c>
      <c r="F278" s="10">
        <f t="shared" si="16"/>
        <v>309.6</v>
      </c>
      <c r="G278" s="10">
        <f t="shared" si="17"/>
        <v>22.535</v>
      </c>
      <c r="H278" s="153">
        <f t="shared" si="18"/>
        <v>0.789979978020985</v>
      </c>
      <c r="I278" s="285">
        <v>33.21</v>
      </c>
      <c r="K278" s="285">
        <v>262.38</v>
      </c>
      <c r="L278" s="10">
        <f t="shared" si="19"/>
        <v>7150.34</v>
      </c>
      <c r="N278" s="150" t="s">
        <v>1653</v>
      </c>
    </row>
    <row r="279" ht="15" spans="1:14">
      <c r="A279" s="329">
        <v>46192</v>
      </c>
      <c r="B279" s="338" t="s">
        <v>78</v>
      </c>
      <c r="C279" s="339">
        <v>0.28</v>
      </c>
      <c r="D279" s="191">
        <v>1</v>
      </c>
      <c r="E279" s="285">
        <v>328.084</v>
      </c>
      <c r="F279" s="10">
        <f t="shared" si="16"/>
        <v>309.6</v>
      </c>
      <c r="G279" s="10">
        <f t="shared" si="17"/>
        <v>18.484</v>
      </c>
      <c r="H279" s="153">
        <f t="shared" si="18"/>
        <v>0.790011094719645</v>
      </c>
      <c r="I279" s="285">
        <v>32.81</v>
      </c>
      <c r="K279" s="285">
        <v>259.19</v>
      </c>
      <c r="L279" s="10">
        <f t="shared" si="19"/>
        <v>6891.15</v>
      </c>
      <c r="N279" s="150" t="s">
        <v>1653</v>
      </c>
    </row>
    <row r="280" ht="15" spans="1:14">
      <c r="A280" s="329">
        <v>46192</v>
      </c>
      <c r="B280" s="338" t="s">
        <v>174</v>
      </c>
      <c r="C280" s="339">
        <v>0.29</v>
      </c>
      <c r="D280" s="191">
        <v>1</v>
      </c>
      <c r="E280" s="285">
        <v>311.684</v>
      </c>
      <c r="F280" s="10">
        <f t="shared" si="16"/>
        <v>305.3</v>
      </c>
      <c r="G280" s="10">
        <f t="shared" si="17"/>
        <v>6.38400000000001</v>
      </c>
      <c r="H280" s="153">
        <f t="shared" si="18"/>
        <v>0.789998844984022</v>
      </c>
      <c r="I280" s="285">
        <v>31.17</v>
      </c>
      <c r="K280" s="285">
        <v>246.23</v>
      </c>
      <c r="L280" s="10">
        <f t="shared" si="19"/>
        <v>6644.92</v>
      </c>
      <c r="N280" s="150" t="s">
        <v>1653</v>
      </c>
    </row>
    <row r="281" ht="15" spans="1:14">
      <c r="A281" s="329">
        <v>46192</v>
      </c>
      <c r="B281" s="338" t="s">
        <v>114</v>
      </c>
      <c r="C281" s="339">
        <v>0.2</v>
      </c>
      <c r="D281" s="191">
        <v>0.9</v>
      </c>
      <c r="E281" s="285">
        <v>283.107</v>
      </c>
      <c r="F281" s="10">
        <f t="shared" si="16"/>
        <v>301</v>
      </c>
      <c r="G281" s="10">
        <f t="shared" si="17"/>
        <v>-17.893</v>
      </c>
      <c r="H281" s="153">
        <f t="shared" si="18"/>
        <v>0.789983998982717</v>
      </c>
      <c r="I281" s="285">
        <v>28.31</v>
      </c>
      <c r="K281" s="285">
        <v>223.65</v>
      </c>
      <c r="L281" s="10">
        <f t="shared" si="19"/>
        <v>6421.27</v>
      </c>
      <c r="N281" s="150" t="s">
        <v>1653</v>
      </c>
    </row>
    <row r="282" ht="15" spans="1:14">
      <c r="A282" s="329">
        <v>46192</v>
      </c>
      <c r="B282" s="338" t="s">
        <v>87</v>
      </c>
      <c r="C282" s="339">
        <v>0.26</v>
      </c>
      <c r="D282" s="191">
        <v>1</v>
      </c>
      <c r="E282" s="285">
        <v>338.722</v>
      </c>
      <c r="F282" s="10">
        <f t="shared" si="16"/>
        <v>318.2</v>
      </c>
      <c r="G282" s="10">
        <f t="shared" si="17"/>
        <v>20.522</v>
      </c>
      <c r="H282" s="153">
        <f t="shared" si="18"/>
        <v>0.789998878136053</v>
      </c>
      <c r="I282" s="285">
        <v>33.87</v>
      </c>
      <c r="K282" s="285">
        <v>267.59</v>
      </c>
      <c r="L282" s="10">
        <f t="shared" si="19"/>
        <v>6153.68</v>
      </c>
      <c r="N282" s="150" t="s">
        <v>1653</v>
      </c>
    </row>
    <row r="283" ht="15" spans="1:14">
      <c r="A283" s="329">
        <v>46192</v>
      </c>
      <c r="B283" s="338" t="s">
        <v>51</v>
      </c>
      <c r="C283" s="339">
        <v>0.18</v>
      </c>
      <c r="D283" s="191">
        <v>1</v>
      </c>
      <c r="E283" s="285">
        <v>334.909</v>
      </c>
      <c r="F283" s="10">
        <f t="shared" si="16"/>
        <v>352.6</v>
      </c>
      <c r="G283" s="10">
        <f t="shared" si="17"/>
        <v>-17.691</v>
      </c>
      <c r="H283" s="153">
        <f t="shared" si="18"/>
        <v>0.789975784466825</v>
      </c>
      <c r="I283" s="285">
        <v>33.49</v>
      </c>
      <c r="K283" s="285">
        <v>264.57</v>
      </c>
      <c r="L283" s="10">
        <f t="shared" si="19"/>
        <v>5889.11</v>
      </c>
      <c r="N283" s="150" t="s">
        <v>1653</v>
      </c>
    </row>
    <row r="284" ht="15" spans="1:14">
      <c r="A284" s="329">
        <v>46192</v>
      </c>
      <c r="B284" s="338" t="s">
        <v>108</v>
      </c>
      <c r="C284" s="339">
        <v>0.32</v>
      </c>
      <c r="D284" s="191">
        <v>1</v>
      </c>
      <c r="E284" s="285">
        <v>317.629</v>
      </c>
      <c r="F284" s="10">
        <f t="shared" si="16"/>
        <v>292.4</v>
      </c>
      <c r="G284" s="10">
        <f t="shared" si="17"/>
        <v>25.229</v>
      </c>
      <c r="H284" s="153">
        <f t="shared" si="18"/>
        <v>0.789978245059488</v>
      </c>
      <c r="I284" s="285">
        <v>31.76</v>
      </c>
      <c r="J284" s="144">
        <v>10000</v>
      </c>
      <c r="K284" s="285">
        <v>250.92</v>
      </c>
      <c r="L284" s="10">
        <f t="shared" si="19"/>
        <v>15638.19</v>
      </c>
      <c r="N284" s="150" t="s">
        <v>1653</v>
      </c>
    </row>
    <row r="285" ht="15" spans="1:14">
      <c r="A285" s="329">
        <v>46193</v>
      </c>
      <c r="B285" s="338" t="s">
        <v>96</v>
      </c>
      <c r="C285" s="339">
        <v>0.46</v>
      </c>
      <c r="D285" s="191">
        <v>0.95</v>
      </c>
      <c r="E285" s="285">
        <v>228.313</v>
      </c>
      <c r="F285" s="10">
        <f t="shared" si="16"/>
        <v>210.7</v>
      </c>
      <c r="G285" s="10">
        <f t="shared" si="17"/>
        <v>17.613</v>
      </c>
      <c r="H285" s="153">
        <f t="shared" si="18"/>
        <v>0.790011957269187</v>
      </c>
      <c r="I285" s="285">
        <v>22.83</v>
      </c>
      <c r="K285" s="285">
        <v>180.37</v>
      </c>
      <c r="L285" s="10">
        <f t="shared" si="19"/>
        <v>15457.82</v>
      </c>
      <c r="N285" s="150" t="s">
        <v>1653</v>
      </c>
    </row>
    <row r="286" ht="15" spans="1:14">
      <c r="A286" s="329">
        <v>46193</v>
      </c>
      <c r="B286" s="338" t="s">
        <v>57</v>
      </c>
      <c r="C286" s="339">
        <v>0.33</v>
      </c>
      <c r="D286" s="191">
        <v>1</v>
      </c>
      <c r="E286" s="285">
        <v>272.536</v>
      </c>
      <c r="F286" s="10">
        <f t="shared" si="16"/>
        <v>288.1</v>
      </c>
      <c r="G286" s="10">
        <f t="shared" si="17"/>
        <v>-15.564</v>
      </c>
      <c r="H286" s="153">
        <f t="shared" si="18"/>
        <v>0.789987377814307</v>
      </c>
      <c r="I286" s="285">
        <v>27.25</v>
      </c>
      <c r="K286" s="285">
        <v>215.3</v>
      </c>
      <c r="L286" s="10">
        <f t="shared" si="19"/>
        <v>15242.52</v>
      </c>
      <c r="N286" s="150" t="s">
        <v>1653</v>
      </c>
    </row>
    <row r="287" ht="15" spans="1:14">
      <c r="A287" s="329">
        <v>46193</v>
      </c>
      <c r="B287" s="338" t="s">
        <v>102</v>
      </c>
      <c r="C287" s="339">
        <v>0.32</v>
      </c>
      <c r="D287" s="191">
        <v>0.95</v>
      </c>
      <c r="E287" s="285">
        <v>295.735</v>
      </c>
      <c r="F287" s="10">
        <f t="shared" si="16"/>
        <v>270.9</v>
      </c>
      <c r="G287" s="10">
        <f t="shared" si="17"/>
        <v>24.835</v>
      </c>
      <c r="H287" s="153">
        <f t="shared" si="18"/>
        <v>0.789997802086327</v>
      </c>
      <c r="I287" s="285">
        <v>29.57</v>
      </c>
      <c r="K287" s="285">
        <v>233.63</v>
      </c>
      <c r="L287" s="10">
        <f t="shared" si="19"/>
        <v>15008.89</v>
      </c>
      <c r="N287" s="150" t="s">
        <v>1653</v>
      </c>
    </row>
    <row r="288" ht="15" spans="1:14">
      <c r="A288" s="329">
        <v>46193</v>
      </c>
      <c r="B288" s="338" t="s">
        <v>111</v>
      </c>
      <c r="C288" s="339">
        <v>0.33</v>
      </c>
      <c r="D288" s="191">
        <v>0.97</v>
      </c>
      <c r="E288" s="285">
        <v>265.925</v>
      </c>
      <c r="F288" s="10">
        <f t="shared" ref="F288:F317" si="20">(D288-C288)*430</f>
        <v>275.2</v>
      </c>
      <c r="G288" s="10">
        <f t="shared" ref="G288:G317" si="21">E288-F288</f>
        <v>-9.27499999999998</v>
      </c>
      <c r="H288" s="153">
        <f t="shared" ref="H288:H317" si="22">K288/E288</f>
        <v>0.789997179655918</v>
      </c>
      <c r="I288" s="285">
        <v>26.59</v>
      </c>
      <c r="K288" s="285">
        <v>210.08</v>
      </c>
      <c r="L288" s="10">
        <f t="shared" si="19"/>
        <v>14798.81</v>
      </c>
      <c r="N288" s="150" t="s">
        <v>1653</v>
      </c>
    </row>
    <row r="289" ht="15" spans="1:14">
      <c r="A289" s="329">
        <v>46193</v>
      </c>
      <c r="B289" s="338" t="s">
        <v>132</v>
      </c>
      <c r="C289" s="339">
        <v>0.41</v>
      </c>
      <c r="D289" s="191">
        <v>0.96</v>
      </c>
      <c r="E289" s="285">
        <v>239.374</v>
      </c>
      <c r="F289" s="10">
        <f t="shared" si="20"/>
        <v>236.5</v>
      </c>
      <c r="G289" s="10">
        <f t="shared" si="21"/>
        <v>2.874</v>
      </c>
      <c r="H289" s="153">
        <f t="shared" si="22"/>
        <v>0.790018966136673</v>
      </c>
      <c r="I289" s="285">
        <v>23.94</v>
      </c>
      <c r="K289" s="285">
        <v>189.11</v>
      </c>
      <c r="L289" s="10">
        <f t="shared" si="19"/>
        <v>14609.7</v>
      </c>
      <c r="N289" s="150" t="s">
        <v>1653</v>
      </c>
    </row>
    <row r="290" ht="15" spans="1:14">
      <c r="A290" s="329">
        <v>46193</v>
      </c>
      <c r="B290" s="338" t="s">
        <v>84</v>
      </c>
      <c r="C290" s="339">
        <v>0.29</v>
      </c>
      <c r="D290" s="191">
        <v>0.91</v>
      </c>
      <c r="E290" s="285">
        <v>284.337</v>
      </c>
      <c r="F290" s="10">
        <f t="shared" si="20"/>
        <v>266.6</v>
      </c>
      <c r="G290" s="10">
        <f t="shared" si="21"/>
        <v>17.737</v>
      </c>
      <c r="H290" s="153">
        <f t="shared" si="22"/>
        <v>0.789978089379856</v>
      </c>
      <c r="I290" s="285">
        <v>28.43</v>
      </c>
      <c r="K290" s="285">
        <v>224.62</v>
      </c>
      <c r="L290" s="10">
        <f t="shared" si="19"/>
        <v>14385.08</v>
      </c>
      <c r="N290" s="150" t="s">
        <v>1653</v>
      </c>
    </row>
    <row r="291" ht="15" spans="1:14">
      <c r="A291" s="329">
        <v>46193</v>
      </c>
      <c r="B291" s="338" t="s">
        <v>60</v>
      </c>
      <c r="C291" s="339">
        <v>0.14</v>
      </c>
      <c r="D291" s="191">
        <v>1</v>
      </c>
      <c r="E291" s="285">
        <v>354.735</v>
      </c>
      <c r="F291" s="10">
        <f t="shared" si="20"/>
        <v>369.8</v>
      </c>
      <c r="G291" s="10">
        <f t="shared" si="21"/>
        <v>-15.065</v>
      </c>
      <c r="H291" s="153">
        <f t="shared" si="22"/>
        <v>0.789998167646271</v>
      </c>
      <c r="I291" s="285">
        <v>35.47</v>
      </c>
      <c r="K291" s="285">
        <v>280.24</v>
      </c>
      <c r="L291" s="10">
        <f t="shared" si="19"/>
        <v>14104.84</v>
      </c>
      <c r="N291" s="150" t="s">
        <v>1653</v>
      </c>
    </row>
    <row r="292" ht="15" spans="1:14">
      <c r="A292" s="329">
        <v>46193</v>
      </c>
      <c r="B292" s="338" t="s">
        <v>201</v>
      </c>
      <c r="C292" s="339">
        <v>0.25</v>
      </c>
      <c r="D292" s="191">
        <v>0.99</v>
      </c>
      <c r="E292" s="285">
        <v>327.932</v>
      </c>
      <c r="F292" s="10">
        <f t="shared" si="20"/>
        <v>318.2</v>
      </c>
      <c r="G292" s="10">
        <f t="shared" si="21"/>
        <v>9.73200000000003</v>
      </c>
      <c r="H292" s="153">
        <f t="shared" si="22"/>
        <v>0.78998084968835</v>
      </c>
      <c r="I292" s="285">
        <v>32.79</v>
      </c>
      <c r="K292" s="285">
        <v>259.06</v>
      </c>
      <c r="L292" s="10">
        <f t="shared" si="19"/>
        <v>13845.78</v>
      </c>
      <c r="N292" s="150" t="s">
        <v>1653</v>
      </c>
    </row>
    <row r="293" ht="15" spans="1:14">
      <c r="A293" s="329">
        <v>46193</v>
      </c>
      <c r="B293" s="338" t="s">
        <v>213</v>
      </c>
      <c r="C293" s="339">
        <v>0.37</v>
      </c>
      <c r="D293" s="191">
        <v>1</v>
      </c>
      <c r="E293" s="285">
        <v>276.011</v>
      </c>
      <c r="F293" s="10">
        <f t="shared" si="20"/>
        <v>270.9</v>
      </c>
      <c r="G293" s="10">
        <f t="shared" si="21"/>
        <v>5.11100000000005</v>
      </c>
      <c r="H293" s="153">
        <f t="shared" si="22"/>
        <v>0.790004746187652</v>
      </c>
      <c r="I293" s="285">
        <v>27.6</v>
      </c>
      <c r="K293" s="285">
        <v>218.05</v>
      </c>
      <c r="L293" s="10">
        <f t="shared" si="19"/>
        <v>13627.73</v>
      </c>
      <c r="N293" s="150" t="s">
        <v>1653</v>
      </c>
    </row>
    <row r="294" ht="15" spans="1:14">
      <c r="A294" s="329">
        <v>46193</v>
      </c>
      <c r="B294" s="338" t="s">
        <v>670</v>
      </c>
      <c r="C294" s="339">
        <v>0.33</v>
      </c>
      <c r="D294" s="191">
        <v>1</v>
      </c>
      <c r="E294" s="285">
        <v>294.672</v>
      </c>
      <c r="F294" s="10">
        <f t="shared" si="20"/>
        <v>288.1</v>
      </c>
      <c r="G294" s="10">
        <f t="shared" si="21"/>
        <v>6.572</v>
      </c>
      <c r="H294" s="153">
        <f t="shared" si="22"/>
        <v>0.790030949666069</v>
      </c>
      <c r="I294" s="285">
        <v>29.47</v>
      </c>
      <c r="K294" s="285">
        <v>232.8</v>
      </c>
      <c r="L294" s="10">
        <f t="shared" si="19"/>
        <v>13394.93</v>
      </c>
      <c r="N294" s="150" t="s">
        <v>1653</v>
      </c>
    </row>
    <row r="295" ht="15" spans="1:14">
      <c r="A295" s="329">
        <v>46193</v>
      </c>
      <c r="B295" s="338" t="s">
        <v>63</v>
      </c>
      <c r="C295" s="339">
        <v>0.39</v>
      </c>
      <c r="D295" s="191">
        <v>0.4</v>
      </c>
      <c r="E295" s="285">
        <v>6.75</v>
      </c>
      <c r="F295" s="10">
        <f t="shared" si="20"/>
        <v>4.3</v>
      </c>
      <c r="G295" s="10">
        <f t="shared" si="21"/>
        <v>2.45</v>
      </c>
      <c r="H295" s="153">
        <f t="shared" si="22"/>
        <v>0.791111111111111</v>
      </c>
      <c r="I295" s="285">
        <v>0.68</v>
      </c>
      <c r="K295" s="285">
        <v>5.34</v>
      </c>
      <c r="L295" s="10">
        <f t="shared" si="19"/>
        <v>13389.59</v>
      </c>
      <c r="N295" s="150" t="s">
        <v>1653</v>
      </c>
    </row>
    <row r="296" ht="15" spans="1:14">
      <c r="A296" s="329">
        <v>46193</v>
      </c>
      <c r="B296" s="338" t="s">
        <v>63</v>
      </c>
      <c r="C296" s="339">
        <v>0.4</v>
      </c>
      <c r="D296" s="191">
        <v>0.96</v>
      </c>
      <c r="E296" s="285">
        <v>260.6</v>
      </c>
      <c r="F296" s="10">
        <f t="shared" si="20"/>
        <v>240.8</v>
      </c>
      <c r="G296" s="10">
        <f t="shared" si="21"/>
        <v>19.8</v>
      </c>
      <c r="H296" s="153">
        <f t="shared" si="22"/>
        <v>0.789984650805833</v>
      </c>
      <c r="I296" s="285">
        <v>26.06</v>
      </c>
      <c r="K296" s="285">
        <v>205.87</v>
      </c>
      <c r="L296" s="10">
        <f t="shared" si="19"/>
        <v>13183.72</v>
      </c>
      <c r="N296" s="150" t="s">
        <v>1653</v>
      </c>
    </row>
    <row r="297" ht="15" spans="1:14">
      <c r="A297" s="329">
        <v>46193</v>
      </c>
      <c r="B297" s="338" t="s">
        <v>141</v>
      </c>
      <c r="C297" s="339">
        <v>0.28</v>
      </c>
      <c r="D297" s="191">
        <v>1</v>
      </c>
      <c r="E297" s="285">
        <v>311.741</v>
      </c>
      <c r="F297" s="10">
        <f t="shared" si="20"/>
        <v>309.6</v>
      </c>
      <c r="G297" s="10">
        <f t="shared" si="21"/>
        <v>2.14099999999996</v>
      </c>
      <c r="H297" s="153">
        <f t="shared" si="22"/>
        <v>0.789982710006063</v>
      </c>
      <c r="I297" s="285">
        <v>31.17</v>
      </c>
      <c r="K297" s="285">
        <v>246.27</v>
      </c>
      <c r="L297" s="10">
        <f t="shared" si="19"/>
        <v>12937.45</v>
      </c>
      <c r="N297" s="150" t="s">
        <v>1653</v>
      </c>
    </row>
    <row r="298" ht="15" spans="1:14">
      <c r="A298" s="329">
        <v>46193</v>
      </c>
      <c r="B298" s="338" t="s">
        <v>151</v>
      </c>
      <c r="C298" s="339">
        <v>0.21</v>
      </c>
      <c r="D298" s="191">
        <v>1</v>
      </c>
      <c r="E298" s="285">
        <v>341.417</v>
      </c>
      <c r="F298" s="10">
        <f t="shared" si="20"/>
        <v>339.7</v>
      </c>
      <c r="G298" s="10">
        <f t="shared" si="21"/>
        <v>1.71699999999998</v>
      </c>
      <c r="H298" s="153">
        <f t="shared" si="22"/>
        <v>0.790001669512649</v>
      </c>
      <c r="I298" s="285">
        <v>34.14</v>
      </c>
      <c r="K298" s="285">
        <v>269.72</v>
      </c>
      <c r="L298" s="10">
        <f t="shared" si="19"/>
        <v>12667.73</v>
      </c>
      <c r="N298" s="150" t="s">
        <v>1653</v>
      </c>
    </row>
    <row r="299" ht="15" spans="1:14">
      <c r="A299" s="329">
        <v>46193</v>
      </c>
      <c r="B299" s="338" t="s">
        <v>69</v>
      </c>
      <c r="C299" s="339">
        <v>0.28</v>
      </c>
      <c r="D299" s="191">
        <v>0.72</v>
      </c>
      <c r="E299" s="285">
        <v>198.07</v>
      </c>
      <c r="F299" s="10">
        <f t="shared" si="20"/>
        <v>189.2</v>
      </c>
      <c r="G299" s="10">
        <f t="shared" si="21"/>
        <v>8.87</v>
      </c>
      <c r="H299" s="153">
        <f t="shared" si="22"/>
        <v>0.790023728984702</v>
      </c>
      <c r="I299" s="285">
        <v>19.81</v>
      </c>
      <c r="K299" s="285">
        <v>156.48</v>
      </c>
      <c r="L299" s="10">
        <f t="shared" si="19"/>
        <v>12511.25</v>
      </c>
      <c r="N299" s="150" t="s">
        <v>1653</v>
      </c>
    </row>
    <row r="300" ht="15" spans="1:14">
      <c r="A300" s="329">
        <v>46193</v>
      </c>
      <c r="B300" s="338" t="s">
        <v>195</v>
      </c>
      <c r="C300" s="339">
        <v>0.32</v>
      </c>
      <c r="D300" s="191">
        <v>0.42</v>
      </c>
      <c r="E300" s="285">
        <v>44.577</v>
      </c>
      <c r="F300" s="10">
        <f t="shared" si="20"/>
        <v>43</v>
      </c>
      <c r="G300" s="10">
        <f t="shared" si="21"/>
        <v>1.577</v>
      </c>
      <c r="H300" s="153">
        <f t="shared" si="22"/>
        <v>0.790093545999058</v>
      </c>
      <c r="I300" s="285">
        <v>4.46</v>
      </c>
      <c r="K300" s="285">
        <v>35.22</v>
      </c>
      <c r="L300" s="10">
        <f t="shared" si="19"/>
        <v>12476.03</v>
      </c>
      <c r="N300" s="150" t="s">
        <v>1653</v>
      </c>
    </row>
    <row r="301" ht="15" spans="1:14">
      <c r="A301" s="329">
        <v>46193</v>
      </c>
      <c r="B301" s="338" t="s">
        <v>130</v>
      </c>
      <c r="C301" s="339">
        <v>0.09</v>
      </c>
      <c r="D301" s="191">
        <v>1</v>
      </c>
      <c r="E301" s="285">
        <v>365.035</v>
      </c>
      <c r="F301" s="10">
        <f t="shared" si="20"/>
        <v>391.3</v>
      </c>
      <c r="G301" s="10">
        <f t="shared" si="21"/>
        <v>-26.265</v>
      </c>
      <c r="H301" s="153">
        <f t="shared" si="22"/>
        <v>0.789979043105456</v>
      </c>
      <c r="I301" s="285">
        <v>36.5</v>
      </c>
      <c r="K301" s="285">
        <v>288.37</v>
      </c>
      <c r="L301" s="10">
        <f t="shared" si="19"/>
        <v>12187.66</v>
      </c>
      <c r="N301" s="150" t="s">
        <v>1653</v>
      </c>
    </row>
    <row r="302" ht="15" spans="1:14">
      <c r="A302" s="329">
        <v>46193</v>
      </c>
      <c r="B302" s="338" t="s">
        <v>154</v>
      </c>
      <c r="C302" s="339">
        <v>0.42</v>
      </c>
      <c r="D302" s="191">
        <v>1</v>
      </c>
      <c r="E302" s="285">
        <v>253.909</v>
      </c>
      <c r="F302" s="10">
        <f t="shared" si="20"/>
        <v>249.4</v>
      </c>
      <c r="G302" s="10">
        <f t="shared" si="21"/>
        <v>4.50899999999999</v>
      </c>
      <c r="H302" s="153">
        <f t="shared" si="22"/>
        <v>0.790007443611688</v>
      </c>
      <c r="I302" s="285">
        <v>25.39</v>
      </c>
      <c r="K302" s="285">
        <v>200.59</v>
      </c>
      <c r="L302" s="10">
        <f t="shared" si="19"/>
        <v>11987.07</v>
      </c>
      <c r="N302" s="150" t="s">
        <v>1653</v>
      </c>
    </row>
    <row r="303" ht="15" spans="1:14">
      <c r="A303" s="329">
        <v>46193</v>
      </c>
      <c r="B303" s="338" t="s">
        <v>204</v>
      </c>
      <c r="C303" s="339">
        <v>0.34</v>
      </c>
      <c r="D303" s="191">
        <v>1</v>
      </c>
      <c r="E303" s="285">
        <v>278.883</v>
      </c>
      <c r="F303" s="10">
        <f t="shared" si="20"/>
        <v>283.8</v>
      </c>
      <c r="G303" s="10">
        <f t="shared" si="21"/>
        <v>-4.91700000000003</v>
      </c>
      <c r="H303" s="153">
        <f t="shared" si="22"/>
        <v>0.790008713331397</v>
      </c>
      <c r="I303" s="285">
        <v>27.89</v>
      </c>
      <c r="K303" s="285">
        <v>220.32</v>
      </c>
      <c r="L303" s="10">
        <f t="shared" si="19"/>
        <v>11766.75</v>
      </c>
      <c r="N303" s="150" t="s">
        <v>1653</v>
      </c>
    </row>
    <row r="304" ht="15" spans="1:14">
      <c r="A304" s="329">
        <v>46194</v>
      </c>
      <c r="B304" s="338" t="s">
        <v>338</v>
      </c>
      <c r="C304" s="339">
        <v>0.39</v>
      </c>
      <c r="D304" s="191">
        <v>1</v>
      </c>
      <c r="E304" s="285">
        <v>260.39</v>
      </c>
      <c r="F304" s="10">
        <f t="shared" si="20"/>
        <v>262.3</v>
      </c>
      <c r="G304" s="10">
        <f t="shared" si="21"/>
        <v>-1.91000000000003</v>
      </c>
      <c r="H304" s="153">
        <f t="shared" si="22"/>
        <v>0.790007296747187</v>
      </c>
      <c r="I304" s="285">
        <v>26.04</v>
      </c>
      <c r="K304" s="285">
        <v>205.71</v>
      </c>
      <c r="L304" s="10">
        <f t="shared" si="19"/>
        <v>11561.04</v>
      </c>
      <c r="N304" s="150" t="s">
        <v>1653</v>
      </c>
    </row>
    <row r="305" ht="15" spans="1:14">
      <c r="A305" s="329">
        <v>46194</v>
      </c>
      <c r="B305" s="338" t="s">
        <v>163</v>
      </c>
      <c r="C305" s="339">
        <v>0.36</v>
      </c>
      <c r="D305" s="191">
        <v>1</v>
      </c>
      <c r="E305" s="285">
        <v>272.166</v>
      </c>
      <c r="F305" s="10">
        <f t="shared" si="20"/>
        <v>275.2</v>
      </c>
      <c r="G305" s="10">
        <f t="shared" si="21"/>
        <v>-3.03399999999999</v>
      </c>
      <c r="H305" s="153">
        <f t="shared" si="22"/>
        <v>0.790032553662103</v>
      </c>
      <c r="I305" s="285">
        <v>27.22</v>
      </c>
      <c r="K305" s="285">
        <v>215.02</v>
      </c>
      <c r="L305" s="10">
        <f t="shared" si="19"/>
        <v>11346.02</v>
      </c>
      <c r="N305" s="150" t="s">
        <v>1653</v>
      </c>
    </row>
    <row r="306" ht="15" spans="1:14">
      <c r="A306" s="329">
        <v>46194</v>
      </c>
      <c r="B306" s="338" t="s">
        <v>81</v>
      </c>
      <c r="C306" s="339">
        <v>0.25</v>
      </c>
      <c r="D306" s="191">
        <v>0.95</v>
      </c>
      <c r="E306" s="285">
        <v>331.964</v>
      </c>
      <c r="F306" s="10">
        <f t="shared" si="20"/>
        <v>301</v>
      </c>
      <c r="G306" s="10">
        <f t="shared" si="21"/>
        <v>30.964</v>
      </c>
      <c r="H306" s="153">
        <f t="shared" si="22"/>
        <v>0.790025424443614</v>
      </c>
      <c r="I306" s="285">
        <v>33.2</v>
      </c>
      <c r="K306" s="285">
        <v>262.26</v>
      </c>
      <c r="L306" s="10">
        <f t="shared" si="19"/>
        <v>11083.76</v>
      </c>
      <c r="N306" s="150" t="s">
        <v>1653</v>
      </c>
    </row>
    <row r="307" ht="15" spans="1:14">
      <c r="A307" s="329">
        <v>46194</v>
      </c>
      <c r="B307" s="338" t="s">
        <v>90</v>
      </c>
      <c r="C307" s="339">
        <v>0.52</v>
      </c>
      <c r="D307" s="191">
        <v>1</v>
      </c>
      <c r="E307" s="285">
        <v>214.966</v>
      </c>
      <c r="F307" s="10">
        <f t="shared" si="20"/>
        <v>206.4</v>
      </c>
      <c r="G307" s="10">
        <f t="shared" si="21"/>
        <v>8.566</v>
      </c>
      <c r="H307" s="153">
        <f t="shared" si="22"/>
        <v>0.790031912023297</v>
      </c>
      <c r="I307" s="285">
        <v>21.5</v>
      </c>
      <c r="K307" s="285">
        <v>169.83</v>
      </c>
      <c r="L307" s="10">
        <f t="shared" si="19"/>
        <v>10913.93</v>
      </c>
      <c r="N307" s="150" t="s">
        <v>1653</v>
      </c>
    </row>
    <row r="308" ht="15" spans="1:14">
      <c r="A308" s="329">
        <v>46194</v>
      </c>
      <c r="B308" s="338" t="s">
        <v>72</v>
      </c>
      <c r="C308" s="339">
        <v>0.49</v>
      </c>
      <c r="D308" s="191">
        <v>1</v>
      </c>
      <c r="E308" s="285">
        <v>222.343</v>
      </c>
      <c r="F308" s="10">
        <f t="shared" si="20"/>
        <v>219.3</v>
      </c>
      <c r="G308" s="10">
        <f t="shared" si="21"/>
        <v>3.04299999999998</v>
      </c>
      <c r="H308" s="153">
        <f t="shared" si="22"/>
        <v>0.789995637371089</v>
      </c>
      <c r="I308" s="285">
        <v>22.23</v>
      </c>
      <c r="K308" s="285">
        <v>175.65</v>
      </c>
      <c r="L308" s="10">
        <f t="shared" si="19"/>
        <v>10738.28</v>
      </c>
      <c r="N308" s="150" t="s">
        <v>1653</v>
      </c>
    </row>
    <row r="309" ht="15" spans="1:14">
      <c r="A309" s="329">
        <v>46194</v>
      </c>
      <c r="B309" s="338" t="s">
        <v>221</v>
      </c>
      <c r="C309" s="339">
        <v>0.29</v>
      </c>
      <c r="D309" s="191">
        <v>1</v>
      </c>
      <c r="E309" s="285">
        <v>306.235</v>
      </c>
      <c r="F309" s="10">
        <f t="shared" si="20"/>
        <v>305.3</v>
      </c>
      <c r="G309" s="10">
        <f t="shared" si="21"/>
        <v>0.935000000000002</v>
      </c>
      <c r="H309" s="153">
        <f t="shared" si="22"/>
        <v>0.790014204777377</v>
      </c>
      <c r="I309" s="285">
        <v>30.63</v>
      </c>
      <c r="K309" s="285">
        <v>241.93</v>
      </c>
      <c r="L309" s="10">
        <f t="shared" si="19"/>
        <v>10496.35</v>
      </c>
      <c r="N309" s="150" t="s">
        <v>1653</v>
      </c>
    </row>
    <row r="310" ht="15" spans="1:14">
      <c r="A310" s="329">
        <v>46194</v>
      </c>
      <c r="B310" s="338" t="s">
        <v>223</v>
      </c>
      <c r="C310" s="339">
        <v>0.38</v>
      </c>
      <c r="D310" s="191">
        <v>1</v>
      </c>
      <c r="E310" s="285">
        <v>267.622</v>
      </c>
      <c r="F310" s="10">
        <f t="shared" ref="F310:F341" si="23">(D310-C310)*430</f>
        <v>266.6</v>
      </c>
      <c r="G310" s="10">
        <f t="shared" si="21"/>
        <v>1.02199999999999</v>
      </c>
      <c r="H310" s="153">
        <f t="shared" si="22"/>
        <v>0.789994843473257</v>
      </c>
      <c r="I310" s="285">
        <v>26.76</v>
      </c>
      <c r="K310" s="285">
        <v>211.42</v>
      </c>
      <c r="L310" s="10">
        <f t="shared" si="19"/>
        <v>10284.93</v>
      </c>
      <c r="N310" s="150" t="s">
        <v>1653</v>
      </c>
    </row>
    <row r="311" ht="15" spans="1:14">
      <c r="A311" s="329">
        <v>46194</v>
      </c>
      <c r="B311" s="338" t="s">
        <v>160</v>
      </c>
      <c r="C311" s="339">
        <v>0.39</v>
      </c>
      <c r="D311" s="191">
        <v>1</v>
      </c>
      <c r="E311" s="285">
        <v>258.057</v>
      </c>
      <c r="F311" s="10">
        <f t="shared" si="23"/>
        <v>262.3</v>
      </c>
      <c r="G311" s="10">
        <f t="shared" si="21"/>
        <v>-4.24299999999999</v>
      </c>
      <c r="H311" s="153">
        <f t="shared" si="22"/>
        <v>0.789980508182301</v>
      </c>
      <c r="I311" s="285">
        <v>25.8</v>
      </c>
      <c r="K311" s="285">
        <v>203.86</v>
      </c>
      <c r="L311" s="10">
        <f t="shared" si="19"/>
        <v>10081.07</v>
      </c>
      <c r="N311" s="150" t="s">
        <v>1653</v>
      </c>
    </row>
    <row r="312" ht="15" spans="1:14">
      <c r="A312" s="329">
        <v>46194</v>
      </c>
      <c r="B312" s="338" t="s">
        <v>195</v>
      </c>
      <c r="C312" s="339">
        <v>0.35</v>
      </c>
      <c r="D312" s="191">
        <v>1</v>
      </c>
      <c r="E312" s="285">
        <v>278.333</v>
      </c>
      <c r="F312" s="10">
        <f t="shared" si="23"/>
        <v>279.5</v>
      </c>
      <c r="G312" s="10">
        <f t="shared" si="21"/>
        <v>-1.16699999999997</v>
      </c>
      <c r="H312" s="153">
        <f t="shared" si="22"/>
        <v>0.789988970046671</v>
      </c>
      <c r="I312" s="285">
        <v>27.83</v>
      </c>
      <c r="K312" s="285">
        <v>219.88</v>
      </c>
      <c r="L312" s="10">
        <f t="shared" si="19"/>
        <v>9861.19</v>
      </c>
      <c r="N312" s="150" t="s">
        <v>1653</v>
      </c>
    </row>
    <row r="313" ht="15" spans="1:14">
      <c r="A313" s="329">
        <v>46194</v>
      </c>
      <c r="B313" s="338" t="s">
        <v>75</v>
      </c>
      <c r="C313" s="339">
        <v>0.19</v>
      </c>
      <c r="D313" s="191">
        <v>0.95</v>
      </c>
      <c r="E313" s="285">
        <v>361.677</v>
      </c>
      <c r="F313" s="10">
        <f t="shared" si="23"/>
        <v>326.8</v>
      </c>
      <c r="G313" s="10">
        <f t="shared" si="21"/>
        <v>34.877</v>
      </c>
      <c r="H313" s="153">
        <f t="shared" si="22"/>
        <v>0.790014294522461</v>
      </c>
      <c r="I313" s="285">
        <v>36.17</v>
      </c>
      <c r="K313" s="285">
        <v>285.73</v>
      </c>
      <c r="L313" s="10">
        <f t="shared" si="19"/>
        <v>9575.46</v>
      </c>
      <c r="N313" s="150" t="s">
        <v>1653</v>
      </c>
    </row>
    <row r="314" ht="15" spans="1:14">
      <c r="A314" s="329">
        <v>46194</v>
      </c>
      <c r="B314" s="338" t="s">
        <v>124</v>
      </c>
      <c r="C314" s="339">
        <v>0.37</v>
      </c>
      <c r="D314" s="191">
        <v>1</v>
      </c>
      <c r="E314" s="285">
        <v>265.335</v>
      </c>
      <c r="F314" s="10">
        <f t="shared" si="23"/>
        <v>270.9</v>
      </c>
      <c r="G314" s="10">
        <f t="shared" si="21"/>
        <v>-5.565</v>
      </c>
      <c r="H314" s="153">
        <f t="shared" si="22"/>
        <v>0.789982474984454</v>
      </c>
      <c r="I314" s="285">
        <v>26.53</v>
      </c>
      <c r="K314" s="285">
        <v>209.61</v>
      </c>
      <c r="L314" s="10">
        <f t="shared" si="19"/>
        <v>9365.85</v>
      </c>
      <c r="N314" s="150" t="s">
        <v>1653</v>
      </c>
    </row>
    <row r="315" ht="15" spans="1:14">
      <c r="A315" s="329">
        <v>46194</v>
      </c>
      <c r="B315" s="338" t="s">
        <v>144</v>
      </c>
      <c r="C315" s="339">
        <v>0.08</v>
      </c>
      <c r="D315" s="191">
        <v>1</v>
      </c>
      <c r="E315" s="285">
        <v>398.96</v>
      </c>
      <c r="F315" s="10">
        <f t="shared" si="23"/>
        <v>395.6</v>
      </c>
      <c r="G315" s="10">
        <f t="shared" si="21"/>
        <v>3.35999999999996</v>
      </c>
      <c r="H315" s="153">
        <f t="shared" si="22"/>
        <v>0.790004010427111</v>
      </c>
      <c r="I315" s="285">
        <v>39.9</v>
      </c>
      <c r="K315" s="285">
        <v>315.18</v>
      </c>
      <c r="L315" s="10">
        <f t="shared" si="19"/>
        <v>9050.67</v>
      </c>
      <c r="N315" s="150" t="s">
        <v>1653</v>
      </c>
    </row>
    <row r="316" ht="15" spans="1:14">
      <c r="A316" s="329">
        <v>46194</v>
      </c>
      <c r="B316" s="338" t="s">
        <v>51</v>
      </c>
      <c r="C316" s="339">
        <v>0.19</v>
      </c>
      <c r="D316" s="191">
        <v>1</v>
      </c>
      <c r="E316" s="285">
        <v>332.76</v>
      </c>
      <c r="F316" s="10">
        <f t="shared" si="23"/>
        <v>348.3</v>
      </c>
      <c r="G316" s="10">
        <f t="shared" si="21"/>
        <v>-15.54</v>
      </c>
      <c r="H316" s="153">
        <f t="shared" si="22"/>
        <v>0.789998797932444</v>
      </c>
      <c r="I316" s="285">
        <v>33.28</v>
      </c>
      <c r="K316" s="285">
        <v>262.88</v>
      </c>
      <c r="L316" s="10">
        <f t="shared" si="19"/>
        <v>8787.79</v>
      </c>
      <c r="N316" s="150" t="s">
        <v>1653</v>
      </c>
    </row>
    <row r="317" ht="15" spans="1:14">
      <c r="A317" s="329">
        <v>46194</v>
      </c>
      <c r="B317" s="338" t="s">
        <v>189</v>
      </c>
      <c r="C317" s="339">
        <v>0.15</v>
      </c>
      <c r="D317" s="191">
        <v>0.66</v>
      </c>
      <c r="E317" s="285">
        <v>224.236</v>
      </c>
      <c r="F317" s="10">
        <f t="shared" si="23"/>
        <v>219.3</v>
      </c>
      <c r="G317" s="10">
        <f t="shared" si="21"/>
        <v>4.93599999999998</v>
      </c>
      <c r="H317" s="153">
        <f t="shared" si="22"/>
        <v>0.789971280258299</v>
      </c>
      <c r="I317" s="285">
        <v>22.42</v>
      </c>
      <c r="K317" s="285">
        <v>177.14</v>
      </c>
      <c r="L317" s="10">
        <f t="shared" si="19"/>
        <v>8610.65</v>
      </c>
      <c r="N317" s="150" t="s">
        <v>1653</v>
      </c>
    </row>
    <row r="318" spans="1:14">
      <c r="A318" s="311">
        <v>46195</v>
      </c>
      <c r="B318" s="144" t="s">
        <v>180</v>
      </c>
      <c r="C318" s="191">
        <v>0.4</v>
      </c>
      <c r="D318" s="191">
        <v>0.44</v>
      </c>
      <c r="E318" s="144">
        <v>18.237</v>
      </c>
      <c r="F318" s="10">
        <f t="shared" si="23"/>
        <v>17.2</v>
      </c>
      <c r="G318" s="10">
        <f t="shared" ref="G318:G359" si="24">E318-F318</f>
        <v>1.037</v>
      </c>
      <c r="H318" s="153">
        <f t="shared" ref="H318:H359" si="25">K318/E318</f>
        <v>0.78960355321599</v>
      </c>
      <c r="I318" s="144">
        <v>1.82</v>
      </c>
      <c r="K318" s="144">
        <v>14.4</v>
      </c>
      <c r="L318" s="10">
        <f t="shared" ref="L318:L343" si="26">L317+J318-K318</f>
        <v>8596.25</v>
      </c>
      <c r="N318" s="150" t="s">
        <v>1653</v>
      </c>
    </row>
    <row r="319" spans="1:14">
      <c r="A319" s="311">
        <v>46195</v>
      </c>
      <c r="B319" s="144" t="s">
        <v>180</v>
      </c>
      <c r="C319" s="191">
        <v>0.42</v>
      </c>
      <c r="D319" s="191">
        <v>1</v>
      </c>
      <c r="E319" s="144">
        <v>253.434</v>
      </c>
      <c r="F319" s="10">
        <f t="shared" si="23"/>
        <v>249.4</v>
      </c>
      <c r="G319" s="10">
        <f t="shared" si="24"/>
        <v>4.03399999999999</v>
      </c>
      <c r="H319" s="153">
        <f t="shared" si="25"/>
        <v>0.789988715010614</v>
      </c>
      <c r="I319" s="144">
        <v>25.34</v>
      </c>
      <c r="K319" s="144">
        <v>200.21</v>
      </c>
      <c r="L319" s="10">
        <f t="shared" si="26"/>
        <v>8396.04</v>
      </c>
      <c r="N319" s="150" t="s">
        <v>1653</v>
      </c>
    </row>
    <row r="320" spans="1:14">
      <c r="A320" s="311">
        <v>46195</v>
      </c>
      <c r="B320" s="144" t="s">
        <v>96</v>
      </c>
      <c r="C320" s="191">
        <v>0.43</v>
      </c>
      <c r="D320" s="191">
        <v>0.98</v>
      </c>
      <c r="E320" s="144">
        <v>255.926</v>
      </c>
      <c r="F320" s="10">
        <f t="shared" si="23"/>
        <v>236.5</v>
      </c>
      <c r="G320" s="10">
        <f t="shared" si="24"/>
        <v>19.426</v>
      </c>
      <c r="H320" s="153">
        <f t="shared" si="25"/>
        <v>0.789993982635606</v>
      </c>
      <c r="I320" s="144">
        <v>25.59</v>
      </c>
      <c r="K320" s="144">
        <v>202.18</v>
      </c>
      <c r="L320" s="10">
        <f t="shared" si="26"/>
        <v>8193.86</v>
      </c>
      <c r="N320" s="150" t="s">
        <v>1653</v>
      </c>
    </row>
    <row r="321" spans="1:14">
      <c r="A321" s="311">
        <v>46195</v>
      </c>
      <c r="B321" s="144" t="s">
        <v>186</v>
      </c>
      <c r="C321" s="191">
        <v>0.21</v>
      </c>
      <c r="D321" s="191">
        <v>0.21</v>
      </c>
      <c r="E321" s="144">
        <v>0</v>
      </c>
      <c r="F321" s="10">
        <f t="shared" si="23"/>
        <v>0</v>
      </c>
      <c r="G321" s="10">
        <f t="shared" si="24"/>
        <v>0</v>
      </c>
      <c r="H321" s="153" t="e">
        <f t="shared" si="25"/>
        <v>#DIV/0!</v>
      </c>
      <c r="I321" s="144">
        <v>0</v>
      </c>
      <c r="K321" s="144">
        <v>0</v>
      </c>
      <c r="L321" s="10">
        <f t="shared" si="26"/>
        <v>8193.86</v>
      </c>
      <c r="N321" s="150" t="s">
        <v>1653</v>
      </c>
    </row>
    <row r="322" spans="1:14">
      <c r="A322" s="311">
        <v>46195</v>
      </c>
      <c r="B322" s="144" t="s">
        <v>186</v>
      </c>
      <c r="C322" s="191">
        <v>0.21</v>
      </c>
      <c r="D322" s="191">
        <v>1</v>
      </c>
      <c r="E322" s="144">
        <v>345.18</v>
      </c>
      <c r="F322" s="10">
        <f t="shared" si="23"/>
        <v>339.7</v>
      </c>
      <c r="G322" s="10">
        <f t="shared" si="24"/>
        <v>5.48000000000002</v>
      </c>
      <c r="H322" s="153">
        <f t="shared" si="25"/>
        <v>0.790022596905962</v>
      </c>
      <c r="I322" s="144">
        <v>34.52</v>
      </c>
      <c r="K322" s="144">
        <v>272.7</v>
      </c>
      <c r="L322" s="10">
        <f t="shared" si="26"/>
        <v>7921.16</v>
      </c>
      <c r="N322" s="150" t="s">
        <v>1653</v>
      </c>
    </row>
    <row r="323" spans="1:14">
      <c r="A323" s="311">
        <v>46195</v>
      </c>
      <c r="B323" s="144" t="s">
        <v>198</v>
      </c>
      <c r="C323" s="191">
        <v>0.42</v>
      </c>
      <c r="D323" s="191">
        <v>1</v>
      </c>
      <c r="E323" s="144">
        <v>254.483</v>
      </c>
      <c r="F323" s="10">
        <f t="shared" si="23"/>
        <v>249.4</v>
      </c>
      <c r="G323" s="10">
        <f t="shared" si="24"/>
        <v>5.083</v>
      </c>
      <c r="H323" s="153">
        <f t="shared" si="25"/>
        <v>0.789993830629158</v>
      </c>
      <c r="I323" s="144">
        <v>25.45</v>
      </c>
      <c r="K323" s="144">
        <v>201.04</v>
      </c>
      <c r="L323" s="10">
        <f t="shared" si="26"/>
        <v>7720.12</v>
      </c>
      <c r="N323" s="150" t="s">
        <v>1653</v>
      </c>
    </row>
    <row r="324" spans="1:14">
      <c r="A324" s="311">
        <v>46195</v>
      </c>
      <c r="B324" s="144" t="s">
        <v>207</v>
      </c>
      <c r="C324" s="191">
        <v>0.22</v>
      </c>
      <c r="D324" s="191">
        <v>1</v>
      </c>
      <c r="E324" s="144">
        <v>338.967</v>
      </c>
      <c r="F324" s="10">
        <f t="shared" si="23"/>
        <v>335.4</v>
      </c>
      <c r="G324" s="10">
        <f t="shared" si="24"/>
        <v>3.56700000000001</v>
      </c>
      <c r="H324" s="153">
        <f t="shared" si="25"/>
        <v>0.790017907347913</v>
      </c>
      <c r="I324" s="144">
        <v>33.9</v>
      </c>
      <c r="K324" s="144">
        <v>267.79</v>
      </c>
      <c r="L324" s="10">
        <f t="shared" si="26"/>
        <v>7452.33</v>
      </c>
      <c r="N324" s="150" t="s">
        <v>1653</v>
      </c>
    </row>
    <row r="325" spans="1:14">
      <c r="A325" s="311">
        <v>46195</v>
      </c>
      <c r="B325" s="144" t="s">
        <v>148</v>
      </c>
      <c r="C325" s="191">
        <v>0.42</v>
      </c>
      <c r="D325" s="191">
        <v>0.75</v>
      </c>
      <c r="E325" s="144">
        <v>143.878</v>
      </c>
      <c r="F325" s="10">
        <f t="shared" si="23"/>
        <v>141.9</v>
      </c>
      <c r="G325" s="10">
        <f t="shared" si="24"/>
        <v>1.97799999999998</v>
      </c>
      <c r="H325" s="153">
        <f t="shared" si="25"/>
        <v>0.790044343124036</v>
      </c>
      <c r="I325" s="144">
        <v>14.39</v>
      </c>
      <c r="K325" s="144">
        <v>113.67</v>
      </c>
      <c r="L325" s="10">
        <f t="shared" si="26"/>
        <v>7338.66</v>
      </c>
      <c r="N325" s="150" t="s">
        <v>1653</v>
      </c>
    </row>
    <row r="326" spans="1:14">
      <c r="A326" s="311">
        <v>46195</v>
      </c>
      <c r="B326" s="144" t="s">
        <v>135</v>
      </c>
      <c r="C326" s="191">
        <v>0.26</v>
      </c>
      <c r="D326" s="191">
        <v>1</v>
      </c>
      <c r="E326" s="144">
        <v>315.317</v>
      </c>
      <c r="F326" s="10">
        <f t="shared" si="23"/>
        <v>318.2</v>
      </c>
      <c r="G326" s="10">
        <f t="shared" si="24"/>
        <v>-2.88299999999998</v>
      </c>
      <c r="H326" s="153">
        <f t="shared" si="25"/>
        <v>0.789998636293</v>
      </c>
      <c r="I326" s="144">
        <v>31.53</v>
      </c>
      <c r="K326" s="144">
        <v>249.1</v>
      </c>
      <c r="L326" s="10">
        <f t="shared" si="26"/>
        <v>7089.56</v>
      </c>
      <c r="N326" s="150" t="s">
        <v>1653</v>
      </c>
    </row>
    <row r="327" spans="1:14">
      <c r="A327" s="311">
        <v>46195</v>
      </c>
      <c r="B327" s="144" t="s">
        <v>183</v>
      </c>
      <c r="C327" s="191">
        <v>0.35</v>
      </c>
      <c r="D327" s="191">
        <v>1</v>
      </c>
      <c r="E327" s="144">
        <v>282.538</v>
      </c>
      <c r="F327" s="10">
        <f t="shared" si="23"/>
        <v>279.5</v>
      </c>
      <c r="G327" s="10">
        <f t="shared" si="24"/>
        <v>3.03800000000001</v>
      </c>
      <c r="H327" s="153">
        <f t="shared" si="25"/>
        <v>0.789982232478463</v>
      </c>
      <c r="I327" s="144">
        <v>28.25</v>
      </c>
      <c r="K327" s="144">
        <v>223.2</v>
      </c>
      <c r="L327" s="10">
        <f t="shared" si="26"/>
        <v>6866.36</v>
      </c>
      <c r="N327" s="150" t="s">
        <v>1653</v>
      </c>
    </row>
    <row r="328" spans="1:14">
      <c r="A328" s="311">
        <v>46195</v>
      </c>
      <c r="B328" s="144" t="s">
        <v>114</v>
      </c>
      <c r="C328" s="191">
        <v>0.19</v>
      </c>
      <c r="D328" s="191">
        <v>1</v>
      </c>
      <c r="E328" s="144">
        <v>327.722</v>
      </c>
      <c r="F328" s="10">
        <f t="shared" si="23"/>
        <v>348.3</v>
      </c>
      <c r="G328" s="10">
        <f t="shared" si="24"/>
        <v>-20.578</v>
      </c>
      <c r="H328" s="153">
        <f t="shared" si="25"/>
        <v>0.789998840480651</v>
      </c>
      <c r="I328" s="144">
        <v>32.77</v>
      </c>
      <c r="K328" s="144">
        <v>258.9</v>
      </c>
      <c r="L328" s="10">
        <f t="shared" si="26"/>
        <v>6607.46</v>
      </c>
      <c r="N328" s="150" t="s">
        <v>1653</v>
      </c>
    </row>
    <row r="329" spans="1:14">
      <c r="A329" s="311">
        <v>46195</v>
      </c>
      <c r="B329" s="144" t="s">
        <v>108</v>
      </c>
      <c r="C329" s="191">
        <v>0.33</v>
      </c>
      <c r="D329" s="191">
        <v>0.99</v>
      </c>
      <c r="E329" s="144">
        <v>307.211</v>
      </c>
      <c r="F329" s="10">
        <f t="shared" si="23"/>
        <v>283.8</v>
      </c>
      <c r="G329" s="10">
        <f t="shared" si="24"/>
        <v>23.411</v>
      </c>
      <c r="H329" s="153">
        <f t="shared" si="25"/>
        <v>0.790010774353783</v>
      </c>
      <c r="I329" s="144">
        <v>30.72</v>
      </c>
      <c r="K329" s="144">
        <v>242.7</v>
      </c>
      <c r="L329" s="10">
        <f t="shared" si="26"/>
        <v>6364.76</v>
      </c>
      <c r="N329" s="150" t="s">
        <v>1653</v>
      </c>
    </row>
    <row r="330" spans="1:14">
      <c r="A330" s="311">
        <v>46195</v>
      </c>
      <c r="B330" s="144" t="s">
        <v>54</v>
      </c>
      <c r="C330" s="191">
        <v>0.22</v>
      </c>
      <c r="D330" s="191">
        <v>1</v>
      </c>
      <c r="E330" s="144">
        <v>317.158</v>
      </c>
      <c r="F330" s="10">
        <f t="shared" si="23"/>
        <v>335.4</v>
      </c>
      <c r="G330" s="10">
        <f t="shared" si="24"/>
        <v>-18.242</v>
      </c>
      <c r="H330" s="153">
        <f t="shared" si="25"/>
        <v>0.790016332553491</v>
      </c>
      <c r="I330" s="144">
        <v>31.72</v>
      </c>
      <c r="K330" s="144">
        <v>250.56</v>
      </c>
      <c r="L330" s="10">
        <f t="shared" si="26"/>
        <v>6114.2</v>
      </c>
      <c r="N330" s="150" t="s">
        <v>1653</v>
      </c>
    </row>
    <row r="331" spans="1:14">
      <c r="A331" s="311">
        <v>46195</v>
      </c>
      <c r="B331" s="144" t="s">
        <v>93</v>
      </c>
      <c r="C331" s="191">
        <v>0.2</v>
      </c>
      <c r="D331" s="191">
        <v>1</v>
      </c>
      <c r="E331" s="144">
        <v>369.742</v>
      </c>
      <c r="F331" s="10">
        <f t="shared" si="23"/>
        <v>344</v>
      </c>
      <c r="G331" s="10">
        <f t="shared" si="24"/>
        <v>25.742</v>
      </c>
      <c r="H331" s="153">
        <f t="shared" si="25"/>
        <v>0.789983285642421</v>
      </c>
      <c r="I331" s="144">
        <v>36.97</v>
      </c>
      <c r="K331" s="144">
        <v>292.09</v>
      </c>
      <c r="L331" s="10">
        <f t="shared" si="26"/>
        <v>5822.11</v>
      </c>
      <c r="N331" s="150" t="s">
        <v>1653</v>
      </c>
    </row>
    <row r="332" spans="1:14">
      <c r="A332" s="311">
        <v>46195</v>
      </c>
      <c r="B332" s="144" t="s">
        <v>177</v>
      </c>
      <c r="C332" s="191">
        <v>0.36</v>
      </c>
      <c r="D332" s="191">
        <v>1</v>
      </c>
      <c r="E332" s="144">
        <v>276.992</v>
      </c>
      <c r="F332" s="10">
        <f t="shared" si="23"/>
        <v>275.2</v>
      </c>
      <c r="G332" s="10">
        <f t="shared" si="24"/>
        <v>1.79200000000003</v>
      </c>
      <c r="H332" s="153">
        <f t="shared" si="25"/>
        <v>0.789986714417745</v>
      </c>
      <c r="I332" s="144">
        <v>27.7</v>
      </c>
      <c r="K332" s="144">
        <v>218.82</v>
      </c>
      <c r="L332" s="10">
        <f t="shared" si="26"/>
        <v>5603.29</v>
      </c>
      <c r="N332" s="150" t="s">
        <v>1653</v>
      </c>
    </row>
    <row r="333" spans="1:14">
      <c r="A333" s="311">
        <v>46195</v>
      </c>
      <c r="B333" s="144" t="s">
        <v>57</v>
      </c>
      <c r="C333" s="191">
        <v>0.25</v>
      </c>
      <c r="D333" s="191">
        <v>0.98</v>
      </c>
      <c r="E333" s="144">
        <v>301.466</v>
      </c>
      <c r="F333" s="10">
        <f t="shared" si="23"/>
        <v>313.9</v>
      </c>
      <c r="G333" s="10">
        <f t="shared" si="24"/>
        <v>-12.434</v>
      </c>
      <c r="H333" s="153">
        <f t="shared" si="25"/>
        <v>0.79000616985</v>
      </c>
      <c r="I333" s="144">
        <v>30.15</v>
      </c>
      <c r="K333" s="144">
        <v>238.16</v>
      </c>
      <c r="L333" s="10">
        <f t="shared" si="26"/>
        <v>5365.13</v>
      </c>
      <c r="N333" s="150" t="s">
        <v>1653</v>
      </c>
    </row>
    <row r="334" spans="1:14">
      <c r="A334" s="311">
        <v>46195</v>
      </c>
      <c r="B334" s="144" t="s">
        <v>102</v>
      </c>
      <c r="C334" s="191">
        <v>0.41</v>
      </c>
      <c r="D334" s="191">
        <v>0.96</v>
      </c>
      <c r="E334" s="144">
        <v>268.993</v>
      </c>
      <c r="F334" s="10">
        <f t="shared" si="23"/>
        <v>236.5</v>
      </c>
      <c r="G334" s="10">
        <f t="shared" si="24"/>
        <v>32.493</v>
      </c>
      <c r="H334" s="153">
        <f t="shared" si="25"/>
        <v>0.790020558155788</v>
      </c>
      <c r="I334" s="144">
        <v>26.9</v>
      </c>
      <c r="K334" s="144">
        <v>212.51</v>
      </c>
      <c r="L334" s="10">
        <f t="shared" si="26"/>
        <v>5152.62</v>
      </c>
      <c r="N334" s="150" t="s">
        <v>1653</v>
      </c>
    </row>
    <row r="335" spans="1:14">
      <c r="A335" s="311">
        <v>46195</v>
      </c>
      <c r="B335" s="144" t="s">
        <v>105</v>
      </c>
      <c r="C335" s="191">
        <v>0.2</v>
      </c>
      <c r="D335" s="191">
        <v>0.95</v>
      </c>
      <c r="E335" s="144">
        <v>327.17</v>
      </c>
      <c r="F335" s="10">
        <f t="shared" si="23"/>
        <v>322.5</v>
      </c>
      <c r="G335" s="10">
        <f t="shared" si="24"/>
        <v>4.67000000000002</v>
      </c>
      <c r="H335" s="153">
        <f t="shared" si="25"/>
        <v>0.789956291836048</v>
      </c>
      <c r="I335" s="144">
        <v>32.71</v>
      </c>
      <c r="K335" s="144">
        <v>258.45</v>
      </c>
      <c r="L335" s="10">
        <f t="shared" si="26"/>
        <v>4894.17</v>
      </c>
      <c r="N335" s="150" t="s">
        <v>1653</v>
      </c>
    </row>
    <row r="336" spans="1:14">
      <c r="A336" s="311">
        <v>46195</v>
      </c>
      <c r="B336" s="144" t="s">
        <v>339</v>
      </c>
      <c r="C336" s="191">
        <v>0.36</v>
      </c>
      <c r="D336" s="191">
        <v>1</v>
      </c>
      <c r="E336" s="144">
        <v>279.547</v>
      </c>
      <c r="F336" s="10">
        <f t="shared" si="23"/>
        <v>275.2</v>
      </c>
      <c r="G336" s="10">
        <f t="shared" si="24"/>
        <v>4.34700000000004</v>
      </c>
      <c r="H336" s="153">
        <f t="shared" si="25"/>
        <v>0.790028152689887</v>
      </c>
      <c r="I336" s="144">
        <v>27.96</v>
      </c>
      <c r="K336" s="144">
        <v>220.85</v>
      </c>
      <c r="L336" s="10">
        <f t="shared" si="26"/>
        <v>4673.32</v>
      </c>
      <c r="N336" s="150" t="s">
        <v>1653</v>
      </c>
    </row>
    <row r="337" spans="1:14">
      <c r="A337" s="311">
        <v>46195</v>
      </c>
      <c r="B337" s="144" t="s">
        <v>111</v>
      </c>
      <c r="C337" s="191">
        <v>0.33</v>
      </c>
      <c r="D337" s="191">
        <v>1</v>
      </c>
      <c r="E337" s="144">
        <v>270.327</v>
      </c>
      <c r="F337" s="10">
        <f t="shared" si="23"/>
        <v>288.1</v>
      </c>
      <c r="G337" s="10">
        <f t="shared" si="24"/>
        <v>-17.773</v>
      </c>
      <c r="H337" s="153">
        <f t="shared" si="25"/>
        <v>0.7900061777033</v>
      </c>
      <c r="I337" s="144">
        <v>27.03</v>
      </c>
      <c r="K337" s="144">
        <v>213.56</v>
      </c>
      <c r="L337" s="10">
        <f t="shared" si="26"/>
        <v>4459.76</v>
      </c>
      <c r="N337" s="150" t="s">
        <v>1653</v>
      </c>
    </row>
    <row r="338" spans="1:14">
      <c r="A338" s="311">
        <v>46195</v>
      </c>
      <c r="B338" s="144" t="s">
        <v>99</v>
      </c>
      <c r="C338" s="191">
        <v>0.22</v>
      </c>
      <c r="D338" s="191">
        <v>1</v>
      </c>
      <c r="E338" s="144">
        <v>356.696</v>
      </c>
      <c r="F338" s="10">
        <f t="shared" si="23"/>
        <v>335.4</v>
      </c>
      <c r="G338" s="10">
        <f t="shared" si="24"/>
        <v>21.296</v>
      </c>
      <c r="H338" s="153">
        <f t="shared" si="25"/>
        <v>0.79000044856124</v>
      </c>
      <c r="I338" s="144">
        <v>35.67</v>
      </c>
      <c r="K338" s="144">
        <v>281.79</v>
      </c>
      <c r="L338" s="10">
        <f t="shared" si="26"/>
        <v>4177.97</v>
      </c>
      <c r="N338" s="150" t="s">
        <v>1653</v>
      </c>
    </row>
    <row r="339" spans="1:14">
      <c r="A339" s="311">
        <v>46195</v>
      </c>
      <c r="B339" s="144" t="s">
        <v>66</v>
      </c>
      <c r="C339" s="191">
        <v>0.22</v>
      </c>
      <c r="D339" s="191">
        <v>1</v>
      </c>
      <c r="E339" s="144">
        <v>334.353</v>
      </c>
      <c r="F339" s="10">
        <f t="shared" si="23"/>
        <v>335.4</v>
      </c>
      <c r="G339" s="10">
        <f t="shared" si="24"/>
        <v>-1.04699999999997</v>
      </c>
      <c r="H339" s="153">
        <f t="shared" si="25"/>
        <v>0.790003379661615</v>
      </c>
      <c r="I339" s="144">
        <v>33.44</v>
      </c>
      <c r="K339" s="144">
        <v>264.14</v>
      </c>
      <c r="L339" s="10">
        <f t="shared" si="26"/>
        <v>3913.83</v>
      </c>
      <c r="N339" s="150" t="s">
        <v>1653</v>
      </c>
    </row>
    <row r="340" spans="1:14">
      <c r="A340" s="311">
        <v>46195</v>
      </c>
      <c r="B340" s="144" t="s">
        <v>78</v>
      </c>
      <c r="C340" s="191">
        <v>0.22</v>
      </c>
      <c r="D340" s="191">
        <v>0.98</v>
      </c>
      <c r="E340" s="144">
        <v>355.645</v>
      </c>
      <c r="F340" s="10">
        <f t="shared" si="23"/>
        <v>326.8</v>
      </c>
      <c r="G340" s="10">
        <f t="shared" si="24"/>
        <v>28.845</v>
      </c>
      <c r="H340" s="153">
        <f t="shared" si="25"/>
        <v>0.790001265306696</v>
      </c>
      <c r="I340" s="144">
        <v>35.56</v>
      </c>
      <c r="K340" s="144">
        <v>280.96</v>
      </c>
      <c r="L340" s="10">
        <f t="shared" si="26"/>
        <v>3632.87</v>
      </c>
      <c r="N340" s="150" t="s">
        <v>1653</v>
      </c>
    </row>
    <row r="341" spans="1:14">
      <c r="A341" s="311">
        <v>46195</v>
      </c>
      <c r="B341" s="144" t="s">
        <v>201</v>
      </c>
      <c r="C341" s="191">
        <v>0.19</v>
      </c>
      <c r="D341" s="191">
        <v>0.38</v>
      </c>
      <c r="E341" s="144">
        <v>82.537</v>
      </c>
      <c r="F341" s="10">
        <f t="shared" si="23"/>
        <v>81.7</v>
      </c>
      <c r="G341" s="10">
        <f t="shared" si="24"/>
        <v>0.837000000000003</v>
      </c>
      <c r="H341" s="153">
        <f t="shared" si="25"/>
        <v>0.78994875025746</v>
      </c>
      <c r="I341" s="144">
        <v>8.25</v>
      </c>
      <c r="K341" s="144">
        <v>65.2</v>
      </c>
      <c r="L341" s="10">
        <f t="shared" si="26"/>
        <v>3567.67</v>
      </c>
      <c r="N341" s="150" t="s">
        <v>1653</v>
      </c>
    </row>
    <row r="342" spans="1:14">
      <c r="A342" s="311">
        <v>46195</v>
      </c>
      <c r="B342" s="144" t="s">
        <v>201</v>
      </c>
      <c r="C342" s="191">
        <v>0.38</v>
      </c>
      <c r="D342" s="191">
        <v>0.99</v>
      </c>
      <c r="E342" s="144">
        <v>269.095</v>
      </c>
      <c r="F342" s="10">
        <f t="shared" ref="F342:F361" si="27">(D342-C342)*430</f>
        <v>262.3</v>
      </c>
      <c r="G342" s="10">
        <f t="shared" si="24"/>
        <v>6.79500000000002</v>
      </c>
      <c r="H342" s="153">
        <f t="shared" si="25"/>
        <v>0.790018394990617</v>
      </c>
      <c r="I342" s="144">
        <v>26.91</v>
      </c>
      <c r="K342" s="144">
        <v>212.59</v>
      </c>
      <c r="L342" s="10">
        <f t="shared" si="26"/>
        <v>3355.08</v>
      </c>
      <c r="N342" s="150" t="s">
        <v>1653</v>
      </c>
    </row>
    <row r="343" spans="1:14">
      <c r="A343" s="311">
        <v>46195</v>
      </c>
      <c r="B343" s="144" t="s">
        <v>87</v>
      </c>
      <c r="C343" s="191">
        <v>0.24</v>
      </c>
      <c r="D343" s="191">
        <v>1</v>
      </c>
      <c r="E343" s="144">
        <v>346.837</v>
      </c>
      <c r="F343" s="10">
        <f t="shared" si="27"/>
        <v>326.8</v>
      </c>
      <c r="G343" s="10">
        <f t="shared" si="24"/>
        <v>20.037</v>
      </c>
      <c r="H343" s="153">
        <f t="shared" si="25"/>
        <v>0.789996453665555</v>
      </c>
      <c r="I343" s="144">
        <v>34.68</v>
      </c>
      <c r="K343" s="144">
        <v>274</v>
      </c>
      <c r="L343" s="10">
        <f t="shared" si="26"/>
        <v>3081.08</v>
      </c>
      <c r="N343" s="150" t="s">
        <v>1653</v>
      </c>
    </row>
    <row r="344" spans="1:14">
      <c r="A344" s="311">
        <v>46196</v>
      </c>
      <c r="B344" s="144" t="s">
        <v>166</v>
      </c>
      <c r="C344" s="191">
        <v>0.24</v>
      </c>
      <c r="D344" s="191">
        <v>0.24</v>
      </c>
      <c r="E344" s="285">
        <v>0</v>
      </c>
      <c r="F344" s="10">
        <f t="shared" si="27"/>
        <v>0</v>
      </c>
      <c r="G344" s="10">
        <f t="shared" si="24"/>
        <v>0</v>
      </c>
      <c r="H344" s="153" t="e">
        <f t="shared" si="25"/>
        <v>#DIV/0!</v>
      </c>
      <c r="J344" s="144">
        <v>10000</v>
      </c>
      <c r="K344" s="285">
        <v>0</v>
      </c>
      <c r="L344" s="10">
        <f t="shared" ref="L344:L361" si="28">L343+J344-K344</f>
        <v>13081.08</v>
      </c>
      <c r="N344" s="150" t="s">
        <v>1653</v>
      </c>
    </row>
    <row r="345" spans="1:14">
      <c r="A345" s="311">
        <v>46196</v>
      </c>
      <c r="B345" s="144" t="s">
        <v>166</v>
      </c>
      <c r="C345" s="191">
        <v>0.24</v>
      </c>
      <c r="D345" s="191">
        <v>1</v>
      </c>
      <c r="E345" s="285">
        <v>329.782</v>
      </c>
      <c r="F345" s="10">
        <f t="shared" si="27"/>
        <v>326.8</v>
      </c>
      <c r="G345" s="10">
        <f t="shared" si="24"/>
        <v>2.98199999999997</v>
      </c>
      <c r="H345" s="153">
        <f t="shared" si="25"/>
        <v>0.790006731719742</v>
      </c>
      <c r="K345" s="285">
        <v>260.53</v>
      </c>
      <c r="L345" s="10">
        <f t="shared" si="28"/>
        <v>12820.55</v>
      </c>
      <c r="N345" s="150" t="s">
        <v>1653</v>
      </c>
    </row>
    <row r="346" spans="1:14">
      <c r="A346" s="311">
        <v>46196</v>
      </c>
      <c r="B346" s="144" t="s">
        <v>81</v>
      </c>
      <c r="C346" s="191">
        <v>0.23</v>
      </c>
      <c r="D346" s="191">
        <v>1</v>
      </c>
      <c r="E346" s="285">
        <v>347.077</v>
      </c>
      <c r="F346" s="10">
        <f t="shared" si="27"/>
        <v>331.1</v>
      </c>
      <c r="G346" s="10">
        <f t="shared" si="24"/>
        <v>15.977</v>
      </c>
      <c r="H346" s="153">
        <f t="shared" si="25"/>
        <v>0.789997608599821</v>
      </c>
      <c r="K346" s="285">
        <v>274.19</v>
      </c>
      <c r="L346" s="10">
        <f t="shared" si="28"/>
        <v>12546.36</v>
      </c>
      <c r="N346" s="150" t="s">
        <v>1653</v>
      </c>
    </row>
    <row r="347" spans="1:14">
      <c r="A347" s="311">
        <v>46196</v>
      </c>
      <c r="B347" s="144" t="s">
        <v>130</v>
      </c>
      <c r="C347" s="191">
        <v>0.41</v>
      </c>
      <c r="D347" s="191">
        <v>1</v>
      </c>
      <c r="E347" s="285">
        <v>238.701</v>
      </c>
      <c r="F347" s="10">
        <f t="shared" si="27"/>
        <v>253.7</v>
      </c>
      <c r="G347" s="10">
        <f t="shared" si="24"/>
        <v>-14.999</v>
      </c>
      <c r="H347" s="153">
        <f t="shared" si="25"/>
        <v>0.789984122395801</v>
      </c>
      <c r="K347" s="285">
        <v>188.57</v>
      </c>
      <c r="L347" s="10">
        <f t="shared" si="28"/>
        <v>12357.79</v>
      </c>
      <c r="N347" s="150" t="s">
        <v>1653</v>
      </c>
    </row>
    <row r="348" spans="1:14">
      <c r="A348" s="311">
        <v>46196</v>
      </c>
      <c r="B348" s="144" t="s">
        <v>132</v>
      </c>
      <c r="C348" s="191">
        <v>0.39</v>
      </c>
      <c r="D348" s="191">
        <v>0.96</v>
      </c>
      <c r="E348" s="285">
        <v>246.189</v>
      </c>
      <c r="F348" s="10">
        <f t="shared" si="27"/>
        <v>245.1</v>
      </c>
      <c r="G348" s="10">
        <f t="shared" si="24"/>
        <v>1.089</v>
      </c>
      <c r="H348" s="153">
        <f t="shared" si="25"/>
        <v>0.790002802724736</v>
      </c>
      <c r="K348" s="285">
        <v>194.49</v>
      </c>
      <c r="L348" s="10">
        <f t="shared" si="28"/>
        <v>12163.3</v>
      </c>
      <c r="N348" s="150" t="s">
        <v>1653</v>
      </c>
    </row>
    <row r="349" spans="1:14">
      <c r="A349" s="311">
        <v>46196</v>
      </c>
      <c r="B349" s="144" t="s">
        <v>84</v>
      </c>
      <c r="C349" s="191">
        <v>0.29</v>
      </c>
      <c r="D349" s="191">
        <v>0.94</v>
      </c>
      <c r="E349" s="285">
        <v>301.808</v>
      </c>
      <c r="F349" s="10">
        <f t="shared" si="27"/>
        <v>279.5</v>
      </c>
      <c r="G349" s="10">
        <f t="shared" si="24"/>
        <v>22.308</v>
      </c>
      <c r="H349" s="153">
        <f t="shared" si="25"/>
        <v>0.790005566452844</v>
      </c>
      <c r="K349" s="285">
        <v>238.43</v>
      </c>
      <c r="L349" s="10">
        <f t="shared" si="28"/>
        <v>11924.87</v>
      </c>
      <c r="N349" s="150" t="s">
        <v>1653</v>
      </c>
    </row>
    <row r="350" spans="1:14">
      <c r="A350" s="311">
        <v>46196</v>
      </c>
      <c r="B350" s="144" t="s">
        <v>60</v>
      </c>
      <c r="C350" s="191">
        <v>0.67</v>
      </c>
      <c r="D350" s="191">
        <v>0.98</v>
      </c>
      <c r="E350" s="285">
        <v>133.607</v>
      </c>
      <c r="F350" s="10">
        <f t="shared" si="27"/>
        <v>133.3</v>
      </c>
      <c r="G350" s="10">
        <f t="shared" si="24"/>
        <v>0.306999999999988</v>
      </c>
      <c r="H350" s="153">
        <f t="shared" si="25"/>
        <v>0.790003517779757</v>
      </c>
      <c r="K350" s="285">
        <v>105.55</v>
      </c>
      <c r="L350" s="10">
        <f t="shared" si="28"/>
        <v>11819.32</v>
      </c>
      <c r="N350" s="150" t="s">
        <v>1653</v>
      </c>
    </row>
    <row r="351" spans="1:14">
      <c r="A351" s="311">
        <v>46196</v>
      </c>
      <c r="B351" s="144" t="s">
        <v>141</v>
      </c>
      <c r="C351" s="191">
        <v>0.53</v>
      </c>
      <c r="D351" s="191">
        <v>1</v>
      </c>
      <c r="E351" s="285">
        <v>202.984</v>
      </c>
      <c r="F351" s="10">
        <f t="shared" si="27"/>
        <v>202.1</v>
      </c>
      <c r="G351" s="10">
        <f t="shared" si="24"/>
        <v>0.884000000000015</v>
      </c>
      <c r="H351" s="153">
        <f t="shared" si="25"/>
        <v>0.790013005951208</v>
      </c>
      <c r="K351" s="285">
        <v>160.36</v>
      </c>
      <c r="L351" s="10">
        <f t="shared" si="28"/>
        <v>11658.96</v>
      </c>
      <c r="N351" s="150" t="s">
        <v>1653</v>
      </c>
    </row>
    <row r="352" spans="1:14">
      <c r="A352" s="311">
        <v>46196</v>
      </c>
      <c r="B352" s="144" t="s">
        <v>63</v>
      </c>
      <c r="C352" s="191">
        <v>0.33</v>
      </c>
      <c r="D352" s="191">
        <v>1</v>
      </c>
      <c r="E352" s="285">
        <v>297.187</v>
      </c>
      <c r="F352" s="10">
        <f t="shared" si="27"/>
        <v>288.1</v>
      </c>
      <c r="G352" s="10">
        <f t="shared" si="24"/>
        <v>9.08699999999999</v>
      </c>
      <c r="H352" s="153">
        <f t="shared" si="25"/>
        <v>0.79000763828835</v>
      </c>
      <c r="K352" s="285">
        <v>234.78</v>
      </c>
      <c r="L352" s="10">
        <f t="shared" si="28"/>
        <v>11424.18</v>
      </c>
      <c r="N352" s="150" t="s">
        <v>1653</v>
      </c>
    </row>
    <row r="353" spans="1:14">
      <c r="A353" s="311">
        <v>46196</v>
      </c>
      <c r="B353" s="144" t="s">
        <v>213</v>
      </c>
      <c r="C353" s="191">
        <v>0.32</v>
      </c>
      <c r="D353" s="191">
        <v>1</v>
      </c>
      <c r="E353" s="285">
        <v>294.479</v>
      </c>
      <c r="F353" s="10">
        <f t="shared" si="27"/>
        <v>292.4</v>
      </c>
      <c r="G353" s="10">
        <f t="shared" si="24"/>
        <v>2.07900000000001</v>
      </c>
      <c r="H353" s="153">
        <f t="shared" si="25"/>
        <v>0.790005399366339</v>
      </c>
      <c r="K353" s="285">
        <v>232.64</v>
      </c>
      <c r="L353" s="10">
        <f t="shared" si="28"/>
        <v>11191.54</v>
      </c>
      <c r="N353" s="150" t="s">
        <v>1653</v>
      </c>
    </row>
    <row r="354" spans="1:14">
      <c r="A354" s="311">
        <v>46196</v>
      </c>
      <c r="B354" s="144" t="s">
        <v>670</v>
      </c>
      <c r="C354" s="191">
        <v>0.29</v>
      </c>
      <c r="D354" s="191">
        <v>1</v>
      </c>
      <c r="E354" s="285">
        <v>310.722</v>
      </c>
      <c r="F354" s="10">
        <f t="shared" si="27"/>
        <v>305.3</v>
      </c>
      <c r="G354" s="10">
        <f t="shared" si="24"/>
        <v>5.42199999999997</v>
      </c>
      <c r="H354" s="153">
        <f t="shared" si="25"/>
        <v>0.789998777041857</v>
      </c>
      <c r="K354" s="285">
        <v>245.47</v>
      </c>
      <c r="L354" s="10">
        <f t="shared" si="28"/>
        <v>10946.07</v>
      </c>
      <c r="N354" s="150" t="s">
        <v>1653</v>
      </c>
    </row>
    <row r="355" spans="1:14">
      <c r="A355" s="311">
        <v>46197</v>
      </c>
      <c r="B355" s="144" t="s">
        <v>90</v>
      </c>
      <c r="C355" s="191">
        <v>0.22</v>
      </c>
      <c r="D355" s="191">
        <v>1</v>
      </c>
      <c r="E355" s="285">
        <v>358.998</v>
      </c>
      <c r="F355" s="10">
        <f t="shared" ref="F355:F395" si="29">(D355-C355)*430</f>
        <v>335.4</v>
      </c>
      <c r="G355" s="10">
        <f t="shared" ref="G355:G395" si="30">E355-F355</f>
        <v>23.598</v>
      </c>
      <c r="H355" s="153">
        <f t="shared" si="25"/>
        <v>0.790004401138725</v>
      </c>
      <c r="K355" s="285">
        <v>283.61</v>
      </c>
      <c r="L355" s="10">
        <f t="shared" si="28"/>
        <v>10662.46</v>
      </c>
      <c r="N355" s="150" t="s">
        <v>1653</v>
      </c>
    </row>
    <row r="356" spans="1:14">
      <c r="A356" s="311">
        <v>46197</v>
      </c>
      <c r="B356" s="144" t="s">
        <v>195</v>
      </c>
      <c r="C356" s="191">
        <v>0.14</v>
      </c>
      <c r="D356" s="191">
        <v>1</v>
      </c>
      <c r="E356" s="285">
        <v>374.039</v>
      </c>
      <c r="F356" s="10">
        <f t="shared" si="29"/>
        <v>369.8</v>
      </c>
      <c r="G356" s="10">
        <f t="shared" si="30"/>
        <v>4.23899999999998</v>
      </c>
      <c r="H356" s="153">
        <f t="shared" si="25"/>
        <v>0.789997834450418</v>
      </c>
      <c r="K356" s="285">
        <v>295.49</v>
      </c>
      <c r="L356" s="10">
        <f t="shared" si="28"/>
        <v>10366.97</v>
      </c>
      <c r="N356" s="150" t="s">
        <v>1653</v>
      </c>
    </row>
    <row r="357" spans="1:14">
      <c r="A357" s="311">
        <v>46197</v>
      </c>
      <c r="B357" s="144" t="s">
        <v>210</v>
      </c>
      <c r="C357" s="191">
        <v>0.34</v>
      </c>
      <c r="D357" s="191">
        <v>0.39</v>
      </c>
      <c r="E357" s="285">
        <v>21.267</v>
      </c>
      <c r="F357" s="10">
        <f t="shared" si="29"/>
        <v>21.5</v>
      </c>
      <c r="G357" s="10">
        <f t="shared" si="30"/>
        <v>-0.233000000000001</v>
      </c>
      <c r="H357" s="153">
        <f t="shared" si="25"/>
        <v>0.789956270277895</v>
      </c>
      <c r="K357" s="285">
        <v>16.8</v>
      </c>
      <c r="L357" s="10">
        <f t="shared" si="28"/>
        <v>10350.17</v>
      </c>
      <c r="N357" s="150" t="s">
        <v>1653</v>
      </c>
    </row>
    <row r="358" spans="1:14">
      <c r="A358" s="311">
        <v>46197</v>
      </c>
      <c r="B358" s="144" t="s">
        <v>154</v>
      </c>
      <c r="C358" s="191">
        <v>0.2</v>
      </c>
      <c r="D358" s="191">
        <v>0.99</v>
      </c>
      <c r="E358" s="285">
        <v>341.318</v>
      </c>
      <c r="F358" s="10">
        <f t="shared" si="29"/>
        <v>339.7</v>
      </c>
      <c r="G358" s="10">
        <f t="shared" si="30"/>
        <v>1.61799999999999</v>
      </c>
      <c r="H358" s="153">
        <f t="shared" si="25"/>
        <v>0.789996425620682</v>
      </c>
      <c r="K358" s="285">
        <v>269.64</v>
      </c>
      <c r="L358" s="10">
        <f t="shared" si="28"/>
        <v>10080.53</v>
      </c>
      <c r="N358" s="150" t="s">
        <v>1653</v>
      </c>
    </row>
    <row r="359" spans="1:14">
      <c r="A359" s="311">
        <v>46197</v>
      </c>
      <c r="B359" s="144" t="s">
        <v>210</v>
      </c>
      <c r="C359" s="191">
        <v>0.39</v>
      </c>
      <c r="D359" s="191">
        <v>1</v>
      </c>
      <c r="E359" s="285">
        <v>258.062</v>
      </c>
      <c r="F359" s="10">
        <f t="shared" si="29"/>
        <v>262.3</v>
      </c>
      <c r="G359" s="10">
        <f t="shared" si="30"/>
        <v>-4.238</v>
      </c>
      <c r="H359" s="153">
        <f t="shared" si="25"/>
        <v>0.790003952538537</v>
      </c>
      <c r="K359" s="285">
        <v>203.87</v>
      </c>
      <c r="L359" s="10">
        <f t="shared" si="28"/>
        <v>9876.66</v>
      </c>
      <c r="N359" s="150" t="s">
        <v>1653</v>
      </c>
    </row>
    <row r="360" spans="1:14">
      <c r="A360" s="311">
        <v>46197</v>
      </c>
      <c r="B360" s="144" t="s">
        <v>135</v>
      </c>
      <c r="C360" s="191">
        <v>0.38</v>
      </c>
      <c r="D360" s="191">
        <v>1</v>
      </c>
      <c r="E360" s="285">
        <v>267.597</v>
      </c>
      <c r="F360" s="10">
        <f t="shared" si="29"/>
        <v>266.6</v>
      </c>
      <c r="G360" s="10">
        <f t="shared" si="30"/>
        <v>0.996999999999957</v>
      </c>
      <c r="H360" s="146">
        <v>0.789996453665555</v>
      </c>
      <c r="K360" s="285">
        <v>211.4</v>
      </c>
      <c r="L360" s="10">
        <f t="shared" si="28"/>
        <v>9665.26</v>
      </c>
      <c r="N360" s="150" t="s">
        <v>1653</v>
      </c>
    </row>
    <row r="361" spans="1:14">
      <c r="A361" s="311">
        <v>46197</v>
      </c>
      <c r="B361" s="144" t="s">
        <v>204</v>
      </c>
      <c r="C361" s="191">
        <v>0.18</v>
      </c>
      <c r="D361" s="191">
        <v>0.23</v>
      </c>
      <c r="E361" s="285">
        <v>23.236</v>
      </c>
      <c r="F361" s="10">
        <f t="shared" si="29"/>
        <v>21.5</v>
      </c>
      <c r="G361" s="10">
        <f t="shared" si="30"/>
        <v>1.736</v>
      </c>
      <c r="H361" s="146">
        <v>0.789996453665555</v>
      </c>
      <c r="K361" s="285">
        <v>18.35</v>
      </c>
      <c r="L361" s="10">
        <f t="shared" si="28"/>
        <v>9646.91</v>
      </c>
      <c r="N361" s="150" t="s">
        <v>1653</v>
      </c>
    </row>
    <row r="362" spans="1:14">
      <c r="A362" s="311">
        <v>46197</v>
      </c>
      <c r="B362" s="144" t="s">
        <v>204</v>
      </c>
      <c r="C362" s="191">
        <v>0.23</v>
      </c>
      <c r="D362" s="191">
        <v>0.99</v>
      </c>
      <c r="E362" s="285">
        <v>333.017</v>
      </c>
      <c r="F362" s="10">
        <f t="shared" si="29"/>
        <v>326.8</v>
      </c>
      <c r="G362" s="10">
        <f t="shared" si="30"/>
        <v>6.21699999999998</v>
      </c>
      <c r="H362" s="146">
        <v>0.789996453665555</v>
      </c>
      <c r="K362" s="285">
        <v>263.08</v>
      </c>
      <c r="L362" s="10">
        <f t="shared" ref="L362:L380" si="31">L361+J362-K362</f>
        <v>9383.83</v>
      </c>
      <c r="N362" s="150" t="s">
        <v>1653</v>
      </c>
    </row>
    <row r="363" spans="1:14">
      <c r="A363" s="311">
        <v>46197</v>
      </c>
      <c r="B363" s="144" t="s">
        <v>163</v>
      </c>
      <c r="C363" s="191">
        <v>0.17</v>
      </c>
      <c r="D363" s="191">
        <v>0.99</v>
      </c>
      <c r="E363" s="285">
        <v>360.06</v>
      </c>
      <c r="F363" s="10">
        <f t="shared" si="29"/>
        <v>352.6</v>
      </c>
      <c r="G363" s="10">
        <f t="shared" si="30"/>
        <v>7.45999999999998</v>
      </c>
      <c r="H363" s="146">
        <v>0.789996453665555</v>
      </c>
      <c r="K363" s="285">
        <v>284.45</v>
      </c>
      <c r="L363" s="10">
        <f t="shared" si="31"/>
        <v>9099.38</v>
      </c>
      <c r="N363" s="150" t="s">
        <v>1653</v>
      </c>
    </row>
    <row r="364" spans="1:14">
      <c r="A364" s="311">
        <v>46197</v>
      </c>
      <c r="B364" s="144" t="s">
        <v>151</v>
      </c>
      <c r="C364" s="191">
        <v>0.27</v>
      </c>
      <c r="D364" s="191">
        <v>0.3</v>
      </c>
      <c r="E364" s="285">
        <v>13.708</v>
      </c>
      <c r="F364" s="10">
        <f t="shared" si="29"/>
        <v>12.9</v>
      </c>
      <c r="G364" s="10">
        <f t="shared" si="30"/>
        <v>0.808</v>
      </c>
      <c r="H364" s="146">
        <v>0.789996453665555</v>
      </c>
      <c r="K364" s="285">
        <v>10.83</v>
      </c>
      <c r="L364" s="10">
        <f t="shared" si="31"/>
        <v>9088.55</v>
      </c>
      <c r="N364" s="150" t="s">
        <v>1653</v>
      </c>
    </row>
    <row r="365" spans="1:14">
      <c r="A365" s="311">
        <v>46197</v>
      </c>
      <c r="B365" s="144" t="s">
        <v>151</v>
      </c>
      <c r="C365" s="191">
        <v>0.3</v>
      </c>
      <c r="D365" s="191">
        <v>1</v>
      </c>
      <c r="E365" s="285">
        <v>301.753</v>
      </c>
      <c r="F365" s="10">
        <f t="shared" si="29"/>
        <v>301</v>
      </c>
      <c r="G365" s="10">
        <f t="shared" si="30"/>
        <v>0.752999999999986</v>
      </c>
      <c r="H365" s="146">
        <v>0.789996453665555</v>
      </c>
      <c r="K365" s="285">
        <v>238.39</v>
      </c>
      <c r="L365" s="10">
        <f t="shared" si="31"/>
        <v>8850.16</v>
      </c>
      <c r="N365" s="150" t="s">
        <v>1653</v>
      </c>
    </row>
    <row r="366" spans="1:14">
      <c r="A366" s="311">
        <v>46197</v>
      </c>
      <c r="B366" s="144" t="s">
        <v>160</v>
      </c>
      <c r="C366" s="191">
        <v>0.18</v>
      </c>
      <c r="D366" s="191">
        <v>1</v>
      </c>
      <c r="E366" s="285">
        <v>356.277</v>
      </c>
      <c r="F366" s="10">
        <f t="shared" si="29"/>
        <v>352.6</v>
      </c>
      <c r="G366" s="10">
        <f t="shared" si="30"/>
        <v>3.67699999999996</v>
      </c>
      <c r="H366" s="146">
        <v>0.789996453665555</v>
      </c>
      <c r="K366" s="285">
        <v>281.46</v>
      </c>
      <c r="L366" s="10">
        <f t="shared" si="31"/>
        <v>8568.7</v>
      </c>
      <c r="N366" s="150" t="s">
        <v>1653</v>
      </c>
    </row>
    <row r="367" spans="1:14">
      <c r="A367" s="311">
        <v>46197</v>
      </c>
      <c r="B367" s="144" t="s">
        <v>223</v>
      </c>
      <c r="C367" s="191">
        <v>0.14</v>
      </c>
      <c r="D367" s="191">
        <v>0.9</v>
      </c>
      <c r="E367" s="285">
        <v>331.245</v>
      </c>
      <c r="F367" s="10">
        <f t="shared" si="29"/>
        <v>326.8</v>
      </c>
      <c r="G367" s="10">
        <f t="shared" si="30"/>
        <v>4.44499999999999</v>
      </c>
      <c r="H367" s="146">
        <v>0.789996453665555</v>
      </c>
      <c r="K367" s="285">
        <v>261.68</v>
      </c>
      <c r="L367" s="10">
        <f t="shared" si="31"/>
        <v>8307.02</v>
      </c>
      <c r="N367" s="150" t="s">
        <v>1653</v>
      </c>
    </row>
    <row r="368" spans="1:14">
      <c r="A368" s="311">
        <v>46197</v>
      </c>
      <c r="B368" s="144" t="s">
        <v>221</v>
      </c>
      <c r="C368" s="191">
        <v>0.31</v>
      </c>
      <c r="D368" s="191">
        <v>0.32</v>
      </c>
      <c r="E368" s="285">
        <v>6.398</v>
      </c>
      <c r="F368" s="10">
        <f t="shared" si="29"/>
        <v>4.3</v>
      </c>
      <c r="G368" s="10">
        <f t="shared" si="30"/>
        <v>2.098</v>
      </c>
      <c r="H368" s="146">
        <v>0.789996453665555</v>
      </c>
      <c r="K368" s="285">
        <v>5.05</v>
      </c>
      <c r="L368" s="10">
        <f t="shared" si="31"/>
        <v>8301.97</v>
      </c>
      <c r="N368" s="150" t="s">
        <v>1653</v>
      </c>
    </row>
    <row r="369" spans="1:14">
      <c r="A369" s="311">
        <v>46197</v>
      </c>
      <c r="B369" s="144" t="s">
        <v>221</v>
      </c>
      <c r="C369" s="191">
        <v>0.32</v>
      </c>
      <c r="D369" s="191">
        <v>0.9</v>
      </c>
      <c r="E369" s="285">
        <v>253.091</v>
      </c>
      <c r="F369" s="10">
        <f t="shared" si="29"/>
        <v>249.4</v>
      </c>
      <c r="G369" s="10">
        <f t="shared" si="30"/>
        <v>3.691</v>
      </c>
      <c r="H369" s="146">
        <v>0.789996453665555</v>
      </c>
      <c r="K369" s="285">
        <v>199.94</v>
      </c>
      <c r="L369" s="10">
        <f t="shared" si="31"/>
        <v>8102.03</v>
      </c>
      <c r="N369" s="150" t="s">
        <v>1653</v>
      </c>
    </row>
    <row r="370" spans="1:14">
      <c r="A370" s="311">
        <v>46197</v>
      </c>
      <c r="B370" s="144" t="s">
        <v>114</v>
      </c>
      <c r="C370" s="191">
        <v>0.19</v>
      </c>
      <c r="D370" s="191">
        <v>0.82</v>
      </c>
      <c r="E370" s="285">
        <v>254.979</v>
      </c>
      <c r="F370" s="10">
        <f t="shared" si="29"/>
        <v>270.9</v>
      </c>
      <c r="G370" s="10">
        <f t="shared" si="30"/>
        <v>-15.921</v>
      </c>
      <c r="H370" s="146">
        <v>0.789996453665555</v>
      </c>
      <c r="K370" s="285">
        <v>201.44</v>
      </c>
      <c r="L370" s="10">
        <f t="shared" si="31"/>
        <v>7900.59</v>
      </c>
      <c r="N370" s="150" t="s">
        <v>1653</v>
      </c>
    </row>
    <row r="371" spans="1:14">
      <c r="A371" s="311">
        <v>46197</v>
      </c>
      <c r="B371" s="144" t="s">
        <v>51</v>
      </c>
      <c r="C371" s="191">
        <v>0.11</v>
      </c>
      <c r="D371" s="191">
        <v>0.22</v>
      </c>
      <c r="E371" s="285">
        <v>45.455</v>
      </c>
      <c r="F371" s="10">
        <f t="shared" si="29"/>
        <v>47.3</v>
      </c>
      <c r="G371" s="10">
        <f t="shared" si="30"/>
        <v>-1.845</v>
      </c>
      <c r="H371" s="146">
        <v>0.789996453665555</v>
      </c>
      <c r="K371" s="285">
        <v>35.91</v>
      </c>
      <c r="L371" s="10">
        <f t="shared" si="31"/>
        <v>7864.68</v>
      </c>
      <c r="N371" s="150" t="s">
        <v>1653</v>
      </c>
    </row>
    <row r="372" spans="1:14">
      <c r="A372" s="311">
        <v>46197</v>
      </c>
      <c r="B372" s="144" t="s">
        <v>51</v>
      </c>
      <c r="C372" s="191">
        <v>0.22</v>
      </c>
      <c r="D372" s="191">
        <v>0.98</v>
      </c>
      <c r="E372" s="285">
        <v>316.611</v>
      </c>
      <c r="F372" s="10">
        <f t="shared" si="29"/>
        <v>326.8</v>
      </c>
      <c r="G372" s="10">
        <f t="shared" si="30"/>
        <v>-10.189</v>
      </c>
      <c r="H372" s="146">
        <v>0.789996453665555</v>
      </c>
      <c r="K372" s="285">
        <v>250.12</v>
      </c>
      <c r="L372" s="10">
        <f t="shared" si="31"/>
        <v>7614.56</v>
      </c>
      <c r="N372" s="150" t="s">
        <v>1653</v>
      </c>
    </row>
    <row r="373" spans="1:14">
      <c r="A373" s="311">
        <v>46197</v>
      </c>
      <c r="B373" s="144" t="s">
        <v>105</v>
      </c>
      <c r="C373" s="191">
        <v>0.25</v>
      </c>
      <c r="D373" s="191">
        <v>1</v>
      </c>
      <c r="E373" s="285">
        <v>339.748</v>
      </c>
      <c r="F373" s="10">
        <f t="shared" si="29"/>
        <v>322.5</v>
      </c>
      <c r="G373" s="10">
        <f t="shared" si="30"/>
        <v>17.248</v>
      </c>
      <c r="H373" s="146">
        <v>0.789996453665555</v>
      </c>
      <c r="K373" s="285">
        <v>268.4</v>
      </c>
      <c r="L373" s="10">
        <f t="shared" si="31"/>
        <v>7346.16</v>
      </c>
      <c r="N373" s="150" t="s">
        <v>1653</v>
      </c>
    </row>
    <row r="374" spans="1:14">
      <c r="A374" s="311">
        <v>46197</v>
      </c>
      <c r="B374" s="144" t="s">
        <v>54</v>
      </c>
      <c r="C374" s="191">
        <v>0.15</v>
      </c>
      <c r="D374" s="191">
        <v>1</v>
      </c>
      <c r="E374" s="285">
        <v>346.672</v>
      </c>
      <c r="F374" s="10">
        <f t="shared" si="29"/>
        <v>365.5</v>
      </c>
      <c r="G374" s="10">
        <f t="shared" si="30"/>
        <v>-18.828</v>
      </c>
      <c r="H374" s="146">
        <v>0.789996453665555</v>
      </c>
      <c r="K374" s="285">
        <v>273.87</v>
      </c>
      <c r="L374" s="10">
        <f t="shared" si="31"/>
        <v>7072.29</v>
      </c>
      <c r="N374" s="150" t="s">
        <v>1653</v>
      </c>
    </row>
    <row r="375" spans="1:14">
      <c r="A375" s="311">
        <v>46197</v>
      </c>
      <c r="B375" s="144" t="s">
        <v>57</v>
      </c>
      <c r="C375" s="191">
        <v>0.39</v>
      </c>
      <c r="D375" s="191">
        <v>0.98</v>
      </c>
      <c r="E375" s="285">
        <v>249.664</v>
      </c>
      <c r="F375" s="10">
        <f t="shared" si="29"/>
        <v>253.7</v>
      </c>
      <c r="G375" s="10">
        <f t="shared" si="30"/>
        <v>-4.036</v>
      </c>
      <c r="H375" s="146">
        <v>0.789996453665555</v>
      </c>
      <c r="K375" s="285">
        <v>197.24</v>
      </c>
      <c r="L375" s="10">
        <f t="shared" si="31"/>
        <v>6875.05</v>
      </c>
      <c r="N375" s="150" t="s">
        <v>1653</v>
      </c>
    </row>
    <row r="376" spans="1:14">
      <c r="A376" s="311">
        <v>46197</v>
      </c>
      <c r="B376" s="144" t="s">
        <v>102</v>
      </c>
      <c r="C376" s="191">
        <v>0.42</v>
      </c>
      <c r="D376" s="191">
        <v>0.98</v>
      </c>
      <c r="E376" s="285">
        <v>264.063</v>
      </c>
      <c r="F376" s="10">
        <f t="shared" si="29"/>
        <v>240.8</v>
      </c>
      <c r="G376" s="10">
        <f t="shared" si="30"/>
        <v>23.263</v>
      </c>
      <c r="H376" s="146">
        <v>0.789996453665555</v>
      </c>
      <c r="K376" s="285">
        <v>208.61</v>
      </c>
      <c r="L376" s="10">
        <f t="shared" si="31"/>
        <v>6666.44</v>
      </c>
      <c r="N376" s="150" t="s">
        <v>1653</v>
      </c>
    </row>
    <row r="377" spans="1:14">
      <c r="A377" s="311">
        <v>46198</v>
      </c>
      <c r="B377" s="144" t="s">
        <v>96</v>
      </c>
      <c r="C377" s="191">
        <v>0.24</v>
      </c>
      <c r="D377" s="191">
        <v>0.98</v>
      </c>
      <c r="E377" s="285">
        <v>331.615</v>
      </c>
      <c r="F377" s="10">
        <f t="shared" si="29"/>
        <v>318.2</v>
      </c>
      <c r="G377" s="10">
        <f t="shared" si="30"/>
        <v>13.415</v>
      </c>
      <c r="H377" s="146">
        <v>0.789996453665555</v>
      </c>
      <c r="J377" s="144">
        <v>20000</v>
      </c>
      <c r="K377" s="285">
        <v>261.98</v>
      </c>
      <c r="L377" s="10">
        <f t="shared" si="31"/>
        <v>26404.46</v>
      </c>
      <c r="N377" s="150" t="s">
        <v>1653</v>
      </c>
    </row>
    <row r="378" spans="1:14">
      <c r="A378" s="311">
        <v>46198</v>
      </c>
      <c r="B378" s="144" t="s">
        <v>93</v>
      </c>
      <c r="C378" s="191">
        <v>0.22</v>
      </c>
      <c r="D378" s="191">
        <v>1</v>
      </c>
      <c r="E378" s="285">
        <v>363.327</v>
      </c>
      <c r="F378" s="10">
        <f t="shared" si="29"/>
        <v>335.4</v>
      </c>
      <c r="G378" s="10">
        <f t="shared" si="30"/>
        <v>27.927</v>
      </c>
      <c r="H378" s="146">
        <v>0.789996453665555</v>
      </c>
      <c r="K378" s="285">
        <v>287.03</v>
      </c>
      <c r="L378" s="10">
        <f t="shared" si="31"/>
        <v>26117.43</v>
      </c>
      <c r="N378" s="150" t="s">
        <v>1653</v>
      </c>
    </row>
    <row r="379" spans="1:14">
      <c r="A379" s="311">
        <v>46198</v>
      </c>
      <c r="B379" s="144" t="s">
        <v>180</v>
      </c>
      <c r="C379" s="191">
        <v>0.39</v>
      </c>
      <c r="D379" s="191">
        <v>1</v>
      </c>
      <c r="E379" s="285">
        <v>268.541</v>
      </c>
      <c r="F379" s="10">
        <f t="shared" si="29"/>
        <v>262.3</v>
      </c>
      <c r="G379" s="10">
        <f t="shared" si="30"/>
        <v>6.24099999999999</v>
      </c>
      <c r="H379" s="146">
        <v>0.789996453665555</v>
      </c>
      <c r="K379" s="285">
        <v>212.14</v>
      </c>
      <c r="L379" s="10">
        <f t="shared" si="31"/>
        <v>25905.29</v>
      </c>
      <c r="N379" s="150" t="s">
        <v>1653</v>
      </c>
    </row>
    <row r="380" spans="1:14">
      <c r="A380" s="311">
        <v>46198</v>
      </c>
      <c r="B380" s="144" t="s">
        <v>72</v>
      </c>
      <c r="C380" s="191">
        <v>0.53</v>
      </c>
      <c r="D380" s="191">
        <v>1</v>
      </c>
      <c r="E380" s="285">
        <v>203.347</v>
      </c>
      <c r="F380" s="10">
        <f t="shared" si="29"/>
        <v>202.1</v>
      </c>
      <c r="G380" s="10">
        <f t="shared" si="30"/>
        <v>1.24700000000001</v>
      </c>
      <c r="H380" s="146">
        <v>0.789996453665555</v>
      </c>
      <c r="K380" s="285">
        <v>160.64</v>
      </c>
      <c r="L380" s="10">
        <f t="shared" si="31"/>
        <v>25744.65</v>
      </c>
      <c r="N380" s="150" t="s">
        <v>1653</v>
      </c>
    </row>
    <row r="381" spans="1:14">
      <c r="A381" s="311">
        <v>46198</v>
      </c>
      <c r="B381" s="144" t="s">
        <v>186</v>
      </c>
      <c r="C381" s="191">
        <v>0.13</v>
      </c>
      <c r="D381" s="191">
        <v>1</v>
      </c>
      <c r="E381" s="285">
        <v>377.378</v>
      </c>
      <c r="F381" s="10">
        <f t="shared" si="29"/>
        <v>374.1</v>
      </c>
      <c r="G381" s="10">
        <f t="shared" si="30"/>
        <v>3.27799999999996</v>
      </c>
      <c r="H381" s="146">
        <v>0.789996453665555</v>
      </c>
      <c r="K381" s="285">
        <v>298.12</v>
      </c>
      <c r="L381" s="10">
        <f t="shared" ref="L381:L395" si="32">L380+J381-K381</f>
        <v>25446.53</v>
      </c>
      <c r="N381" s="150" t="s">
        <v>1653</v>
      </c>
    </row>
    <row r="382" spans="1:14">
      <c r="A382" s="311">
        <v>46198</v>
      </c>
      <c r="B382" s="144" t="s">
        <v>108</v>
      </c>
      <c r="C382" s="191">
        <v>0.43</v>
      </c>
      <c r="D382" s="191">
        <v>1</v>
      </c>
      <c r="E382" s="285">
        <v>269.052</v>
      </c>
      <c r="F382" s="10">
        <f t="shared" si="29"/>
        <v>245.1</v>
      </c>
      <c r="G382" s="10">
        <f t="shared" si="30"/>
        <v>23.952</v>
      </c>
      <c r="H382" s="146">
        <v>0.789996453665555</v>
      </c>
      <c r="K382" s="285">
        <v>212.56</v>
      </c>
      <c r="L382" s="10">
        <f t="shared" si="32"/>
        <v>25233.97</v>
      </c>
      <c r="N382" s="150" t="s">
        <v>1653</v>
      </c>
    </row>
    <row r="383" spans="1:14">
      <c r="A383" s="311">
        <v>46198</v>
      </c>
      <c r="B383" s="144" t="s">
        <v>111</v>
      </c>
      <c r="C383" s="191">
        <v>0.32</v>
      </c>
      <c r="D383" s="191">
        <v>0.66</v>
      </c>
      <c r="E383" s="285">
        <v>134.522</v>
      </c>
      <c r="F383" s="10">
        <f t="shared" si="29"/>
        <v>146.2</v>
      </c>
      <c r="G383" s="10">
        <f t="shared" si="30"/>
        <v>-11.678</v>
      </c>
      <c r="H383" s="146">
        <v>0.789996453665555</v>
      </c>
      <c r="K383" s="285">
        <v>106.27</v>
      </c>
      <c r="L383" s="10">
        <f t="shared" si="32"/>
        <v>25127.7</v>
      </c>
      <c r="N383" s="150" t="s">
        <v>1653</v>
      </c>
    </row>
    <row r="384" spans="1:14">
      <c r="A384" s="311">
        <v>46198</v>
      </c>
      <c r="B384" s="144" t="s">
        <v>111</v>
      </c>
      <c r="C384" s="191">
        <v>0.66</v>
      </c>
      <c r="D384" s="191">
        <v>0.67</v>
      </c>
      <c r="E384" s="285">
        <v>3.148</v>
      </c>
      <c r="F384" s="10">
        <f t="shared" si="29"/>
        <v>4.3</v>
      </c>
      <c r="G384" s="10">
        <f t="shared" si="30"/>
        <v>-1.152</v>
      </c>
      <c r="H384" s="146">
        <v>0.789996453665555</v>
      </c>
      <c r="K384" s="285">
        <v>2.48</v>
      </c>
      <c r="L384" s="10">
        <f t="shared" si="32"/>
        <v>25125.22</v>
      </c>
      <c r="N384" s="150" t="s">
        <v>1653</v>
      </c>
    </row>
    <row r="385" spans="1:14">
      <c r="A385" s="311">
        <v>46198</v>
      </c>
      <c r="B385" s="144" t="s">
        <v>111</v>
      </c>
      <c r="C385" s="191">
        <v>0.66</v>
      </c>
      <c r="D385" s="191">
        <v>0.98</v>
      </c>
      <c r="E385" s="285">
        <v>134.546</v>
      </c>
      <c r="F385" s="10">
        <f t="shared" si="29"/>
        <v>137.6</v>
      </c>
      <c r="G385" s="10">
        <f t="shared" si="30"/>
        <v>-3.054</v>
      </c>
      <c r="H385" s="146">
        <v>0.789996453665555</v>
      </c>
      <c r="K385" s="285">
        <v>106.29</v>
      </c>
      <c r="L385" s="10">
        <f t="shared" si="32"/>
        <v>25018.93</v>
      </c>
      <c r="N385" s="150" t="s">
        <v>1653</v>
      </c>
    </row>
    <row r="386" spans="1:14">
      <c r="A386" s="311">
        <v>46198</v>
      </c>
      <c r="B386" s="144" t="s">
        <v>180</v>
      </c>
      <c r="C386" s="191">
        <v>0.79</v>
      </c>
      <c r="D386" s="191">
        <v>0.96</v>
      </c>
      <c r="E386" s="285">
        <v>76.118</v>
      </c>
      <c r="F386" s="10">
        <f t="shared" si="29"/>
        <v>73.1</v>
      </c>
      <c r="G386" s="10">
        <f t="shared" si="30"/>
        <v>3.018</v>
      </c>
      <c r="H386" s="146">
        <v>0.789996453665555</v>
      </c>
      <c r="K386" s="285">
        <v>60.13</v>
      </c>
      <c r="L386" s="10">
        <f t="shared" si="32"/>
        <v>24958.8</v>
      </c>
      <c r="N386" s="150" t="s">
        <v>1653</v>
      </c>
    </row>
    <row r="387" spans="1:14">
      <c r="A387" s="311">
        <v>46198</v>
      </c>
      <c r="B387" s="144" t="s">
        <v>81</v>
      </c>
      <c r="C387" s="191">
        <v>0.14</v>
      </c>
      <c r="D387" s="191">
        <v>1</v>
      </c>
      <c r="E387" s="285">
        <v>390.152</v>
      </c>
      <c r="F387" s="10">
        <f t="shared" si="29"/>
        <v>369.8</v>
      </c>
      <c r="G387" s="10">
        <f t="shared" si="30"/>
        <v>20.352</v>
      </c>
      <c r="H387" s="146">
        <v>0.789996453665555</v>
      </c>
      <c r="K387" s="285">
        <v>308.21</v>
      </c>
      <c r="L387" s="10">
        <f t="shared" si="32"/>
        <v>24650.59</v>
      </c>
      <c r="N387" s="150" t="s">
        <v>1653</v>
      </c>
    </row>
    <row r="388" spans="1:14">
      <c r="A388" s="311">
        <v>46198</v>
      </c>
      <c r="B388" s="144" t="s">
        <v>144</v>
      </c>
      <c r="C388" s="191">
        <v>0.38</v>
      </c>
      <c r="D388" s="191">
        <v>1</v>
      </c>
      <c r="E388" s="285">
        <v>267.405</v>
      </c>
      <c r="F388" s="10">
        <f t="shared" si="29"/>
        <v>266.6</v>
      </c>
      <c r="G388" s="10">
        <f t="shared" si="30"/>
        <v>0.80499999999995</v>
      </c>
      <c r="H388" s="146">
        <v>0.789996453665555</v>
      </c>
      <c r="K388" s="285">
        <v>211.25</v>
      </c>
      <c r="L388" s="10">
        <f t="shared" si="32"/>
        <v>24439.34</v>
      </c>
      <c r="N388" s="150" t="s">
        <v>1653</v>
      </c>
    </row>
    <row r="389" spans="1:14">
      <c r="A389" s="311">
        <v>46198</v>
      </c>
      <c r="B389" s="144" t="s">
        <v>66</v>
      </c>
      <c r="C389" s="191">
        <v>0.29</v>
      </c>
      <c r="D389" s="191">
        <v>1</v>
      </c>
      <c r="E389" s="285">
        <v>327.591</v>
      </c>
      <c r="F389" s="10">
        <f t="shared" si="29"/>
        <v>305.3</v>
      </c>
      <c r="G389" s="10">
        <f t="shared" si="30"/>
        <v>22.291</v>
      </c>
      <c r="H389" s="146">
        <v>0.789996453665555</v>
      </c>
      <c r="K389" s="285">
        <v>258.8</v>
      </c>
      <c r="L389" s="10">
        <f t="shared" si="32"/>
        <v>24180.54</v>
      </c>
      <c r="N389" s="150" t="s">
        <v>1653</v>
      </c>
    </row>
    <row r="390" spans="1:14">
      <c r="A390" s="311">
        <v>46198</v>
      </c>
      <c r="B390" s="144" t="s">
        <v>99</v>
      </c>
      <c r="C390" s="191">
        <v>0.4</v>
      </c>
      <c r="D390" s="191">
        <v>0.97</v>
      </c>
      <c r="E390" s="285">
        <v>281.71</v>
      </c>
      <c r="F390" s="10">
        <f t="shared" si="29"/>
        <v>245.1</v>
      </c>
      <c r="G390" s="10">
        <f t="shared" si="30"/>
        <v>36.61</v>
      </c>
      <c r="H390" s="146">
        <v>0.789996453665555</v>
      </c>
      <c r="K390" s="285">
        <v>222.55</v>
      </c>
      <c r="L390" s="10">
        <f t="shared" si="32"/>
        <v>23957.99</v>
      </c>
      <c r="N390" s="150" t="s">
        <v>1653</v>
      </c>
    </row>
    <row r="391" spans="1:14">
      <c r="A391" s="311">
        <v>46198</v>
      </c>
      <c r="B391" s="144" t="s">
        <v>138</v>
      </c>
      <c r="C391" s="191">
        <v>0.44</v>
      </c>
      <c r="D391" s="191">
        <v>0.91</v>
      </c>
      <c r="E391" s="285">
        <v>203.52</v>
      </c>
      <c r="F391" s="10">
        <f t="shared" si="29"/>
        <v>202.1</v>
      </c>
      <c r="G391" s="10">
        <f t="shared" si="30"/>
        <v>1.42000000000002</v>
      </c>
      <c r="H391" s="146">
        <v>0.789996453665555</v>
      </c>
      <c r="K391" s="285">
        <v>160.78</v>
      </c>
      <c r="L391" s="10">
        <f t="shared" si="32"/>
        <v>23797.21</v>
      </c>
      <c r="N391" s="150" t="s">
        <v>1653</v>
      </c>
    </row>
    <row r="392" spans="1:14">
      <c r="A392" s="311">
        <v>46198</v>
      </c>
      <c r="B392" s="144" t="s">
        <v>207</v>
      </c>
      <c r="C392" s="191">
        <v>0.21</v>
      </c>
      <c r="D392" s="191">
        <v>1</v>
      </c>
      <c r="E392" s="285">
        <v>340.126</v>
      </c>
      <c r="F392" s="10">
        <f t="shared" si="29"/>
        <v>339.7</v>
      </c>
      <c r="G392" s="10">
        <f t="shared" si="30"/>
        <v>0.425999999999988</v>
      </c>
      <c r="H392" s="146">
        <v>0.789996453665555</v>
      </c>
      <c r="K392" s="285">
        <v>268.69</v>
      </c>
      <c r="L392" s="10">
        <f t="shared" si="32"/>
        <v>23528.52</v>
      </c>
      <c r="N392" s="150" t="s">
        <v>1653</v>
      </c>
    </row>
    <row r="393" spans="1:14">
      <c r="A393" s="311">
        <v>46199</v>
      </c>
      <c r="B393" s="144" t="s">
        <v>84</v>
      </c>
      <c r="C393" s="191">
        <v>0.21</v>
      </c>
      <c r="D393" s="191">
        <v>1</v>
      </c>
      <c r="E393" s="285">
        <v>369.611</v>
      </c>
      <c r="F393" s="10">
        <f t="shared" si="29"/>
        <v>339.7</v>
      </c>
      <c r="G393" s="10">
        <f t="shared" si="30"/>
        <v>29.911</v>
      </c>
      <c r="H393" s="146">
        <v>0.789996453665555</v>
      </c>
      <c r="K393" s="285">
        <v>291.99</v>
      </c>
      <c r="L393" s="10">
        <f t="shared" si="32"/>
        <v>23236.53</v>
      </c>
      <c r="N393" s="150" t="s">
        <v>1653</v>
      </c>
    </row>
    <row r="394" spans="1:14">
      <c r="A394" s="311">
        <v>46199</v>
      </c>
      <c r="B394" s="144" t="s">
        <v>154</v>
      </c>
      <c r="C394" s="191">
        <v>0.13</v>
      </c>
      <c r="D394" s="191">
        <v>1</v>
      </c>
      <c r="E394" s="285">
        <v>377.816</v>
      </c>
      <c r="F394" s="10">
        <f t="shared" si="29"/>
        <v>374.1</v>
      </c>
      <c r="G394" s="10">
        <f t="shared" si="30"/>
        <v>3.71599999999995</v>
      </c>
      <c r="H394" s="146">
        <v>0.789996453665555</v>
      </c>
      <c r="K394" s="285">
        <v>298.47</v>
      </c>
      <c r="L394" s="10">
        <f t="shared" si="32"/>
        <v>22938.06</v>
      </c>
      <c r="N394" s="150" t="s">
        <v>1653</v>
      </c>
    </row>
    <row r="395" spans="1:14">
      <c r="A395" s="311">
        <v>46199</v>
      </c>
      <c r="B395" s="144" t="s">
        <v>339</v>
      </c>
      <c r="C395" s="191">
        <v>0.38</v>
      </c>
      <c r="D395" s="191">
        <v>1</v>
      </c>
      <c r="E395" s="285">
        <v>270.92</v>
      </c>
      <c r="F395" s="10">
        <f t="shared" si="29"/>
        <v>266.6</v>
      </c>
      <c r="G395" s="10">
        <f t="shared" si="30"/>
        <v>4.31999999999999</v>
      </c>
      <c r="H395" s="146">
        <v>0.789996453665555</v>
      </c>
      <c r="K395" s="285">
        <v>214.04</v>
      </c>
      <c r="L395" s="10">
        <f t="shared" si="32"/>
        <v>22724.02</v>
      </c>
      <c r="N395" s="150" t="s">
        <v>1653</v>
      </c>
    </row>
    <row r="396" spans="1:14">
      <c r="A396" s="311">
        <v>46199</v>
      </c>
      <c r="B396" s="144" t="s">
        <v>198</v>
      </c>
      <c r="C396" s="191">
        <v>0.31</v>
      </c>
      <c r="D396" s="191">
        <v>1</v>
      </c>
      <c r="E396" s="285">
        <v>296.958</v>
      </c>
      <c r="F396" s="10">
        <f t="shared" ref="F396:F415" si="33">(D396-C396)*430</f>
        <v>296.7</v>
      </c>
      <c r="G396" s="10">
        <f t="shared" ref="G396:G415" si="34">E396-F396</f>
        <v>0.258000000000038</v>
      </c>
      <c r="H396" s="146">
        <v>0.789996453665555</v>
      </c>
      <c r="K396" s="285">
        <v>234.59</v>
      </c>
      <c r="L396" s="10">
        <f t="shared" ref="L396:L415" si="35">L395+J396-K396</f>
        <v>22489.43</v>
      </c>
      <c r="N396" s="150" t="s">
        <v>1653</v>
      </c>
    </row>
    <row r="397" spans="1:14">
      <c r="A397" s="311">
        <v>46199</v>
      </c>
      <c r="B397" s="144" t="s">
        <v>124</v>
      </c>
      <c r="C397" s="191">
        <v>0.43</v>
      </c>
      <c r="D397" s="191">
        <v>1</v>
      </c>
      <c r="E397" s="285">
        <v>234.932</v>
      </c>
      <c r="F397" s="10">
        <f t="shared" si="33"/>
        <v>245.1</v>
      </c>
      <c r="G397" s="10">
        <f t="shared" si="34"/>
        <v>-10.168</v>
      </c>
      <c r="H397" s="146">
        <v>0.789996453665555</v>
      </c>
      <c r="K397" s="285">
        <v>185.59</v>
      </c>
      <c r="L397" s="10">
        <f t="shared" si="35"/>
        <v>22303.84</v>
      </c>
      <c r="N397" s="150" t="s">
        <v>1653</v>
      </c>
    </row>
    <row r="398" spans="1:14">
      <c r="A398" s="311">
        <v>46199</v>
      </c>
      <c r="B398" s="144" t="s">
        <v>135</v>
      </c>
      <c r="C398" s="191">
        <v>0.34</v>
      </c>
      <c r="D398" s="191">
        <v>1</v>
      </c>
      <c r="E398" s="285">
        <v>285.6</v>
      </c>
      <c r="F398" s="10">
        <f t="shared" si="33"/>
        <v>283.8</v>
      </c>
      <c r="G398" s="10">
        <f t="shared" si="34"/>
        <v>1.80000000000001</v>
      </c>
      <c r="H398" s="146">
        <v>0.789996453665555</v>
      </c>
      <c r="K398" s="285">
        <v>225.62</v>
      </c>
      <c r="L398" s="10">
        <f t="shared" si="35"/>
        <v>22078.22</v>
      </c>
      <c r="N398" s="150" t="s">
        <v>1653</v>
      </c>
    </row>
    <row r="399" spans="1:14">
      <c r="A399" s="311">
        <v>46199</v>
      </c>
      <c r="B399" s="144" t="s">
        <v>163</v>
      </c>
      <c r="C399" s="191">
        <v>0.13</v>
      </c>
      <c r="D399" s="191">
        <v>0.46</v>
      </c>
      <c r="E399" s="285">
        <v>139.976</v>
      </c>
      <c r="F399" s="10">
        <f t="shared" si="33"/>
        <v>141.9</v>
      </c>
      <c r="G399" s="10">
        <f t="shared" si="34"/>
        <v>-1.92400000000001</v>
      </c>
      <c r="H399" s="146">
        <v>0.789996453665555</v>
      </c>
      <c r="K399" s="285">
        <v>110.58</v>
      </c>
      <c r="L399" s="10">
        <f t="shared" si="35"/>
        <v>21967.64</v>
      </c>
      <c r="N399" s="150" t="s">
        <v>1653</v>
      </c>
    </row>
    <row r="400" spans="1:14">
      <c r="A400" s="311">
        <v>46199</v>
      </c>
      <c r="B400" s="144" t="s">
        <v>213</v>
      </c>
      <c r="C400" s="191">
        <v>0.39</v>
      </c>
      <c r="D400" s="191">
        <v>1</v>
      </c>
      <c r="E400" s="285">
        <v>264.964</v>
      </c>
      <c r="F400" s="10">
        <f t="shared" si="33"/>
        <v>262.3</v>
      </c>
      <c r="G400" s="10">
        <f t="shared" si="34"/>
        <v>2.66399999999999</v>
      </c>
      <c r="H400" s="146">
        <v>0.789996453665555</v>
      </c>
      <c r="K400" s="285">
        <v>209.33</v>
      </c>
      <c r="L400" s="10">
        <f t="shared" si="35"/>
        <v>21758.31</v>
      </c>
      <c r="N400" s="150" t="s">
        <v>1653</v>
      </c>
    </row>
    <row r="401" spans="1:14">
      <c r="A401" s="311">
        <v>46199</v>
      </c>
      <c r="B401" s="144" t="s">
        <v>670</v>
      </c>
      <c r="C401" s="191">
        <v>0.32</v>
      </c>
      <c r="D401" s="191">
        <v>1</v>
      </c>
      <c r="E401" s="285">
        <v>297.489</v>
      </c>
      <c r="F401" s="10">
        <f t="shared" si="33"/>
        <v>292.4</v>
      </c>
      <c r="G401" s="10">
        <f t="shared" si="34"/>
        <v>5.089</v>
      </c>
      <c r="H401" s="146">
        <v>0.789996453665555</v>
      </c>
      <c r="K401" s="285">
        <v>235.02</v>
      </c>
      <c r="L401" s="10">
        <f t="shared" si="35"/>
        <v>21523.29</v>
      </c>
      <c r="N401" s="150" t="s">
        <v>1653</v>
      </c>
    </row>
    <row r="402" spans="1:14">
      <c r="A402" s="311">
        <v>46199</v>
      </c>
      <c r="B402" s="144" t="s">
        <v>81</v>
      </c>
      <c r="C402" s="191">
        <v>0.13</v>
      </c>
      <c r="D402" s="191">
        <v>0.98</v>
      </c>
      <c r="E402" s="285">
        <v>387.325</v>
      </c>
      <c r="F402" s="10">
        <f t="shared" si="33"/>
        <v>365.5</v>
      </c>
      <c r="G402" s="10">
        <f t="shared" si="34"/>
        <v>21.825</v>
      </c>
      <c r="H402" s="146">
        <v>0.789996453665555</v>
      </c>
      <c r="K402" s="285">
        <v>305.98</v>
      </c>
      <c r="L402" s="10">
        <f t="shared" si="35"/>
        <v>21217.31</v>
      </c>
      <c r="N402" s="150" t="s">
        <v>1653</v>
      </c>
    </row>
    <row r="403" spans="1:14">
      <c r="A403" s="311">
        <v>46199</v>
      </c>
      <c r="B403" s="144" t="s">
        <v>160</v>
      </c>
      <c r="C403" s="191">
        <v>0.16</v>
      </c>
      <c r="D403" s="191">
        <v>0.23</v>
      </c>
      <c r="E403" s="285">
        <v>31.203</v>
      </c>
      <c r="F403" s="10">
        <f t="shared" si="33"/>
        <v>30.1</v>
      </c>
      <c r="G403" s="10">
        <f t="shared" si="34"/>
        <v>1.103</v>
      </c>
      <c r="H403" s="146">
        <v>0.789996453665555</v>
      </c>
      <c r="K403" s="285">
        <v>24.65</v>
      </c>
      <c r="L403" s="10">
        <f t="shared" si="35"/>
        <v>21192.66</v>
      </c>
      <c r="N403" s="150" t="s">
        <v>1653</v>
      </c>
    </row>
    <row r="404" spans="1:14">
      <c r="A404" s="311">
        <v>46199</v>
      </c>
      <c r="B404" s="144" t="s">
        <v>87</v>
      </c>
      <c r="C404" s="191">
        <v>0.25</v>
      </c>
      <c r="D404" s="191">
        <v>0.26</v>
      </c>
      <c r="E404" s="285">
        <v>2.456</v>
      </c>
      <c r="F404" s="10">
        <f t="shared" si="33"/>
        <v>4.3</v>
      </c>
      <c r="G404" s="10">
        <f t="shared" si="34"/>
        <v>-1.844</v>
      </c>
      <c r="H404" s="146">
        <v>0.789996453665555</v>
      </c>
      <c r="K404" s="285">
        <v>1.94</v>
      </c>
      <c r="L404" s="10">
        <f t="shared" si="35"/>
        <v>21190.72</v>
      </c>
      <c r="N404" s="150" t="s">
        <v>1653</v>
      </c>
    </row>
    <row r="405" spans="1:14">
      <c r="A405" s="311">
        <v>46199</v>
      </c>
      <c r="B405" s="144" t="s">
        <v>163</v>
      </c>
      <c r="C405" s="191">
        <v>0.46</v>
      </c>
      <c r="D405" s="191">
        <v>0.76</v>
      </c>
      <c r="E405" s="285">
        <v>131.176</v>
      </c>
      <c r="F405" s="10">
        <f t="shared" si="33"/>
        <v>129</v>
      </c>
      <c r="G405" s="10">
        <f t="shared" si="34"/>
        <v>2.17599999999999</v>
      </c>
      <c r="H405" s="146">
        <v>0.789996453665555</v>
      </c>
      <c r="K405" s="285">
        <v>103.63</v>
      </c>
      <c r="L405" s="10">
        <f t="shared" si="35"/>
        <v>21087.09</v>
      </c>
      <c r="N405" s="150" t="s">
        <v>1653</v>
      </c>
    </row>
    <row r="406" spans="1:14">
      <c r="A406" s="311">
        <v>46199</v>
      </c>
      <c r="B406" s="144" t="s">
        <v>87</v>
      </c>
      <c r="C406" s="191">
        <v>0.26</v>
      </c>
      <c r="D406" s="191">
        <v>1</v>
      </c>
      <c r="E406" s="285">
        <v>341.721</v>
      </c>
      <c r="F406" s="10">
        <f t="shared" si="33"/>
        <v>318.2</v>
      </c>
      <c r="G406" s="10">
        <f t="shared" si="34"/>
        <v>23.521</v>
      </c>
      <c r="H406" s="146">
        <v>0.789996453665555</v>
      </c>
      <c r="K406" s="285">
        <v>269.96</v>
      </c>
      <c r="L406" s="10">
        <f t="shared" si="35"/>
        <v>20817.13</v>
      </c>
      <c r="N406" s="150" t="s">
        <v>1653</v>
      </c>
    </row>
    <row r="407" spans="1:14">
      <c r="A407" s="311">
        <v>46199</v>
      </c>
      <c r="B407" s="144" t="s">
        <v>160</v>
      </c>
      <c r="C407" s="191">
        <v>0.23</v>
      </c>
      <c r="D407" s="191">
        <v>0.53</v>
      </c>
      <c r="E407" s="285">
        <v>126.989</v>
      </c>
      <c r="F407" s="10">
        <f t="shared" si="33"/>
        <v>129</v>
      </c>
      <c r="G407" s="10">
        <f t="shared" si="34"/>
        <v>-2.011</v>
      </c>
      <c r="H407" s="146">
        <v>0.789996453665555</v>
      </c>
      <c r="K407" s="285">
        <v>100.32</v>
      </c>
      <c r="L407" s="10">
        <f t="shared" si="35"/>
        <v>20716.81</v>
      </c>
      <c r="N407" s="150" t="s">
        <v>1653</v>
      </c>
    </row>
    <row r="408" spans="1:14">
      <c r="A408" s="311">
        <v>46199</v>
      </c>
      <c r="B408" s="144" t="s">
        <v>163</v>
      </c>
      <c r="C408" s="191">
        <v>0.76</v>
      </c>
      <c r="D408" s="191">
        <v>1</v>
      </c>
      <c r="E408" s="285">
        <v>100.672</v>
      </c>
      <c r="F408" s="10">
        <f t="shared" si="33"/>
        <v>103.2</v>
      </c>
      <c r="G408" s="10">
        <f t="shared" si="34"/>
        <v>-2.52800000000001</v>
      </c>
      <c r="H408" s="146">
        <v>0.789996453665555</v>
      </c>
      <c r="K408" s="285">
        <v>79.53</v>
      </c>
      <c r="L408" s="10">
        <f t="shared" si="35"/>
        <v>20637.28</v>
      </c>
      <c r="N408" s="150" t="s">
        <v>1653</v>
      </c>
    </row>
    <row r="409" spans="1:14">
      <c r="A409" s="311">
        <v>46199</v>
      </c>
      <c r="B409" s="144" t="s">
        <v>223</v>
      </c>
      <c r="C409" s="191">
        <v>0.15</v>
      </c>
      <c r="D409" s="191">
        <v>1</v>
      </c>
      <c r="E409" s="285">
        <v>370.818</v>
      </c>
      <c r="F409" s="10">
        <f t="shared" si="33"/>
        <v>365.5</v>
      </c>
      <c r="G409" s="10">
        <f t="shared" si="34"/>
        <v>5.31799999999998</v>
      </c>
      <c r="H409" s="146">
        <v>0.789996453665555</v>
      </c>
      <c r="K409" s="285">
        <v>292.94</v>
      </c>
      <c r="L409" s="10">
        <f t="shared" si="35"/>
        <v>20344.34</v>
      </c>
      <c r="N409" s="150" t="s">
        <v>1653</v>
      </c>
    </row>
    <row r="410" spans="1:14">
      <c r="A410" s="311">
        <v>46199</v>
      </c>
      <c r="B410" s="144" t="s">
        <v>166</v>
      </c>
      <c r="C410" s="191">
        <v>0.19</v>
      </c>
      <c r="D410" s="191">
        <v>0.99</v>
      </c>
      <c r="E410" s="285">
        <v>345.659</v>
      </c>
      <c r="F410" s="10">
        <f t="shared" si="33"/>
        <v>344</v>
      </c>
      <c r="G410" s="10">
        <f t="shared" si="34"/>
        <v>1.65899999999999</v>
      </c>
      <c r="H410" s="146">
        <v>0.789996453665555</v>
      </c>
      <c r="K410" s="285">
        <v>273.07</v>
      </c>
      <c r="L410" s="10">
        <f t="shared" si="35"/>
        <v>20071.27</v>
      </c>
      <c r="N410" s="150" t="s">
        <v>1653</v>
      </c>
    </row>
    <row r="411" spans="1:14">
      <c r="A411" s="311">
        <v>46199</v>
      </c>
      <c r="B411" s="144" t="s">
        <v>186</v>
      </c>
      <c r="C411" s="191">
        <v>0.15</v>
      </c>
      <c r="D411" s="191">
        <v>1</v>
      </c>
      <c r="E411" s="285">
        <v>367.633</v>
      </c>
      <c r="F411" s="10">
        <f t="shared" si="33"/>
        <v>365.5</v>
      </c>
      <c r="G411" s="10">
        <f t="shared" si="34"/>
        <v>2.13299999999998</v>
      </c>
      <c r="H411" s="146">
        <v>0.789996453665555</v>
      </c>
      <c r="K411" s="285">
        <v>290.43</v>
      </c>
      <c r="L411" s="10">
        <f t="shared" si="35"/>
        <v>19780.84</v>
      </c>
      <c r="N411" s="150" t="s">
        <v>1653</v>
      </c>
    </row>
    <row r="412" spans="1:14">
      <c r="A412" s="311">
        <v>46199</v>
      </c>
      <c r="B412" s="144" t="s">
        <v>160</v>
      </c>
      <c r="C412" s="191">
        <v>0.53</v>
      </c>
      <c r="D412" s="191">
        <v>1</v>
      </c>
      <c r="E412" s="285">
        <v>203.725</v>
      </c>
      <c r="F412" s="10">
        <f t="shared" si="33"/>
        <v>202.1</v>
      </c>
      <c r="G412" s="10">
        <f t="shared" si="34"/>
        <v>1.625</v>
      </c>
      <c r="H412" s="146">
        <v>0.789996453665555</v>
      </c>
      <c r="K412" s="285">
        <v>160.94</v>
      </c>
      <c r="L412" s="10">
        <f t="shared" si="35"/>
        <v>19619.9</v>
      </c>
      <c r="N412" s="150" t="s">
        <v>1653</v>
      </c>
    </row>
    <row r="413" spans="1:14">
      <c r="A413" s="311">
        <v>46200</v>
      </c>
      <c r="B413" s="144" t="s">
        <v>174</v>
      </c>
      <c r="C413" s="191">
        <v>0.31</v>
      </c>
      <c r="D413" s="191">
        <v>1</v>
      </c>
      <c r="E413" s="285">
        <v>300.675</v>
      </c>
      <c r="F413" s="10">
        <f t="shared" si="33"/>
        <v>296.7</v>
      </c>
      <c r="G413" s="10">
        <f t="shared" si="34"/>
        <v>3.97500000000002</v>
      </c>
      <c r="H413" s="146">
        <v>0.789996453665555</v>
      </c>
      <c r="K413" s="285">
        <v>237.54</v>
      </c>
      <c r="L413" s="10">
        <f t="shared" si="35"/>
        <v>19382.36</v>
      </c>
      <c r="N413" s="150" t="s">
        <v>1653</v>
      </c>
    </row>
    <row r="414" spans="1:14">
      <c r="A414" s="311">
        <v>46200</v>
      </c>
      <c r="B414" s="144" t="s">
        <v>210</v>
      </c>
      <c r="C414" s="191">
        <v>0.34</v>
      </c>
      <c r="D414" s="191">
        <v>0.93</v>
      </c>
      <c r="E414" s="285">
        <v>257.807</v>
      </c>
      <c r="F414" s="10">
        <f t="shared" si="33"/>
        <v>253.7</v>
      </c>
      <c r="G414" s="10">
        <f t="shared" si="34"/>
        <v>4.10700000000003</v>
      </c>
      <c r="H414" s="146">
        <v>0.789996453665555</v>
      </c>
      <c r="K414" s="285">
        <v>203.67</v>
      </c>
      <c r="L414" s="10">
        <f t="shared" si="35"/>
        <v>19178.69</v>
      </c>
      <c r="N414" s="150" t="s">
        <v>1653</v>
      </c>
    </row>
    <row r="415" spans="1:14">
      <c r="A415" s="311">
        <v>46200</v>
      </c>
      <c r="B415" s="144" t="s">
        <v>219</v>
      </c>
      <c r="C415" s="191">
        <v>0.14</v>
      </c>
      <c r="D415" s="191">
        <v>1</v>
      </c>
      <c r="E415" s="285">
        <v>375.584</v>
      </c>
      <c r="F415" s="10">
        <f t="shared" si="33"/>
        <v>369.8</v>
      </c>
      <c r="G415" s="10">
        <f t="shared" si="34"/>
        <v>5.78399999999999</v>
      </c>
      <c r="H415" s="146">
        <v>0.789996453665555</v>
      </c>
      <c r="K415" s="285">
        <v>296.7</v>
      </c>
      <c r="L415" s="10">
        <f t="shared" si="35"/>
        <v>18881.99</v>
      </c>
      <c r="N415" s="150" t="s">
        <v>1653</v>
      </c>
    </row>
    <row r="416" spans="1:14">
      <c r="A416" s="311">
        <v>46200</v>
      </c>
      <c r="B416" s="144" t="s">
        <v>204</v>
      </c>
      <c r="C416" s="191">
        <v>0.13</v>
      </c>
      <c r="D416" s="191">
        <v>1</v>
      </c>
      <c r="E416" s="285">
        <v>369.176</v>
      </c>
      <c r="F416" s="10">
        <f t="shared" ref="F416:F434" si="36">(D416-C416)*430</f>
        <v>374.1</v>
      </c>
      <c r="G416" s="10">
        <f t="shared" ref="G416:G434" si="37">E416-F416</f>
        <v>-4.92400000000004</v>
      </c>
      <c r="H416" s="146">
        <v>0.789996453665555</v>
      </c>
      <c r="K416" s="285">
        <v>291.65</v>
      </c>
      <c r="L416" s="10">
        <f t="shared" ref="L416:L434" si="38">L415+J416-K416</f>
        <v>18590.34</v>
      </c>
      <c r="N416" s="150" t="s">
        <v>1653</v>
      </c>
    </row>
    <row r="417" spans="1:14">
      <c r="A417" s="311">
        <v>46200</v>
      </c>
      <c r="B417" s="144" t="s">
        <v>221</v>
      </c>
      <c r="C417" s="191">
        <v>0.14</v>
      </c>
      <c r="D417" s="191">
        <v>1</v>
      </c>
      <c r="E417" s="285">
        <v>372.353</v>
      </c>
      <c r="F417" s="10">
        <f t="shared" si="36"/>
        <v>369.8</v>
      </c>
      <c r="G417" s="10">
        <f t="shared" si="37"/>
        <v>2.553</v>
      </c>
      <c r="H417" s="146">
        <v>0.789996453665555</v>
      </c>
      <c r="K417" s="285">
        <v>294.16</v>
      </c>
      <c r="L417" s="10">
        <f t="shared" si="38"/>
        <v>18296.18</v>
      </c>
      <c r="N417" s="150" t="s">
        <v>1653</v>
      </c>
    </row>
    <row r="418" spans="1:14">
      <c r="A418" s="311">
        <v>46200</v>
      </c>
      <c r="B418" s="144" t="s">
        <v>338</v>
      </c>
      <c r="C418" s="191">
        <v>0.07</v>
      </c>
      <c r="D418" s="191">
        <v>0.98</v>
      </c>
      <c r="E418" s="285">
        <v>396.481</v>
      </c>
      <c r="F418" s="10">
        <f t="shared" si="36"/>
        <v>391.3</v>
      </c>
      <c r="G418" s="10">
        <f t="shared" si="37"/>
        <v>5.18100000000004</v>
      </c>
      <c r="H418" s="146">
        <v>0.789996453665555</v>
      </c>
      <c r="K418" s="285">
        <v>313.22</v>
      </c>
      <c r="L418" s="10">
        <f t="shared" si="38"/>
        <v>17982.96</v>
      </c>
      <c r="N418" s="150" t="s">
        <v>1653</v>
      </c>
    </row>
    <row r="419" spans="1:14">
      <c r="A419" s="311">
        <v>46200</v>
      </c>
      <c r="B419" s="144" t="s">
        <v>180</v>
      </c>
      <c r="C419" s="191">
        <v>0.34</v>
      </c>
      <c r="D419" s="191">
        <v>1</v>
      </c>
      <c r="E419" s="285">
        <v>284.831</v>
      </c>
      <c r="F419" s="10">
        <f t="shared" si="36"/>
        <v>283.8</v>
      </c>
      <c r="G419" s="10">
        <f t="shared" si="37"/>
        <v>1.03100000000006</v>
      </c>
      <c r="H419" s="146">
        <v>0.789996453665555</v>
      </c>
      <c r="K419" s="285">
        <v>225.01</v>
      </c>
      <c r="L419" s="10">
        <f t="shared" si="38"/>
        <v>17757.95</v>
      </c>
      <c r="N419" s="150" t="s">
        <v>1653</v>
      </c>
    </row>
    <row r="420" spans="1:14">
      <c r="A420" s="311">
        <v>46200</v>
      </c>
      <c r="B420" s="144" t="s">
        <v>75</v>
      </c>
      <c r="C420" s="191">
        <v>0.23</v>
      </c>
      <c r="D420" s="191">
        <v>1</v>
      </c>
      <c r="E420" s="285">
        <v>352.009</v>
      </c>
      <c r="F420" s="10">
        <f t="shared" si="36"/>
        <v>331.1</v>
      </c>
      <c r="G420" s="10">
        <f t="shared" si="37"/>
        <v>20.909</v>
      </c>
      <c r="H420" s="146">
        <v>0.789996453665555</v>
      </c>
      <c r="K420" s="285">
        <v>278.09</v>
      </c>
      <c r="L420" s="10">
        <f t="shared" si="38"/>
        <v>17479.86</v>
      </c>
      <c r="N420" s="150" t="s">
        <v>1653</v>
      </c>
    </row>
    <row r="421" spans="1:14">
      <c r="A421" s="311">
        <v>46200</v>
      </c>
      <c r="B421" s="144" t="s">
        <v>99</v>
      </c>
      <c r="C421" s="191">
        <v>0.2</v>
      </c>
      <c r="D421" s="191">
        <v>1</v>
      </c>
      <c r="E421" s="285">
        <v>366.313</v>
      </c>
      <c r="F421" s="10">
        <f t="shared" si="36"/>
        <v>344</v>
      </c>
      <c r="G421" s="10">
        <f t="shared" si="37"/>
        <v>22.313</v>
      </c>
      <c r="H421" s="146">
        <v>0.789996453665555</v>
      </c>
      <c r="K421" s="285">
        <v>289.39</v>
      </c>
      <c r="L421" s="10">
        <f t="shared" si="38"/>
        <v>17190.47</v>
      </c>
      <c r="N421" s="150" t="s">
        <v>1653</v>
      </c>
    </row>
    <row r="422" spans="1:14">
      <c r="A422" s="311">
        <v>46200</v>
      </c>
      <c r="B422" s="144" t="s">
        <v>66</v>
      </c>
      <c r="C422" s="191">
        <v>0.29</v>
      </c>
      <c r="D422" s="191">
        <v>1</v>
      </c>
      <c r="E422" s="285">
        <v>320.107</v>
      </c>
      <c r="F422" s="10">
        <f t="shared" si="36"/>
        <v>305.3</v>
      </c>
      <c r="G422" s="10">
        <f t="shared" si="37"/>
        <v>14.807</v>
      </c>
      <c r="H422" s="146">
        <v>0.789996453665555</v>
      </c>
      <c r="K422" s="285">
        <v>252.88</v>
      </c>
      <c r="L422" s="10">
        <f t="shared" si="38"/>
        <v>16937.59</v>
      </c>
      <c r="N422" s="150" t="s">
        <v>1653</v>
      </c>
    </row>
    <row r="423" spans="1:14">
      <c r="A423" s="311">
        <v>46200</v>
      </c>
      <c r="B423" s="144" t="s">
        <v>177</v>
      </c>
      <c r="C423" s="191">
        <v>0.36</v>
      </c>
      <c r="D423" s="191">
        <v>1</v>
      </c>
      <c r="E423" s="285">
        <v>276.405</v>
      </c>
      <c r="F423" s="10">
        <f t="shared" si="36"/>
        <v>275.2</v>
      </c>
      <c r="G423" s="10">
        <f t="shared" si="37"/>
        <v>1.20499999999998</v>
      </c>
      <c r="H423" s="146">
        <v>0.789996453665555</v>
      </c>
      <c r="K423" s="285">
        <v>218.36</v>
      </c>
      <c r="L423" s="10">
        <f t="shared" si="38"/>
        <v>16719.23</v>
      </c>
      <c r="N423" s="150" t="s">
        <v>1653</v>
      </c>
    </row>
    <row r="424" spans="1:14">
      <c r="A424" s="311">
        <v>46201</v>
      </c>
      <c r="B424" s="144" t="s">
        <v>124</v>
      </c>
      <c r="C424" s="191">
        <v>0.38</v>
      </c>
      <c r="D424" s="191">
        <v>1</v>
      </c>
      <c r="E424" s="285">
        <v>263.952</v>
      </c>
      <c r="F424" s="10">
        <f t="shared" si="36"/>
        <v>266.6</v>
      </c>
      <c r="G424" s="10">
        <f t="shared" si="37"/>
        <v>-2.64800000000002</v>
      </c>
      <c r="H424" s="146">
        <v>0.789996453665555</v>
      </c>
      <c r="K424" s="285">
        <v>208.53</v>
      </c>
      <c r="L424" s="10">
        <f t="shared" si="38"/>
        <v>16510.7</v>
      </c>
      <c r="N424" s="150" t="s">
        <v>1653</v>
      </c>
    </row>
    <row r="425" spans="1:14">
      <c r="A425" s="311">
        <v>46201</v>
      </c>
      <c r="B425" s="144" t="s">
        <v>144</v>
      </c>
      <c r="C425" s="191">
        <v>0.16</v>
      </c>
      <c r="D425" s="191">
        <v>1</v>
      </c>
      <c r="E425" s="285">
        <v>356.18</v>
      </c>
      <c r="F425" s="10">
        <f t="shared" si="36"/>
        <v>361.2</v>
      </c>
      <c r="G425" s="10">
        <f t="shared" si="37"/>
        <v>-5.01999999999998</v>
      </c>
      <c r="H425" s="146">
        <v>0.789996453665555</v>
      </c>
      <c r="K425" s="285">
        <v>281.38</v>
      </c>
      <c r="L425" s="10">
        <f t="shared" si="38"/>
        <v>16229.32</v>
      </c>
      <c r="N425" s="150" t="s">
        <v>1653</v>
      </c>
    </row>
    <row r="426" spans="1:14">
      <c r="A426" s="311">
        <v>46201</v>
      </c>
      <c r="B426" s="144" t="s">
        <v>81</v>
      </c>
      <c r="C426" s="191">
        <v>0.1</v>
      </c>
      <c r="D426" s="191">
        <v>1</v>
      </c>
      <c r="E426" s="285">
        <v>411.87</v>
      </c>
      <c r="F426" s="10">
        <f t="shared" si="36"/>
        <v>387</v>
      </c>
      <c r="G426" s="10">
        <f t="shared" si="37"/>
        <v>24.87</v>
      </c>
      <c r="H426" s="146">
        <v>0.789996453665555</v>
      </c>
      <c r="K426" s="285">
        <v>325.38</v>
      </c>
      <c r="L426" s="10">
        <f t="shared" si="38"/>
        <v>15903.94</v>
      </c>
      <c r="N426" s="150" t="s">
        <v>1653</v>
      </c>
    </row>
    <row r="427" spans="1:14">
      <c r="A427" s="311">
        <v>46201</v>
      </c>
      <c r="B427" s="144" t="s">
        <v>198</v>
      </c>
      <c r="C427" s="191">
        <v>0.68</v>
      </c>
      <c r="D427" s="191">
        <v>0.99</v>
      </c>
      <c r="E427" s="285">
        <v>138.541</v>
      </c>
      <c r="F427" s="10">
        <f t="shared" si="36"/>
        <v>133.3</v>
      </c>
      <c r="G427" s="10">
        <f t="shared" si="37"/>
        <v>5.24100000000001</v>
      </c>
      <c r="H427" s="146">
        <v>0.789996453665555</v>
      </c>
      <c r="K427" s="285">
        <v>109.44</v>
      </c>
      <c r="L427" s="10">
        <f t="shared" si="38"/>
        <v>15794.5</v>
      </c>
      <c r="N427" s="150" t="s">
        <v>1653</v>
      </c>
    </row>
    <row r="428" spans="1:14">
      <c r="A428" s="311">
        <v>46201</v>
      </c>
      <c r="B428" s="144" t="s">
        <v>183</v>
      </c>
      <c r="C428" s="191">
        <v>0.38</v>
      </c>
      <c r="D428" s="191">
        <v>1</v>
      </c>
      <c r="E428" s="285">
        <v>271.887</v>
      </c>
      <c r="F428" s="10">
        <f t="shared" si="36"/>
        <v>266.6</v>
      </c>
      <c r="G428" s="10">
        <f t="shared" si="37"/>
        <v>5.28699999999998</v>
      </c>
      <c r="H428" s="146">
        <v>0.789996453665555</v>
      </c>
      <c r="K428" s="285">
        <v>214.79</v>
      </c>
      <c r="L428" s="10">
        <f t="shared" si="38"/>
        <v>15579.71</v>
      </c>
      <c r="N428" s="150" t="s">
        <v>1653</v>
      </c>
    </row>
    <row r="429" spans="1:14">
      <c r="A429" s="311">
        <v>46201</v>
      </c>
      <c r="B429" s="144" t="s">
        <v>148</v>
      </c>
      <c r="C429" s="191">
        <v>0.28</v>
      </c>
      <c r="D429" s="191">
        <v>1</v>
      </c>
      <c r="E429" s="285">
        <v>312.519</v>
      </c>
      <c r="F429" s="10">
        <f t="shared" si="36"/>
        <v>309.6</v>
      </c>
      <c r="G429" s="10">
        <f t="shared" si="37"/>
        <v>2.91900000000004</v>
      </c>
      <c r="H429" s="146">
        <v>0.789996453665555</v>
      </c>
      <c r="K429" s="285">
        <v>246.89</v>
      </c>
      <c r="L429" s="10">
        <f t="shared" si="38"/>
        <v>15332.82</v>
      </c>
      <c r="N429" s="150" t="s">
        <v>1653</v>
      </c>
    </row>
    <row r="430" spans="1:14">
      <c r="A430" s="311">
        <v>46201</v>
      </c>
      <c r="B430" s="144" t="s">
        <v>207</v>
      </c>
      <c r="C430" s="191">
        <v>0.39</v>
      </c>
      <c r="D430" s="191">
        <v>1</v>
      </c>
      <c r="E430" s="285">
        <v>266.205</v>
      </c>
      <c r="F430" s="10">
        <f t="shared" si="36"/>
        <v>262.3</v>
      </c>
      <c r="G430" s="10">
        <f t="shared" si="37"/>
        <v>3.90499999999997</v>
      </c>
      <c r="H430" s="146">
        <v>0.789996453665555</v>
      </c>
      <c r="K430" s="285">
        <v>210.3</v>
      </c>
      <c r="L430" s="10">
        <f t="shared" si="38"/>
        <v>15122.52</v>
      </c>
      <c r="N430" s="150" t="s">
        <v>1653</v>
      </c>
    </row>
    <row r="431" spans="1:14">
      <c r="A431" s="311">
        <v>46201</v>
      </c>
      <c r="B431" s="144" t="s">
        <v>339</v>
      </c>
      <c r="C431" s="191">
        <v>0.36</v>
      </c>
      <c r="D431" s="191">
        <v>1</v>
      </c>
      <c r="E431" s="285">
        <v>278.156</v>
      </c>
      <c r="F431" s="10">
        <f t="shared" si="36"/>
        <v>275.2</v>
      </c>
      <c r="G431" s="10">
        <f t="shared" si="37"/>
        <v>2.95600000000002</v>
      </c>
      <c r="H431" s="146">
        <v>0.789996453665555</v>
      </c>
      <c r="K431" s="285">
        <v>219.75</v>
      </c>
      <c r="L431" s="10">
        <f t="shared" si="38"/>
        <v>14902.77</v>
      </c>
      <c r="N431" s="150" t="s">
        <v>1653</v>
      </c>
    </row>
    <row r="432" spans="1:14">
      <c r="A432" s="311">
        <v>46201</v>
      </c>
      <c r="B432" s="144" t="s">
        <v>87</v>
      </c>
      <c r="C432" s="191">
        <v>0.28</v>
      </c>
      <c r="D432" s="191">
        <v>1</v>
      </c>
      <c r="E432" s="285">
        <v>331.323</v>
      </c>
      <c r="F432" s="10">
        <f t="shared" si="36"/>
        <v>309.6</v>
      </c>
      <c r="G432" s="10">
        <f t="shared" si="37"/>
        <v>21.723</v>
      </c>
      <c r="H432" s="146">
        <v>0.789996453665555</v>
      </c>
      <c r="K432" s="285">
        <v>261.74</v>
      </c>
      <c r="L432" s="10">
        <f t="shared" si="38"/>
        <v>14641.03</v>
      </c>
      <c r="N432" s="150" t="s">
        <v>1653</v>
      </c>
    </row>
    <row r="433" spans="1:14">
      <c r="A433" s="311">
        <v>46201</v>
      </c>
      <c r="B433" s="144" t="s">
        <v>186</v>
      </c>
      <c r="C433" s="191">
        <v>0.14</v>
      </c>
      <c r="D433" s="191">
        <v>1</v>
      </c>
      <c r="E433" s="285">
        <v>374.191</v>
      </c>
      <c r="F433" s="10">
        <f t="shared" si="36"/>
        <v>369.8</v>
      </c>
      <c r="G433" s="10">
        <f t="shared" si="37"/>
        <v>4.39099999999996</v>
      </c>
      <c r="H433" s="146">
        <v>0.789996453665555</v>
      </c>
      <c r="K433" s="285">
        <v>295.61</v>
      </c>
      <c r="L433" s="10">
        <f t="shared" si="38"/>
        <v>14345.42</v>
      </c>
      <c r="N433" s="150" t="s">
        <v>1653</v>
      </c>
    </row>
    <row r="434" spans="1:14">
      <c r="A434" s="311">
        <v>46201</v>
      </c>
      <c r="B434" s="144" t="s">
        <v>90</v>
      </c>
      <c r="C434" s="191">
        <v>0.28</v>
      </c>
      <c r="D434" s="191">
        <v>1</v>
      </c>
      <c r="E434" s="285">
        <v>332.544</v>
      </c>
      <c r="F434" s="10">
        <f t="shared" si="36"/>
        <v>309.6</v>
      </c>
      <c r="G434" s="10">
        <f t="shared" si="37"/>
        <v>22.944</v>
      </c>
      <c r="H434" s="146">
        <v>0.789996453665555</v>
      </c>
      <c r="K434" s="285">
        <v>262.71</v>
      </c>
      <c r="L434" s="10">
        <f t="shared" si="38"/>
        <v>14082.71</v>
      </c>
      <c r="N434" s="150" t="s">
        <v>1653</v>
      </c>
    </row>
  </sheetData>
  <autoFilter xmlns:etc="http://www.wps.cn/officeDocument/2017/etCustomData" ref="A1:N415" etc:filterBottomFollowUsedRange="0">
    <sortState ref="A1:N415">
      <sortCondition ref="A1"/>
    </sortState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6"/>
  <sheetViews>
    <sheetView workbookViewId="0">
      <pane ySplit="1" topLeftCell="A396" activePane="bottomLeft" state="frozen"/>
      <selection/>
      <selection pane="bottomLeft" activeCell="H421" sqref="H421"/>
    </sheetView>
  </sheetViews>
  <sheetFormatPr defaultColWidth="9" defaultRowHeight="13.5"/>
  <cols>
    <col min="1" max="1" width="9" style="144"/>
    <col min="2" max="2" width="15.75" style="144" customWidth="1"/>
    <col min="3" max="3" width="9.375" style="144"/>
    <col min="4" max="4" width="10.375" style="144"/>
    <col min="5" max="5" width="9.375" style="144"/>
    <col min="6" max="6" width="12.625" style="144"/>
    <col min="7" max="7" width="12.875" style="144"/>
    <col min="8" max="8" width="14.125" style="144"/>
    <col min="9" max="9" width="9" style="144"/>
    <col min="10" max="10" width="10.5" style="144" customWidth="1"/>
    <col min="11" max="11" width="10.375" style="144"/>
    <col min="12" max="12" width="9.375" style="144"/>
    <col min="13" max="13" width="9" style="144"/>
    <col min="14" max="14" width="33.375" style="144" customWidth="1"/>
    <col min="15" max="15" width="15.625" style="144" customWidth="1"/>
    <col min="16" max="16384" width="9" style="144"/>
  </cols>
  <sheetData>
    <row r="1" s="144" customFormat="1" spans="1:18">
      <c r="A1" s="312" t="s">
        <v>335</v>
      </c>
      <c r="B1" s="139" t="s">
        <v>3</v>
      </c>
      <c r="C1" s="140" t="s">
        <v>1581</v>
      </c>
      <c r="D1" s="140" t="s">
        <v>1582</v>
      </c>
      <c r="E1" s="141" t="s">
        <v>1583</v>
      </c>
      <c r="F1" s="139" t="s">
        <v>1584</v>
      </c>
      <c r="G1" s="139" t="s">
        <v>1585</v>
      </c>
      <c r="H1" s="141" t="s">
        <v>1588</v>
      </c>
      <c r="I1" s="141" t="s">
        <v>1604</v>
      </c>
      <c r="J1" s="141" t="s">
        <v>1605</v>
      </c>
      <c r="K1" s="141" t="s">
        <v>1589</v>
      </c>
      <c r="L1" s="141" t="s">
        <v>1606</v>
      </c>
      <c r="M1" s="139" t="s">
        <v>1607</v>
      </c>
      <c r="N1" s="139" t="s">
        <v>1590</v>
      </c>
      <c r="O1" s="139" t="s">
        <v>352</v>
      </c>
    </row>
    <row r="2" ht="16.5" spans="1:18">
      <c r="A2" s="294">
        <v>46143</v>
      </c>
      <c r="B2" s="139"/>
      <c r="C2" s="140"/>
      <c r="D2" s="140"/>
      <c r="E2" s="313"/>
      <c r="F2" s="139"/>
      <c r="G2" s="139"/>
      <c r="H2" s="141"/>
      <c r="I2" s="141"/>
      <c r="J2" s="141"/>
      <c r="K2" s="313"/>
      <c r="L2" s="144">
        <v>8589.01</v>
      </c>
      <c r="M2" s="139"/>
      <c r="N2" s="314" t="s">
        <v>1654</v>
      </c>
    </row>
    <row r="3" s="11" customFormat="1" ht="16" customHeight="1" spans="1:18">
      <c r="A3" s="156">
        <v>46174</v>
      </c>
      <c r="B3" s="168" t="s">
        <v>99</v>
      </c>
      <c r="C3" s="169">
        <v>0.58</v>
      </c>
      <c r="D3" s="169">
        <v>0.8</v>
      </c>
      <c r="E3" s="315">
        <v>98.912</v>
      </c>
      <c r="F3" s="10">
        <f t="shared" ref="F3:F66" si="0">430*(D3-C3)</f>
        <v>94.6</v>
      </c>
      <c r="G3" s="10">
        <f t="shared" ref="G3:G66" si="1">E3-F3</f>
        <v>4.31199999999997</v>
      </c>
      <c r="H3" s="110">
        <f t="shared" ref="H3:H66" si="2">K3/E3</f>
        <v>0.769977353607247</v>
      </c>
      <c r="I3" s="315">
        <v>19.78</v>
      </c>
      <c r="J3" s="315"/>
      <c r="K3" s="315">
        <v>76.16</v>
      </c>
      <c r="L3" s="10">
        <f t="shared" ref="L3:L66" si="3">L2+J3-K3</f>
        <v>8512.85</v>
      </c>
      <c r="M3" s="315"/>
      <c r="N3" s="314" t="s">
        <v>1654</v>
      </c>
      <c r="P3" s="150"/>
      <c r="R3" s="214">
        <f t="shared" ref="R3:R12" si="4">G3/E3</f>
        <v>0.0435943060498218</v>
      </c>
    </row>
    <row r="4" s="11" customFormat="1" ht="16" customHeight="1" spans="1:18">
      <c r="A4" s="163">
        <v>46174</v>
      </c>
      <c r="B4" s="164" t="s">
        <v>117</v>
      </c>
      <c r="C4" s="169">
        <v>0.47</v>
      </c>
      <c r="D4" s="169">
        <v>0.74</v>
      </c>
      <c r="E4" s="316">
        <v>109.184</v>
      </c>
      <c r="F4" s="10">
        <f t="shared" si="0"/>
        <v>116.1</v>
      </c>
      <c r="G4" s="10">
        <f t="shared" si="1"/>
        <v>-6.91600000000001</v>
      </c>
      <c r="H4" s="110">
        <f t="shared" si="2"/>
        <v>0.769984613130129</v>
      </c>
      <c r="I4" s="316">
        <v>21.84</v>
      </c>
      <c r="J4" s="316"/>
      <c r="K4" s="316">
        <v>84.07</v>
      </c>
      <c r="L4" s="10">
        <f t="shared" si="3"/>
        <v>8428.78</v>
      </c>
      <c r="M4" s="316"/>
      <c r="N4" s="314" t="s">
        <v>1654</v>
      </c>
      <c r="P4" s="150"/>
      <c r="R4" s="214">
        <f t="shared" si="4"/>
        <v>-0.063342614302462</v>
      </c>
    </row>
    <row r="5" s="11" customFormat="1" ht="16" customHeight="1" spans="1:18">
      <c r="A5" s="163">
        <v>46174</v>
      </c>
      <c r="B5" s="164" t="s">
        <v>54</v>
      </c>
      <c r="C5" s="169">
        <v>0.35</v>
      </c>
      <c r="D5" s="169">
        <v>0.94</v>
      </c>
      <c r="E5" s="316">
        <v>244.064</v>
      </c>
      <c r="F5" s="10">
        <f t="shared" si="0"/>
        <v>253.7</v>
      </c>
      <c r="G5" s="10">
        <f t="shared" si="1"/>
        <v>-9.636</v>
      </c>
      <c r="H5" s="110">
        <f t="shared" si="2"/>
        <v>0.750008194571916</v>
      </c>
      <c r="I5" s="316">
        <v>48.81</v>
      </c>
      <c r="J5" s="316"/>
      <c r="K5" s="316">
        <v>183.05</v>
      </c>
      <c r="L5" s="10">
        <f t="shared" si="3"/>
        <v>8245.73</v>
      </c>
      <c r="M5" s="316"/>
      <c r="N5" s="314" t="s">
        <v>1654</v>
      </c>
      <c r="P5" s="150"/>
      <c r="R5" s="214">
        <f t="shared" si="4"/>
        <v>-0.0394814474891831</v>
      </c>
    </row>
    <row r="6" s="11" customFormat="1" ht="16" customHeight="1" spans="1:18">
      <c r="A6" s="163">
        <v>46174</v>
      </c>
      <c r="B6" s="164" t="s">
        <v>111</v>
      </c>
      <c r="C6" s="169">
        <v>0.35</v>
      </c>
      <c r="D6" s="169">
        <v>1</v>
      </c>
      <c r="E6" s="316">
        <v>266.912</v>
      </c>
      <c r="F6" s="10">
        <f t="shared" si="0"/>
        <v>279.5</v>
      </c>
      <c r="G6" s="10">
        <f t="shared" si="1"/>
        <v>-12.588</v>
      </c>
      <c r="H6" s="110">
        <f t="shared" si="2"/>
        <v>0.749985013787316</v>
      </c>
      <c r="I6" s="316">
        <v>53.38</v>
      </c>
      <c r="J6" s="316"/>
      <c r="K6" s="316">
        <v>200.18</v>
      </c>
      <c r="L6" s="10">
        <f t="shared" si="3"/>
        <v>8045.55</v>
      </c>
      <c r="M6" s="316"/>
      <c r="N6" s="314" t="s">
        <v>1654</v>
      </c>
      <c r="P6" s="150"/>
      <c r="R6" s="214">
        <f t="shared" si="4"/>
        <v>-0.0471616113175879</v>
      </c>
    </row>
    <row r="7" s="11" customFormat="1" ht="16" customHeight="1" spans="1:18">
      <c r="A7" s="163">
        <v>46174</v>
      </c>
      <c r="B7" s="164" t="s">
        <v>108</v>
      </c>
      <c r="C7" s="169">
        <v>0.73</v>
      </c>
      <c r="D7" s="169">
        <v>0.96</v>
      </c>
      <c r="E7" s="316">
        <v>108.475</v>
      </c>
      <c r="F7" s="10">
        <f t="shared" si="0"/>
        <v>98.9</v>
      </c>
      <c r="G7" s="10">
        <f t="shared" si="1"/>
        <v>9.575</v>
      </c>
      <c r="H7" s="110">
        <f t="shared" si="2"/>
        <v>0.878082507490205</v>
      </c>
      <c r="I7" s="316">
        <v>9.55</v>
      </c>
      <c r="J7" s="316"/>
      <c r="K7" s="316">
        <v>95.25</v>
      </c>
      <c r="L7" s="10">
        <f t="shared" si="3"/>
        <v>7950.3</v>
      </c>
      <c r="M7" s="316"/>
      <c r="N7" s="314" t="s">
        <v>1654</v>
      </c>
      <c r="P7" s="150"/>
      <c r="R7" s="214">
        <f t="shared" si="4"/>
        <v>0.0882691864484905</v>
      </c>
    </row>
    <row r="8" s="11" customFormat="1" ht="16.5" spans="1:18">
      <c r="A8" s="163">
        <v>46174</v>
      </c>
      <c r="B8" s="164" t="s">
        <v>57</v>
      </c>
      <c r="C8" s="169">
        <v>0.47</v>
      </c>
      <c r="D8" s="169">
        <v>0.47</v>
      </c>
      <c r="E8" s="316">
        <v>0.256</v>
      </c>
      <c r="F8" s="10">
        <f t="shared" si="0"/>
        <v>0</v>
      </c>
      <c r="G8" s="10">
        <f t="shared" si="1"/>
        <v>0.256</v>
      </c>
      <c r="H8" s="110">
        <f t="shared" si="2"/>
        <v>0.7421875</v>
      </c>
      <c r="I8" s="316">
        <v>0.05</v>
      </c>
      <c r="J8" s="316"/>
      <c r="K8" s="316">
        <v>0.19</v>
      </c>
      <c r="L8" s="10">
        <f t="shared" si="3"/>
        <v>7950.11</v>
      </c>
      <c r="M8" s="316"/>
      <c r="N8" s="314" t="s">
        <v>1654</v>
      </c>
      <c r="P8" s="150"/>
      <c r="R8" s="214">
        <f t="shared" si="4"/>
        <v>1</v>
      </c>
    </row>
    <row r="9" s="11" customFormat="1" ht="16.5" spans="1:18">
      <c r="A9" s="163">
        <v>46174</v>
      </c>
      <c r="B9" s="164" t="s">
        <v>57</v>
      </c>
      <c r="C9" s="169">
        <v>0.47</v>
      </c>
      <c r="D9" s="169">
        <v>0.98</v>
      </c>
      <c r="E9" s="316">
        <v>218.592</v>
      </c>
      <c r="F9" s="10">
        <f t="shared" si="0"/>
        <v>219.3</v>
      </c>
      <c r="G9" s="10">
        <f t="shared" si="1"/>
        <v>-0.707999999999998</v>
      </c>
      <c r="H9" s="110">
        <f t="shared" si="2"/>
        <v>0.750027448397014</v>
      </c>
      <c r="I9" s="316">
        <v>43.72</v>
      </c>
      <c r="J9" s="316"/>
      <c r="K9" s="316">
        <v>163.95</v>
      </c>
      <c r="L9" s="10">
        <f t="shared" si="3"/>
        <v>7786.16</v>
      </c>
      <c r="M9" s="316"/>
      <c r="N9" s="314" t="s">
        <v>1654</v>
      </c>
      <c r="P9" s="150"/>
      <c r="R9" s="214">
        <f t="shared" si="4"/>
        <v>-0.00323891084760649</v>
      </c>
    </row>
    <row r="10" s="11" customFormat="1" ht="16.5" spans="1:18">
      <c r="A10" s="163">
        <v>46174</v>
      </c>
      <c r="B10" s="164" t="s">
        <v>96</v>
      </c>
      <c r="C10" s="169">
        <v>0.53</v>
      </c>
      <c r="D10" s="169">
        <v>1</v>
      </c>
      <c r="E10" s="316">
        <v>224.229</v>
      </c>
      <c r="F10" s="10">
        <f t="shared" si="0"/>
        <v>202.1</v>
      </c>
      <c r="G10" s="10">
        <f t="shared" si="1"/>
        <v>22.129</v>
      </c>
      <c r="H10" s="110">
        <f t="shared" si="2"/>
        <v>0.87798634431764</v>
      </c>
      <c r="I10" s="316">
        <v>19.73</v>
      </c>
      <c r="J10" s="316"/>
      <c r="K10" s="316">
        <v>196.87</v>
      </c>
      <c r="L10" s="10">
        <f t="shared" si="3"/>
        <v>7589.29</v>
      </c>
      <c r="M10" s="316"/>
      <c r="N10" s="314" t="s">
        <v>1654</v>
      </c>
      <c r="P10" s="150"/>
      <c r="R10" s="214">
        <f t="shared" si="4"/>
        <v>0.0986892863991723</v>
      </c>
    </row>
    <row r="11" s="11" customFormat="1" ht="16.5" spans="1:18">
      <c r="A11" s="163">
        <v>46174</v>
      </c>
      <c r="B11" s="164" t="s">
        <v>105</v>
      </c>
      <c r="C11" s="169">
        <v>0.75</v>
      </c>
      <c r="D11" s="169">
        <v>0.95</v>
      </c>
      <c r="E11" s="316">
        <v>100.328</v>
      </c>
      <c r="F11" s="10">
        <f t="shared" si="0"/>
        <v>86</v>
      </c>
      <c r="G11" s="10">
        <f t="shared" si="1"/>
        <v>14.328</v>
      </c>
      <c r="H11" s="110">
        <f t="shared" si="2"/>
        <v>0.651961566063312</v>
      </c>
      <c r="I11" s="316">
        <v>19.26</v>
      </c>
      <c r="J11" s="316"/>
      <c r="K11" s="316">
        <v>65.41</v>
      </c>
      <c r="L11" s="10">
        <f t="shared" si="3"/>
        <v>7523.88</v>
      </c>
      <c r="M11" s="316"/>
      <c r="N11" s="314" t="s">
        <v>1654</v>
      </c>
      <c r="P11" s="150"/>
      <c r="R11" s="214">
        <f t="shared" si="4"/>
        <v>0.142811578024081</v>
      </c>
    </row>
    <row r="12" s="11" customFormat="1" ht="16.5" spans="1:18">
      <c r="A12" s="163">
        <v>46174</v>
      </c>
      <c r="B12" s="164" t="s">
        <v>84</v>
      </c>
      <c r="C12" s="169">
        <v>0.8</v>
      </c>
      <c r="D12" s="169">
        <v>1</v>
      </c>
      <c r="E12" s="316">
        <v>99.888</v>
      </c>
      <c r="F12" s="10">
        <f t="shared" si="0"/>
        <v>86</v>
      </c>
      <c r="G12" s="10">
        <f t="shared" si="1"/>
        <v>13.888</v>
      </c>
      <c r="H12" s="110">
        <f t="shared" si="2"/>
        <v>0.652030273906775</v>
      </c>
      <c r="I12" s="316">
        <v>19.18</v>
      </c>
      <c r="J12" s="316"/>
      <c r="K12" s="316">
        <v>65.13</v>
      </c>
      <c r="L12" s="10">
        <f t="shared" si="3"/>
        <v>7458.75</v>
      </c>
      <c r="M12" s="316"/>
      <c r="N12" s="314" t="s">
        <v>1654</v>
      </c>
      <c r="P12" s="150"/>
      <c r="R12" s="214">
        <f t="shared" si="4"/>
        <v>0.139035720006407</v>
      </c>
    </row>
    <row r="13" ht="16.5" spans="1:18">
      <c r="A13" s="156">
        <v>46175</v>
      </c>
      <c r="B13" s="168" t="s">
        <v>114</v>
      </c>
      <c r="C13" s="169">
        <v>0.36</v>
      </c>
      <c r="D13" s="169">
        <v>0.75</v>
      </c>
      <c r="E13" s="315">
        <v>156.096</v>
      </c>
      <c r="F13" s="10">
        <f t="shared" si="0"/>
        <v>167.7</v>
      </c>
      <c r="G13" s="10">
        <f t="shared" si="1"/>
        <v>-11.604</v>
      </c>
      <c r="H13" s="110">
        <f t="shared" si="2"/>
        <v>0.749987187371874</v>
      </c>
      <c r="I13" s="315">
        <v>31.22</v>
      </c>
      <c r="J13" s="315"/>
      <c r="K13" s="315">
        <v>117.07</v>
      </c>
      <c r="L13" s="10">
        <f t="shared" si="3"/>
        <v>7341.68</v>
      </c>
      <c r="M13" s="315"/>
      <c r="N13" s="314" t="s">
        <v>1654</v>
      </c>
      <c r="O13" s="11"/>
      <c r="P13" s="150"/>
    </row>
    <row r="14" ht="16.5" spans="1:18">
      <c r="A14" s="163">
        <v>46175</v>
      </c>
      <c r="B14" s="164" t="s">
        <v>69</v>
      </c>
      <c r="C14" s="169">
        <v>0.78</v>
      </c>
      <c r="D14" s="169">
        <v>1</v>
      </c>
      <c r="E14" s="316">
        <v>99.21</v>
      </c>
      <c r="F14" s="10">
        <f t="shared" si="0"/>
        <v>94.6</v>
      </c>
      <c r="G14" s="10">
        <f t="shared" si="1"/>
        <v>4.61</v>
      </c>
      <c r="H14" s="110">
        <f t="shared" si="2"/>
        <v>0.652051204515674</v>
      </c>
      <c r="I14" s="316">
        <v>19.05</v>
      </c>
      <c r="J14" s="316"/>
      <c r="K14" s="316">
        <v>64.69</v>
      </c>
      <c r="L14" s="10">
        <f t="shared" si="3"/>
        <v>7276.99</v>
      </c>
      <c r="M14" s="316"/>
      <c r="N14" s="314" t="s">
        <v>1654</v>
      </c>
      <c r="O14" s="11"/>
      <c r="P14" s="150"/>
    </row>
    <row r="15" ht="16.5" spans="1:18">
      <c r="A15" s="163">
        <v>46175</v>
      </c>
      <c r="B15" s="164" t="s">
        <v>121</v>
      </c>
      <c r="C15" s="169">
        <v>0.45</v>
      </c>
      <c r="D15" s="169">
        <v>0.96</v>
      </c>
      <c r="E15" s="316">
        <v>212.864</v>
      </c>
      <c r="F15" s="10">
        <f t="shared" si="0"/>
        <v>219.3</v>
      </c>
      <c r="G15" s="10">
        <f t="shared" si="1"/>
        <v>-6.43600000000001</v>
      </c>
      <c r="H15" s="110">
        <f t="shared" si="2"/>
        <v>0.750009395670475</v>
      </c>
      <c r="I15" s="316">
        <v>42.57</v>
      </c>
      <c r="J15" s="316"/>
      <c r="K15" s="316">
        <v>159.65</v>
      </c>
      <c r="L15" s="10">
        <f t="shared" si="3"/>
        <v>7117.34</v>
      </c>
      <c r="M15" s="316"/>
      <c r="N15" s="314" t="s">
        <v>1654</v>
      </c>
      <c r="O15" s="11"/>
      <c r="P15" s="150"/>
    </row>
    <row r="16" ht="16.5" spans="1:18">
      <c r="A16" s="163">
        <v>46175</v>
      </c>
      <c r="B16" s="164" t="s">
        <v>124</v>
      </c>
      <c r="C16" s="169">
        <v>0.47</v>
      </c>
      <c r="D16" s="169">
        <v>0.74</v>
      </c>
      <c r="E16" s="316">
        <v>112.352</v>
      </c>
      <c r="F16" s="10">
        <f t="shared" si="0"/>
        <v>116.1</v>
      </c>
      <c r="G16" s="10">
        <f t="shared" si="1"/>
        <v>-3.748</v>
      </c>
      <c r="H16" s="110">
        <f t="shared" si="2"/>
        <v>0.749964397607519</v>
      </c>
      <c r="I16" s="316">
        <v>22.47</v>
      </c>
      <c r="J16" s="316"/>
      <c r="K16" s="316">
        <v>84.26</v>
      </c>
      <c r="L16" s="10">
        <f t="shared" si="3"/>
        <v>7033.08</v>
      </c>
      <c r="M16" s="316"/>
      <c r="N16" s="314" t="s">
        <v>1654</v>
      </c>
      <c r="O16" s="11"/>
      <c r="P16" s="150"/>
    </row>
    <row r="17" ht="16.5" spans="1:16">
      <c r="A17" s="163">
        <v>46175</v>
      </c>
      <c r="B17" s="164" t="s">
        <v>60</v>
      </c>
      <c r="C17" s="169">
        <v>0.5</v>
      </c>
      <c r="D17" s="169">
        <v>1</v>
      </c>
      <c r="E17" s="316">
        <v>211.104</v>
      </c>
      <c r="F17" s="10">
        <f t="shared" si="0"/>
        <v>215</v>
      </c>
      <c r="G17" s="10">
        <f t="shared" si="1"/>
        <v>-3.89599999999999</v>
      </c>
      <c r="H17" s="110">
        <f t="shared" si="2"/>
        <v>0.750009474003335</v>
      </c>
      <c r="I17" s="316">
        <v>42.22</v>
      </c>
      <c r="J17" s="316"/>
      <c r="K17" s="316">
        <v>158.33</v>
      </c>
      <c r="L17" s="10">
        <f t="shared" si="3"/>
        <v>6874.75</v>
      </c>
      <c r="M17" s="316"/>
      <c r="N17" s="314" t="s">
        <v>1654</v>
      </c>
      <c r="O17" s="11"/>
      <c r="P17" s="150"/>
    </row>
    <row r="18" ht="16.5" spans="1:16">
      <c r="A18" s="163">
        <v>46175</v>
      </c>
      <c r="B18" s="164" t="s">
        <v>51</v>
      </c>
      <c r="C18" s="169">
        <v>0.45</v>
      </c>
      <c r="D18" s="169">
        <v>0.75</v>
      </c>
      <c r="E18" s="316">
        <v>122.624</v>
      </c>
      <c r="F18" s="10">
        <f t="shared" si="0"/>
        <v>129</v>
      </c>
      <c r="G18" s="10">
        <f t="shared" si="1"/>
        <v>-6.376</v>
      </c>
      <c r="H18" s="110">
        <f t="shared" si="2"/>
        <v>0.749934759916493</v>
      </c>
      <c r="I18" s="316">
        <v>24.52</v>
      </c>
      <c r="J18" s="316"/>
      <c r="K18" s="316">
        <v>91.96</v>
      </c>
      <c r="L18" s="10">
        <f t="shared" si="3"/>
        <v>6782.79</v>
      </c>
      <c r="M18" s="316"/>
      <c r="N18" s="314" t="s">
        <v>1654</v>
      </c>
      <c r="O18" s="11"/>
      <c r="P18" s="150"/>
    </row>
    <row r="19" ht="16.5" spans="1:16">
      <c r="A19" s="163">
        <v>46175</v>
      </c>
      <c r="B19" s="164" t="s">
        <v>127</v>
      </c>
      <c r="C19" s="169">
        <v>0.21</v>
      </c>
      <c r="D19" s="169">
        <v>0.98</v>
      </c>
      <c r="E19" s="316">
        <v>332.896</v>
      </c>
      <c r="F19" s="10">
        <f t="shared" si="0"/>
        <v>331.1</v>
      </c>
      <c r="G19" s="10">
        <f t="shared" si="1"/>
        <v>1.79599999999999</v>
      </c>
      <c r="H19" s="110">
        <f t="shared" si="2"/>
        <v>0.749993992117658</v>
      </c>
      <c r="I19" s="316">
        <v>66.58</v>
      </c>
      <c r="J19" s="316"/>
      <c r="K19" s="316">
        <v>249.67</v>
      </c>
      <c r="L19" s="10">
        <f t="shared" si="3"/>
        <v>6533.12</v>
      </c>
      <c r="M19" s="316"/>
      <c r="N19" s="314" t="s">
        <v>1654</v>
      </c>
      <c r="O19" s="11"/>
      <c r="P19" s="150"/>
    </row>
    <row r="20" ht="16.5" spans="1:16">
      <c r="A20" s="163">
        <v>46175</v>
      </c>
      <c r="B20" s="164" t="s">
        <v>102</v>
      </c>
      <c r="C20" s="169">
        <v>0.21</v>
      </c>
      <c r="D20" s="169">
        <v>0.8</v>
      </c>
      <c r="E20" s="316">
        <v>271.48</v>
      </c>
      <c r="F20" s="10">
        <f t="shared" si="0"/>
        <v>253.7</v>
      </c>
      <c r="G20" s="10">
        <f t="shared" si="1"/>
        <v>17.78</v>
      </c>
      <c r="H20" s="110">
        <f t="shared" si="2"/>
        <v>0.725983497863563</v>
      </c>
      <c r="I20" s="316">
        <v>26.06</v>
      </c>
      <c r="J20" s="316"/>
      <c r="K20" s="316">
        <v>197.09</v>
      </c>
      <c r="L20" s="10">
        <f t="shared" si="3"/>
        <v>6336.03</v>
      </c>
      <c r="M20" s="316"/>
      <c r="N20" s="314" t="s">
        <v>1654</v>
      </c>
      <c r="O20" s="11"/>
      <c r="P20" s="150"/>
    </row>
    <row r="21" ht="16.5" spans="1:16">
      <c r="A21" s="163">
        <v>46175</v>
      </c>
      <c r="B21" s="164" t="s">
        <v>87</v>
      </c>
      <c r="C21" s="169">
        <v>0.61</v>
      </c>
      <c r="D21" s="169">
        <v>0.89</v>
      </c>
      <c r="E21" s="316">
        <v>131.168</v>
      </c>
      <c r="F21" s="10">
        <f t="shared" si="0"/>
        <v>120.4</v>
      </c>
      <c r="G21" s="10">
        <f t="shared" si="1"/>
        <v>10.768</v>
      </c>
      <c r="H21" s="110">
        <f t="shared" si="2"/>
        <v>0.749954257135887</v>
      </c>
      <c r="I21" s="316">
        <v>26.23</v>
      </c>
      <c r="J21" s="316"/>
      <c r="K21" s="316">
        <v>98.37</v>
      </c>
      <c r="L21" s="10">
        <f t="shared" si="3"/>
        <v>6237.66</v>
      </c>
      <c r="M21" s="316"/>
      <c r="N21" s="314" t="s">
        <v>1654</v>
      </c>
      <c r="O21" s="11"/>
      <c r="P21" s="150"/>
    </row>
    <row r="22" ht="16.5" spans="1:16">
      <c r="A22" s="156">
        <v>46176</v>
      </c>
      <c r="B22" s="168" t="s">
        <v>78</v>
      </c>
      <c r="C22" s="169">
        <v>0.54</v>
      </c>
      <c r="D22" s="169">
        <v>0.71</v>
      </c>
      <c r="E22" s="315">
        <v>83.84</v>
      </c>
      <c r="F22" s="10">
        <f t="shared" si="0"/>
        <v>73.1</v>
      </c>
      <c r="G22" s="10">
        <f t="shared" si="1"/>
        <v>10.74</v>
      </c>
      <c r="H22" s="110">
        <f t="shared" si="2"/>
        <v>0.75</v>
      </c>
      <c r="I22" s="315">
        <v>16.77</v>
      </c>
      <c r="J22" s="315"/>
      <c r="K22" s="315">
        <v>62.88</v>
      </c>
      <c r="L22" s="10">
        <f t="shared" si="3"/>
        <v>6174.78</v>
      </c>
      <c r="M22" s="315"/>
      <c r="N22" s="314" t="s">
        <v>1654</v>
      </c>
      <c r="O22" s="11"/>
      <c r="P22" s="150"/>
    </row>
    <row r="23" ht="16.5" spans="1:16">
      <c r="A23" s="163">
        <v>46176</v>
      </c>
      <c r="B23" s="164" t="s">
        <v>54</v>
      </c>
      <c r="C23" s="169">
        <v>0.51</v>
      </c>
      <c r="D23" s="169">
        <v>0.91</v>
      </c>
      <c r="E23" s="316">
        <v>166.304</v>
      </c>
      <c r="F23" s="10">
        <f t="shared" si="0"/>
        <v>172</v>
      </c>
      <c r="G23" s="10">
        <f t="shared" si="1"/>
        <v>-5.696</v>
      </c>
      <c r="H23" s="110">
        <f t="shared" si="2"/>
        <v>0.750012026168944</v>
      </c>
      <c r="I23" s="316">
        <v>33.26</v>
      </c>
      <c r="J23" s="316"/>
      <c r="K23" s="316">
        <v>124.73</v>
      </c>
      <c r="L23" s="10">
        <f t="shared" si="3"/>
        <v>6050.05</v>
      </c>
      <c r="M23" s="316"/>
      <c r="N23" s="314" t="s">
        <v>1654</v>
      </c>
      <c r="O23" s="11"/>
      <c r="P23" s="150"/>
    </row>
    <row r="24" ht="16.5" spans="1:16">
      <c r="A24" s="163">
        <v>46176</v>
      </c>
      <c r="B24" s="164" t="s">
        <v>111</v>
      </c>
      <c r="C24" s="169">
        <v>0.45</v>
      </c>
      <c r="D24" s="169">
        <v>1</v>
      </c>
      <c r="E24" s="316">
        <v>225.152</v>
      </c>
      <c r="F24" s="10">
        <f t="shared" si="0"/>
        <v>236.5</v>
      </c>
      <c r="G24" s="10">
        <f t="shared" si="1"/>
        <v>-11.348</v>
      </c>
      <c r="H24" s="110">
        <f t="shared" si="2"/>
        <v>0.749982234223991</v>
      </c>
      <c r="I24" s="316">
        <v>45.03</v>
      </c>
      <c r="J24" s="316"/>
      <c r="K24" s="316">
        <v>168.86</v>
      </c>
      <c r="L24" s="10">
        <f t="shared" si="3"/>
        <v>5881.19</v>
      </c>
      <c r="M24" s="316"/>
      <c r="N24" s="314" t="s">
        <v>1654</v>
      </c>
      <c r="O24" s="11"/>
      <c r="P24" s="150"/>
    </row>
    <row r="25" ht="16.5" spans="1:16">
      <c r="A25" s="163">
        <v>46176</v>
      </c>
      <c r="B25" s="164" t="s">
        <v>138</v>
      </c>
      <c r="C25" s="169">
        <v>0.59</v>
      </c>
      <c r="D25" s="169">
        <v>0.98</v>
      </c>
      <c r="E25" s="316">
        <v>167.392</v>
      </c>
      <c r="F25" s="10">
        <f t="shared" si="0"/>
        <v>167.7</v>
      </c>
      <c r="G25" s="10">
        <f t="shared" si="1"/>
        <v>-0.308000000000021</v>
      </c>
      <c r="H25" s="110">
        <f t="shared" si="2"/>
        <v>0.750035844006882</v>
      </c>
      <c r="I25" s="316">
        <v>33.48</v>
      </c>
      <c r="J25" s="316"/>
      <c r="K25" s="316">
        <v>125.55</v>
      </c>
      <c r="L25" s="10">
        <f t="shared" si="3"/>
        <v>5755.64</v>
      </c>
      <c r="M25" s="316"/>
      <c r="N25" s="314" t="s">
        <v>1654</v>
      </c>
      <c r="O25" s="11"/>
      <c r="P25" s="150"/>
    </row>
    <row r="26" ht="16.5" spans="1:16">
      <c r="A26" s="163">
        <v>46176</v>
      </c>
      <c r="B26" s="164" t="s">
        <v>57</v>
      </c>
      <c r="C26" s="169">
        <v>0.47</v>
      </c>
      <c r="D26" s="169">
        <v>0.92</v>
      </c>
      <c r="E26" s="316">
        <v>182.432</v>
      </c>
      <c r="F26" s="10">
        <f t="shared" si="0"/>
        <v>193.5</v>
      </c>
      <c r="G26" s="10">
        <f t="shared" si="1"/>
        <v>-11.068</v>
      </c>
      <c r="H26" s="110">
        <f t="shared" si="2"/>
        <v>0.750032888966848</v>
      </c>
      <c r="I26" s="316">
        <v>36.49</v>
      </c>
      <c r="J26" s="316"/>
      <c r="K26" s="316">
        <v>136.83</v>
      </c>
      <c r="L26" s="10">
        <f t="shared" si="3"/>
        <v>5618.81</v>
      </c>
      <c r="M26" s="316"/>
      <c r="N26" s="314" t="s">
        <v>1654</v>
      </c>
      <c r="O26" s="11"/>
      <c r="P26" s="150"/>
    </row>
    <row r="27" ht="16.5" spans="1:16">
      <c r="A27" s="163">
        <v>46176</v>
      </c>
      <c r="B27" s="164" t="s">
        <v>69</v>
      </c>
      <c r="C27" s="169">
        <v>0.62</v>
      </c>
      <c r="D27" s="169">
        <v>1</v>
      </c>
      <c r="E27" s="316">
        <v>173.11</v>
      </c>
      <c r="F27" s="10">
        <f t="shared" si="0"/>
        <v>163.4</v>
      </c>
      <c r="G27" s="10">
        <f t="shared" si="1"/>
        <v>9.71000000000001</v>
      </c>
      <c r="H27" s="110">
        <f t="shared" si="2"/>
        <v>0.877996649529201</v>
      </c>
      <c r="I27" s="316">
        <v>15.23</v>
      </c>
      <c r="J27" s="316"/>
      <c r="K27" s="316">
        <v>151.99</v>
      </c>
      <c r="L27" s="10">
        <f t="shared" si="3"/>
        <v>5466.82</v>
      </c>
      <c r="M27" s="316"/>
      <c r="N27" s="314" t="s">
        <v>1654</v>
      </c>
      <c r="O27" s="10"/>
      <c r="P27" s="150"/>
    </row>
    <row r="28" ht="16.5" spans="1:16">
      <c r="A28" s="163">
        <v>46176</v>
      </c>
      <c r="B28" s="164" t="s">
        <v>114</v>
      </c>
      <c r="C28" s="169">
        <v>0.58</v>
      </c>
      <c r="D28" s="169">
        <v>0.79</v>
      </c>
      <c r="E28" s="316">
        <v>85.056</v>
      </c>
      <c r="F28" s="10">
        <f t="shared" si="0"/>
        <v>90.3</v>
      </c>
      <c r="G28" s="10">
        <f t="shared" si="1"/>
        <v>-5.24400000000003</v>
      </c>
      <c r="H28" s="110">
        <f t="shared" si="2"/>
        <v>0.749976486079759</v>
      </c>
      <c r="I28" s="316">
        <v>17.01</v>
      </c>
      <c r="J28" s="316"/>
      <c r="K28" s="316">
        <v>63.79</v>
      </c>
      <c r="L28" s="10">
        <f t="shared" si="3"/>
        <v>5403.03</v>
      </c>
      <c r="M28" s="316"/>
      <c r="N28" s="314" t="s">
        <v>1654</v>
      </c>
      <c r="O28" s="10"/>
      <c r="P28" s="150"/>
    </row>
    <row r="29" ht="16.5" spans="1:16">
      <c r="A29" s="163">
        <v>46176</v>
      </c>
      <c r="B29" s="164" t="s">
        <v>144</v>
      </c>
      <c r="C29" s="169">
        <v>0.27</v>
      </c>
      <c r="D29" s="169">
        <v>1</v>
      </c>
      <c r="E29" s="316">
        <v>270.944</v>
      </c>
      <c r="F29" s="10">
        <f t="shared" si="0"/>
        <v>313.9</v>
      </c>
      <c r="G29" s="10">
        <f t="shared" si="1"/>
        <v>-42.956</v>
      </c>
      <c r="H29" s="110">
        <f t="shared" si="2"/>
        <v>0.75000738159915</v>
      </c>
      <c r="I29" s="316">
        <v>54.19</v>
      </c>
      <c r="J29" s="316"/>
      <c r="K29" s="316">
        <v>203.21</v>
      </c>
      <c r="L29" s="10">
        <f t="shared" si="3"/>
        <v>5199.82</v>
      </c>
      <c r="M29" s="316"/>
      <c r="N29" s="314" t="s">
        <v>1654</v>
      </c>
      <c r="O29" s="10"/>
      <c r="P29" s="150"/>
    </row>
    <row r="30" ht="16.5" spans="1:16">
      <c r="A30" s="156">
        <v>46177</v>
      </c>
      <c r="B30" s="168" t="s">
        <v>105</v>
      </c>
      <c r="C30" s="169">
        <v>0.74</v>
      </c>
      <c r="D30" s="169">
        <v>1</v>
      </c>
      <c r="E30" s="315">
        <v>112.744</v>
      </c>
      <c r="F30" s="10">
        <f t="shared" si="0"/>
        <v>111.8</v>
      </c>
      <c r="G30" s="10">
        <f t="shared" si="1"/>
        <v>0.944000000000003</v>
      </c>
      <c r="H30" s="110">
        <f t="shared" si="2"/>
        <v>0.652008089122259</v>
      </c>
      <c r="I30" s="315">
        <v>21.65</v>
      </c>
      <c r="J30" s="315"/>
      <c r="K30" s="315">
        <v>73.51</v>
      </c>
      <c r="L30" s="10">
        <f t="shared" si="3"/>
        <v>5126.31</v>
      </c>
      <c r="M30" s="10"/>
      <c r="N30" s="314" t="s">
        <v>1654</v>
      </c>
    </row>
    <row r="31" ht="16.5" spans="1:16">
      <c r="A31" s="163">
        <v>46177</v>
      </c>
      <c r="B31" s="164" t="s">
        <v>108</v>
      </c>
      <c r="C31" s="169">
        <v>0.36</v>
      </c>
      <c r="D31" s="169">
        <v>1</v>
      </c>
      <c r="E31" s="316">
        <v>301.801</v>
      </c>
      <c r="F31" s="10">
        <f t="shared" si="0"/>
        <v>275.2</v>
      </c>
      <c r="G31" s="10">
        <f t="shared" si="1"/>
        <v>26.601</v>
      </c>
      <c r="H31" s="110">
        <f t="shared" si="2"/>
        <v>0.652019045662539</v>
      </c>
      <c r="I31" s="316">
        <v>57.95</v>
      </c>
      <c r="J31" s="316"/>
      <c r="K31" s="316">
        <v>196.78</v>
      </c>
      <c r="L31" s="10">
        <f t="shared" si="3"/>
        <v>4929.53</v>
      </c>
      <c r="M31" s="10"/>
      <c r="N31" s="314" t="s">
        <v>1654</v>
      </c>
    </row>
    <row r="32" ht="16.5" spans="1:16">
      <c r="A32" s="163">
        <v>46177</v>
      </c>
      <c r="B32" s="164" t="s">
        <v>121</v>
      </c>
      <c r="C32" s="169">
        <v>0.27</v>
      </c>
      <c r="D32" s="169">
        <v>1</v>
      </c>
      <c r="E32" s="316">
        <v>298.962</v>
      </c>
      <c r="F32" s="10">
        <f t="shared" si="0"/>
        <v>313.9</v>
      </c>
      <c r="G32" s="10">
        <f t="shared" si="1"/>
        <v>-14.938</v>
      </c>
      <c r="H32" s="110">
        <f t="shared" si="2"/>
        <v>0.878004562452753</v>
      </c>
      <c r="I32" s="316">
        <v>26.31</v>
      </c>
      <c r="J32" s="316"/>
      <c r="K32" s="316">
        <v>262.49</v>
      </c>
      <c r="L32" s="10">
        <f t="shared" si="3"/>
        <v>4667.04</v>
      </c>
      <c r="M32" s="10"/>
      <c r="N32" s="314" t="s">
        <v>1654</v>
      </c>
    </row>
    <row r="33" ht="16.5" spans="1:15">
      <c r="A33" s="163">
        <v>46177</v>
      </c>
      <c r="B33" s="164" t="s">
        <v>135</v>
      </c>
      <c r="C33" s="169">
        <v>0.68</v>
      </c>
      <c r="D33" s="169">
        <v>1</v>
      </c>
      <c r="E33" s="316">
        <v>139.78</v>
      </c>
      <c r="F33" s="10">
        <f t="shared" si="0"/>
        <v>137.6</v>
      </c>
      <c r="G33" s="10">
        <f t="shared" si="1"/>
        <v>2.18000000000004</v>
      </c>
      <c r="H33" s="110">
        <f t="shared" si="2"/>
        <v>0.725997996852196</v>
      </c>
      <c r="I33" s="316">
        <v>13.42</v>
      </c>
      <c r="J33" s="316"/>
      <c r="K33" s="316">
        <v>101.48</v>
      </c>
      <c r="L33" s="10">
        <f t="shared" si="3"/>
        <v>4565.56</v>
      </c>
      <c r="M33" s="11"/>
      <c r="N33" s="314" t="s">
        <v>1654</v>
      </c>
    </row>
    <row r="34" ht="16.5" spans="1:15">
      <c r="A34" s="163">
        <v>46177</v>
      </c>
      <c r="B34" s="164" t="s">
        <v>141</v>
      </c>
      <c r="C34" s="169">
        <v>0.58</v>
      </c>
      <c r="D34" s="169">
        <v>1</v>
      </c>
      <c r="E34" s="316">
        <v>185.984</v>
      </c>
      <c r="F34" s="10">
        <f t="shared" si="0"/>
        <v>180.6</v>
      </c>
      <c r="G34" s="10">
        <f t="shared" si="1"/>
        <v>5.38399999999999</v>
      </c>
      <c r="H34" s="110">
        <f t="shared" si="2"/>
        <v>0.750010753613214</v>
      </c>
      <c r="I34" s="316">
        <v>37.2</v>
      </c>
      <c r="J34" s="316"/>
      <c r="K34" s="316">
        <v>139.49</v>
      </c>
      <c r="L34" s="10">
        <f t="shared" si="3"/>
        <v>4426.07</v>
      </c>
      <c r="M34" s="11"/>
      <c r="N34" s="314" t="s">
        <v>1654</v>
      </c>
    </row>
    <row r="35" ht="16.5" spans="1:15">
      <c r="A35" s="163">
        <v>46177</v>
      </c>
      <c r="B35" s="164" t="s">
        <v>124</v>
      </c>
      <c r="C35" s="169">
        <v>0.52</v>
      </c>
      <c r="D35" s="169">
        <v>0.8</v>
      </c>
      <c r="E35" s="316">
        <v>116.896</v>
      </c>
      <c r="F35" s="10">
        <f t="shared" si="0"/>
        <v>120.4</v>
      </c>
      <c r="G35" s="10">
        <f t="shared" si="1"/>
        <v>-3.504</v>
      </c>
      <c r="H35" s="110">
        <f t="shared" si="2"/>
        <v>0.749982890774706</v>
      </c>
      <c r="I35" s="316">
        <v>23.38</v>
      </c>
      <c r="J35" s="316"/>
      <c r="K35" s="316">
        <v>87.67</v>
      </c>
      <c r="L35" s="10">
        <f t="shared" si="3"/>
        <v>4338.4</v>
      </c>
      <c r="M35" s="11"/>
      <c r="N35" s="314" t="s">
        <v>1654</v>
      </c>
    </row>
    <row r="36" ht="16.5" spans="1:15">
      <c r="A36" s="163">
        <v>46177</v>
      </c>
      <c r="B36" s="164" t="s">
        <v>132</v>
      </c>
      <c r="C36" s="169">
        <v>0.26</v>
      </c>
      <c r="D36" s="169">
        <v>0.92</v>
      </c>
      <c r="E36" s="316">
        <v>286.434</v>
      </c>
      <c r="F36" s="10">
        <f t="shared" si="0"/>
        <v>283.8</v>
      </c>
      <c r="G36" s="10">
        <f t="shared" si="1"/>
        <v>2.63400000000001</v>
      </c>
      <c r="H36" s="110">
        <f t="shared" si="2"/>
        <v>0.652017567746846</v>
      </c>
      <c r="I36" s="316">
        <v>55</v>
      </c>
      <c r="J36" s="316"/>
      <c r="K36" s="316">
        <v>186.76</v>
      </c>
      <c r="L36" s="10">
        <f t="shared" si="3"/>
        <v>4151.64</v>
      </c>
      <c r="M36" s="11"/>
      <c r="N36" s="314" t="s">
        <v>1654</v>
      </c>
    </row>
    <row r="37" ht="16.5" spans="1:15">
      <c r="A37" s="156">
        <v>46178</v>
      </c>
      <c r="B37" s="168" t="s">
        <v>60</v>
      </c>
      <c r="C37" s="169">
        <v>0.49</v>
      </c>
      <c r="D37" s="169">
        <v>1</v>
      </c>
      <c r="E37" s="315">
        <v>213.408</v>
      </c>
      <c r="F37" s="10">
        <f t="shared" si="0"/>
        <v>219.3</v>
      </c>
      <c r="G37" s="10">
        <f t="shared" si="1"/>
        <v>-5.89200000000002</v>
      </c>
      <c r="H37" s="110">
        <f t="shared" si="2"/>
        <v>0.749971884840306</v>
      </c>
      <c r="I37" s="315">
        <v>42.68</v>
      </c>
      <c r="J37" s="10"/>
      <c r="K37" s="315">
        <v>160.05</v>
      </c>
      <c r="L37" s="10">
        <f t="shared" si="3"/>
        <v>3991.59</v>
      </c>
      <c r="M37" s="11"/>
      <c r="N37" s="314" t="s">
        <v>1654</v>
      </c>
      <c r="O37" s="150"/>
    </row>
    <row r="38" ht="16.5" spans="1:15">
      <c r="A38" s="163">
        <v>46178</v>
      </c>
      <c r="B38" s="164" t="s">
        <v>111</v>
      </c>
      <c r="C38" s="169">
        <v>0.54</v>
      </c>
      <c r="D38" s="169">
        <v>1</v>
      </c>
      <c r="E38" s="316">
        <v>188</v>
      </c>
      <c r="F38" s="10">
        <f t="shared" si="0"/>
        <v>197.8</v>
      </c>
      <c r="G38" s="10">
        <f t="shared" si="1"/>
        <v>-9.79999999999998</v>
      </c>
      <c r="H38" s="110">
        <f t="shared" si="2"/>
        <v>0.75</v>
      </c>
      <c r="I38" s="316">
        <v>37.6</v>
      </c>
      <c r="J38" s="10"/>
      <c r="K38" s="316">
        <v>141</v>
      </c>
      <c r="L38" s="10">
        <f t="shared" si="3"/>
        <v>3850.59</v>
      </c>
      <c r="M38" s="11"/>
      <c r="N38" s="314" t="s">
        <v>1654</v>
      </c>
      <c r="O38" s="150"/>
    </row>
    <row r="39" ht="16.5" spans="1:15">
      <c r="A39" s="163">
        <v>46178</v>
      </c>
      <c r="B39" s="164" t="s">
        <v>127</v>
      </c>
      <c r="C39" s="169">
        <v>0.56</v>
      </c>
      <c r="D39" s="169">
        <v>1</v>
      </c>
      <c r="E39" s="316">
        <v>186.336</v>
      </c>
      <c r="F39" s="10">
        <f t="shared" si="0"/>
        <v>189.2</v>
      </c>
      <c r="G39" s="10">
        <f t="shared" si="1"/>
        <v>-2.86399999999998</v>
      </c>
      <c r="H39" s="110">
        <f t="shared" si="2"/>
        <v>0.749989266701013</v>
      </c>
      <c r="I39" s="316">
        <v>37.27</v>
      </c>
      <c r="J39" s="10"/>
      <c r="K39" s="316">
        <v>139.75</v>
      </c>
      <c r="L39" s="10">
        <f t="shared" si="3"/>
        <v>3710.84</v>
      </c>
      <c r="M39" s="11"/>
      <c r="N39" s="314" t="s">
        <v>1654</v>
      </c>
      <c r="O39" s="150"/>
    </row>
    <row r="40" ht="16.5" spans="1:15">
      <c r="A40" s="163">
        <v>46178</v>
      </c>
      <c r="B40" s="164" t="s">
        <v>51</v>
      </c>
      <c r="C40" s="169">
        <v>0.38</v>
      </c>
      <c r="D40" s="169">
        <v>0.81</v>
      </c>
      <c r="E40" s="316">
        <v>174.752</v>
      </c>
      <c r="F40" s="10">
        <f t="shared" si="0"/>
        <v>184.9</v>
      </c>
      <c r="G40" s="10">
        <f t="shared" si="1"/>
        <v>-10.148</v>
      </c>
      <c r="H40" s="110">
        <f t="shared" si="2"/>
        <v>0.749977110419337</v>
      </c>
      <c r="I40" s="316">
        <v>34.95</v>
      </c>
      <c r="J40" s="10"/>
      <c r="K40" s="316">
        <v>131.06</v>
      </c>
      <c r="L40" s="10">
        <f t="shared" si="3"/>
        <v>3579.78</v>
      </c>
      <c r="M40" s="11"/>
      <c r="N40" s="314" t="s">
        <v>1654</v>
      </c>
      <c r="O40" s="150"/>
    </row>
    <row r="41" ht="16.5" spans="1:15">
      <c r="A41" s="163">
        <v>46178</v>
      </c>
      <c r="B41" s="164" t="s">
        <v>78</v>
      </c>
      <c r="C41" s="169">
        <v>0.57</v>
      </c>
      <c r="D41" s="169">
        <v>0.57</v>
      </c>
      <c r="E41" s="316">
        <v>0.096</v>
      </c>
      <c r="F41" s="10">
        <f t="shared" si="0"/>
        <v>0</v>
      </c>
      <c r="G41" s="10">
        <f t="shared" si="1"/>
        <v>0.096</v>
      </c>
      <c r="H41" s="110">
        <f t="shared" si="2"/>
        <v>0.729166666666667</v>
      </c>
      <c r="I41" s="316">
        <v>0.02</v>
      </c>
      <c r="J41" s="10"/>
      <c r="K41" s="316">
        <v>0.07</v>
      </c>
      <c r="L41" s="10">
        <f t="shared" si="3"/>
        <v>3579.71</v>
      </c>
      <c r="M41" s="11"/>
      <c r="N41" s="314" t="s">
        <v>1654</v>
      </c>
      <c r="O41" s="150"/>
    </row>
    <row r="42" ht="16.5" spans="1:15">
      <c r="A42" s="163">
        <v>46178</v>
      </c>
      <c r="B42" s="164" t="s">
        <v>78</v>
      </c>
      <c r="C42" s="169">
        <v>0.57</v>
      </c>
      <c r="D42" s="169">
        <v>0.8</v>
      </c>
      <c r="E42" s="316">
        <v>107.36</v>
      </c>
      <c r="F42" s="10">
        <f t="shared" si="0"/>
        <v>98.9</v>
      </c>
      <c r="G42" s="10">
        <f t="shared" si="1"/>
        <v>8.45999999999997</v>
      </c>
      <c r="H42" s="110">
        <f t="shared" si="2"/>
        <v>0.75</v>
      </c>
      <c r="I42" s="316">
        <v>21.47</v>
      </c>
      <c r="J42" s="10"/>
      <c r="K42" s="316">
        <v>80.52</v>
      </c>
      <c r="L42" s="10">
        <f t="shared" si="3"/>
        <v>3499.19</v>
      </c>
      <c r="M42" s="11"/>
      <c r="N42" s="314" t="s">
        <v>1654</v>
      </c>
      <c r="O42" s="150"/>
    </row>
    <row r="43" ht="16.5" spans="1:15">
      <c r="A43" s="163">
        <v>46178</v>
      </c>
      <c r="B43" s="164" t="s">
        <v>154</v>
      </c>
      <c r="C43" s="169">
        <v>0.6</v>
      </c>
      <c r="D43" s="169">
        <v>1</v>
      </c>
      <c r="E43" s="316">
        <v>173.856</v>
      </c>
      <c r="F43" s="10">
        <f t="shared" si="0"/>
        <v>172</v>
      </c>
      <c r="G43" s="10">
        <f t="shared" si="1"/>
        <v>1.85599999999999</v>
      </c>
      <c r="H43" s="110">
        <f t="shared" si="2"/>
        <v>0.749988496226762</v>
      </c>
      <c r="I43" s="316">
        <v>34.77</v>
      </c>
      <c r="J43" s="10"/>
      <c r="K43" s="316">
        <v>130.39</v>
      </c>
      <c r="L43" s="10">
        <f t="shared" si="3"/>
        <v>3368.8</v>
      </c>
      <c r="M43" s="11"/>
      <c r="N43" s="314" t="s">
        <v>1654</v>
      </c>
      <c r="O43" s="150"/>
    </row>
    <row r="44" ht="16.5" spans="1:15">
      <c r="A44" s="163">
        <v>46178</v>
      </c>
      <c r="B44" s="164" t="s">
        <v>163</v>
      </c>
      <c r="C44" s="169">
        <v>0.61</v>
      </c>
      <c r="D44" s="169">
        <v>1</v>
      </c>
      <c r="E44" s="316">
        <v>171.52</v>
      </c>
      <c r="F44" s="10">
        <f t="shared" si="0"/>
        <v>167.7</v>
      </c>
      <c r="G44" s="10">
        <f t="shared" si="1"/>
        <v>3.81999999999999</v>
      </c>
      <c r="H44" s="110">
        <f t="shared" si="2"/>
        <v>0.75</v>
      </c>
      <c r="I44" s="316">
        <v>34.3</v>
      </c>
      <c r="J44" s="10"/>
      <c r="K44" s="316">
        <v>128.64</v>
      </c>
      <c r="L44" s="10">
        <f t="shared" si="3"/>
        <v>3240.16</v>
      </c>
      <c r="M44" s="11"/>
      <c r="N44" s="314" t="s">
        <v>1654</v>
      </c>
      <c r="O44" s="150"/>
    </row>
    <row r="45" ht="16.5" spans="1:15">
      <c r="A45" s="163">
        <v>46178</v>
      </c>
      <c r="B45" s="164" t="s">
        <v>160</v>
      </c>
      <c r="C45" s="169">
        <v>0.59</v>
      </c>
      <c r="D45" s="169">
        <v>1</v>
      </c>
      <c r="E45" s="316">
        <v>181.472</v>
      </c>
      <c r="F45" s="10">
        <f t="shared" si="0"/>
        <v>176.3</v>
      </c>
      <c r="G45" s="10">
        <f t="shared" si="1"/>
        <v>5.172</v>
      </c>
      <c r="H45" s="110">
        <f t="shared" si="2"/>
        <v>0.749977958032093</v>
      </c>
      <c r="I45" s="316">
        <v>36.29</v>
      </c>
      <c r="J45" s="10"/>
      <c r="K45" s="316">
        <v>136.1</v>
      </c>
      <c r="L45" s="10">
        <f t="shared" si="3"/>
        <v>3104.06</v>
      </c>
      <c r="M45" s="11"/>
      <c r="N45" s="314" t="s">
        <v>1654</v>
      </c>
      <c r="O45" s="150"/>
    </row>
    <row r="46" ht="16.5" spans="1:15">
      <c r="A46" s="163">
        <v>46178</v>
      </c>
      <c r="B46" s="164" t="s">
        <v>54</v>
      </c>
      <c r="C46" s="169">
        <v>0.5</v>
      </c>
      <c r="D46" s="169">
        <v>0.81</v>
      </c>
      <c r="E46" s="316">
        <v>124.368</v>
      </c>
      <c r="F46" s="10">
        <f t="shared" si="0"/>
        <v>133.3</v>
      </c>
      <c r="G46" s="10">
        <f t="shared" si="1"/>
        <v>-8.93200000000002</v>
      </c>
      <c r="H46" s="110">
        <f t="shared" si="2"/>
        <v>0.749951756078734</v>
      </c>
      <c r="I46" s="316">
        <v>24.87</v>
      </c>
      <c r="J46" s="10"/>
      <c r="K46" s="316">
        <v>93.27</v>
      </c>
      <c r="L46" s="10">
        <f t="shared" si="3"/>
        <v>3010.79</v>
      </c>
      <c r="M46" s="11"/>
      <c r="N46" s="314" t="s">
        <v>1654</v>
      </c>
      <c r="O46" s="150"/>
    </row>
    <row r="47" ht="16.5" spans="1:15">
      <c r="A47" s="163">
        <v>46178</v>
      </c>
      <c r="B47" s="164" t="s">
        <v>338</v>
      </c>
      <c r="C47" s="169">
        <v>0.61</v>
      </c>
      <c r="D47" s="169">
        <v>1</v>
      </c>
      <c r="E47" s="316">
        <v>166.624</v>
      </c>
      <c r="F47" s="10">
        <f t="shared" si="0"/>
        <v>167.7</v>
      </c>
      <c r="G47" s="10">
        <f t="shared" si="1"/>
        <v>-1.07600000000002</v>
      </c>
      <c r="H47" s="110">
        <f t="shared" si="2"/>
        <v>0.749951987708853</v>
      </c>
      <c r="I47" s="316">
        <v>33.32</v>
      </c>
      <c r="J47" s="10"/>
      <c r="K47" s="316">
        <v>124.96</v>
      </c>
      <c r="L47" s="10">
        <f t="shared" si="3"/>
        <v>2885.83</v>
      </c>
      <c r="M47" s="11"/>
      <c r="N47" s="314" t="s">
        <v>1654</v>
      </c>
      <c r="O47" s="150"/>
    </row>
    <row r="48" ht="16.5" spans="1:15">
      <c r="A48" s="163">
        <v>46178</v>
      </c>
      <c r="B48" s="164" t="s">
        <v>166</v>
      </c>
      <c r="C48" s="169">
        <v>0.1</v>
      </c>
      <c r="D48" s="169">
        <v>1</v>
      </c>
      <c r="E48" s="316">
        <v>395.392</v>
      </c>
      <c r="F48" s="10">
        <f t="shared" si="0"/>
        <v>387</v>
      </c>
      <c r="G48" s="10">
        <f t="shared" si="1"/>
        <v>8.392</v>
      </c>
      <c r="H48" s="110">
        <f t="shared" si="2"/>
        <v>0.750015174813856</v>
      </c>
      <c r="I48" s="316">
        <v>79.08</v>
      </c>
      <c r="J48" s="10">
        <v>10000</v>
      </c>
      <c r="K48" s="316">
        <v>296.55</v>
      </c>
      <c r="L48" s="10">
        <f t="shared" si="3"/>
        <v>12589.28</v>
      </c>
      <c r="M48" s="11"/>
      <c r="N48" s="314" t="s">
        <v>1654</v>
      </c>
      <c r="O48" s="150"/>
    </row>
    <row r="49" ht="16.5" spans="1:16">
      <c r="A49" s="156">
        <v>46179</v>
      </c>
      <c r="B49" s="168" t="s">
        <v>339</v>
      </c>
      <c r="C49" s="317">
        <v>0.57</v>
      </c>
      <c r="D49" s="317">
        <v>1</v>
      </c>
      <c r="E49" s="315">
        <v>187.424</v>
      </c>
      <c r="F49" s="10">
        <f t="shared" si="0"/>
        <v>184.9</v>
      </c>
      <c r="G49" s="10">
        <f t="shared" si="1"/>
        <v>2.52399999999997</v>
      </c>
      <c r="H49" s="110">
        <f t="shared" si="2"/>
        <v>0.749957316032098</v>
      </c>
      <c r="I49" s="315">
        <v>37.48</v>
      </c>
      <c r="J49" s="315"/>
      <c r="K49" s="315">
        <v>140.56</v>
      </c>
      <c r="L49" s="10">
        <f t="shared" si="3"/>
        <v>12448.72</v>
      </c>
      <c r="M49" s="315"/>
      <c r="N49" s="314" t="s">
        <v>1654</v>
      </c>
      <c r="O49" s="11"/>
      <c r="P49" s="150"/>
    </row>
    <row r="50" ht="16.5" spans="1:16">
      <c r="A50" s="163">
        <v>46179</v>
      </c>
      <c r="B50" s="164" t="s">
        <v>87</v>
      </c>
      <c r="C50" s="317">
        <v>0.31</v>
      </c>
      <c r="D50" s="317">
        <v>0.96</v>
      </c>
      <c r="E50" s="316">
        <v>298.411</v>
      </c>
      <c r="F50" s="10">
        <f t="shared" si="0"/>
        <v>279.5</v>
      </c>
      <c r="G50" s="10">
        <f t="shared" si="1"/>
        <v>18.9110000000001</v>
      </c>
      <c r="H50" s="110">
        <f t="shared" si="2"/>
        <v>0.726012110813609</v>
      </c>
      <c r="I50" s="316">
        <v>28.65</v>
      </c>
      <c r="J50" s="316"/>
      <c r="K50" s="316">
        <v>216.65</v>
      </c>
      <c r="L50" s="10">
        <f t="shared" si="3"/>
        <v>12232.07</v>
      </c>
      <c r="M50" s="316"/>
      <c r="N50" s="314" t="s">
        <v>1654</v>
      </c>
      <c r="O50" s="11"/>
      <c r="P50" s="150"/>
    </row>
    <row r="51" ht="16.5" spans="1:16">
      <c r="A51" s="163">
        <v>46179</v>
      </c>
      <c r="B51" s="164" t="s">
        <v>174</v>
      </c>
      <c r="C51" s="317">
        <v>0.6</v>
      </c>
      <c r="D51" s="317">
        <v>0.88</v>
      </c>
      <c r="E51" s="316">
        <v>125.4</v>
      </c>
      <c r="F51" s="10">
        <f t="shared" si="0"/>
        <v>120.4</v>
      </c>
      <c r="G51" s="10">
        <f t="shared" si="1"/>
        <v>5</v>
      </c>
      <c r="H51" s="110">
        <f t="shared" si="2"/>
        <v>0.75</v>
      </c>
      <c r="I51" s="316">
        <v>25.08</v>
      </c>
      <c r="J51" s="316"/>
      <c r="K51" s="316">
        <v>94.05</v>
      </c>
      <c r="L51" s="10">
        <f t="shared" si="3"/>
        <v>12138.02</v>
      </c>
      <c r="M51" s="316"/>
      <c r="N51" s="314" t="s">
        <v>1654</v>
      </c>
      <c r="O51" s="11"/>
      <c r="P51" s="150"/>
    </row>
    <row r="52" ht="16.5" spans="1:16">
      <c r="A52" s="163">
        <v>46179</v>
      </c>
      <c r="B52" s="164" t="s">
        <v>177</v>
      </c>
      <c r="C52" s="317">
        <v>0.62</v>
      </c>
      <c r="D52" s="317">
        <v>0.62</v>
      </c>
      <c r="E52" s="316">
        <v>1.344</v>
      </c>
      <c r="F52" s="10">
        <f t="shared" si="0"/>
        <v>0</v>
      </c>
      <c r="G52" s="10">
        <f t="shared" si="1"/>
        <v>1.344</v>
      </c>
      <c r="H52" s="110">
        <f t="shared" si="2"/>
        <v>0.751488095238095</v>
      </c>
      <c r="I52" s="316">
        <v>0.27</v>
      </c>
      <c r="J52" s="316"/>
      <c r="K52" s="316">
        <v>1.01</v>
      </c>
      <c r="L52" s="10">
        <f t="shared" si="3"/>
        <v>12137.01</v>
      </c>
      <c r="M52" s="316"/>
      <c r="N52" s="314" t="s">
        <v>1654</v>
      </c>
      <c r="O52" s="11"/>
      <c r="P52" s="150"/>
    </row>
    <row r="53" ht="16.5" spans="1:16">
      <c r="A53" s="163">
        <v>46179</v>
      </c>
      <c r="B53" s="164" t="s">
        <v>177</v>
      </c>
      <c r="C53" s="317">
        <v>0.62</v>
      </c>
      <c r="D53" s="317">
        <v>0.71</v>
      </c>
      <c r="E53" s="316">
        <v>43.816</v>
      </c>
      <c r="F53" s="10">
        <f t="shared" si="0"/>
        <v>38.7</v>
      </c>
      <c r="G53" s="10">
        <f t="shared" si="1"/>
        <v>5.11600000000001</v>
      </c>
      <c r="H53" s="110">
        <f t="shared" si="2"/>
        <v>0.749954354573672</v>
      </c>
      <c r="I53" s="316">
        <v>8.76</v>
      </c>
      <c r="J53" s="316"/>
      <c r="K53" s="316">
        <v>32.86</v>
      </c>
      <c r="L53" s="10">
        <f t="shared" si="3"/>
        <v>12104.15</v>
      </c>
      <c r="M53" s="316"/>
      <c r="N53" s="314" t="s">
        <v>1654</v>
      </c>
      <c r="O53" s="11"/>
      <c r="P53" s="150"/>
    </row>
    <row r="54" ht="16.5" spans="1:16">
      <c r="A54" s="163">
        <v>46179</v>
      </c>
      <c r="B54" s="164" t="s">
        <v>114</v>
      </c>
      <c r="C54" s="317">
        <v>0.33</v>
      </c>
      <c r="D54" s="317">
        <v>0.66</v>
      </c>
      <c r="E54" s="316">
        <v>132.672</v>
      </c>
      <c r="F54" s="10">
        <f t="shared" si="0"/>
        <v>141.9</v>
      </c>
      <c r="G54" s="10">
        <f t="shared" si="1"/>
        <v>-9.22800000000001</v>
      </c>
      <c r="H54" s="110">
        <f t="shared" si="2"/>
        <v>0.749969850458273</v>
      </c>
      <c r="I54" s="316">
        <v>26.53</v>
      </c>
      <c r="J54" s="316"/>
      <c r="K54" s="316">
        <v>99.5</v>
      </c>
      <c r="L54" s="10">
        <f t="shared" si="3"/>
        <v>12004.65</v>
      </c>
      <c r="M54" s="316"/>
      <c r="N54" s="314" t="s">
        <v>1654</v>
      </c>
      <c r="O54" s="11"/>
      <c r="P54" s="150"/>
    </row>
    <row r="55" ht="16.5" spans="1:16">
      <c r="A55" s="163">
        <v>46179</v>
      </c>
      <c r="B55" s="164" t="s">
        <v>69</v>
      </c>
      <c r="C55" s="317">
        <v>0.69</v>
      </c>
      <c r="D55" s="317">
        <v>1</v>
      </c>
      <c r="E55" s="316">
        <v>145.088</v>
      </c>
      <c r="F55" s="10">
        <f t="shared" si="0"/>
        <v>133.3</v>
      </c>
      <c r="G55" s="10">
        <f t="shared" si="1"/>
        <v>11.788</v>
      </c>
      <c r="H55" s="110">
        <f t="shared" si="2"/>
        <v>0.652018085575651</v>
      </c>
      <c r="I55" s="316">
        <v>27.86</v>
      </c>
      <c r="J55" s="316"/>
      <c r="K55" s="316">
        <v>94.6</v>
      </c>
      <c r="L55" s="10">
        <f t="shared" si="3"/>
        <v>11910.05</v>
      </c>
      <c r="M55" s="316"/>
      <c r="N55" s="314" t="s">
        <v>1654</v>
      </c>
      <c r="O55" s="11"/>
      <c r="P55" s="150"/>
    </row>
    <row r="56" ht="16.5" spans="1:16">
      <c r="A56" s="163">
        <v>46180</v>
      </c>
      <c r="B56" s="164" t="s">
        <v>108</v>
      </c>
      <c r="C56" s="317">
        <v>0.74</v>
      </c>
      <c r="D56" s="317">
        <v>0.91</v>
      </c>
      <c r="E56" s="316">
        <v>82.649</v>
      </c>
      <c r="F56" s="10">
        <f t="shared" si="0"/>
        <v>73.1</v>
      </c>
      <c r="G56" s="10">
        <f t="shared" si="1"/>
        <v>9.54899999999998</v>
      </c>
      <c r="H56" s="110">
        <f t="shared" si="2"/>
        <v>0.65203450737456</v>
      </c>
      <c r="I56" s="316">
        <v>15.87</v>
      </c>
      <c r="J56" s="316"/>
      <c r="K56" s="316">
        <v>53.89</v>
      </c>
      <c r="L56" s="10">
        <f t="shared" si="3"/>
        <v>11856.16</v>
      </c>
      <c r="M56" s="316"/>
      <c r="N56" s="314" t="s">
        <v>1654</v>
      </c>
      <c r="O56" s="11"/>
      <c r="P56" s="150"/>
    </row>
    <row r="57" ht="16.5" spans="1:16">
      <c r="A57" s="163">
        <v>46180</v>
      </c>
      <c r="B57" s="164" t="s">
        <v>105</v>
      </c>
      <c r="C57" s="317">
        <v>0.66</v>
      </c>
      <c r="D57" s="317">
        <v>0.95</v>
      </c>
      <c r="E57" s="316">
        <v>145.052</v>
      </c>
      <c r="F57" s="10">
        <f t="shared" si="0"/>
        <v>124.7</v>
      </c>
      <c r="G57" s="247">
        <f t="shared" si="1"/>
        <v>20.352</v>
      </c>
      <c r="H57" s="110">
        <f t="shared" si="2"/>
        <v>0.65197308551416</v>
      </c>
      <c r="I57" s="316">
        <v>27.85</v>
      </c>
      <c r="J57" s="316"/>
      <c r="K57" s="316">
        <v>94.57</v>
      </c>
      <c r="L57" s="10">
        <f t="shared" si="3"/>
        <v>11761.59</v>
      </c>
      <c r="M57" s="316"/>
      <c r="N57" s="314" t="s">
        <v>1654</v>
      </c>
      <c r="O57" s="11"/>
      <c r="P57" s="150"/>
    </row>
    <row r="58" ht="16.5" spans="1:16">
      <c r="A58" s="163">
        <v>46180</v>
      </c>
      <c r="B58" s="164" t="s">
        <v>57</v>
      </c>
      <c r="C58" s="317">
        <v>0.38</v>
      </c>
      <c r="D58" s="317">
        <v>1</v>
      </c>
      <c r="E58" s="316">
        <v>253.88</v>
      </c>
      <c r="F58" s="10">
        <f t="shared" si="0"/>
        <v>266.6</v>
      </c>
      <c r="G58" s="10">
        <f t="shared" si="1"/>
        <v>-12.72</v>
      </c>
      <c r="H58" s="110">
        <f t="shared" si="2"/>
        <v>0.75</v>
      </c>
      <c r="I58" s="316">
        <v>50.78</v>
      </c>
      <c r="J58" s="316"/>
      <c r="K58" s="316">
        <v>190.41</v>
      </c>
      <c r="L58" s="10">
        <f t="shared" si="3"/>
        <v>11571.18</v>
      </c>
      <c r="M58" s="316"/>
      <c r="N58" s="314" t="s">
        <v>1654</v>
      </c>
      <c r="O58" s="11"/>
      <c r="P58" s="150"/>
    </row>
    <row r="59" ht="16.5" spans="1:16">
      <c r="A59" s="163">
        <v>46180</v>
      </c>
      <c r="B59" s="164" t="s">
        <v>102</v>
      </c>
      <c r="C59" s="317">
        <v>0.57</v>
      </c>
      <c r="D59" s="317">
        <v>1</v>
      </c>
      <c r="E59" s="316">
        <v>213.712</v>
      </c>
      <c r="F59" s="10">
        <f t="shared" si="0"/>
        <v>184.9</v>
      </c>
      <c r="G59" s="10">
        <f t="shared" si="1"/>
        <v>28.812</v>
      </c>
      <c r="H59" s="110">
        <f t="shared" si="2"/>
        <v>0.749981283222281</v>
      </c>
      <c r="I59" s="316">
        <v>42.74</v>
      </c>
      <c r="J59" s="316"/>
      <c r="K59" s="316">
        <v>160.28</v>
      </c>
      <c r="L59" s="10">
        <f t="shared" si="3"/>
        <v>11410.9</v>
      </c>
      <c r="M59" s="316"/>
      <c r="N59" s="314" t="s">
        <v>1654</v>
      </c>
      <c r="O59" s="11"/>
      <c r="P59" s="150"/>
    </row>
    <row r="60" ht="16.5" spans="1:16">
      <c r="A60" s="163">
        <v>46180</v>
      </c>
      <c r="B60" s="164" t="s">
        <v>84</v>
      </c>
      <c r="C60" s="317">
        <v>0.69</v>
      </c>
      <c r="D60" s="317">
        <v>0.85</v>
      </c>
      <c r="E60" s="316">
        <v>76.364</v>
      </c>
      <c r="F60" s="10">
        <f t="shared" si="0"/>
        <v>68.8</v>
      </c>
      <c r="G60" s="10">
        <f t="shared" si="1"/>
        <v>7.56399999999999</v>
      </c>
      <c r="H60" s="110">
        <f t="shared" si="2"/>
        <v>0.652008799958095</v>
      </c>
      <c r="I60" s="316">
        <v>14.66</v>
      </c>
      <c r="J60" s="316"/>
      <c r="K60" s="316">
        <v>49.79</v>
      </c>
      <c r="L60" s="10">
        <f t="shared" si="3"/>
        <v>11361.11</v>
      </c>
      <c r="M60" s="316"/>
      <c r="N60" s="314" t="s">
        <v>1654</v>
      </c>
      <c r="O60" s="11"/>
      <c r="P60" s="150"/>
    </row>
    <row r="61" ht="16.5" spans="1:16">
      <c r="A61" s="163">
        <v>46180</v>
      </c>
      <c r="B61" s="164" t="s">
        <v>111</v>
      </c>
      <c r="C61" s="317">
        <v>0.43</v>
      </c>
      <c r="D61" s="317">
        <v>0.96</v>
      </c>
      <c r="E61" s="316">
        <v>219.2</v>
      </c>
      <c r="F61" s="10">
        <f t="shared" si="0"/>
        <v>227.9</v>
      </c>
      <c r="G61" s="10">
        <f t="shared" si="1"/>
        <v>-8.70000000000002</v>
      </c>
      <c r="H61" s="110">
        <f t="shared" si="2"/>
        <v>0.75</v>
      </c>
      <c r="I61" s="316">
        <v>43.84</v>
      </c>
      <c r="J61" s="316"/>
      <c r="K61" s="316">
        <v>164.4</v>
      </c>
      <c r="L61" s="10">
        <f t="shared" si="3"/>
        <v>11196.71</v>
      </c>
      <c r="M61" s="316"/>
      <c r="N61" s="314" t="s">
        <v>1654</v>
      </c>
      <c r="O61" s="11"/>
      <c r="P61" s="150"/>
    </row>
    <row r="62" ht="16.5" spans="1:16">
      <c r="A62" s="163">
        <v>46180</v>
      </c>
      <c r="B62" s="164" t="s">
        <v>135</v>
      </c>
      <c r="C62" s="317">
        <v>0.66</v>
      </c>
      <c r="D62" s="317">
        <v>1</v>
      </c>
      <c r="E62" s="316">
        <v>147.846</v>
      </c>
      <c r="F62" s="10">
        <f t="shared" si="0"/>
        <v>146.2</v>
      </c>
      <c r="G62" s="10">
        <f t="shared" si="1"/>
        <v>1.64600000000002</v>
      </c>
      <c r="H62" s="110">
        <f t="shared" si="2"/>
        <v>0.659672902885435</v>
      </c>
      <c r="I62" s="316">
        <v>26.91</v>
      </c>
      <c r="J62" s="316"/>
      <c r="K62" s="316">
        <v>97.53</v>
      </c>
      <c r="L62" s="10">
        <f t="shared" si="3"/>
        <v>11099.18</v>
      </c>
      <c r="M62" s="316"/>
      <c r="N62" s="314" t="s">
        <v>1654</v>
      </c>
      <c r="O62" s="11"/>
      <c r="P62" s="150"/>
    </row>
    <row r="63" ht="16.5" spans="1:16">
      <c r="A63" s="163">
        <v>46180</v>
      </c>
      <c r="B63" s="164" t="s">
        <v>127</v>
      </c>
      <c r="C63" s="317">
        <v>0.18</v>
      </c>
      <c r="D63" s="317">
        <v>0.99</v>
      </c>
      <c r="E63" s="316">
        <v>344.032</v>
      </c>
      <c r="F63" s="10">
        <f t="shared" si="0"/>
        <v>348.3</v>
      </c>
      <c r="G63" s="10">
        <f t="shared" si="1"/>
        <v>-4.26800000000003</v>
      </c>
      <c r="H63" s="110">
        <f t="shared" si="2"/>
        <v>0.750017440238117</v>
      </c>
      <c r="I63" s="316">
        <v>68.81</v>
      </c>
      <c r="J63" s="316"/>
      <c r="K63" s="316">
        <v>258.03</v>
      </c>
      <c r="L63" s="10">
        <f t="shared" si="3"/>
        <v>10841.15</v>
      </c>
      <c r="M63" s="316"/>
      <c r="N63" s="314" t="s">
        <v>1654</v>
      </c>
      <c r="O63" s="11"/>
      <c r="P63" s="150"/>
    </row>
    <row r="64" ht="16.5" spans="1:16">
      <c r="A64" s="163">
        <v>46180</v>
      </c>
      <c r="B64" s="164" t="s">
        <v>151</v>
      </c>
      <c r="C64" s="317">
        <v>0.67</v>
      </c>
      <c r="D64" s="317">
        <v>1</v>
      </c>
      <c r="E64" s="316">
        <v>144.896</v>
      </c>
      <c r="F64" s="10">
        <f t="shared" si="0"/>
        <v>141.9</v>
      </c>
      <c r="G64" s="10">
        <f t="shared" si="1"/>
        <v>2.99600000000001</v>
      </c>
      <c r="H64" s="110">
        <f t="shared" si="2"/>
        <v>0.749986196996467</v>
      </c>
      <c r="I64" s="316">
        <v>28.98</v>
      </c>
      <c r="J64" s="316"/>
      <c r="K64" s="316">
        <v>108.67</v>
      </c>
      <c r="L64" s="10">
        <f t="shared" si="3"/>
        <v>10732.48</v>
      </c>
      <c r="M64" s="316"/>
      <c r="N64" s="314" t="s">
        <v>1654</v>
      </c>
      <c r="O64" s="11"/>
      <c r="P64" s="150"/>
    </row>
    <row r="65" ht="16.5" spans="1:16">
      <c r="A65" s="163">
        <v>46180</v>
      </c>
      <c r="B65" s="164" t="s">
        <v>172</v>
      </c>
      <c r="C65" s="317">
        <v>0.52</v>
      </c>
      <c r="D65" s="317">
        <v>0.83</v>
      </c>
      <c r="E65" s="316">
        <v>130.304</v>
      </c>
      <c r="F65" s="10">
        <f t="shared" si="0"/>
        <v>133.3</v>
      </c>
      <c r="G65" s="10">
        <f t="shared" si="1"/>
        <v>-2.99599999999998</v>
      </c>
      <c r="H65" s="110">
        <f t="shared" si="2"/>
        <v>0.750015348722986</v>
      </c>
      <c r="I65" s="316">
        <v>26.06</v>
      </c>
      <c r="J65" s="316"/>
      <c r="K65" s="316">
        <v>97.73</v>
      </c>
      <c r="L65" s="10">
        <f t="shared" si="3"/>
        <v>10634.75</v>
      </c>
      <c r="M65" s="316"/>
      <c r="N65" s="314" t="s">
        <v>1654</v>
      </c>
      <c r="O65" s="11"/>
      <c r="P65" s="150"/>
    </row>
    <row r="66" ht="16.5" spans="1:16">
      <c r="A66" s="163">
        <v>46180</v>
      </c>
      <c r="B66" s="164" t="s">
        <v>54</v>
      </c>
      <c r="C66" s="317">
        <v>0.57</v>
      </c>
      <c r="D66" s="317">
        <v>0.84</v>
      </c>
      <c r="E66" s="316">
        <v>109.952</v>
      </c>
      <c r="F66" s="10">
        <f t="shared" si="0"/>
        <v>116.1</v>
      </c>
      <c r="G66" s="10">
        <f t="shared" si="1"/>
        <v>-6.14800000000001</v>
      </c>
      <c r="H66" s="110">
        <f t="shared" si="2"/>
        <v>0.749963620488941</v>
      </c>
      <c r="I66" s="316">
        <v>21.99</v>
      </c>
      <c r="J66" s="316"/>
      <c r="K66" s="316">
        <v>82.46</v>
      </c>
      <c r="L66" s="10">
        <f t="shared" si="3"/>
        <v>10552.29</v>
      </c>
      <c r="M66" s="316"/>
      <c r="N66" s="314" t="s">
        <v>1654</v>
      </c>
      <c r="O66" s="11"/>
      <c r="P66" s="150"/>
    </row>
    <row r="67" ht="16.5" spans="1:16">
      <c r="A67" s="163">
        <v>46180</v>
      </c>
      <c r="B67" s="164" t="s">
        <v>124</v>
      </c>
      <c r="C67" s="317">
        <v>0.5</v>
      </c>
      <c r="D67" s="317">
        <v>0.76</v>
      </c>
      <c r="E67" s="316">
        <v>113.184</v>
      </c>
      <c r="F67" s="10">
        <f t="shared" ref="F67:F130" si="5">430*(D67-C67)</f>
        <v>111.8</v>
      </c>
      <c r="G67" s="10">
        <f t="shared" ref="G67:G130" si="6">E67-F67</f>
        <v>1.384</v>
      </c>
      <c r="H67" s="110">
        <f t="shared" ref="H67:H130" si="7">K67/E67</f>
        <v>0.750017670342098</v>
      </c>
      <c r="I67" s="316">
        <v>22.64</v>
      </c>
      <c r="J67" s="316"/>
      <c r="K67" s="316">
        <v>84.89</v>
      </c>
      <c r="L67" s="10">
        <f t="shared" ref="L67:L130" si="8">L66+J67-K67</f>
        <v>10467.4</v>
      </c>
      <c r="M67" s="316"/>
      <c r="N67" s="314" t="s">
        <v>1654</v>
      </c>
      <c r="O67" s="11"/>
      <c r="P67" s="150"/>
    </row>
    <row r="68" ht="16.5" spans="1:16">
      <c r="A68" s="163">
        <v>46180</v>
      </c>
      <c r="B68" s="164" t="s">
        <v>72</v>
      </c>
      <c r="C68" s="317">
        <v>0.78</v>
      </c>
      <c r="D68" s="317">
        <v>0.93</v>
      </c>
      <c r="E68" s="316">
        <v>69.277</v>
      </c>
      <c r="F68" s="10">
        <f t="shared" si="5"/>
        <v>64.5</v>
      </c>
      <c r="G68" s="10">
        <f t="shared" si="6"/>
        <v>4.77699999999999</v>
      </c>
      <c r="H68" s="110">
        <f t="shared" si="7"/>
        <v>0.720874171803051</v>
      </c>
      <c r="I68" s="316">
        <v>11.1</v>
      </c>
      <c r="J68" s="316"/>
      <c r="K68" s="316">
        <v>49.94</v>
      </c>
      <c r="L68" s="10">
        <f t="shared" si="8"/>
        <v>10417.46</v>
      </c>
      <c r="M68" s="316"/>
      <c r="N68" s="314" t="s">
        <v>1654</v>
      </c>
      <c r="O68" s="11"/>
      <c r="P68" s="150"/>
    </row>
    <row r="69" ht="16.5" spans="1:16">
      <c r="A69" s="163">
        <v>46180</v>
      </c>
      <c r="B69" s="164" t="s">
        <v>141</v>
      </c>
      <c r="C69" s="317">
        <v>0.56</v>
      </c>
      <c r="D69" s="317">
        <v>0.9</v>
      </c>
      <c r="E69" s="316">
        <v>149.216</v>
      </c>
      <c r="F69" s="10">
        <f t="shared" si="5"/>
        <v>146.2</v>
      </c>
      <c r="G69" s="10">
        <f t="shared" si="6"/>
        <v>3.01600000000002</v>
      </c>
      <c r="H69" s="110">
        <f t="shared" si="7"/>
        <v>0.749986596611623</v>
      </c>
      <c r="I69" s="316">
        <v>29.84</v>
      </c>
      <c r="J69" s="316"/>
      <c r="K69" s="316">
        <v>111.91</v>
      </c>
      <c r="L69" s="10">
        <f t="shared" si="8"/>
        <v>10305.55</v>
      </c>
      <c r="M69" s="316"/>
      <c r="N69" s="314" t="s">
        <v>1654</v>
      </c>
      <c r="O69" s="11"/>
      <c r="P69" s="150"/>
    </row>
    <row r="70" spans="1:16">
      <c r="A70" s="156">
        <v>46181</v>
      </c>
      <c r="B70" s="168" t="s">
        <v>144</v>
      </c>
      <c r="C70" s="158">
        <v>0.37</v>
      </c>
      <c r="D70" s="158">
        <v>0.89</v>
      </c>
      <c r="E70" s="315">
        <v>228.608</v>
      </c>
      <c r="F70" s="10">
        <f t="shared" si="5"/>
        <v>223.6</v>
      </c>
      <c r="G70" s="10">
        <f t="shared" si="6"/>
        <v>5.00800000000001</v>
      </c>
      <c r="H70" s="110">
        <f t="shared" si="7"/>
        <v>0.749973754199328</v>
      </c>
      <c r="I70" s="315">
        <v>45.72</v>
      </c>
      <c r="J70" s="10"/>
      <c r="K70" s="315">
        <v>171.45</v>
      </c>
      <c r="L70" s="10">
        <f t="shared" si="8"/>
        <v>10134.1</v>
      </c>
      <c r="M70" s="11"/>
      <c r="N70" s="150" t="s">
        <v>1654</v>
      </c>
      <c r="O70" s="150"/>
    </row>
    <row r="71" spans="1:16">
      <c r="A71" s="163">
        <v>46181</v>
      </c>
      <c r="B71" s="164" t="s">
        <v>93</v>
      </c>
      <c r="C71" s="158">
        <v>0.79</v>
      </c>
      <c r="D71" s="158">
        <v>1</v>
      </c>
      <c r="E71" s="316">
        <v>95.044</v>
      </c>
      <c r="F71" s="10">
        <f t="shared" si="5"/>
        <v>90.3</v>
      </c>
      <c r="G71" s="10">
        <f t="shared" si="6"/>
        <v>4.74400000000001</v>
      </c>
      <c r="H71" s="110">
        <f t="shared" si="7"/>
        <v>0.652013804132823</v>
      </c>
      <c r="I71" s="316">
        <v>18.25</v>
      </c>
      <c r="J71" s="10"/>
      <c r="K71" s="316">
        <v>61.97</v>
      </c>
      <c r="L71" s="10">
        <f t="shared" si="8"/>
        <v>10072.13</v>
      </c>
      <c r="M71" s="11"/>
      <c r="N71" s="150" t="s">
        <v>1654</v>
      </c>
      <c r="O71" s="150"/>
    </row>
    <row r="72" spans="1:16">
      <c r="A72" s="163">
        <v>46181</v>
      </c>
      <c r="B72" s="164" t="s">
        <v>166</v>
      </c>
      <c r="C72" s="158">
        <v>0.46</v>
      </c>
      <c r="D72" s="158">
        <v>1</v>
      </c>
      <c r="E72" s="316">
        <v>236.192</v>
      </c>
      <c r="F72" s="10">
        <f t="shared" si="5"/>
        <v>232.2</v>
      </c>
      <c r="G72" s="10">
        <f t="shared" si="6"/>
        <v>3.99199999999999</v>
      </c>
      <c r="H72" s="110">
        <f t="shared" si="7"/>
        <v>0.750025403061916</v>
      </c>
      <c r="I72" s="316">
        <v>47.24</v>
      </c>
      <c r="J72" s="10"/>
      <c r="K72" s="316">
        <v>177.15</v>
      </c>
      <c r="L72" s="10">
        <f t="shared" si="8"/>
        <v>9894.98</v>
      </c>
      <c r="M72" s="11"/>
      <c r="N72" s="150" t="s">
        <v>1654</v>
      </c>
      <c r="O72" s="150"/>
    </row>
    <row r="73" spans="1:16">
      <c r="A73" s="163">
        <v>46181</v>
      </c>
      <c r="B73" s="164" t="s">
        <v>51</v>
      </c>
      <c r="C73" s="158">
        <v>0.38</v>
      </c>
      <c r="D73" s="158">
        <v>1</v>
      </c>
      <c r="E73" s="316">
        <v>256.128</v>
      </c>
      <c r="F73" s="10">
        <f t="shared" si="5"/>
        <v>266.6</v>
      </c>
      <c r="G73" s="10">
        <f t="shared" si="6"/>
        <v>-10.472</v>
      </c>
      <c r="H73" s="110">
        <f t="shared" si="7"/>
        <v>0.750015617191404</v>
      </c>
      <c r="I73" s="316">
        <v>51.23</v>
      </c>
      <c r="J73" s="10"/>
      <c r="K73" s="316">
        <v>192.1</v>
      </c>
      <c r="L73" s="10">
        <f t="shared" si="8"/>
        <v>9702.88</v>
      </c>
      <c r="M73" s="11"/>
      <c r="N73" s="150" t="s">
        <v>1654</v>
      </c>
      <c r="O73" s="150"/>
    </row>
    <row r="74" spans="1:16">
      <c r="A74" s="163">
        <v>46181</v>
      </c>
      <c r="B74" s="164" t="s">
        <v>154</v>
      </c>
      <c r="C74" s="158">
        <v>0.58</v>
      </c>
      <c r="D74" s="158">
        <v>1</v>
      </c>
      <c r="E74" s="316">
        <v>182.048</v>
      </c>
      <c r="F74" s="10">
        <f t="shared" si="5"/>
        <v>180.6</v>
      </c>
      <c r="G74" s="10">
        <f t="shared" si="6"/>
        <v>1.44799999999998</v>
      </c>
      <c r="H74" s="110">
        <f t="shared" si="7"/>
        <v>0.750021972227105</v>
      </c>
      <c r="I74" s="316">
        <v>36.41</v>
      </c>
      <c r="J74" s="10"/>
      <c r="K74" s="316">
        <v>136.54</v>
      </c>
      <c r="L74" s="10">
        <f t="shared" si="8"/>
        <v>9566.34</v>
      </c>
      <c r="M74" s="11"/>
      <c r="N74" s="150" t="s">
        <v>1654</v>
      </c>
      <c r="O74" s="150"/>
    </row>
    <row r="75" spans="1:16">
      <c r="A75" s="163">
        <v>46181</v>
      </c>
      <c r="B75" s="164" t="s">
        <v>160</v>
      </c>
      <c r="C75" s="158">
        <v>0.61</v>
      </c>
      <c r="D75" s="158">
        <v>0.61</v>
      </c>
      <c r="E75" s="316">
        <v>0.8</v>
      </c>
      <c r="F75" s="10">
        <f t="shared" si="5"/>
        <v>0</v>
      </c>
      <c r="G75" s="10">
        <f t="shared" si="6"/>
        <v>0.8</v>
      </c>
      <c r="H75" s="110">
        <f t="shared" si="7"/>
        <v>0.75</v>
      </c>
      <c r="I75" s="316">
        <v>0.16</v>
      </c>
      <c r="J75" s="10"/>
      <c r="K75" s="316">
        <v>0.6</v>
      </c>
      <c r="L75" s="10">
        <f t="shared" si="8"/>
        <v>9565.74</v>
      </c>
      <c r="M75" s="11"/>
      <c r="N75" s="150" t="s">
        <v>1654</v>
      </c>
      <c r="O75" s="150"/>
    </row>
    <row r="76" spans="1:16">
      <c r="A76" s="163">
        <v>46181</v>
      </c>
      <c r="B76" s="164" t="s">
        <v>160</v>
      </c>
      <c r="C76" s="158">
        <v>0.61</v>
      </c>
      <c r="D76" s="158">
        <v>0.98</v>
      </c>
      <c r="E76" s="316">
        <v>163.072</v>
      </c>
      <c r="F76" s="10">
        <f t="shared" si="5"/>
        <v>159.1</v>
      </c>
      <c r="G76" s="10">
        <f t="shared" si="6"/>
        <v>3.97200000000001</v>
      </c>
      <c r="H76" s="110">
        <f t="shared" si="7"/>
        <v>0.749975470957614</v>
      </c>
      <c r="I76" s="316">
        <v>32.61</v>
      </c>
      <c r="J76" s="10"/>
      <c r="K76" s="316">
        <v>122.3</v>
      </c>
      <c r="L76" s="10">
        <f t="shared" si="8"/>
        <v>9443.44</v>
      </c>
      <c r="M76" s="105"/>
      <c r="N76" s="150" t="s">
        <v>1654</v>
      </c>
      <c r="O76" s="150"/>
    </row>
    <row r="77" spans="1:16">
      <c r="A77" s="163">
        <v>46181</v>
      </c>
      <c r="B77" s="164" t="s">
        <v>163</v>
      </c>
      <c r="C77" s="158">
        <v>0.6</v>
      </c>
      <c r="D77" s="158">
        <v>0.8</v>
      </c>
      <c r="E77" s="316">
        <v>87.176</v>
      </c>
      <c r="F77" s="10">
        <f t="shared" si="5"/>
        <v>86</v>
      </c>
      <c r="G77" s="10">
        <f t="shared" si="6"/>
        <v>1.17599999999997</v>
      </c>
      <c r="H77" s="110">
        <f t="shared" si="7"/>
        <v>0.750091768376617</v>
      </c>
      <c r="I77" s="316">
        <v>17.44</v>
      </c>
      <c r="J77" s="105"/>
      <c r="K77" s="316">
        <v>65.39</v>
      </c>
      <c r="L77" s="10">
        <f t="shared" si="8"/>
        <v>9378.05</v>
      </c>
      <c r="M77" s="117"/>
      <c r="N77" s="150" t="s">
        <v>1654</v>
      </c>
      <c r="O77" s="150"/>
    </row>
    <row r="78" spans="1:16">
      <c r="A78" s="163">
        <v>46181</v>
      </c>
      <c r="B78" s="164" t="s">
        <v>338</v>
      </c>
      <c r="C78" s="158">
        <v>0.28</v>
      </c>
      <c r="D78" s="158">
        <v>0.38</v>
      </c>
      <c r="E78" s="316">
        <v>43.312</v>
      </c>
      <c r="F78" s="10">
        <f t="shared" si="5"/>
        <v>43</v>
      </c>
      <c r="G78" s="10">
        <f t="shared" si="6"/>
        <v>0.312000000000005</v>
      </c>
      <c r="H78" s="110">
        <f t="shared" si="7"/>
        <v>0.749907646841522</v>
      </c>
      <c r="I78" s="316">
        <v>8.66</v>
      </c>
      <c r="J78" s="105"/>
      <c r="K78" s="316">
        <v>32.48</v>
      </c>
      <c r="L78" s="10">
        <f t="shared" si="8"/>
        <v>9345.57</v>
      </c>
      <c r="M78" s="117"/>
      <c r="N78" s="150" t="s">
        <v>1654</v>
      </c>
      <c r="O78" s="150"/>
    </row>
    <row r="79" spans="1:16">
      <c r="A79" s="163">
        <v>46181</v>
      </c>
      <c r="B79" s="164" t="s">
        <v>78</v>
      </c>
      <c r="C79" s="158">
        <v>0.58</v>
      </c>
      <c r="D79" s="158">
        <v>0.69</v>
      </c>
      <c r="E79" s="316">
        <v>48.864</v>
      </c>
      <c r="F79" s="10">
        <f t="shared" si="5"/>
        <v>47.3</v>
      </c>
      <c r="G79" s="10">
        <f t="shared" si="6"/>
        <v>1.564</v>
      </c>
      <c r="H79" s="110">
        <f t="shared" si="7"/>
        <v>0.750040929927963</v>
      </c>
      <c r="I79" s="316">
        <v>9.77</v>
      </c>
      <c r="J79" s="105"/>
      <c r="K79" s="316">
        <v>36.65</v>
      </c>
      <c r="L79" s="10">
        <f t="shared" si="8"/>
        <v>9308.92</v>
      </c>
      <c r="M79" s="117"/>
      <c r="N79" s="150" t="s">
        <v>1654</v>
      </c>
      <c r="O79" s="150"/>
    </row>
    <row r="80" spans="1:16">
      <c r="A80" s="163">
        <v>46181</v>
      </c>
      <c r="B80" s="164" t="s">
        <v>180</v>
      </c>
      <c r="C80" s="158">
        <v>0.11</v>
      </c>
      <c r="D80" s="158">
        <v>0.8</v>
      </c>
      <c r="E80" s="316">
        <v>299.872</v>
      </c>
      <c r="F80" s="10">
        <f t="shared" si="5"/>
        <v>296.7</v>
      </c>
      <c r="G80" s="10">
        <f t="shared" si="6"/>
        <v>3.17199999999997</v>
      </c>
      <c r="H80" s="110">
        <f t="shared" si="7"/>
        <v>0.749986660975349</v>
      </c>
      <c r="I80" s="316">
        <v>59.97</v>
      </c>
      <c r="J80" s="105"/>
      <c r="K80" s="316">
        <v>224.9</v>
      </c>
      <c r="L80" s="10">
        <f t="shared" si="8"/>
        <v>9084.02</v>
      </c>
      <c r="M80" s="117"/>
      <c r="N80" s="150" t="s">
        <v>1654</v>
      </c>
      <c r="O80" s="150"/>
    </row>
    <row r="81" spans="1:15">
      <c r="A81" s="163">
        <v>46181</v>
      </c>
      <c r="B81" s="164" t="s">
        <v>338</v>
      </c>
      <c r="C81" s="158">
        <v>0.38</v>
      </c>
      <c r="D81" s="158">
        <v>0.82</v>
      </c>
      <c r="E81" s="316">
        <v>194.048</v>
      </c>
      <c r="F81" s="10">
        <f t="shared" si="5"/>
        <v>189.2</v>
      </c>
      <c r="G81" s="10">
        <f t="shared" si="6"/>
        <v>4.84800000000001</v>
      </c>
      <c r="H81" s="110">
        <f t="shared" si="7"/>
        <v>0.750020613456464</v>
      </c>
      <c r="I81" s="316">
        <v>38.81</v>
      </c>
      <c r="J81" s="105"/>
      <c r="K81" s="316">
        <v>145.54</v>
      </c>
      <c r="L81" s="10">
        <f t="shared" si="8"/>
        <v>8938.48</v>
      </c>
      <c r="M81" s="117"/>
      <c r="N81" s="150" t="s">
        <v>1654</v>
      </c>
      <c r="O81" s="150"/>
    </row>
    <row r="82" spans="1:15">
      <c r="A82" s="163">
        <v>46181</v>
      </c>
      <c r="B82" s="164" t="s">
        <v>114</v>
      </c>
      <c r="C82" s="158">
        <v>0.7</v>
      </c>
      <c r="D82" s="158">
        <v>0.92</v>
      </c>
      <c r="E82" s="316">
        <v>87.056</v>
      </c>
      <c r="F82" s="10">
        <f t="shared" si="5"/>
        <v>94.6</v>
      </c>
      <c r="G82" s="10">
        <f t="shared" si="6"/>
        <v>-7.54400000000004</v>
      </c>
      <c r="H82" s="110">
        <f t="shared" si="7"/>
        <v>0.72608435949274</v>
      </c>
      <c r="I82" s="316">
        <v>8.36</v>
      </c>
      <c r="J82" s="105"/>
      <c r="K82" s="316">
        <v>63.21</v>
      </c>
      <c r="L82" s="10">
        <f t="shared" si="8"/>
        <v>8875.27</v>
      </c>
      <c r="M82" s="117"/>
      <c r="N82" s="150" t="s">
        <v>1654</v>
      </c>
      <c r="O82" s="150"/>
    </row>
    <row r="83" spans="1:15">
      <c r="A83" s="163">
        <v>46181</v>
      </c>
      <c r="B83" s="164" t="s">
        <v>69</v>
      </c>
      <c r="C83" s="158">
        <v>0.57</v>
      </c>
      <c r="D83" s="158">
        <v>1</v>
      </c>
      <c r="E83" s="316">
        <v>199.392</v>
      </c>
      <c r="F83" s="10">
        <f t="shared" si="5"/>
        <v>184.9</v>
      </c>
      <c r="G83" s="10">
        <f t="shared" si="6"/>
        <v>14.492</v>
      </c>
      <c r="H83" s="110">
        <f t="shared" si="7"/>
        <v>0.750030091478094</v>
      </c>
      <c r="I83" s="316">
        <v>39.88</v>
      </c>
      <c r="J83" s="105"/>
      <c r="K83" s="316">
        <v>149.55</v>
      </c>
      <c r="L83" s="10">
        <f t="shared" si="8"/>
        <v>8725.72</v>
      </c>
      <c r="M83" s="117"/>
      <c r="N83" s="150" t="s">
        <v>1654</v>
      </c>
      <c r="O83" s="150"/>
    </row>
    <row r="84" spans="1:15">
      <c r="A84" s="156">
        <v>46182</v>
      </c>
      <c r="B84" s="168" t="s">
        <v>138</v>
      </c>
      <c r="C84" s="169">
        <v>0.62</v>
      </c>
      <c r="D84" s="169">
        <v>0.83</v>
      </c>
      <c r="E84" s="315">
        <v>92.384</v>
      </c>
      <c r="F84" s="10">
        <f t="shared" si="5"/>
        <v>90.3</v>
      </c>
      <c r="G84" s="10">
        <f t="shared" si="6"/>
        <v>2.08400000000002</v>
      </c>
      <c r="H84" s="153">
        <f t="shared" si="7"/>
        <v>0.75002164877035</v>
      </c>
      <c r="I84" s="315">
        <v>18.48</v>
      </c>
      <c r="J84" s="105"/>
      <c r="K84" s="315">
        <v>69.29</v>
      </c>
      <c r="L84" s="10">
        <f t="shared" si="8"/>
        <v>8656.43</v>
      </c>
      <c r="M84" s="117"/>
      <c r="N84" s="150" t="s">
        <v>1654</v>
      </c>
    </row>
    <row r="85" spans="1:15">
      <c r="A85" s="163">
        <v>46182</v>
      </c>
      <c r="B85" s="164" t="s">
        <v>75</v>
      </c>
      <c r="C85" s="169">
        <v>0.73</v>
      </c>
      <c r="D85" s="169">
        <v>1</v>
      </c>
      <c r="E85" s="316">
        <v>136.095</v>
      </c>
      <c r="F85" s="10">
        <f t="shared" si="5"/>
        <v>116.1</v>
      </c>
      <c r="G85" s="10">
        <f t="shared" si="6"/>
        <v>19.995</v>
      </c>
      <c r="H85" s="153">
        <f t="shared" si="7"/>
        <v>0.651971049634447</v>
      </c>
      <c r="I85" s="316">
        <v>26.13</v>
      </c>
      <c r="J85" s="105"/>
      <c r="K85" s="316">
        <v>88.73</v>
      </c>
      <c r="L85" s="10">
        <f t="shared" si="8"/>
        <v>8567.7</v>
      </c>
      <c r="M85" s="117"/>
      <c r="N85" s="150" t="s">
        <v>1654</v>
      </c>
    </row>
    <row r="86" spans="1:15">
      <c r="A86" s="163">
        <v>46182</v>
      </c>
      <c r="B86" s="164" t="s">
        <v>105</v>
      </c>
      <c r="C86" s="169">
        <v>0.34</v>
      </c>
      <c r="D86" s="169">
        <v>1</v>
      </c>
      <c r="E86" s="316">
        <v>305.408</v>
      </c>
      <c r="F86" s="10">
        <f t="shared" si="5"/>
        <v>283.8</v>
      </c>
      <c r="G86" s="10">
        <f t="shared" si="6"/>
        <v>21.6080000000001</v>
      </c>
      <c r="H86" s="153">
        <f t="shared" si="7"/>
        <v>0.652013044844929</v>
      </c>
      <c r="I86" s="316">
        <v>58.64</v>
      </c>
      <c r="J86" s="105"/>
      <c r="K86" s="316">
        <v>199.13</v>
      </c>
      <c r="L86" s="10">
        <f t="shared" si="8"/>
        <v>8368.57</v>
      </c>
      <c r="M86" s="117"/>
      <c r="N86" s="150" t="s">
        <v>1654</v>
      </c>
    </row>
    <row r="87" spans="1:15">
      <c r="A87" s="163">
        <v>46182</v>
      </c>
      <c r="B87" s="164" t="s">
        <v>135</v>
      </c>
      <c r="C87" s="169">
        <v>0.73</v>
      </c>
      <c r="D87" s="169">
        <v>1</v>
      </c>
      <c r="E87" s="316">
        <v>116.94</v>
      </c>
      <c r="F87" s="10">
        <f t="shared" si="5"/>
        <v>116.1</v>
      </c>
      <c r="G87" s="10">
        <f t="shared" si="6"/>
        <v>0.839999999999989</v>
      </c>
      <c r="H87" s="153">
        <f t="shared" si="7"/>
        <v>0.651958269197879</v>
      </c>
      <c r="I87" s="316">
        <v>22.45</v>
      </c>
      <c r="J87" s="105"/>
      <c r="K87" s="316">
        <v>76.24</v>
      </c>
      <c r="L87" s="10">
        <f t="shared" si="8"/>
        <v>8292.33</v>
      </c>
      <c r="M87" s="117"/>
      <c r="N87" s="150" t="s">
        <v>1654</v>
      </c>
    </row>
    <row r="88" spans="1:15">
      <c r="A88" s="163">
        <v>46182</v>
      </c>
      <c r="B88" s="164" t="s">
        <v>84</v>
      </c>
      <c r="C88" s="169">
        <v>0.48</v>
      </c>
      <c r="D88" s="169">
        <v>1</v>
      </c>
      <c r="E88" s="316">
        <v>240.448</v>
      </c>
      <c r="F88" s="10">
        <f t="shared" si="5"/>
        <v>223.6</v>
      </c>
      <c r="G88" s="10">
        <f t="shared" si="6"/>
        <v>16.848</v>
      </c>
      <c r="H88" s="153">
        <f t="shared" si="7"/>
        <v>0.681228373702422</v>
      </c>
      <c r="I88" s="316">
        <v>37.06</v>
      </c>
      <c r="J88" s="105"/>
      <c r="K88" s="316">
        <v>163.8</v>
      </c>
      <c r="L88" s="10">
        <f t="shared" si="8"/>
        <v>8128.53</v>
      </c>
      <c r="M88" s="117"/>
      <c r="N88" s="150" t="s">
        <v>1654</v>
      </c>
    </row>
    <row r="89" spans="1:15">
      <c r="A89" s="163">
        <v>46182</v>
      </c>
      <c r="B89" s="164" t="s">
        <v>57</v>
      </c>
      <c r="C89" s="169">
        <v>0.59</v>
      </c>
      <c r="D89" s="169">
        <v>0.78</v>
      </c>
      <c r="E89" s="316">
        <v>75.104</v>
      </c>
      <c r="F89" s="10">
        <f t="shared" si="5"/>
        <v>81.7</v>
      </c>
      <c r="G89" s="10">
        <f t="shared" si="6"/>
        <v>-6.59600000000003</v>
      </c>
      <c r="H89" s="153">
        <f t="shared" si="7"/>
        <v>0.750026629740094</v>
      </c>
      <c r="I89" s="316">
        <v>15.02</v>
      </c>
      <c r="J89" s="105"/>
      <c r="K89" s="316">
        <v>56.33</v>
      </c>
      <c r="L89" s="10">
        <f t="shared" si="8"/>
        <v>8072.2</v>
      </c>
      <c r="M89" s="117"/>
      <c r="N89" s="150" t="s">
        <v>1654</v>
      </c>
    </row>
    <row r="90" spans="1:15">
      <c r="A90" s="163">
        <v>46182</v>
      </c>
      <c r="B90" s="164" t="s">
        <v>111</v>
      </c>
      <c r="C90" s="169">
        <v>0.58</v>
      </c>
      <c r="D90" s="169">
        <v>0.81</v>
      </c>
      <c r="E90" s="316">
        <v>91.816</v>
      </c>
      <c r="F90" s="10">
        <f t="shared" si="5"/>
        <v>98.9</v>
      </c>
      <c r="G90" s="10">
        <f t="shared" si="6"/>
        <v>-7.08400000000003</v>
      </c>
      <c r="H90" s="153">
        <f t="shared" si="7"/>
        <v>0.749978217304174</v>
      </c>
      <c r="I90" s="316">
        <v>18.36</v>
      </c>
      <c r="J90" s="105"/>
      <c r="K90" s="316">
        <v>68.86</v>
      </c>
      <c r="L90" s="10">
        <f t="shared" si="8"/>
        <v>8003.34</v>
      </c>
      <c r="M90" s="117"/>
      <c r="N90" s="150" t="s">
        <v>1654</v>
      </c>
    </row>
    <row r="91" spans="1:15">
      <c r="A91" s="163">
        <v>46182</v>
      </c>
      <c r="B91" s="164" t="s">
        <v>151</v>
      </c>
      <c r="C91" s="169">
        <v>0.57</v>
      </c>
      <c r="D91" s="169">
        <v>0.9</v>
      </c>
      <c r="E91" s="316">
        <v>142.816</v>
      </c>
      <c r="F91" s="10">
        <f t="shared" si="5"/>
        <v>141.9</v>
      </c>
      <c r="G91" s="10">
        <f t="shared" si="6"/>
        <v>0.915999999999968</v>
      </c>
      <c r="H91" s="153">
        <f t="shared" si="7"/>
        <v>0.749985995966838</v>
      </c>
      <c r="I91" s="316">
        <v>28.56</v>
      </c>
      <c r="J91" s="105"/>
      <c r="K91" s="316">
        <v>107.11</v>
      </c>
      <c r="L91" s="10">
        <f t="shared" si="8"/>
        <v>7896.23</v>
      </c>
      <c r="M91" s="117"/>
      <c r="N91" s="150" t="s">
        <v>1654</v>
      </c>
    </row>
    <row r="92" spans="1:15">
      <c r="A92" s="163">
        <v>46182</v>
      </c>
      <c r="B92" s="164" t="s">
        <v>63</v>
      </c>
      <c r="C92" s="169">
        <v>0.61</v>
      </c>
      <c r="D92" s="169">
        <v>1</v>
      </c>
      <c r="E92" s="316">
        <v>181.6</v>
      </c>
      <c r="F92" s="10">
        <f t="shared" si="5"/>
        <v>167.7</v>
      </c>
      <c r="G92" s="10">
        <f t="shared" si="6"/>
        <v>13.9</v>
      </c>
      <c r="H92" s="153">
        <f t="shared" si="7"/>
        <v>0.75</v>
      </c>
      <c r="I92" s="316">
        <v>36.32</v>
      </c>
      <c r="J92" s="105"/>
      <c r="K92" s="316">
        <v>136.2</v>
      </c>
      <c r="L92" s="10">
        <f t="shared" si="8"/>
        <v>7760.03</v>
      </c>
      <c r="M92" s="117"/>
      <c r="N92" s="150" t="s">
        <v>1654</v>
      </c>
    </row>
    <row r="93" spans="1:15">
      <c r="A93" s="163">
        <v>46182</v>
      </c>
      <c r="B93" s="164" t="s">
        <v>132</v>
      </c>
      <c r="C93" s="169">
        <v>0.77</v>
      </c>
      <c r="D93" s="169">
        <v>0.91</v>
      </c>
      <c r="E93" s="316">
        <v>66.343</v>
      </c>
      <c r="F93" s="10">
        <f t="shared" si="5"/>
        <v>60.2</v>
      </c>
      <c r="G93" s="10">
        <f t="shared" si="6"/>
        <v>6.143</v>
      </c>
      <c r="H93" s="153">
        <f t="shared" si="7"/>
        <v>0.726075094584206</v>
      </c>
      <c r="I93" s="316">
        <v>11.68</v>
      </c>
      <c r="J93" s="105"/>
      <c r="K93" s="316">
        <v>48.17</v>
      </c>
      <c r="L93" s="10">
        <f t="shared" si="8"/>
        <v>7711.86</v>
      </c>
      <c r="M93" s="117"/>
      <c r="N93" s="150" t="s">
        <v>1654</v>
      </c>
    </row>
    <row r="94" spans="1:15">
      <c r="A94" s="156">
        <v>46183</v>
      </c>
      <c r="B94" s="168" t="s">
        <v>141</v>
      </c>
      <c r="C94" s="169">
        <v>0.46</v>
      </c>
      <c r="D94" s="169">
        <v>0.97</v>
      </c>
      <c r="E94" s="315">
        <v>221.376</v>
      </c>
      <c r="F94" s="10">
        <f t="shared" si="5"/>
        <v>219.3</v>
      </c>
      <c r="G94" s="10">
        <f t="shared" si="6"/>
        <v>2.07599999999999</v>
      </c>
      <c r="H94" s="153">
        <f t="shared" si="7"/>
        <v>0.750036137612027</v>
      </c>
      <c r="I94" s="315">
        <v>44.28</v>
      </c>
      <c r="J94" s="105"/>
      <c r="K94" s="315">
        <v>166.04</v>
      </c>
      <c r="L94" s="10">
        <f t="shared" si="8"/>
        <v>7545.82</v>
      </c>
      <c r="M94" s="117"/>
      <c r="N94" s="150" t="s">
        <v>1654</v>
      </c>
    </row>
    <row r="95" spans="1:15">
      <c r="A95" s="163">
        <v>46183</v>
      </c>
      <c r="B95" s="164" t="s">
        <v>144</v>
      </c>
      <c r="C95" s="169">
        <v>0.48</v>
      </c>
      <c r="D95" s="169">
        <v>0.94</v>
      </c>
      <c r="E95" s="316">
        <v>201.664</v>
      </c>
      <c r="F95" s="10">
        <f t="shared" si="5"/>
        <v>197.8</v>
      </c>
      <c r="G95" s="10">
        <f t="shared" si="6"/>
        <v>3.864</v>
      </c>
      <c r="H95" s="153">
        <f t="shared" si="7"/>
        <v>0.750009917486512</v>
      </c>
      <c r="I95" s="316">
        <v>40.33</v>
      </c>
      <c r="J95" s="105"/>
      <c r="K95" s="316">
        <v>151.25</v>
      </c>
      <c r="L95" s="10">
        <f t="shared" si="8"/>
        <v>7394.57</v>
      </c>
      <c r="M95" s="117"/>
      <c r="N95" s="150" t="s">
        <v>1654</v>
      </c>
    </row>
    <row r="96" spans="1:15">
      <c r="A96" s="163">
        <v>46183</v>
      </c>
      <c r="B96" s="164" t="s">
        <v>60</v>
      </c>
      <c r="C96" s="169">
        <v>0.5</v>
      </c>
      <c r="D96" s="169">
        <v>1</v>
      </c>
      <c r="E96" s="316">
        <v>206.944</v>
      </c>
      <c r="F96" s="10">
        <f t="shared" si="5"/>
        <v>215</v>
      </c>
      <c r="G96" s="10">
        <f t="shared" si="6"/>
        <v>-8.05600000000001</v>
      </c>
      <c r="H96" s="153">
        <f t="shared" si="7"/>
        <v>0.750009664450286</v>
      </c>
      <c r="I96" s="316">
        <v>41.39</v>
      </c>
      <c r="J96" s="105"/>
      <c r="K96" s="316">
        <v>155.21</v>
      </c>
      <c r="L96" s="10">
        <f t="shared" si="8"/>
        <v>7239.36</v>
      </c>
      <c r="M96" s="117"/>
      <c r="N96" s="150" t="s">
        <v>1654</v>
      </c>
    </row>
    <row r="97" spans="1:16">
      <c r="A97" s="163">
        <v>46183</v>
      </c>
      <c r="B97" s="164" t="s">
        <v>81</v>
      </c>
      <c r="C97" s="169">
        <v>0.56</v>
      </c>
      <c r="D97" s="169">
        <v>0.66</v>
      </c>
      <c r="E97" s="316">
        <v>47.904</v>
      </c>
      <c r="F97" s="10">
        <f t="shared" si="5"/>
        <v>43</v>
      </c>
      <c r="G97" s="10">
        <f t="shared" si="6"/>
        <v>4.90400000000001</v>
      </c>
      <c r="H97" s="153">
        <f t="shared" si="7"/>
        <v>0.750041750167001</v>
      </c>
      <c r="I97" s="316">
        <v>9.58</v>
      </c>
      <c r="J97" s="105"/>
      <c r="K97" s="316">
        <v>35.93</v>
      </c>
      <c r="L97" s="10">
        <f t="shared" si="8"/>
        <v>7203.43</v>
      </c>
      <c r="M97" s="117"/>
      <c r="N97" s="150" t="s">
        <v>1654</v>
      </c>
    </row>
    <row r="98" spans="1:16">
      <c r="A98" s="163">
        <v>46183</v>
      </c>
      <c r="B98" s="164" t="s">
        <v>117</v>
      </c>
      <c r="C98" s="169">
        <v>0.57</v>
      </c>
      <c r="D98" s="169">
        <v>0.95</v>
      </c>
      <c r="E98" s="316">
        <v>154.72</v>
      </c>
      <c r="F98" s="10">
        <f t="shared" si="5"/>
        <v>163.4</v>
      </c>
      <c r="G98" s="10">
        <f t="shared" si="6"/>
        <v>-8.68000000000001</v>
      </c>
      <c r="H98" s="153">
        <f t="shared" si="7"/>
        <v>0.75</v>
      </c>
      <c r="I98" s="316">
        <v>30.94</v>
      </c>
      <c r="J98" s="105"/>
      <c r="K98" s="316">
        <v>116.04</v>
      </c>
      <c r="L98" s="10">
        <f t="shared" si="8"/>
        <v>7087.39</v>
      </c>
      <c r="M98" s="117"/>
      <c r="N98" s="150" t="s">
        <v>1654</v>
      </c>
    </row>
    <row r="99" spans="1:16">
      <c r="A99" s="163">
        <v>46183</v>
      </c>
      <c r="B99" s="164" t="s">
        <v>127</v>
      </c>
      <c r="C99" s="169">
        <v>0.52</v>
      </c>
      <c r="D99" s="169">
        <v>1</v>
      </c>
      <c r="E99" s="316">
        <v>202.144</v>
      </c>
      <c r="F99" s="10">
        <f t="shared" si="5"/>
        <v>206.4</v>
      </c>
      <c r="G99" s="10">
        <f t="shared" si="6"/>
        <v>-4.256</v>
      </c>
      <c r="H99" s="153">
        <f t="shared" si="7"/>
        <v>0.750009893936995</v>
      </c>
      <c r="I99" s="316">
        <v>40.43</v>
      </c>
      <c r="J99" s="105"/>
      <c r="K99" s="316">
        <v>151.61</v>
      </c>
      <c r="L99" s="10">
        <f t="shared" si="8"/>
        <v>6935.78</v>
      </c>
      <c r="M99" s="117"/>
      <c r="N99" s="150" t="s">
        <v>1654</v>
      </c>
    </row>
    <row r="100" spans="1:16">
      <c r="A100" s="163">
        <v>46183</v>
      </c>
      <c r="B100" s="164" t="s">
        <v>172</v>
      </c>
      <c r="C100" s="169">
        <v>0.64</v>
      </c>
      <c r="D100" s="169">
        <v>0.84</v>
      </c>
      <c r="E100" s="316">
        <v>83.456</v>
      </c>
      <c r="F100" s="10">
        <f t="shared" si="5"/>
        <v>86</v>
      </c>
      <c r="G100" s="10">
        <f t="shared" si="6"/>
        <v>-2.54399999999998</v>
      </c>
      <c r="H100" s="153">
        <f t="shared" si="7"/>
        <v>0.749976035276074</v>
      </c>
      <c r="I100" s="316">
        <v>16.69</v>
      </c>
      <c r="J100" s="105"/>
      <c r="K100" s="316">
        <v>62.59</v>
      </c>
      <c r="L100" s="10">
        <f t="shared" si="8"/>
        <v>6873.19</v>
      </c>
      <c r="M100" s="117"/>
      <c r="N100" s="150" t="s">
        <v>1654</v>
      </c>
    </row>
    <row r="101" spans="1:16">
      <c r="A101" s="163">
        <v>46183</v>
      </c>
      <c r="B101" s="164" t="s">
        <v>54</v>
      </c>
      <c r="C101" s="169">
        <v>0.5</v>
      </c>
      <c r="D101" s="169">
        <v>0.81</v>
      </c>
      <c r="E101" s="316">
        <v>126.496</v>
      </c>
      <c r="F101" s="10">
        <f t="shared" si="5"/>
        <v>133.3</v>
      </c>
      <c r="G101" s="10">
        <f t="shared" si="6"/>
        <v>-6.80400000000002</v>
      </c>
      <c r="H101" s="153">
        <f t="shared" si="7"/>
        <v>0.749984189223375</v>
      </c>
      <c r="I101" s="316">
        <v>25.3</v>
      </c>
      <c r="J101" s="105"/>
      <c r="K101" s="316">
        <v>94.87</v>
      </c>
      <c r="L101" s="10">
        <f t="shared" si="8"/>
        <v>6778.32</v>
      </c>
      <c r="M101" s="117"/>
      <c r="N101" s="150" t="s">
        <v>1654</v>
      </c>
    </row>
    <row r="102" spans="1:16">
      <c r="A102" s="163">
        <v>46183</v>
      </c>
      <c r="B102" s="164" t="s">
        <v>99</v>
      </c>
      <c r="C102" s="169">
        <v>0.39</v>
      </c>
      <c r="D102" s="169">
        <v>0.97</v>
      </c>
      <c r="E102" s="316">
        <v>278.429</v>
      </c>
      <c r="F102" s="10">
        <f t="shared" si="5"/>
        <v>249.4</v>
      </c>
      <c r="G102" s="10">
        <f t="shared" si="6"/>
        <v>29.029</v>
      </c>
      <c r="H102" s="153">
        <f t="shared" si="7"/>
        <v>0.726001961002625</v>
      </c>
      <c r="I102" s="316">
        <v>49</v>
      </c>
      <c r="J102" s="105"/>
      <c r="K102" s="316">
        <v>202.14</v>
      </c>
      <c r="L102" s="10">
        <f t="shared" si="8"/>
        <v>6576.18</v>
      </c>
      <c r="M102" s="117"/>
      <c r="N102" s="150" t="s">
        <v>1654</v>
      </c>
    </row>
    <row r="103" spans="1:16">
      <c r="A103" s="163">
        <v>46183</v>
      </c>
      <c r="B103" s="164" t="s">
        <v>174</v>
      </c>
      <c r="C103" s="169">
        <v>0.6</v>
      </c>
      <c r="D103" s="169">
        <v>1</v>
      </c>
      <c r="E103" s="316">
        <v>174.976</v>
      </c>
      <c r="F103" s="10">
        <f t="shared" si="5"/>
        <v>172</v>
      </c>
      <c r="G103" s="10">
        <f t="shared" si="6"/>
        <v>2.976</v>
      </c>
      <c r="H103" s="153">
        <f t="shared" si="7"/>
        <v>0.750045720555962</v>
      </c>
      <c r="I103" s="316">
        <v>35</v>
      </c>
      <c r="J103" s="105"/>
      <c r="K103" s="316">
        <v>131.24</v>
      </c>
      <c r="L103" s="10">
        <f t="shared" si="8"/>
        <v>6444.94</v>
      </c>
      <c r="M103" s="117"/>
      <c r="N103" s="150" t="s">
        <v>1654</v>
      </c>
    </row>
    <row r="104" spans="1:16">
      <c r="A104" s="163">
        <v>46183</v>
      </c>
      <c r="B104" s="164" t="s">
        <v>114</v>
      </c>
      <c r="C104" s="169">
        <v>0.7</v>
      </c>
      <c r="D104" s="169">
        <v>0.91</v>
      </c>
      <c r="E104" s="316">
        <v>87.807</v>
      </c>
      <c r="F104" s="10">
        <f t="shared" si="5"/>
        <v>90.3</v>
      </c>
      <c r="G104" s="10">
        <f t="shared" si="6"/>
        <v>-2.49300000000002</v>
      </c>
      <c r="H104" s="153">
        <f t="shared" si="7"/>
        <v>0.7259102349471</v>
      </c>
      <c r="I104" s="316">
        <v>15.45</v>
      </c>
      <c r="J104" s="105"/>
      <c r="K104" s="316">
        <v>63.74</v>
      </c>
      <c r="L104" s="10">
        <f t="shared" si="8"/>
        <v>6381.2</v>
      </c>
      <c r="M104" s="117"/>
      <c r="N104" s="150" t="s">
        <v>1654</v>
      </c>
    </row>
    <row r="105" spans="1:16">
      <c r="A105" s="163">
        <v>46183</v>
      </c>
      <c r="B105" s="164" t="s">
        <v>69</v>
      </c>
      <c r="C105" s="169">
        <v>0.32</v>
      </c>
      <c r="D105" s="169">
        <v>0.66</v>
      </c>
      <c r="E105" s="316">
        <v>153.544</v>
      </c>
      <c r="F105" s="10">
        <f t="shared" si="5"/>
        <v>146.2</v>
      </c>
      <c r="G105" s="10">
        <f t="shared" si="6"/>
        <v>7.34399999999999</v>
      </c>
      <c r="H105" s="153">
        <f t="shared" si="7"/>
        <v>0.750013025582243</v>
      </c>
      <c r="I105" s="316">
        <v>30.71</v>
      </c>
      <c r="J105" s="105"/>
      <c r="K105" s="316">
        <v>115.16</v>
      </c>
      <c r="L105" s="10">
        <f t="shared" si="8"/>
        <v>6266.04</v>
      </c>
      <c r="M105" s="117"/>
      <c r="N105" s="150" t="s">
        <v>1654</v>
      </c>
    </row>
    <row r="106" spans="1:16">
      <c r="A106" s="163">
        <v>46183</v>
      </c>
      <c r="B106" s="164" t="s">
        <v>78</v>
      </c>
      <c r="C106" s="169">
        <v>0.59</v>
      </c>
      <c r="D106" s="169">
        <v>0.68</v>
      </c>
      <c r="E106" s="316">
        <v>42.72</v>
      </c>
      <c r="F106" s="10">
        <f t="shared" si="5"/>
        <v>38.7</v>
      </c>
      <c r="G106" s="10">
        <f t="shared" si="6"/>
        <v>4.01999999999997</v>
      </c>
      <c r="H106" s="153">
        <f t="shared" si="7"/>
        <v>0.75</v>
      </c>
      <c r="I106" s="316">
        <v>8.54</v>
      </c>
      <c r="J106" s="105"/>
      <c r="K106" s="316">
        <v>32.04</v>
      </c>
      <c r="L106" s="10">
        <f t="shared" si="8"/>
        <v>6234</v>
      </c>
      <c r="M106" s="117"/>
      <c r="N106" s="150" t="s">
        <v>1654</v>
      </c>
    </row>
    <row r="107" spans="1:16">
      <c r="A107" s="173">
        <v>46184</v>
      </c>
      <c r="B107" s="174" t="s">
        <v>51</v>
      </c>
      <c r="C107" s="175">
        <v>0.28</v>
      </c>
      <c r="D107" s="175">
        <v>1</v>
      </c>
      <c r="E107" s="318">
        <v>293.056</v>
      </c>
      <c r="F107" s="10">
        <f t="shared" si="5"/>
        <v>309.6</v>
      </c>
      <c r="G107" s="10">
        <f t="shared" si="6"/>
        <v>-16.544</v>
      </c>
      <c r="H107" s="153">
        <f t="shared" si="7"/>
        <v>0.7499931753658</v>
      </c>
      <c r="I107" s="318">
        <v>58.61</v>
      </c>
      <c r="J107" s="318"/>
      <c r="K107" s="318">
        <v>219.79</v>
      </c>
      <c r="L107" s="10">
        <f t="shared" si="8"/>
        <v>6014.21</v>
      </c>
      <c r="N107" s="150" t="s">
        <v>1654</v>
      </c>
      <c r="O107" s="117"/>
      <c r="P107" s="150"/>
    </row>
    <row r="108" spans="1:16">
      <c r="A108" s="178">
        <v>46184</v>
      </c>
      <c r="B108" s="179" t="s">
        <v>69</v>
      </c>
      <c r="C108" s="175">
        <v>0.26</v>
      </c>
      <c r="D108" s="175">
        <v>0.98</v>
      </c>
      <c r="E108" s="319">
        <v>340.842</v>
      </c>
      <c r="F108" s="10">
        <f t="shared" si="5"/>
        <v>309.6</v>
      </c>
      <c r="G108" s="10">
        <f t="shared" si="6"/>
        <v>31.242</v>
      </c>
      <c r="H108" s="153">
        <f t="shared" si="7"/>
        <v>0.725996209387341</v>
      </c>
      <c r="I108" s="319">
        <v>59.99</v>
      </c>
      <c r="J108" s="319"/>
      <c r="K108" s="319">
        <v>247.45</v>
      </c>
      <c r="L108" s="10">
        <f t="shared" si="8"/>
        <v>5766.76</v>
      </c>
      <c r="N108" s="150" t="s">
        <v>1654</v>
      </c>
      <c r="O108" s="117"/>
      <c r="P108" s="150"/>
    </row>
    <row r="109" spans="1:16">
      <c r="A109" s="178">
        <v>46184</v>
      </c>
      <c r="B109" s="179" t="s">
        <v>57</v>
      </c>
      <c r="C109" s="175">
        <v>0.6</v>
      </c>
      <c r="D109" s="175">
        <v>0.84</v>
      </c>
      <c r="E109" s="319">
        <v>95.744</v>
      </c>
      <c r="F109" s="10">
        <f t="shared" si="5"/>
        <v>103.2</v>
      </c>
      <c r="G109" s="10">
        <f t="shared" si="6"/>
        <v>-7.456</v>
      </c>
      <c r="H109" s="153">
        <f t="shared" si="7"/>
        <v>0.750020889037433</v>
      </c>
      <c r="I109" s="319">
        <v>19.15</v>
      </c>
      <c r="J109" s="319"/>
      <c r="K109" s="319">
        <v>71.81</v>
      </c>
      <c r="L109" s="10">
        <f t="shared" si="8"/>
        <v>5694.95</v>
      </c>
      <c r="N109" s="150" t="s">
        <v>1654</v>
      </c>
      <c r="O109" s="117"/>
      <c r="P109" s="150"/>
    </row>
    <row r="110" spans="1:16">
      <c r="A110" s="178">
        <v>46184</v>
      </c>
      <c r="B110" s="179" t="s">
        <v>166</v>
      </c>
      <c r="C110" s="175">
        <v>0.01</v>
      </c>
      <c r="D110" s="175">
        <v>1</v>
      </c>
      <c r="E110" s="319">
        <v>434.4</v>
      </c>
      <c r="F110" s="10">
        <f t="shared" si="5"/>
        <v>425.7</v>
      </c>
      <c r="G110" s="10">
        <f t="shared" si="6"/>
        <v>8.69999999999999</v>
      </c>
      <c r="H110" s="153">
        <f t="shared" si="7"/>
        <v>0.75</v>
      </c>
      <c r="I110" s="319">
        <v>86.88</v>
      </c>
      <c r="J110" s="319"/>
      <c r="K110" s="319">
        <v>325.8</v>
      </c>
      <c r="L110" s="10">
        <f t="shared" si="8"/>
        <v>5369.15</v>
      </c>
      <c r="N110" s="150" t="s">
        <v>1654</v>
      </c>
      <c r="O110" s="117"/>
      <c r="P110" s="150"/>
    </row>
    <row r="111" spans="1:16">
      <c r="A111" s="178">
        <v>46184</v>
      </c>
      <c r="B111" s="179" t="s">
        <v>111</v>
      </c>
      <c r="C111" s="175">
        <v>0.43</v>
      </c>
      <c r="D111" s="175">
        <v>0.86</v>
      </c>
      <c r="E111" s="319">
        <v>172.96</v>
      </c>
      <c r="F111" s="10">
        <f t="shared" si="5"/>
        <v>184.9</v>
      </c>
      <c r="G111" s="10">
        <f t="shared" si="6"/>
        <v>-11.94</v>
      </c>
      <c r="H111" s="153">
        <f t="shared" si="7"/>
        <v>0.75</v>
      </c>
      <c r="I111" s="319">
        <v>34.59</v>
      </c>
      <c r="J111" s="319"/>
      <c r="K111" s="319">
        <v>129.72</v>
      </c>
      <c r="L111" s="10">
        <f t="shared" si="8"/>
        <v>5239.43</v>
      </c>
      <c r="N111" s="150" t="s">
        <v>1654</v>
      </c>
      <c r="O111" s="117"/>
      <c r="P111" s="150"/>
    </row>
    <row r="112" spans="1:16">
      <c r="A112" s="178">
        <v>46184</v>
      </c>
      <c r="B112" s="179" t="s">
        <v>180</v>
      </c>
      <c r="C112" s="175">
        <v>0.41</v>
      </c>
      <c r="D112" s="175">
        <v>0.71</v>
      </c>
      <c r="E112" s="319">
        <v>131.84</v>
      </c>
      <c r="F112" s="10">
        <f t="shared" si="5"/>
        <v>129</v>
      </c>
      <c r="G112" s="10">
        <f t="shared" si="6"/>
        <v>2.84</v>
      </c>
      <c r="H112" s="153">
        <f t="shared" si="7"/>
        <v>0.75</v>
      </c>
      <c r="I112" s="319">
        <v>26.37</v>
      </c>
      <c r="J112" s="319"/>
      <c r="K112" s="319">
        <v>98.88</v>
      </c>
      <c r="L112" s="10">
        <f t="shared" si="8"/>
        <v>5140.55</v>
      </c>
      <c r="N112" s="150" t="s">
        <v>1654</v>
      </c>
      <c r="O112" s="117"/>
      <c r="P112" s="150"/>
    </row>
    <row r="113" spans="1:16">
      <c r="A113" s="178">
        <v>46184</v>
      </c>
      <c r="B113" s="179" t="s">
        <v>108</v>
      </c>
      <c r="C113" s="175">
        <v>0.45</v>
      </c>
      <c r="D113" s="175">
        <v>0.62</v>
      </c>
      <c r="E113" s="319">
        <v>80.324</v>
      </c>
      <c r="F113" s="10">
        <f t="shared" si="5"/>
        <v>73.1</v>
      </c>
      <c r="G113" s="10">
        <f t="shared" si="6"/>
        <v>7.224</v>
      </c>
      <c r="H113" s="153">
        <f t="shared" si="7"/>
        <v>0.726059459190279</v>
      </c>
      <c r="I113" s="319">
        <v>14.14</v>
      </c>
      <c r="J113" s="319"/>
      <c r="K113" s="319">
        <v>58.32</v>
      </c>
      <c r="L113" s="10">
        <f t="shared" si="8"/>
        <v>5082.23</v>
      </c>
      <c r="N113" s="150" t="s">
        <v>1654</v>
      </c>
      <c r="O113" s="117"/>
      <c r="P113" s="150"/>
    </row>
    <row r="114" spans="1:16">
      <c r="A114" s="178">
        <v>46184</v>
      </c>
      <c r="B114" s="179" t="s">
        <v>132</v>
      </c>
      <c r="C114" s="175">
        <v>0.39</v>
      </c>
      <c r="D114" s="175">
        <v>1</v>
      </c>
      <c r="E114" s="319">
        <v>269.907</v>
      </c>
      <c r="F114" s="10">
        <f t="shared" si="5"/>
        <v>262.3</v>
      </c>
      <c r="G114" s="10">
        <f t="shared" si="6"/>
        <v>7.60699999999997</v>
      </c>
      <c r="H114" s="153">
        <f t="shared" si="7"/>
        <v>0.725990804239979</v>
      </c>
      <c r="I114" s="319">
        <v>47.5</v>
      </c>
      <c r="J114" s="319"/>
      <c r="K114" s="319">
        <v>195.95</v>
      </c>
      <c r="L114" s="10">
        <f t="shared" si="8"/>
        <v>4886.28</v>
      </c>
      <c r="N114" s="150" t="s">
        <v>1654</v>
      </c>
      <c r="O114" s="117"/>
      <c r="P114" s="150"/>
    </row>
    <row r="115" spans="1:16">
      <c r="A115" s="178">
        <v>46184</v>
      </c>
      <c r="B115" s="179" t="s">
        <v>338</v>
      </c>
      <c r="C115" s="175">
        <v>0.6</v>
      </c>
      <c r="D115" s="175">
        <v>0.98</v>
      </c>
      <c r="E115" s="319">
        <v>167.168</v>
      </c>
      <c r="F115" s="10">
        <f t="shared" si="5"/>
        <v>163.4</v>
      </c>
      <c r="G115" s="10">
        <f t="shared" si="6"/>
        <v>3.768</v>
      </c>
      <c r="H115" s="153">
        <f t="shared" si="7"/>
        <v>0.749964107963247</v>
      </c>
      <c r="I115" s="319">
        <v>33.43</v>
      </c>
      <c r="J115" s="319"/>
      <c r="K115" s="319">
        <v>125.37</v>
      </c>
      <c r="L115" s="10">
        <f t="shared" si="8"/>
        <v>4760.91</v>
      </c>
      <c r="N115" s="150" t="s">
        <v>1654</v>
      </c>
      <c r="O115" s="117"/>
      <c r="P115" s="150"/>
    </row>
    <row r="116" spans="1:16">
      <c r="A116" s="178">
        <v>46184</v>
      </c>
      <c r="B116" s="179" t="s">
        <v>96</v>
      </c>
      <c r="C116" s="175">
        <v>0.73</v>
      </c>
      <c r="D116" s="175">
        <v>0.82</v>
      </c>
      <c r="E116" s="319">
        <v>38.389</v>
      </c>
      <c r="F116" s="10">
        <f t="shared" si="5"/>
        <v>38.7</v>
      </c>
      <c r="G116" s="10">
        <f t="shared" si="6"/>
        <v>-0.310999999999986</v>
      </c>
      <c r="H116" s="153">
        <f t="shared" si="7"/>
        <v>0.725989215660736</v>
      </c>
      <c r="I116" s="319">
        <v>6.76</v>
      </c>
      <c r="J116" s="319"/>
      <c r="K116" s="319">
        <v>27.87</v>
      </c>
      <c r="L116" s="10">
        <f t="shared" si="8"/>
        <v>4733.04</v>
      </c>
      <c r="N116" s="150" t="s">
        <v>1654</v>
      </c>
      <c r="O116" s="117"/>
      <c r="P116" s="150"/>
    </row>
    <row r="117" spans="1:16">
      <c r="A117" s="178">
        <v>46184</v>
      </c>
      <c r="B117" s="179" t="s">
        <v>160</v>
      </c>
      <c r="C117" s="175">
        <v>0.6</v>
      </c>
      <c r="D117" s="175">
        <v>0.71</v>
      </c>
      <c r="E117" s="319">
        <v>50.408</v>
      </c>
      <c r="F117" s="10">
        <f t="shared" si="5"/>
        <v>47.3</v>
      </c>
      <c r="G117" s="10">
        <f t="shared" si="6"/>
        <v>3.108</v>
      </c>
      <c r="H117" s="153">
        <f t="shared" si="7"/>
        <v>0.749880971274401</v>
      </c>
      <c r="I117" s="319">
        <v>10.08</v>
      </c>
      <c r="J117" s="319"/>
      <c r="K117" s="319">
        <v>37.8</v>
      </c>
      <c r="L117" s="10">
        <f t="shared" si="8"/>
        <v>4695.24</v>
      </c>
      <c r="N117" s="150" t="s">
        <v>1654</v>
      </c>
      <c r="O117" s="117"/>
      <c r="P117" s="150"/>
    </row>
    <row r="118" spans="1:16">
      <c r="A118" s="173">
        <v>46185</v>
      </c>
      <c r="B118" s="174" t="s">
        <v>124</v>
      </c>
      <c r="C118" s="175">
        <v>0.5</v>
      </c>
      <c r="D118" s="175">
        <v>0.92</v>
      </c>
      <c r="E118" s="318">
        <v>176.128</v>
      </c>
      <c r="F118" s="10">
        <f t="shared" si="5"/>
        <v>180.6</v>
      </c>
      <c r="G118" s="10">
        <f t="shared" si="6"/>
        <v>-4.47200000000004</v>
      </c>
      <c r="H118" s="153">
        <f t="shared" si="7"/>
        <v>0.750022710755814</v>
      </c>
      <c r="I118" s="318">
        <v>35.23</v>
      </c>
      <c r="J118" s="318">
        <v>10000</v>
      </c>
      <c r="K118" s="318">
        <v>132.1</v>
      </c>
      <c r="L118" s="10">
        <f t="shared" si="8"/>
        <v>14563.14</v>
      </c>
      <c r="N118" s="150" t="s">
        <v>1654</v>
      </c>
      <c r="O118" s="117"/>
      <c r="P118" s="150"/>
    </row>
    <row r="119" spans="1:16">
      <c r="A119" s="178">
        <v>46185</v>
      </c>
      <c r="B119" s="179" t="s">
        <v>60</v>
      </c>
      <c r="C119" s="175">
        <v>0.61</v>
      </c>
      <c r="D119" s="175">
        <v>1</v>
      </c>
      <c r="E119" s="319">
        <v>160.736</v>
      </c>
      <c r="F119" s="10">
        <f t="shared" si="5"/>
        <v>167.7</v>
      </c>
      <c r="G119" s="10">
        <f t="shared" si="6"/>
        <v>-6.96400000000003</v>
      </c>
      <c r="H119" s="153">
        <f t="shared" si="7"/>
        <v>0.749987557236711</v>
      </c>
      <c r="I119" s="319">
        <v>32.15</v>
      </c>
      <c r="J119" s="319"/>
      <c r="K119" s="319">
        <v>120.55</v>
      </c>
      <c r="L119" s="10">
        <f t="shared" si="8"/>
        <v>14442.59</v>
      </c>
      <c r="N119" s="150" t="s">
        <v>1654</v>
      </c>
      <c r="O119" s="117"/>
      <c r="P119" s="150"/>
    </row>
    <row r="120" spans="1:16">
      <c r="A120" s="178">
        <v>46185</v>
      </c>
      <c r="B120" s="179" t="s">
        <v>141</v>
      </c>
      <c r="C120" s="175">
        <v>0.53</v>
      </c>
      <c r="D120" s="175">
        <v>1</v>
      </c>
      <c r="E120" s="319">
        <v>206.336</v>
      </c>
      <c r="F120" s="10">
        <f t="shared" si="5"/>
        <v>202.1</v>
      </c>
      <c r="G120" s="10">
        <f t="shared" si="6"/>
        <v>4.23600000000002</v>
      </c>
      <c r="H120" s="153">
        <f t="shared" si="7"/>
        <v>0.74999030707196</v>
      </c>
      <c r="I120" s="319">
        <v>41.27</v>
      </c>
      <c r="J120" s="319"/>
      <c r="K120" s="319">
        <v>154.75</v>
      </c>
      <c r="L120" s="10">
        <f t="shared" si="8"/>
        <v>14287.84</v>
      </c>
      <c r="N120" s="150" t="s">
        <v>1654</v>
      </c>
      <c r="O120" s="117"/>
      <c r="P120" s="150"/>
    </row>
    <row r="121" spans="1:16">
      <c r="A121" s="178">
        <v>46185</v>
      </c>
      <c r="B121" s="179" t="s">
        <v>63</v>
      </c>
      <c r="C121" s="175">
        <v>0.59</v>
      </c>
      <c r="D121" s="175">
        <v>1</v>
      </c>
      <c r="E121" s="319">
        <v>189.472</v>
      </c>
      <c r="F121" s="10">
        <f t="shared" si="5"/>
        <v>176.3</v>
      </c>
      <c r="G121" s="10">
        <f t="shared" si="6"/>
        <v>13.172</v>
      </c>
      <c r="H121" s="153">
        <f t="shared" si="7"/>
        <v>0.749978888701233</v>
      </c>
      <c r="I121" s="319">
        <v>37.89</v>
      </c>
      <c r="J121" s="319"/>
      <c r="K121" s="319">
        <v>142.1</v>
      </c>
      <c r="L121" s="10">
        <f t="shared" si="8"/>
        <v>14145.74</v>
      </c>
      <c r="N121" s="150" t="s">
        <v>1654</v>
      </c>
      <c r="O121" s="117"/>
      <c r="P121" s="150"/>
    </row>
    <row r="122" spans="1:16">
      <c r="A122" s="178">
        <v>46185</v>
      </c>
      <c r="B122" s="179" t="s">
        <v>144</v>
      </c>
      <c r="C122" s="175">
        <v>0.51</v>
      </c>
      <c r="D122" s="175">
        <v>1</v>
      </c>
      <c r="E122" s="319">
        <v>213.792</v>
      </c>
      <c r="F122" s="10">
        <f t="shared" si="5"/>
        <v>210.7</v>
      </c>
      <c r="G122" s="10">
        <f t="shared" si="6"/>
        <v>3.09200000000001</v>
      </c>
      <c r="H122" s="153">
        <f t="shared" si="7"/>
        <v>0.750028064660979</v>
      </c>
      <c r="I122" s="319">
        <v>42.76</v>
      </c>
      <c r="J122" s="319"/>
      <c r="K122" s="319">
        <v>160.35</v>
      </c>
      <c r="L122" s="10">
        <f t="shared" si="8"/>
        <v>13985.39</v>
      </c>
      <c r="N122" s="150" t="s">
        <v>1654</v>
      </c>
      <c r="O122" s="117"/>
      <c r="P122" s="150"/>
    </row>
    <row r="123" spans="1:16">
      <c r="A123" s="178">
        <v>46185</v>
      </c>
      <c r="B123" s="179" t="s">
        <v>151</v>
      </c>
      <c r="C123" s="175">
        <v>0.54</v>
      </c>
      <c r="D123" s="175">
        <v>0.9</v>
      </c>
      <c r="E123" s="319">
        <v>160.992</v>
      </c>
      <c r="F123" s="10">
        <f t="shared" si="5"/>
        <v>154.8</v>
      </c>
      <c r="G123" s="10">
        <f t="shared" si="6"/>
        <v>6.19200000000001</v>
      </c>
      <c r="H123" s="153">
        <f t="shared" si="7"/>
        <v>0.750037268932618</v>
      </c>
      <c r="I123" s="319">
        <v>32.2</v>
      </c>
      <c r="J123" s="319"/>
      <c r="K123" s="319">
        <v>120.75</v>
      </c>
      <c r="L123" s="10">
        <f t="shared" si="8"/>
        <v>13864.64</v>
      </c>
      <c r="N123" s="150" t="s">
        <v>1654</v>
      </c>
      <c r="O123" s="117"/>
      <c r="P123" s="150"/>
    </row>
    <row r="124" spans="1:16">
      <c r="A124" s="178">
        <v>46185</v>
      </c>
      <c r="B124" s="179" t="s">
        <v>172</v>
      </c>
      <c r="C124" s="175">
        <v>0.58</v>
      </c>
      <c r="D124" s="175">
        <v>0.82</v>
      </c>
      <c r="E124" s="319">
        <v>98.016</v>
      </c>
      <c r="F124" s="10">
        <f t="shared" si="5"/>
        <v>103.2</v>
      </c>
      <c r="G124" s="10">
        <f t="shared" si="6"/>
        <v>-5.184</v>
      </c>
      <c r="H124" s="153">
        <f t="shared" si="7"/>
        <v>0.749979595168136</v>
      </c>
      <c r="I124" s="319">
        <v>19.6</v>
      </c>
      <c r="J124" s="319"/>
      <c r="K124" s="319">
        <v>73.51</v>
      </c>
      <c r="L124" s="10">
        <f t="shared" si="8"/>
        <v>13791.13</v>
      </c>
      <c r="N124" s="150" t="s">
        <v>1654</v>
      </c>
      <c r="O124" s="117"/>
      <c r="P124" s="150"/>
    </row>
    <row r="125" spans="1:16">
      <c r="A125" s="178">
        <v>46185</v>
      </c>
      <c r="B125" s="179" t="s">
        <v>72</v>
      </c>
      <c r="C125" s="175">
        <v>0.79</v>
      </c>
      <c r="D125" s="175">
        <v>0.95</v>
      </c>
      <c r="E125" s="319">
        <v>87.662</v>
      </c>
      <c r="F125" s="10">
        <f t="shared" si="5"/>
        <v>68.8</v>
      </c>
      <c r="G125" s="10">
        <f t="shared" si="6"/>
        <v>18.862</v>
      </c>
      <c r="H125" s="153">
        <f t="shared" si="7"/>
        <v>0.725970203737081</v>
      </c>
      <c r="I125" s="319">
        <v>15.43</v>
      </c>
      <c r="J125" s="319"/>
      <c r="K125" s="319">
        <v>63.64</v>
      </c>
      <c r="L125" s="10">
        <f t="shared" si="8"/>
        <v>13727.49</v>
      </c>
      <c r="N125" s="150" t="s">
        <v>1654</v>
      </c>
      <c r="O125" s="117"/>
      <c r="P125" s="150"/>
    </row>
    <row r="126" spans="1:16">
      <c r="A126" s="178">
        <v>46185</v>
      </c>
      <c r="B126" s="179" t="s">
        <v>135</v>
      </c>
      <c r="C126" s="175">
        <v>0.68</v>
      </c>
      <c r="D126" s="175">
        <v>1</v>
      </c>
      <c r="E126" s="319">
        <v>142.634</v>
      </c>
      <c r="F126" s="10">
        <f t="shared" si="5"/>
        <v>137.6</v>
      </c>
      <c r="G126" s="10">
        <f t="shared" si="6"/>
        <v>5.03400000000002</v>
      </c>
      <c r="H126" s="153">
        <f t="shared" si="7"/>
        <v>0.725983986987675</v>
      </c>
      <c r="I126" s="319">
        <v>25.1</v>
      </c>
      <c r="J126" s="319"/>
      <c r="K126" s="319">
        <v>103.55</v>
      </c>
      <c r="L126" s="10">
        <f t="shared" si="8"/>
        <v>13623.94</v>
      </c>
      <c r="N126" s="150" t="s">
        <v>1654</v>
      </c>
      <c r="O126" s="117"/>
      <c r="P126" s="150"/>
    </row>
    <row r="127" spans="1:16">
      <c r="A127" s="178">
        <v>46185</v>
      </c>
      <c r="B127" s="179" t="s">
        <v>130</v>
      </c>
      <c r="C127" s="175">
        <v>0.62</v>
      </c>
      <c r="D127" s="175">
        <v>0.83</v>
      </c>
      <c r="E127" s="319">
        <v>89.152</v>
      </c>
      <c r="F127" s="10">
        <f t="shared" si="5"/>
        <v>90.3</v>
      </c>
      <c r="G127" s="10">
        <f t="shared" si="6"/>
        <v>-1.14799999999998</v>
      </c>
      <c r="H127" s="153">
        <f t="shared" si="7"/>
        <v>0.749955132806892</v>
      </c>
      <c r="I127" s="319">
        <v>17.83</v>
      </c>
      <c r="J127" s="319"/>
      <c r="K127" s="319">
        <v>66.86</v>
      </c>
      <c r="L127" s="10">
        <f t="shared" si="8"/>
        <v>13557.08</v>
      </c>
      <c r="N127" s="150" t="s">
        <v>1654</v>
      </c>
      <c r="O127" s="117"/>
      <c r="P127" s="150"/>
    </row>
    <row r="128" spans="1:16">
      <c r="A128" s="178">
        <v>46185</v>
      </c>
      <c r="B128" s="179" t="s">
        <v>138</v>
      </c>
      <c r="C128" s="175">
        <v>0.58</v>
      </c>
      <c r="D128" s="175">
        <v>0.7</v>
      </c>
      <c r="E128" s="319">
        <v>52.48</v>
      </c>
      <c r="F128" s="10">
        <f t="shared" si="5"/>
        <v>51.6</v>
      </c>
      <c r="G128" s="10">
        <f t="shared" si="6"/>
        <v>0.879999999999995</v>
      </c>
      <c r="H128" s="153">
        <f t="shared" si="7"/>
        <v>0.75</v>
      </c>
      <c r="I128" s="319">
        <v>10.5</v>
      </c>
      <c r="J128" s="319"/>
      <c r="K128" s="319">
        <v>39.36</v>
      </c>
      <c r="L128" s="10">
        <f t="shared" si="8"/>
        <v>13517.72</v>
      </c>
      <c r="N128" s="150" t="s">
        <v>1654</v>
      </c>
      <c r="O128" s="117"/>
      <c r="P128" s="150"/>
    </row>
    <row r="129" spans="1:16">
      <c r="A129" s="178">
        <v>46185</v>
      </c>
      <c r="B129" s="179" t="s">
        <v>108</v>
      </c>
      <c r="C129" s="175">
        <v>0.24</v>
      </c>
      <c r="D129" s="175">
        <v>0.86</v>
      </c>
      <c r="E129" s="319">
        <v>289.972</v>
      </c>
      <c r="F129" s="10">
        <f t="shared" si="5"/>
        <v>266.6</v>
      </c>
      <c r="G129" s="10">
        <f t="shared" si="6"/>
        <v>23.372</v>
      </c>
      <c r="H129" s="153">
        <f t="shared" si="7"/>
        <v>0.726001131143697</v>
      </c>
      <c r="I129" s="319">
        <v>51.04</v>
      </c>
      <c r="J129" s="319"/>
      <c r="K129" s="319">
        <v>210.52</v>
      </c>
      <c r="L129" s="10">
        <f t="shared" si="8"/>
        <v>13307.2</v>
      </c>
      <c r="N129" s="150" t="s">
        <v>1654</v>
      </c>
      <c r="O129" s="117"/>
      <c r="P129" s="150"/>
    </row>
    <row r="130" spans="1:16">
      <c r="A130" s="178">
        <v>46185</v>
      </c>
      <c r="B130" s="179" t="s">
        <v>84</v>
      </c>
      <c r="C130" s="175">
        <v>0.78</v>
      </c>
      <c r="D130" s="175">
        <v>0.94</v>
      </c>
      <c r="E130" s="319">
        <v>72.172</v>
      </c>
      <c r="F130" s="10">
        <f t="shared" si="5"/>
        <v>68.8</v>
      </c>
      <c r="G130" s="10">
        <f t="shared" si="6"/>
        <v>3.37200000000003</v>
      </c>
      <c r="H130" s="153">
        <f t="shared" si="7"/>
        <v>0.725904783018345</v>
      </c>
      <c r="I130" s="319">
        <v>12.7</v>
      </c>
      <c r="J130" s="319"/>
      <c r="K130" s="319">
        <v>52.39</v>
      </c>
      <c r="L130" s="10">
        <f t="shared" si="8"/>
        <v>13254.81</v>
      </c>
      <c r="N130" s="150" t="s">
        <v>1654</v>
      </c>
      <c r="O130" s="117"/>
      <c r="P130" s="150"/>
    </row>
    <row r="131" spans="1:16">
      <c r="A131" s="173">
        <v>46186</v>
      </c>
      <c r="B131" s="174" t="s">
        <v>75</v>
      </c>
      <c r="C131" s="175">
        <v>0.18</v>
      </c>
      <c r="D131" s="175">
        <v>1</v>
      </c>
      <c r="E131" s="318">
        <v>366.347</v>
      </c>
      <c r="F131" s="10">
        <f t="shared" ref="F131:F194" si="9">430*(D131-C131)</f>
        <v>352.6</v>
      </c>
      <c r="G131" s="10">
        <f t="shared" ref="G131:G194" si="10">E131-F131</f>
        <v>13.747</v>
      </c>
      <c r="H131" s="153">
        <f t="shared" ref="H131:H144" si="11">K131/E131</f>
        <v>0.72600567221787</v>
      </c>
      <c r="I131" s="318">
        <v>64.48</v>
      </c>
      <c r="K131" s="318">
        <v>265.97</v>
      </c>
      <c r="L131" s="10">
        <f t="shared" ref="L131:L194" si="12">L130+J131-K131</f>
        <v>12988.84</v>
      </c>
      <c r="M131" s="117"/>
      <c r="N131" s="150" t="s">
        <v>1654</v>
      </c>
    </row>
    <row r="132" spans="1:16">
      <c r="A132" s="178">
        <v>46186</v>
      </c>
      <c r="B132" s="179" t="s">
        <v>114</v>
      </c>
      <c r="C132" s="175">
        <v>0.15</v>
      </c>
      <c r="D132" s="175">
        <v>0.99</v>
      </c>
      <c r="E132" s="319">
        <v>334.304</v>
      </c>
      <c r="F132" s="10">
        <f t="shared" si="9"/>
        <v>361.2</v>
      </c>
      <c r="G132" s="10">
        <f t="shared" si="10"/>
        <v>-26.896</v>
      </c>
      <c r="H132" s="153">
        <f t="shared" si="11"/>
        <v>0.750005982578731</v>
      </c>
      <c r="I132" s="319">
        <v>66.86</v>
      </c>
      <c r="K132" s="319">
        <v>250.73</v>
      </c>
      <c r="L132" s="10">
        <f t="shared" si="12"/>
        <v>12738.11</v>
      </c>
      <c r="M132" s="117"/>
      <c r="N132" s="150" t="s">
        <v>1654</v>
      </c>
    </row>
    <row r="133" spans="1:16">
      <c r="A133" s="178">
        <v>46186</v>
      </c>
      <c r="B133" s="179" t="s">
        <v>183</v>
      </c>
      <c r="C133" s="175">
        <v>0.59</v>
      </c>
      <c r="D133" s="175">
        <v>0.99</v>
      </c>
      <c r="E133" s="319">
        <v>179.072</v>
      </c>
      <c r="F133" s="10">
        <f t="shared" si="9"/>
        <v>172</v>
      </c>
      <c r="G133" s="10">
        <f t="shared" si="10"/>
        <v>7.072</v>
      </c>
      <c r="H133" s="153">
        <f t="shared" si="11"/>
        <v>0.749977662616154</v>
      </c>
      <c r="I133" s="319">
        <v>35.81</v>
      </c>
      <c r="K133" s="319">
        <v>134.3</v>
      </c>
      <c r="L133" s="10">
        <f t="shared" si="12"/>
        <v>12603.81</v>
      </c>
      <c r="M133" s="117"/>
      <c r="N133" s="150" t="s">
        <v>1654</v>
      </c>
    </row>
    <row r="134" spans="1:16">
      <c r="A134" s="178">
        <v>46186</v>
      </c>
      <c r="B134" s="179" t="s">
        <v>54</v>
      </c>
      <c r="C134" s="175">
        <v>0.5</v>
      </c>
      <c r="D134" s="175">
        <v>0.65</v>
      </c>
      <c r="E134" s="319">
        <v>60.952</v>
      </c>
      <c r="F134" s="10">
        <f t="shared" si="9"/>
        <v>64.5</v>
      </c>
      <c r="G134" s="10">
        <f t="shared" si="10"/>
        <v>-3.54800000000002</v>
      </c>
      <c r="H134" s="153">
        <f t="shared" si="11"/>
        <v>0.749934374589841</v>
      </c>
      <c r="I134" s="319">
        <v>12.19</v>
      </c>
      <c r="K134" s="319">
        <v>45.71</v>
      </c>
      <c r="L134" s="10">
        <f t="shared" si="12"/>
        <v>12558.1</v>
      </c>
      <c r="M134" s="117"/>
      <c r="N134" s="150" t="s">
        <v>1654</v>
      </c>
    </row>
    <row r="135" spans="1:16">
      <c r="A135" s="178">
        <v>46186</v>
      </c>
      <c r="B135" s="179" t="s">
        <v>69</v>
      </c>
      <c r="C135" s="175">
        <v>0.63</v>
      </c>
      <c r="D135" s="175">
        <v>0.7</v>
      </c>
      <c r="E135" s="319">
        <v>29.752</v>
      </c>
      <c r="F135" s="10">
        <f t="shared" si="9"/>
        <v>30.1</v>
      </c>
      <c r="G135" s="10">
        <f t="shared" si="10"/>
        <v>-0.347999999999981</v>
      </c>
      <c r="H135" s="153">
        <f t="shared" si="11"/>
        <v>0.749865555256789</v>
      </c>
      <c r="I135" s="319">
        <v>5.95</v>
      </c>
      <c r="K135" s="319">
        <v>22.31</v>
      </c>
      <c r="L135" s="10">
        <f t="shared" si="12"/>
        <v>12535.79</v>
      </c>
      <c r="M135" s="117"/>
      <c r="N135" s="150" t="s">
        <v>1654</v>
      </c>
    </row>
    <row r="136" spans="1:16">
      <c r="A136" s="178">
        <v>46186</v>
      </c>
      <c r="B136" s="179" t="s">
        <v>51</v>
      </c>
      <c r="C136" s="175">
        <v>0.72</v>
      </c>
      <c r="D136" s="175">
        <v>1</v>
      </c>
      <c r="E136" s="319">
        <v>113.116</v>
      </c>
      <c r="F136" s="10">
        <f t="shared" si="9"/>
        <v>120.4</v>
      </c>
      <c r="G136" s="10">
        <f t="shared" si="10"/>
        <v>-7.28400000000001</v>
      </c>
      <c r="H136" s="153">
        <f t="shared" si="11"/>
        <v>0.725980409491142</v>
      </c>
      <c r="I136" s="319">
        <v>19.91</v>
      </c>
      <c r="K136" s="319">
        <v>82.12</v>
      </c>
      <c r="L136" s="10">
        <f t="shared" si="12"/>
        <v>12453.67</v>
      </c>
      <c r="M136" s="117"/>
      <c r="N136" s="150" t="s">
        <v>1654</v>
      </c>
    </row>
    <row r="137" spans="1:16">
      <c r="A137" s="178">
        <v>46186</v>
      </c>
      <c r="B137" s="179" t="s">
        <v>127</v>
      </c>
      <c r="C137" s="175">
        <v>0.57</v>
      </c>
      <c r="D137" s="175">
        <v>0.79</v>
      </c>
      <c r="E137" s="319">
        <v>90.816</v>
      </c>
      <c r="F137" s="10">
        <f t="shared" si="9"/>
        <v>94.6</v>
      </c>
      <c r="G137" s="10">
        <f t="shared" si="10"/>
        <v>-3.78400000000003</v>
      </c>
      <c r="H137" s="153">
        <f t="shared" si="11"/>
        <v>0.749977977448908</v>
      </c>
      <c r="I137" s="319">
        <v>18.16</v>
      </c>
      <c r="K137" s="319">
        <v>68.11</v>
      </c>
      <c r="L137" s="10">
        <f t="shared" si="12"/>
        <v>12385.56</v>
      </c>
      <c r="M137" s="117"/>
      <c r="N137" s="150" t="s">
        <v>1654</v>
      </c>
    </row>
    <row r="138" spans="1:16">
      <c r="A138" s="178">
        <v>46186</v>
      </c>
      <c r="B138" s="179" t="s">
        <v>117</v>
      </c>
      <c r="C138" s="175">
        <v>0.56</v>
      </c>
      <c r="D138" s="175">
        <v>1</v>
      </c>
      <c r="E138" s="319">
        <v>184.864</v>
      </c>
      <c r="F138" s="10">
        <f t="shared" si="9"/>
        <v>189.2</v>
      </c>
      <c r="G138" s="10">
        <f t="shared" si="10"/>
        <v>-4.33599999999998</v>
      </c>
      <c r="H138" s="153">
        <f t="shared" si="11"/>
        <v>0.750010818764064</v>
      </c>
      <c r="I138" s="319">
        <v>36.97</v>
      </c>
      <c r="K138" s="319">
        <v>138.65</v>
      </c>
      <c r="L138" s="10">
        <f t="shared" si="12"/>
        <v>12246.91</v>
      </c>
      <c r="M138" s="117"/>
      <c r="N138" s="150" t="s">
        <v>1654</v>
      </c>
    </row>
    <row r="139" spans="1:16">
      <c r="A139" s="178">
        <v>46186</v>
      </c>
      <c r="B139" s="179" t="s">
        <v>57</v>
      </c>
      <c r="C139" s="175">
        <v>0.56</v>
      </c>
      <c r="D139" s="175">
        <v>0.92</v>
      </c>
      <c r="E139" s="319">
        <v>144.16</v>
      </c>
      <c r="F139" s="10">
        <f t="shared" si="9"/>
        <v>154.8</v>
      </c>
      <c r="G139" s="10">
        <f t="shared" si="10"/>
        <v>-10.64</v>
      </c>
      <c r="H139" s="153">
        <f t="shared" si="11"/>
        <v>0.75</v>
      </c>
      <c r="I139" s="319">
        <v>28.83</v>
      </c>
      <c r="K139" s="319">
        <v>108.12</v>
      </c>
      <c r="L139" s="10">
        <f t="shared" si="12"/>
        <v>12138.79</v>
      </c>
      <c r="M139" s="117"/>
      <c r="N139" s="150" t="s">
        <v>1654</v>
      </c>
    </row>
    <row r="140" spans="1:16">
      <c r="A140" s="178">
        <v>46186</v>
      </c>
      <c r="B140" s="179" t="s">
        <v>148</v>
      </c>
      <c r="C140" s="175">
        <v>0.62</v>
      </c>
      <c r="D140" s="175">
        <v>1</v>
      </c>
      <c r="E140" s="319">
        <v>168.224</v>
      </c>
      <c r="F140" s="10">
        <f t="shared" si="9"/>
        <v>163.4</v>
      </c>
      <c r="G140" s="10">
        <f t="shared" si="10"/>
        <v>4.82399999999998</v>
      </c>
      <c r="H140" s="153">
        <f t="shared" si="11"/>
        <v>0.749952444359901</v>
      </c>
      <c r="I140" s="319">
        <v>33.64</v>
      </c>
      <c r="K140" s="319">
        <v>126.16</v>
      </c>
      <c r="L140" s="10">
        <f t="shared" si="12"/>
        <v>12012.63</v>
      </c>
      <c r="M140" s="117"/>
      <c r="N140" s="150" t="s">
        <v>1654</v>
      </c>
    </row>
    <row r="141" spans="1:16">
      <c r="A141" s="178">
        <v>46186</v>
      </c>
      <c r="B141" s="179" t="s">
        <v>127</v>
      </c>
      <c r="C141" s="175">
        <v>0.79</v>
      </c>
      <c r="D141" s="175">
        <v>0.79</v>
      </c>
      <c r="E141" s="319">
        <v>2.112</v>
      </c>
      <c r="F141" s="10">
        <f t="shared" si="9"/>
        <v>0</v>
      </c>
      <c r="G141" s="10">
        <f t="shared" si="10"/>
        <v>2.112</v>
      </c>
      <c r="H141" s="153">
        <f t="shared" si="11"/>
        <v>0.748106060606061</v>
      </c>
      <c r="I141" s="319">
        <v>0.42</v>
      </c>
      <c r="K141" s="319">
        <v>1.58</v>
      </c>
      <c r="L141" s="10">
        <f t="shared" si="12"/>
        <v>12011.05</v>
      </c>
      <c r="M141" s="117"/>
      <c r="N141" s="150" t="s">
        <v>1654</v>
      </c>
    </row>
    <row r="142" spans="1:16">
      <c r="A142" s="178">
        <v>46186</v>
      </c>
      <c r="B142" s="179" t="s">
        <v>127</v>
      </c>
      <c r="C142" s="175">
        <v>0.79</v>
      </c>
      <c r="D142" s="175">
        <v>0.83</v>
      </c>
      <c r="E142" s="319">
        <v>16.128</v>
      </c>
      <c r="F142" s="10">
        <f t="shared" si="9"/>
        <v>17.2</v>
      </c>
      <c r="G142" s="10">
        <f t="shared" si="10"/>
        <v>-1.07199999999997</v>
      </c>
      <c r="H142" s="153">
        <f t="shared" si="11"/>
        <v>0.750248015873016</v>
      </c>
      <c r="I142" s="319">
        <v>3.23</v>
      </c>
      <c r="K142" s="319">
        <v>12.1</v>
      </c>
      <c r="L142" s="10">
        <f t="shared" si="12"/>
        <v>11998.95</v>
      </c>
      <c r="M142" s="117"/>
      <c r="N142" s="150" t="s">
        <v>1654</v>
      </c>
    </row>
    <row r="143" spans="1:16">
      <c r="A143" s="178">
        <v>46186</v>
      </c>
      <c r="B143" s="179" t="s">
        <v>127</v>
      </c>
      <c r="C143" s="175">
        <v>0.83</v>
      </c>
      <c r="D143" s="175">
        <v>1</v>
      </c>
      <c r="E143" s="319">
        <v>73.568</v>
      </c>
      <c r="F143" s="10">
        <f t="shared" si="9"/>
        <v>73.1</v>
      </c>
      <c r="G143" s="10">
        <f t="shared" si="10"/>
        <v>0.467999999999975</v>
      </c>
      <c r="H143" s="153">
        <f t="shared" si="11"/>
        <v>0.749918442801218</v>
      </c>
      <c r="I143" s="319">
        <v>14.71</v>
      </c>
      <c r="K143" s="319">
        <v>55.17</v>
      </c>
      <c r="L143" s="10">
        <f t="shared" si="12"/>
        <v>11943.78</v>
      </c>
      <c r="M143" s="117"/>
      <c r="N143" s="150" t="s">
        <v>1654</v>
      </c>
    </row>
    <row r="144" spans="1:16">
      <c r="A144" s="178">
        <v>46186</v>
      </c>
      <c r="B144" s="179" t="s">
        <v>87</v>
      </c>
      <c r="C144" s="175">
        <v>0.28</v>
      </c>
      <c r="D144" s="175">
        <v>1</v>
      </c>
      <c r="E144" s="319">
        <v>324.069</v>
      </c>
      <c r="F144" s="10">
        <f t="shared" si="9"/>
        <v>309.6</v>
      </c>
      <c r="G144" s="10">
        <f t="shared" si="10"/>
        <v>14.4690000000001</v>
      </c>
      <c r="H144" s="153">
        <f t="shared" si="11"/>
        <v>0.726018224513915</v>
      </c>
      <c r="I144" s="319">
        <v>57.04</v>
      </c>
      <c r="K144" s="319">
        <v>235.28</v>
      </c>
      <c r="L144" s="10">
        <f t="shared" si="12"/>
        <v>11708.5</v>
      </c>
      <c r="M144" s="117"/>
      <c r="N144" s="150" t="s">
        <v>1654</v>
      </c>
    </row>
    <row r="145" spans="1:14">
      <c r="A145" s="178">
        <v>46186</v>
      </c>
      <c r="B145" s="179" t="s">
        <v>132</v>
      </c>
      <c r="C145" s="175">
        <v>0.25</v>
      </c>
      <c r="D145" s="175">
        <v>0.74</v>
      </c>
      <c r="E145" s="319">
        <v>216.256</v>
      </c>
      <c r="F145" s="10">
        <f t="shared" si="9"/>
        <v>210.7</v>
      </c>
      <c r="G145" s="10">
        <f t="shared" si="10"/>
        <v>5.55600000000001</v>
      </c>
      <c r="H145" s="153">
        <f>IFERROR(K145/E145,"0")</f>
        <v>0.749990751701687</v>
      </c>
      <c r="I145" s="319">
        <v>43.25</v>
      </c>
      <c r="K145" s="319">
        <v>162.19</v>
      </c>
      <c r="L145" s="10">
        <f t="shared" si="12"/>
        <v>11546.31</v>
      </c>
      <c r="M145" s="117"/>
      <c r="N145" s="150" t="s">
        <v>1654</v>
      </c>
    </row>
    <row r="146" spans="1:14">
      <c r="A146" s="178">
        <v>46186</v>
      </c>
      <c r="B146" s="179" t="s">
        <v>160</v>
      </c>
      <c r="C146" s="175">
        <v>0.14</v>
      </c>
      <c r="D146" s="175">
        <v>0.59</v>
      </c>
      <c r="E146" s="319">
        <v>198.112</v>
      </c>
      <c r="F146" s="10">
        <f t="shared" si="9"/>
        <v>193.5</v>
      </c>
      <c r="G146" s="10">
        <f t="shared" si="10"/>
        <v>4.61200000000002</v>
      </c>
      <c r="H146" s="153">
        <f t="shared" ref="H146:H170" si="13">K146/E146</f>
        <v>0.749979809400743</v>
      </c>
      <c r="I146" s="319">
        <v>39.62</v>
      </c>
      <c r="K146" s="319">
        <v>148.58</v>
      </c>
      <c r="L146" s="10">
        <f t="shared" si="12"/>
        <v>11397.73</v>
      </c>
      <c r="M146" s="117"/>
      <c r="N146" s="150" t="s">
        <v>1654</v>
      </c>
    </row>
    <row r="147" spans="1:14">
      <c r="A147" s="178">
        <v>46186</v>
      </c>
      <c r="B147" s="179" t="s">
        <v>163</v>
      </c>
      <c r="C147" s="175">
        <v>0.11</v>
      </c>
      <c r="D147" s="175">
        <v>0.11</v>
      </c>
      <c r="E147" s="319">
        <v>0.032</v>
      </c>
      <c r="F147" s="10">
        <f t="shared" si="9"/>
        <v>0</v>
      </c>
      <c r="G147" s="10">
        <f t="shared" si="10"/>
        <v>0.032</v>
      </c>
      <c r="H147" s="153">
        <f t="shared" si="13"/>
        <v>0.9375</v>
      </c>
      <c r="I147" s="319">
        <v>0.01</v>
      </c>
      <c r="K147" s="319">
        <v>0.03</v>
      </c>
      <c r="L147" s="10">
        <f t="shared" si="12"/>
        <v>11397.7</v>
      </c>
      <c r="M147" s="117"/>
      <c r="N147" s="150" t="s">
        <v>1654</v>
      </c>
    </row>
    <row r="148" spans="1:14">
      <c r="A148" s="178">
        <v>46186</v>
      </c>
      <c r="B148" s="179" t="s">
        <v>154</v>
      </c>
      <c r="C148" s="175">
        <v>0.2</v>
      </c>
      <c r="D148" s="175">
        <v>0.97</v>
      </c>
      <c r="E148" s="319">
        <v>340.32</v>
      </c>
      <c r="F148" s="10">
        <f t="shared" si="9"/>
        <v>331.1</v>
      </c>
      <c r="G148" s="10">
        <f t="shared" si="10"/>
        <v>9.21999999999997</v>
      </c>
      <c r="H148" s="153">
        <f t="shared" si="13"/>
        <v>0.75</v>
      </c>
      <c r="I148" s="319">
        <v>68.06</v>
      </c>
      <c r="K148" s="319">
        <v>255.24</v>
      </c>
      <c r="L148" s="10">
        <f t="shared" si="12"/>
        <v>11142.46</v>
      </c>
      <c r="M148" s="117"/>
      <c r="N148" s="150" t="s">
        <v>1654</v>
      </c>
    </row>
    <row r="149" spans="1:14">
      <c r="A149" s="178">
        <v>46186</v>
      </c>
      <c r="B149" s="179" t="s">
        <v>163</v>
      </c>
      <c r="C149" s="175">
        <v>0.11</v>
      </c>
      <c r="D149" s="175">
        <v>0.13</v>
      </c>
      <c r="E149" s="319">
        <v>10.944</v>
      </c>
      <c r="F149" s="10">
        <f t="shared" si="9"/>
        <v>8.6</v>
      </c>
      <c r="G149" s="10">
        <f t="shared" si="10"/>
        <v>2.344</v>
      </c>
      <c r="H149" s="153">
        <f t="shared" si="13"/>
        <v>0.750182748538012</v>
      </c>
      <c r="I149" s="319">
        <v>2.19</v>
      </c>
      <c r="K149" s="319">
        <v>8.21</v>
      </c>
      <c r="L149" s="10">
        <f t="shared" si="12"/>
        <v>11134.25</v>
      </c>
      <c r="M149" s="117"/>
      <c r="N149" s="150" t="s">
        <v>1654</v>
      </c>
    </row>
    <row r="150" spans="1:14">
      <c r="A150" s="178">
        <v>46186</v>
      </c>
      <c r="B150" s="179" t="s">
        <v>163</v>
      </c>
      <c r="C150" s="175">
        <v>0.13</v>
      </c>
      <c r="D150" s="175">
        <v>0.17</v>
      </c>
      <c r="E150" s="319">
        <v>15.456</v>
      </c>
      <c r="F150" s="10">
        <f t="shared" si="9"/>
        <v>17.2</v>
      </c>
      <c r="G150" s="10">
        <f t="shared" si="10"/>
        <v>-1.744</v>
      </c>
      <c r="H150" s="153">
        <f t="shared" si="13"/>
        <v>0.749870600414079</v>
      </c>
      <c r="I150" s="319">
        <v>3.09</v>
      </c>
      <c r="K150" s="319">
        <v>11.59</v>
      </c>
      <c r="L150" s="10">
        <f t="shared" si="12"/>
        <v>11122.66</v>
      </c>
      <c r="M150" s="117"/>
      <c r="N150" s="150" t="s">
        <v>1654</v>
      </c>
    </row>
    <row r="151" spans="1:14">
      <c r="A151" s="178">
        <v>46186</v>
      </c>
      <c r="B151" s="179" t="s">
        <v>163</v>
      </c>
      <c r="C151" s="175">
        <v>0.17</v>
      </c>
      <c r="D151" s="175">
        <v>0.68</v>
      </c>
      <c r="E151" s="319">
        <v>222.016</v>
      </c>
      <c r="F151" s="10">
        <f t="shared" si="9"/>
        <v>219.3</v>
      </c>
      <c r="G151" s="10">
        <f t="shared" si="10"/>
        <v>2.71599999999998</v>
      </c>
      <c r="H151" s="153">
        <f t="shared" si="13"/>
        <v>0.749990991640242</v>
      </c>
      <c r="I151" s="319">
        <v>44.4</v>
      </c>
      <c r="K151" s="319">
        <v>166.51</v>
      </c>
      <c r="L151" s="10">
        <f t="shared" si="12"/>
        <v>10956.15</v>
      </c>
      <c r="M151" s="117"/>
      <c r="N151" s="150" t="s">
        <v>1654</v>
      </c>
    </row>
    <row r="152" spans="1:14">
      <c r="A152" s="178">
        <v>46186</v>
      </c>
      <c r="B152" s="179" t="s">
        <v>78</v>
      </c>
      <c r="C152" s="175">
        <v>0.56</v>
      </c>
      <c r="D152" s="175">
        <v>0.66</v>
      </c>
      <c r="E152" s="319">
        <v>43.424</v>
      </c>
      <c r="F152" s="10">
        <f t="shared" si="9"/>
        <v>43</v>
      </c>
      <c r="G152" s="10">
        <f t="shared" si="10"/>
        <v>0.424000000000007</v>
      </c>
      <c r="H152" s="153">
        <f t="shared" si="13"/>
        <v>0.749815770081061</v>
      </c>
      <c r="I152" s="319">
        <v>8.68</v>
      </c>
      <c r="K152" s="319">
        <v>32.56</v>
      </c>
      <c r="L152" s="10">
        <f t="shared" si="12"/>
        <v>10923.59</v>
      </c>
      <c r="M152" s="117"/>
      <c r="N152" s="150" t="s">
        <v>1654</v>
      </c>
    </row>
    <row r="153" spans="1:14">
      <c r="A153" s="178">
        <v>46186</v>
      </c>
      <c r="B153" s="179" t="s">
        <v>111</v>
      </c>
      <c r="C153" s="175">
        <v>0.42</v>
      </c>
      <c r="D153" s="175">
        <v>0.96</v>
      </c>
      <c r="E153" s="319">
        <v>220.224</v>
      </c>
      <c r="F153" s="10">
        <f t="shared" si="9"/>
        <v>232.2</v>
      </c>
      <c r="G153" s="10">
        <f t="shared" si="10"/>
        <v>-11.976</v>
      </c>
      <c r="H153" s="153">
        <f t="shared" si="13"/>
        <v>0.74996367335077</v>
      </c>
      <c r="I153" s="319">
        <v>44.04</v>
      </c>
      <c r="K153" s="319">
        <v>165.16</v>
      </c>
      <c r="L153" s="10">
        <f t="shared" si="12"/>
        <v>10758.43</v>
      </c>
      <c r="M153" s="117"/>
      <c r="N153" s="150" t="s">
        <v>1654</v>
      </c>
    </row>
    <row r="154" spans="1:14">
      <c r="A154" s="178">
        <v>46186</v>
      </c>
      <c r="B154" s="179" t="s">
        <v>81</v>
      </c>
      <c r="C154" s="175">
        <v>0.41</v>
      </c>
      <c r="D154" s="175">
        <v>1</v>
      </c>
      <c r="E154" s="319">
        <v>271.622</v>
      </c>
      <c r="F154" s="10">
        <f t="shared" si="9"/>
        <v>253.7</v>
      </c>
      <c r="G154" s="10">
        <f t="shared" si="10"/>
        <v>17.922</v>
      </c>
      <c r="H154" s="153">
        <f t="shared" si="13"/>
        <v>0.72600893889302</v>
      </c>
      <c r="I154" s="319">
        <v>47.81</v>
      </c>
      <c r="K154" s="319">
        <v>197.2</v>
      </c>
      <c r="L154" s="10">
        <f t="shared" si="12"/>
        <v>10561.23</v>
      </c>
      <c r="M154" s="117"/>
      <c r="N154" s="150" t="s">
        <v>1654</v>
      </c>
    </row>
    <row r="155" spans="1:14">
      <c r="A155" s="178">
        <v>46186</v>
      </c>
      <c r="B155" s="179" t="s">
        <v>96</v>
      </c>
      <c r="C155" s="175">
        <v>0.2</v>
      </c>
      <c r="D155" s="175">
        <v>0.98</v>
      </c>
      <c r="E155" s="319">
        <v>370.257</v>
      </c>
      <c r="F155" s="10">
        <f t="shared" si="9"/>
        <v>335.4</v>
      </c>
      <c r="G155" s="10">
        <f t="shared" si="10"/>
        <v>34.857</v>
      </c>
      <c r="H155" s="153">
        <f t="shared" si="13"/>
        <v>0.726009231425739</v>
      </c>
      <c r="I155" s="319">
        <v>65.17</v>
      </c>
      <c r="K155" s="319">
        <v>268.81</v>
      </c>
      <c r="L155" s="10">
        <f t="shared" si="12"/>
        <v>10292.42</v>
      </c>
      <c r="M155" s="117"/>
      <c r="N155" s="150" t="s">
        <v>1654</v>
      </c>
    </row>
    <row r="156" spans="1:14">
      <c r="A156" s="178">
        <v>46187</v>
      </c>
      <c r="B156" s="179" t="s">
        <v>177</v>
      </c>
      <c r="C156" s="175">
        <v>0.6</v>
      </c>
      <c r="D156" s="175">
        <v>0.82</v>
      </c>
      <c r="E156" s="319">
        <v>97.704</v>
      </c>
      <c r="F156" s="10">
        <f t="shared" si="9"/>
        <v>94.6</v>
      </c>
      <c r="G156" s="10">
        <f t="shared" si="10"/>
        <v>3.104</v>
      </c>
      <c r="H156" s="153">
        <f t="shared" si="13"/>
        <v>0.750020469990993</v>
      </c>
      <c r="I156" s="319">
        <v>19.54</v>
      </c>
      <c r="K156" s="319">
        <v>73.28</v>
      </c>
      <c r="L156" s="10">
        <f t="shared" si="12"/>
        <v>10219.14</v>
      </c>
      <c r="M156" s="117"/>
      <c r="N156" s="150" t="s">
        <v>1654</v>
      </c>
    </row>
    <row r="157" spans="1:14">
      <c r="A157" s="178">
        <v>46187</v>
      </c>
      <c r="B157" s="179" t="s">
        <v>144</v>
      </c>
      <c r="C157" s="175">
        <v>0.46</v>
      </c>
      <c r="D157" s="175">
        <v>1</v>
      </c>
      <c r="E157" s="319">
        <v>232.704</v>
      </c>
      <c r="F157" s="10">
        <f t="shared" si="9"/>
        <v>232.2</v>
      </c>
      <c r="G157" s="10">
        <f t="shared" si="10"/>
        <v>0.503999999999991</v>
      </c>
      <c r="H157" s="153">
        <f t="shared" si="13"/>
        <v>0.750008594609461</v>
      </c>
      <c r="I157" s="319">
        <v>46.54</v>
      </c>
      <c r="K157" s="319">
        <v>174.53</v>
      </c>
      <c r="L157" s="10">
        <f t="shared" si="12"/>
        <v>10044.61</v>
      </c>
      <c r="M157" s="117"/>
      <c r="N157" s="150" t="s">
        <v>1654</v>
      </c>
    </row>
    <row r="158" spans="1:14">
      <c r="A158" s="178">
        <v>46187</v>
      </c>
      <c r="B158" s="179" t="s">
        <v>141</v>
      </c>
      <c r="C158" s="175">
        <v>0.44</v>
      </c>
      <c r="D158" s="175">
        <v>1</v>
      </c>
      <c r="E158" s="319">
        <v>244.64</v>
      </c>
      <c r="F158" s="10">
        <f t="shared" si="9"/>
        <v>240.8</v>
      </c>
      <c r="G158" s="10">
        <f t="shared" si="10"/>
        <v>3.83999999999997</v>
      </c>
      <c r="H158" s="153">
        <f t="shared" si="13"/>
        <v>0.75</v>
      </c>
      <c r="I158" s="319">
        <v>48.93</v>
      </c>
      <c r="K158" s="319">
        <v>183.48</v>
      </c>
      <c r="L158" s="10">
        <f t="shared" si="12"/>
        <v>9861.13</v>
      </c>
      <c r="M158" s="117"/>
      <c r="N158" s="150" t="s">
        <v>1654</v>
      </c>
    </row>
    <row r="159" spans="1:14">
      <c r="A159" s="178">
        <v>46187</v>
      </c>
      <c r="B159" s="179" t="s">
        <v>132</v>
      </c>
      <c r="C159" s="175">
        <v>0.74</v>
      </c>
      <c r="D159" s="175">
        <v>0.91</v>
      </c>
      <c r="E159" s="319">
        <v>76.123</v>
      </c>
      <c r="F159" s="10">
        <f t="shared" si="9"/>
        <v>73.1</v>
      </c>
      <c r="G159" s="10">
        <f t="shared" si="10"/>
        <v>3.02299999999998</v>
      </c>
      <c r="H159" s="153">
        <f t="shared" si="13"/>
        <v>0.726061768453687</v>
      </c>
      <c r="I159" s="319">
        <v>13.4</v>
      </c>
      <c r="K159" s="319">
        <v>55.27</v>
      </c>
      <c r="L159" s="10">
        <f t="shared" si="12"/>
        <v>9805.86</v>
      </c>
      <c r="M159" s="117"/>
      <c r="N159" s="150" t="s">
        <v>1654</v>
      </c>
    </row>
    <row r="160" spans="1:14">
      <c r="A160" s="178">
        <v>46187</v>
      </c>
      <c r="B160" s="179" t="s">
        <v>63</v>
      </c>
      <c r="C160" s="175">
        <v>0.62</v>
      </c>
      <c r="D160" s="175">
        <v>0.98</v>
      </c>
      <c r="E160" s="319">
        <v>177.088</v>
      </c>
      <c r="F160" s="10">
        <f t="shared" si="9"/>
        <v>154.8</v>
      </c>
      <c r="G160" s="10">
        <f t="shared" si="10"/>
        <v>22.288</v>
      </c>
      <c r="H160" s="153">
        <f t="shared" si="13"/>
        <v>0.750022587640043</v>
      </c>
      <c r="I160" s="319">
        <v>35.42</v>
      </c>
      <c r="K160" s="319">
        <v>132.82</v>
      </c>
      <c r="L160" s="10">
        <f t="shared" si="12"/>
        <v>9673.04</v>
      </c>
      <c r="M160" s="117"/>
      <c r="N160" s="150" t="s">
        <v>1654</v>
      </c>
    </row>
    <row r="161" spans="1:16">
      <c r="A161" s="178">
        <v>46187</v>
      </c>
      <c r="B161" s="179" t="s">
        <v>60</v>
      </c>
      <c r="C161" s="175">
        <v>0.62</v>
      </c>
      <c r="D161" s="175">
        <v>1</v>
      </c>
      <c r="E161" s="319">
        <v>162.624</v>
      </c>
      <c r="F161" s="10">
        <f t="shared" si="9"/>
        <v>163.4</v>
      </c>
      <c r="G161" s="10">
        <f t="shared" si="10"/>
        <v>-0.77600000000001</v>
      </c>
      <c r="H161" s="153">
        <f t="shared" si="13"/>
        <v>0.749950806768989</v>
      </c>
      <c r="I161" s="319">
        <v>32.52</v>
      </c>
      <c r="K161" s="319">
        <v>121.96</v>
      </c>
      <c r="L161" s="10">
        <f t="shared" si="12"/>
        <v>9551.08</v>
      </c>
      <c r="M161" s="117"/>
      <c r="N161" s="150" t="s">
        <v>1654</v>
      </c>
    </row>
    <row r="162" spans="1:16">
      <c r="A162" s="178">
        <v>46187</v>
      </c>
      <c r="B162" s="179" t="s">
        <v>174</v>
      </c>
      <c r="C162" s="175">
        <v>0.59</v>
      </c>
      <c r="D162" s="175">
        <v>1</v>
      </c>
      <c r="E162" s="319">
        <v>180.52</v>
      </c>
      <c r="F162" s="10">
        <f t="shared" si="9"/>
        <v>176.3</v>
      </c>
      <c r="G162" s="10">
        <f t="shared" si="10"/>
        <v>4.22</v>
      </c>
      <c r="H162" s="153">
        <f t="shared" si="13"/>
        <v>0.75</v>
      </c>
      <c r="I162" s="319">
        <v>36.1</v>
      </c>
      <c r="K162" s="319">
        <v>135.39</v>
      </c>
      <c r="L162" s="10">
        <f t="shared" si="12"/>
        <v>9415.69</v>
      </c>
      <c r="M162" s="117"/>
      <c r="N162" s="150" t="s">
        <v>1654</v>
      </c>
    </row>
    <row r="163" spans="1:16">
      <c r="A163" s="178">
        <v>46187</v>
      </c>
      <c r="B163" s="179" t="s">
        <v>180</v>
      </c>
      <c r="C163" s="175">
        <v>0.38</v>
      </c>
      <c r="D163" s="175">
        <v>0.81</v>
      </c>
      <c r="E163" s="319">
        <v>187.616</v>
      </c>
      <c r="F163" s="10">
        <f t="shared" si="9"/>
        <v>184.9</v>
      </c>
      <c r="G163" s="10">
        <f t="shared" si="10"/>
        <v>2.71599999999998</v>
      </c>
      <c r="H163" s="153">
        <f t="shared" si="13"/>
        <v>0.749989339928364</v>
      </c>
      <c r="I163" s="319">
        <v>37.52</v>
      </c>
      <c r="K163" s="319">
        <v>140.71</v>
      </c>
      <c r="L163" s="10">
        <f t="shared" si="12"/>
        <v>9274.98</v>
      </c>
      <c r="M163" s="117"/>
      <c r="N163" s="150" t="s">
        <v>1654</v>
      </c>
    </row>
    <row r="164" spans="1:16">
      <c r="A164" s="178">
        <v>46187</v>
      </c>
      <c r="B164" s="179" t="s">
        <v>69</v>
      </c>
      <c r="C164" s="175">
        <v>0.13</v>
      </c>
      <c r="D164" s="175">
        <v>0.31</v>
      </c>
      <c r="E164" s="319">
        <v>84.069</v>
      </c>
      <c r="F164" s="10">
        <f t="shared" si="9"/>
        <v>77.4</v>
      </c>
      <c r="G164" s="10">
        <f t="shared" si="10"/>
        <v>6.66900000000001</v>
      </c>
      <c r="H164" s="153">
        <f t="shared" si="13"/>
        <v>0.72607025181696</v>
      </c>
      <c r="I164" s="319">
        <v>14.8</v>
      </c>
      <c r="K164" s="319">
        <v>61.04</v>
      </c>
      <c r="L164" s="10">
        <f t="shared" si="12"/>
        <v>9213.94</v>
      </c>
      <c r="M164" s="117"/>
      <c r="N164" s="150" t="s">
        <v>1654</v>
      </c>
    </row>
    <row r="165" spans="1:16">
      <c r="A165" s="173">
        <v>46188</v>
      </c>
      <c r="B165" s="174" t="s">
        <v>54</v>
      </c>
      <c r="C165" s="175">
        <v>0.61</v>
      </c>
      <c r="D165" s="175">
        <v>1</v>
      </c>
      <c r="E165" s="318">
        <v>158.92</v>
      </c>
      <c r="F165" s="10">
        <f t="shared" si="9"/>
        <v>167.7</v>
      </c>
      <c r="G165" s="10">
        <f t="shared" si="10"/>
        <v>-8.78000000000003</v>
      </c>
      <c r="H165" s="153">
        <f t="shared" si="13"/>
        <v>0.75</v>
      </c>
      <c r="I165" s="318">
        <v>31.78</v>
      </c>
      <c r="K165" s="318">
        <v>119.19</v>
      </c>
      <c r="L165" s="10">
        <f t="shared" si="12"/>
        <v>9094.75</v>
      </c>
      <c r="N165" s="150" t="s">
        <v>1654</v>
      </c>
      <c r="O165" s="117"/>
      <c r="P165" s="150"/>
    </row>
    <row r="166" spans="1:16">
      <c r="A166" s="178">
        <v>46188</v>
      </c>
      <c r="B166" s="179" t="s">
        <v>124</v>
      </c>
      <c r="C166" s="175">
        <v>0.25</v>
      </c>
      <c r="D166" s="175">
        <v>1</v>
      </c>
      <c r="E166" s="319">
        <v>314.167</v>
      </c>
      <c r="F166" s="10">
        <f t="shared" si="9"/>
        <v>322.5</v>
      </c>
      <c r="G166" s="10">
        <f t="shared" si="10"/>
        <v>-8.33300000000003</v>
      </c>
      <c r="H166" s="153">
        <f t="shared" si="13"/>
        <v>0.725983314606563</v>
      </c>
      <c r="I166" s="319">
        <v>55.29</v>
      </c>
      <c r="K166" s="319">
        <v>228.08</v>
      </c>
      <c r="L166" s="10">
        <f t="shared" si="12"/>
        <v>8866.67</v>
      </c>
      <c r="N166" s="150" t="s">
        <v>1654</v>
      </c>
      <c r="O166" s="117"/>
      <c r="P166" s="150"/>
    </row>
    <row r="167" spans="1:16">
      <c r="A167" s="178">
        <v>46188</v>
      </c>
      <c r="B167" s="179" t="s">
        <v>84</v>
      </c>
      <c r="C167" s="175">
        <v>0.37</v>
      </c>
      <c r="D167" s="175">
        <v>1</v>
      </c>
      <c r="E167" s="319">
        <v>290.743</v>
      </c>
      <c r="F167" s="10">
        <f t="shared" si="9"/>
        <v>270.9</v>
      </c>
      <c r="G167" s="10">
        <f t="shared" si="10"/>
        <v>19.843</v>
      </c>
      <c r="H167" s="153">
        <f t="shared" si="13"/>
        <v>0.726002001767884</v>
      </c>
      <c r="I167" s="319">
        <v>51.17</v>
      </c>
      <c r="K167" s="319">
        <v>211.08</v>
      </c>
      <c r="L167" s="10">
        <f t="shared" si="12"/>
        <v>8655.59</v>
      </c>
      <c r="N167" s="150" t="s">
        <v>1654</v>
      </c>
      <c r="O167" s="117"/>
      <c r="P167" s="150"/>
    </row>
    <row r="168" spans="1:16">
      <c r="A168" s="178">
        <v>46188</v>
      </c>
      <c r="B168" s="179" t="s">
        <v>138</v>
      </c>
      <c r="C168" s="175">
        <v>0.56</v>
      </c>
      <c r="D168" s="175">
        <v>0.71</v>
      </c>
      <c r="E168" s="319">
        <v>65.856</v>
      </c>
      <c r="F168" s="10">
        <f t="shared" si="9"/>
        <v>64.5</v>
      </c>
      <c r="G168" s="10">
        <f t="shared" si="10"/>
        <v>1.35600000000004</v>
      </c>
      <c r="H168" s="153">
        <f t="shared" si="13"/>
        <v>0.749969630709427</v>
      </c>
      <c r="I168" s="319">
        <v>13.17</v>
      </c>
      <c r="K168" s="319">
        <v>49.39</v>
      </c>
      <c r="L168" s="10">
        <f t="shared" si="12"/>
        <v>8606.2</v>
      </c>
      <c r="N168" s="150" t="s">
        <v>1654</v>
      </c>
      <c r="O168" s="117"/>
      <c r="P168" s="150"/>
    </row>
    <row r="169" spans="1:16">
      <c r="A169" s="178">
        <v>46188</v>
      </c>
      <c r="B169" s="179" t="s">
        <v>90</v>
      </c>
      <c r="C169" s="175">
        <v>0.42</v>
      </c>
      <c r="D169" s="175">
        <v>0.95</v>
      </c>
      <c r="E169" s="319">
        <v>256.779</v>
      </c>
      <c r="F169" s="10">
        <f t="shared" si="9"/>
        <v>227.9</v>
      </c>
      <c r="G169" s="10">
        <f t="shared" si="10"/>
        <v>28.879</v>
      </c>
      <c r="H169" s="153">
        <f t="shared" si="13"/>
        <v>0.725993948103233</v>
      </c>
      <c r="I169" s="319">
        <v>45.19</v>
      </c>
      <c r="K169" s="319">
        <v>186.42</v>
      </c>
      <c r="L169" s="10">
        <f t="shared" si="12"/>
        <v>8419.78</v>
      </c>
      <c r="N169" s="150" t="s">
        <v>1654</v>
      </c>
      <c r="O169" s="117"/>
      <c r="P169" s="150"/>
    </row>
    <row r="170" spans="1:16">
      <c r="A170" s="178">
        <v>46188</v>
      </c>
      <c r="B170" s="179" t="s">
        <v>93</v>
      </c>
      <c r="C170" s="175">
        <v>0.44</v>
      </c>
      <c r="D170" s="175">
        <v>0.95</v>
      </c>
      <c r="E170" s="319">
        <v>246.335</v>
      </c>
      <c r="F170" s="10">
        <f t="shared" si="9"/>
        <v>219.3</v>
      </c>
      <c r="G170" s="10">
        <f t="shared" si="10"/>
        <v>27.035</v>
      </c>
      <c r="H170" s="153">
        <f t="shared" si="13"/>
        <v>0.725962611890312</v>
      </c>
      <c r="I170" s="319">
        <v>43.35</v>
      </c>
      <c r="K170" s="319">
        <v>178.83</v>
      </c>
      <c r="L170" s="10">
        <f t="shared" si="12"/>
        <v>8240.95</v>
      </c>
      <c r="N170" s="150" t="s">
        <v>1654</v>
      </c>
      <c r="O170" s="117"/>
      <c r="P170" s="150"/>
    </row>
    <row r="171" spans="1:16">
      <c r="A171" s="178">
        <v>46188</v>
      </c>
      <c r="B171" s="179" t="s">
        <v>151</v>
      </c>
      <c r="C171" s="175">
        <v>0</v>
      </c>
      <c r="D171" s="175">
        <v>0</v>
      </c>
      <c r="E171" s="319">
        <v>0</v>
      </c>
      <c r="F171" s="10">
        <f t="shared" si="9"/>
        <v>0</v>
      </c>
      <c r="G171" s="10">
        <f t="shared" si="10"/>
        <v>0</v>
      </c>
      <c r="H171" s="153" t="str">
        <f>IFERROR(K171/E171,"0")</f>
        <v>0</v>
      </c>
      <c r="I171" s="319">
        <v>0</v>
      </c>
      <c r="K171" s="319">
        <v>0</v>
      </c>
      <c r="L171" s="10">
        <f t="shared" si="12"/>
        <v>8240.95</v>
      </c>
      <c r="N171" s="150" t="s">
        <v>1654</v>
      </c>
      <c r="O171" s="117"/>
      <c r="P171" s="150"/>
    </row>
    <row r="172" spans="1:16">
      <c r="A172" s="178">
        <v>46188</v>
      </c>
      <c r="B172" s="179" t="s">
        <v>151</v>
      </c>
      <c r="C172" s="175">
        <v>0.55</v>
      </c>
      <c r="D172" s="175">
        <v>0.79</v>
      </c>
      <c r="E172" s="319">
        <v>109.32</v>
      </c>
      <c r="F172" s="10">
        <f t="shared" si="9"/>
        <v>103.2</v>
      </c>
      <c r="G172" s="10">
        <f t="shared" si="10"/>
        <v>6.11999999999999</v>
      </c>
      <c r="H172" s="153">
        <f t="shared" ref="H172:H215" si="14">K172/E172</f>
        <v>0.75</v>
      </c>
      <c r="I172" s="319">
        <v>21.86</v>
      </c>
      <c r="K172" s="319">
        <v>81.99</v>
      </c>
      <c r="L172" s="10">
        <f t="shared" si="12"/>
        <v>8158.96</v>
      </c>
      <c r="N172" s="150" t="s">
        <v>1654</v>
      </c>
      <c r="O172" s="117"/>
      <c r="P172" s="150"/>
    </row>
    <row r="173" spans="1:16">
      <c r="A173" s="178">
        <v>46188</v>
      </c>
      <c r="B173" s="179" t="s">
        <v>141</v>
      </c>
      <c r="C173" s="175">
        <v>0.49</v>
      </c>
      <c r="D173" s="175">
        <v>0.66</v>
      </c>
      <c r="E173" s="319">
        <v>72.496</v>
      </c>
      <c r="F173" s="10">
        <f t="shared" si="9"/>
        <v>73.1</v>
      </c>
      <c r="G173" s="10">
        <f t="shared" si="10"/>
        <v>-0.604000000000028</v>
      </c>
      <c r="H173" s="153">
        <f t="shared" si="14"/>
        <v>0.749972412271022</v>
      </c>
      <c r="I173" s="319">
        <v>14.5</v>
      </c>
      <c r="K173" s="319">
        <v>54.37</v>
      </c>
      <c r="L173" s="10">
        <f t="shared" si="12"/>
        <v>8104.59</v>
      </c>
      <c r="N173" s="150" t="s">
        <v>1654</v>
      </c>
      <c r="O173" s="117"/>
      <c r="P173" s="150"/>
    </row>
    <row r="174" spans="1:16">
      <c r="A174" s="178">
        <v>46188</v>
      </c>
      <c r="B174" s="179" t="s">
        <v>154</v>
      </c>
      <c r="C174" s="175">
        <v>0.57</v>
      </c>
      <c r="D174" s="175">
        <v>0.7</v>
      </c>
      <c r="E174" s="319">
        <v>55.736</v>
      </c>
      <c r="F174" s="10">
        <f t="shared" si="9"/>
        <v>55.9</v>
      </c>
      <c r="G174" s="10">
        <f t="shared" si="10"/>
        <v>-0.164000000000001</v>
      </c>
      <c r="H174" s="153">
        <f t="shared" si="14"/>
        <v>0.749964116549447</v>
      </c>
      <c r="I174" s="319">
        <v>11.15</v>
      </c>
      <c r="K174" s="319">
        <v>41.8</v>
      </c>
      <c r="L174" s="10">
        <f t="shared" si="12"/>
        <v>8062.79</v>
      </c>
      <c r="N174" s="150" t="s">
        <v>1654</v>
      </c>
      <c r="O174" s="117"/>
      <c r="P174" s="150"/>
    </row>
    <row r="175" spans="1:16">
      <c r="A175" s="178">
        <v>46188</v>
      </c>
      <c r="B175" s="179" t="s">
        <v>75</v>
      </c>
      <c r="C175" s="175">
        <v>0.16</v>
      </c>
      <c r="D175" s="175">
        <v>1</v>
      </c>
      <c r="E175" s="319">
        <v>373.845</v>
      </c>
      <c r="F175" s="10">
        <f t="shared" si="9"/>
        <v>361.2</v>
      </c>
      <c r="G175" s="10">
        <f t="shared" si="10"/>
        <v>12.645</v>
      </c>
      <c r="H175" s="153">
        <f t="shared" si="14"/>
        <v>0.725996067889098</v>
      </c>
      <c r="I175" s="319">
        <v>65.8</v>
      </c>
      <c r="K175" s="319">
        <v>271.41</v>
      </c>
      <c r="L175" s="10">
        <f t="shared" si="12"/>
        <v>7791.38</v>
      </c>
      <c r="N175" s="150" t="s">
        <v>1654</v>
      </c>
      <c r="O175" s="117"/>
      <c r="P175" s="150"/>
    </row>
    <row r="176" spans="1:16">
      <c r="A176" s="178">
        <v>46188</v>
      </c>
      <c r="B176" s="179" t="s">
        <v>108</v>
      </c>
      <c r="C176" s="175">
        <v>0.24</v>
      </c>
      <c r="D176" s="175">
        <v>1</v>
      </c>
      <c r="E176" s="319">
        <v>355.448</v>
      </c>
      <c r="F176" s="10">
        <f t="shared" si="9"/>
        <v>326.8</v>
      </c>
      <c r="G176" s="10">
        <f t="shared" si="10"/>
        <v>28.648</v>
      </c>
      <c r="H176" s="153">
        <f t="shared" si="14"/>
        <v>0.726013369044136</v>
      </c>
      <c r="I176" s="319">
        <v>62.56</v>
      </c>
      <c r="K176" s="319">
        <v>258.06</v>
      </c>
      <c r="L176" s="10">
        <f t="shared" si="12"/>
        <v>7533.32</v>
      </c>
      <c r="N176" s="150" t="s">
        <v>1654</v>
      </c>
      <c r="O176" s="117"/>
      <c r="P176" s="150"/>
    </row>
    <row r="177" spans="1:16">
      <c r="A177" s="178">
        <v>46188</v>
      </c>
      <c r="B177" s="179" t="s">
        <v>180</v>
      </c>
      <c r="C177" s="175">
        <v>0.15</v>
      </c>
      <c r="D177" s="175">
        <v>0.57</v>
      </c>
      <c r="E177" s="319">
        <v>185.4</v>
      </c>
      <c r="F177" s="10">
        <f t="shared" si="9"/>
        <v>180.6</v>
      </c>
      <c r="G177" s="10">
        <f t="shared" si="10"/>
        <v>4.80000000000004</v>
      </c>
      <c r="H177" s="153">
        <f t="shared" si="14"/>
        <v>0.75</v>
      </c>
      <c r="I177" s="319">
        <v>37.08</v>
      </c>
      <c r="K177" s="319">
        <v>139.05</v>
      </c>
      <c r="L177" s="10">
        <f t="shared" si="12"/>
        <v>7394.27</v>
      </c>
      <c r="N177" s="150" t="s">
        <v>1654</v>
      </c>
      <c r="O177" s="117"/>
      <c r="P177" s="150"/>
    </row>
    <row r="178" spans="1:16">
      <c r="A178" s="178">
        <v>46188</v>
      </c>
      <c r="B178" s="179" t="s">
        <v>66</v>
      </c>
      <c r="C178" s="175">
        <v>0.65</v>
      </c>
      <c r="D178" s="175">
        <v>0.76</v>
      </c>
      <c r="E178" s="319">
        <v>48.568</v>
      </c>
      <c r="F178" s="10">
        <f t="shared" si="9"/>
        <v>47.3</v>
      </c>
      <c r="G178" s="10">
        <f t="shared" si="10"/>
        <v>1.268</v>
      </c>
      <c r="H178" s="153">
        <f t="shared" si="14"/>
        <v>0.749876461867897</v>
      </c>
      <c r="I178" s="319">
        <v>9.71</v>
      </c>
      <c r="K178" s="319">
        <v>36.42</v>
      </c>
      <c r="L178" s="10">
        <f t="shared" si="12"/>
        <v>7357.85</v>
      </c>
      <c r="N178" s="150" t="s">
        <v>1654</v>
      </c>
      <c r="O178" s="117"/>
      <c r="P178" s="150"/>
    </row>
    <row r="179" spans="1:16">
      <c r="A179" s="178">
        <v>46188</v>
      </c>
      <c r="B179" s="179" t="s">
        <v>99</v>
      </c>
      <c r="C179" s="175">
        <v>0.33</v>
      </c>
      <c r="D179" s="175">
        <v>0.68</v>
      </c>
      <c r="E179" s="319">
        <v>157.616</v>
      </c>
      <c r="F179" s="10">
        <f t="shared" si="9"/>
        <v>150.5</v>
      </c>
      <c r="G179" s="10">
        <f t="shared" si="10"/>
        <v>7.11599999999999</v>
      </c>
      <c r="H179" s="153">
        <f t="shared" si="14"/>
        <v>0.7499873109329</v>
      </c>
      <c r="I179" s="319">
        <v>31.52</v>
      </c>
      <c r="K179" s="319">
        <v>118.21</v>
      </c>
      <c r="L179" s="10">
        <f t="shared" si="12"/>
        <v>7239.64</v>
      </c>
      <c r="N179" s="150" t="s">
        <v>1654</v>
      </c>
      <c r="O179" s="117"/>
      <c r="P179" s="150"/>
    </row>
    <row r="180" spans="1:16">
      <c r="A180" s="178">
        <v>46188</v>
      </c>
      <c r="B180" s="179" t="s">
        <v>160</v>
      </c>
      <c r="C180" s="175">
        <v>0.58</v>
      </c>
      <c r="D180" s="175">
        <v>0.74</v>
      </c>
      <c r="E180" s="319">
        <v>70.112</v>
      </c>
      <c r="F180" s="10">
        <f t="shared" si="9"/>
        <v>68.8</v>
      </c>
      <c r="G180" s="10">
        <f t="shared" si="10"/>
        <v>1.31199999999998</v>
      </c>
      <c r="H180" s="153">
        <f t="shared" si="14"/>
        <v>0.749942948425377</v>
      </c>
      <c r="I180" s="319">
        <v>14.02</v>
      </c>
      <c r="K180" s="319">
        <v>52.58</v>
      </c>
      <c r="L180" s="10">
        <f t="shared" si="12"/>
        <v>7187.06</v>
      </c>
      <c r="N180" s="150" t="s">
        <v>1654</v>
      </c>
      <c r="O180" s="117"/>
      <c r="P180" s="150"/>
    </row>
    <row r="181" spans="1:16">
      <c r="A181" s="178">
        <v>46188</v>
      </c>
      <c r="B181" s="179" t="s">
        <v>201</v>
      </c>
      <c r="C181" s="175">
        <v>0.58</v>
      </c>
      <c r="D181" s="175">
        <v>0.96</v>
      </c>
      <c r="E181" s="319">
        <v>169.952</v>
      </c>
      <c r="F181" s="10">
        <f t="shared" si="9"/>
        <v>163.4</v>
      </c>
      <c r="G181" s="10">
        <f t="shared" si="10"/>
        <v>6.55199999999999</v>
      </c>
      <c r="H181" s="153">
        <f t="shared" si="14"/>
        <v>0.74997646394276</v>
      </c>
      <c r="I181" s="319">
        <v>33.99</v>
      </c>
      <c r="K181" s="319">
        <v>127.46</v>
      </c>
      <c r="L181" s="10">
        <f t="shared" si="12"/>
        <v>7059.6</v>
      </c>
      <c r="N181" s="150" t="s">
        <v>1654</v>
      </c>
      <c r="O181" s="117"/>
      <c r="P181" s="150"/>
    </row>
    <row r="182" spans="1:16">
      <c r="A182" s="178">
        <v>46188</v>
      </c>
      <c r="B182" s="179" t="s">
        <v>204</v>
      </c>
      <c r="C182" s="175">
        <v>0.55</v>
      </c>
      <c r="D182" s="175">
        <v>0.73</v>
      </c>
      <c r="E182" s="319">
        <v>74.552</v>
      </c>
      <c r="F182" s="10">
        <f t="shared" si="9"/>
        <v>77.4</v>
      </c>
      <c r="G182" s="10">
        <f t="shared" si="10"/>
        <v>-2.84799999999997</v>
      </c>
      <c r="H182" s="153">
        <f t="shared" si="14"/>
        <v>0.749946346174482</v>
      </c>
      <c r="I182" s="319">
        <v>14.91</v>
      </c>
      <c r="K182" s="319">
        <v>55.91</v>
      </c>
      <c r="L182" s="10">
        <f t="shared" si="12"/>
        <v>7003.69</v>
      </c>
      <c r="N182" s="150" t="s">
        <v>1654</v>
      </c>
      <c r="O182" s="117"/>
      <c r="P182" s="150"/>
    </row>
    <row r="183" spans="1:16">
      <c r="A183" s="178">
        <v>46188</v>
      </c>
      <c r="B183" s="179" t="s">
        <v>163</v>
      </c>
      <c r="C183" s="175">
        <v>0.57</v>
      </c>
      <c r="D183" s="175">
        <v>0.7</v>
      </c>
      <c r="E183" s="319">
        <v>55.872</v>
      </c>
      <c r="F183" s="10">
        <f t="shared" si="9"/>
        <v>55.9</v>
      </c>
      <c r="G183" s="10">
        <f t="shared" si="10"/>
        <v>-0.0279999999999987</v>
      </c>
      <c r="H183" s="153">
        <f t="shared" si="14"/>
        <v>0.749928407789233</v>
      </c>
      <c r="I183" s="319">
        <v>11.17</v>
      </c>
      <c r="K183" s="319">
        <v>41.9</v>
      </c>
      <c r="L183" s="10">
        <f t="shared" si="12"/>
        <v>6961.79</v>
      </c>
      <c r="N183" s="150" t="s">
        <v>1654</v>
      </c>
      <c r="O183" s="117"/>
      <c r="P183" s="150"/>
    </row>
    <row r="184" spans="1:16">
      <c r="A184" s="178">
        <v>46188</v>
      </c>
      <c r="B184" s="179" t="s">
        <v>72</v>
      </c>
      <c r="C184" s="175">
        <v>0.28</v>
      </c>
      <c r="D184" s="175">
        <v>0.41</v>
      </c>
      <c r="E184" s="319">
        <v>57.584</v>
      </c>
      <c r="F184" s="10">
        <f t="shared" si="9"/>
        <v>55.9</v>
      </c>
      <c r="G184" s="10">
        <f t="shared" si="10"/>
        <v>1.68400000000003</v>
      </c>
      <c r="H184" s="153">
        <f t="shared" si="14"/>
        <v>0.725896082245068</v>
      </c>
      <c r="I184" s="319">
        <v>10.13</v>
      </c>
      <c r="K184" s="319">
        <v>41.8</v>
      </c>
      <c r="L184" s="10">
        <f t="shared" si="12"/>
        <v>6919.99</v>
      </c>
      <c r="N184" s="150" t="s">
        <v>1654</v>
      </c>
      <c r="O184" s="117"/>
      <c r="P184" s="150"/>
    </row>
    <row r="185" spans="1:16">
      <c r="A185" s="178">
        <v>46188</v>
      </c>
      <c r="B185" s="179" t="s">
        <v>338</v>
      </c>
      <c r="C185" s="175">
        <v>0.54</v>
      </c>
      <c r="D185" s="175">
        <v>0.54</v>
      </c>
      <c r="E185" s="319">
        <v>0.032</v>
      </c>
      <c r="F185" s="10">
        <f t="shared" si="9"/>
        <v>0</v>
      </c>
      <c r="G185" s="10">
        <f t="shared" si="10"/>
        <v>0.032</v>
      </c>
      <c r="H185" s="153">
        <f t="shared" si="14"/>
        <v>0.9375</v>
      </c>
      <c r="I185" s="319">
        <v>0.01</v>
      </c>
      <c r="K185" s="319">
        <v>0.03</v>
      </c>
      <c r="L185" s="10">
        <f t="shared" si="12"/>
        <v>6919.96</v>
      </c>
      <c r="N185" s="150" t="s">
        <v>1654</v>
      </c>
      <c r="O185" s="117"/>
      <c r="P185" s="150"/>
    </row>
    <row r="186" spans="1:16">
      <c r="A186" s="178">
        <v>46188</v>
      </c>
      <c r="B186" s="179" t="s">
        <v>338</v>
      </c>
      <c r="C186" s="175">
        <v>0.54</v>
      </c>
      <c r="D186" s="175">
        <v>0.54</v>
      </c>
      <c r="E186" s="319">
        <v>2.848</v>
      </c>
      <c r="F186" s="10">
        <f t="shared" si="9"/>
        <v>0</v>
      </c>
      <c r="G186" s="10">
        <f t="shared" si="10"/>
        <v>2.848</v>
      </c>
      <c r="H186" s="153">
        <f t="shared" si="14"/>
        <v>0.751404494382023</v>
      </c>
      <c r="I186" s="319">
        <v>0.57</v>
      </c>
      <c r="K186" s="319">
        <v>2.14</v>
      </c>
      <c r="L186" s="10">
        <f t="shared" si="12"/>
        <v>6917.82</v>
      </c>
      <c r="N186" s="150" t="s">
        <v>1654</v>
      </c>
      <c r="O186" s="117"/>
      <c r="P186" s="150"/>
    </row>
    <row r="187" spans="1:16">
      <c r="A187" s="178">
        <v>46188</v>
      </c>
      <c r="B187" s="179" t="s">
        <v>338</v>
      </c>
      <c r="C187" s="175">
        <v>0.54</v>
      </c>
      <c r="D187" s="175">
        <v>0.54</v>
      </c>
      <c r="E187" s="319">
        <v>0.32</v>
      </c>
      <c r="F187" s="10">
        <f t="shared" si="9"/>
        <v>0</v>
      </c>
      <c r="G187" s="10">
        <f t="shared" si="10"/>
        <v>0.32</v>
      </c>
      <c r="H187" s="153">
        <f t="shared" si="14"/>
        <v>0.75</v>
      </c>
      <c r="I187" s="319">
        <v>0.06</v>
      </c>
      <c r="K187" s="319">
        <v>0.24</v>
      </c>
      <c r="L187" s="10">
        <f t="shared" si="12"/>
        <v>6917.58</v>
      </c>
      <c r="N187" s="150" t="s">
        <v>1654</v>
      </c>
      <c r="O187" s="117"/>
      <c r="P187" s="150"/>
    </row>
    <row r="188" spans="1:16">
      <c r="A188" s="178">
        <v>46188</v>
      </c>
      <c r="B188" s="179" t="s">
        <v>338</v>
      </c>
      <c r="C188" s="175">
        <v>0.54</v>
      </c>
      <c r="D188" s="175">
        <v>0.72</v>
      </c>
      <c r="E188" s="319">
        <v>76.112</v>
      </c>
      <c r="F188" s="10">
        <f t="shared" si="9"/>
        <v>77.4</v>
      </c>
      <c r="G188" s="10">
        <f t="shared" si="10"/>
        <v>-1.28799999999998</v>
      </c>
      <c r="H188" s="153">
        <f t="shared" si="14"/>
        <v>0.749947445869245</v>
      </c>
      <c r="I188" s="319">
        <v>15.22</v>
      </c>
      <c r="K188" s="319">
        <v>57.08</v>
      </c>
      <c r="L188" s="10">
        <f t="shared" si="12"/>
        <v>6860.5</v>
      </c>
      <c r="N188" s="150" t="s">
        <v>1654</v>
      </c>
      <c r="O188" s="117"/>
      <c r="P188" s="150"/>
    </row>
    <row r="189" spans="1:16">
      <c r="A189" s="178">
        <v>46188</v>
      </c>
      <c r="B189" s="179" t="s">
        <v>114</v>
      </c>
      <c r="C189" s="175">
        <v>0.15</v>
      </c>
      <c r="D189" s="175">
        <v>0.92</v>
      </c>
      <c r="E189" s="319">
        <v>310.026</v>
      </c>
      <c r="F189" s="10">
        <f t="shared" si="9"/>
        <v>331.1</v>
      </c>
      <c r="G189" s="10">
        <f t="shared" si="10"/>
        <v>-21.074</v>
      </c>
      <c r="H189" s="153">
        <f t="shared" si="14"/>
        <v>0.725971370143149</v>
      </c>
      <c r="I189" s="319">
        <v>54.56</v>
      </c>
      <c r="K189" s="319">
        <v>225.07</v>
      </c>
      <c r="L189" s="10">
        <f t="shared" si="12"/>
        <v>6635.43</v>
      </c>
      <c r="N189" s="150" t="s">
        <v>1654</v>
      </c>
      <c r="O189" s="117"/>
      <c r="P189" s="150"/>
    </row>
    <row r="190" spans="1:16">
      <c r="A190" s="320">
        <v>46188</v>
      </c>
      <c r="B190" s="321" t="s">
        <v>51</v>
      </c>
      <c r="C190" s="175">
        <v>0.56</v>
      </c>
      <c r="D190" s="175">
        <v>0.79</v>
      </c>
      <c r="E190" s="322">
        <v>93.344</v>
      </c>
      <c r="F190" s="10">
        <f t="shared" si="9"/>
        <v>98.9</v>
      </c>
      <c r="G190" s="10">
        <f t="shared" si="10"/>
        <v>-5.556</v>
      </c>
      <c r="H190" s="153">
        <f t="shared" si="14"/>
        <v>0.750021426122729</v>
      </c>
      <c r="I190" s="322">
        <v>18.67</v>
      </c>
      <c r="K190" s="322">
        <v>70.01</v>
      </c>
      <c r="L190" s="10">
        <f t="shared" si="12"/>
        <v>6565.42</v>
      </c>
      <c r="N190" s="150" t="s">
        <v>1654</v>
      </c>
      <c r="O190" s="117"/>
      <c r="P190" s="150"/>
    </row>
    <row r="191" spans="1:16">
      <c r="A191" s="173">
        <v>46189</v>
      </c>
      <c r="B191" s="174" t="s">
        <v>78</v>
      </c>
      <c r="C191" s="175">
        <v>0.28</v>
      </c>
      <c r="D191" s="175">
        <v>0.84</v>
      </c>
      <c r="E191" s="318">
        <v>258.711</v>
      </c>
      <c r="F191" s="10">
        <f t="shared" si="9"/>
        <v>240.8</v>
      </c>
      <c r="G191" s="10">
        <f t="shared" si="10"/>
        <v>17.911</v>
      </c>
      <c r="H191" s="153">
        <f t="shared" si="14"/>
        <v>0.725983819783465</v>
      </c>
      <c r="I191" s="318">
        <v>45.53</v>
      </c>
      <c r="J191" s="318"/>
      <c r="K191" s="318">
        <v>187.82</v>
      </c>
      <c r="L191" s="10">
        <f t="shared" si="12"/>
        <v>6377.6</v>
      </c>
      <c r="N191" s="150" t="s">
        <v>1654</v>
      </c>
      <c r="O191" s="117"/>
      <c r="P191" s="150"/>
    </row>
    <row r="192" spans="1:16">
      <c r="A192" s="178">
        <v>46189</v>
      </c>
      <c r="B192" s="179" t="s">
        <v>111</v>
      </c>
      <c r="C192" s="175">
        <v>0.47</v>
      </c>
      <c r="D192" s="175">
        <v>1</v>
      </c>
      <c r="E192" s="319">
        <v>221.232</v>
      </c>
      <c r="F192" s="10">
        <f t="shared" si="9"/>
        <v>227.9</v>
      </c>
      <c r="G192" s="10">
        <f t="shared" si="10"/>
        <v>-6.66800000000001</v>
      </c>
      <c r="H192" s="153">
        <f t="shared" si="14"/>
        <v>0.75002712085051</v>
      </c>
      <c r="I192" s="319">
        <v>44.25</v>
      </c>
      <c r="J192" s="319"/>
      <c r="K192" s="319">
        <v>165.93</v>
      </c>
      <c r="L192" s="10">
        <f t="shared" si="12"/>
        <v>6211.67</v>
      </c>
      <c r="N192" s="150" t="s">
        <v>1654</v>
      </c>
      <c r="O192" s="117"/>
      <c r="P192" s="150"/>
    </row>
    <row r="193" spans="1:16">
      <c r="A193" s="178">
        <v>46189</v>
      </c>
      <c r="B193" s="179" t="s">
        <v>144</v>
      </c>
      <c r="C193" s="175">
        <v>0.53</v>
      </c>
      <c r="D193" s="175">
        <v>1</v>
      </c>
      <c r="E193" s="319">
        <v>200.8</v>
      </c>
      <c r="F193" s="10">
        <f t="shared" si="9"/>
        <v>202.1</v>
      </c>
      <c r="G193" s="10">
        <f t="shared" si="10"/>
        <v>-1.29999999999998</v>
      </c>
      <c r="H193" s="153">
        <f t="shared" si="14"/>
        <v>0.75</v>
      </c>
      <c r="I193" s="319">
        <v>40.16</v>
      </c>
      <c r="J193" s="319"/>
      <c r="K193" s="319">
        <v>150.6</v>
      </c>
      <c r="L193" s="10">
        <f t="shared" si="12"/>
        <v>6061.07</v>
      </c>
      <c r="N193" s="150" t="s">
        <v>1654</v>
      </c>
      <c r="O193" s="117"/>
      <c r="P193" s="150"/>
    </row>
    <row r="194" spans="1:16">
      <c r="A194" s="178">
        <v>46189</v>
      </c>
      <c r="B194" s="179" t="s">
        <v>87</v>
      </c>
      <c r="C194" s="175">
        <v>0.71</v>
      </c>
      <c r="D194" s="175">
        <v>0.97</v>
      </c>
      <c r="E194" s="319">
        <v>131.667</v>
      </c>
      <c r="F194" s="10">
        <f t="shared" si="9"/>
        <v>111.8</v>
      </c>
      <c r="G194" s="10">
        <f t="shared" si="10"/>
        <v>19.867</v>
      </c>
      <c r="H194" s="153">
        <f t="shared" si="14"/>
        <v>0.72599816202997</v>
      </c>
      <c r="I194" s="319">
        <v>23.17</v>
      </c>
      <c r="J194" s="319"/>
      <c r="K194" s="319">
        <v>95.59</v>
      </c>
      <c r="L194" s="10">
        <f t="shared" si="12"/>
        <v>5965.48</v>
      </c>
      <c r="N194" s="150" t="s">
        <v>1654</v>
      </c>
      <c r="O194" s="117"/>
      <c r="P194" s="150"/>
    </row>
    <row r="195" spans="1:16">
      <c r="A195" s="178">
        <v>46189</v>
      </c>
      <c r="B195" s="179" t="s">
        <v>141</v>
      </c>
      <c r="C195" s="175">
        <v>0.52</v>
      </c>
      <c r="D195" s="175">
        <v>0.81</v>
      </c>
      <c r="E195" s="319">
        <v>125.184</v>
      </c>
      <c r="F195" s="10">
        <f t="shared" ref="F195:F258" si="15">430*(D195-C195)</f>
        <v>124.7</v>
      </c>
      <c r="G195" s="10">
        <f t="shared" ref="G195:G258" si="16">E195-F195</f>
        <v>0.48399999999998</v>
      </c>
      <c r="H195" s="153">
        <f t="shared" si="14"/>
        <v>0.750015976482618</v>
      </c>
      <c r="I195" s="319">
        <v>25.04</v>
      </c>
      <c r="J195" s="319"/>
      <c r="K195" s="319">
        <v>93.89</v>
      </c>
      <c r="L195" s="10">
        <f t="shared" ref="L195:L258" si="17">L194+J195-K195</f>
        <v>5871.59</v>
      </c>
      <c r="N195" s="150" t="s">
        <v>1654</v>
      </c>
      <c r="O195" s="117"/>
      <c r="P195" s="150"/>
    </row>
    <row r="196" spans="1:16">
      <c r="A196" s="178">
        <v>46189</v>
      </c>
      <c r="B196" s="179" t="s">
        <v>339</v>
      </c>
      <c r="C196" s="175">
        <v>0.62</v>
      </c>
      <c r="D196" s="175">
        <v>1</v>
      </c>
      <c r="E196" s="319">
        <v>166.496</v>
      </c>
      <c r="F196" s="10">
        <f t="shared" si="15"/>
        <v>163.4</v>
      </c>
      <c r="G196" s="10">
        <f t="shared" si="16"/>
        <v>3.096</v>
      </c>
      <c r="H196" s="153">
        <f t="shared" si="14"/>
        <v>0.749987987699404</v>
      </c>
      <c r="I196" s="319">
        <v>33.3</v>
      </c>
      <c r="J196" s="319"/>
      <c r="K196" s="319">
        <v>124.87</v>
      </c>
      <c r="L196" s="10">
        <f t="shared" si="17"/>
        <v>5746.72</v>
      </c>
      <c r="N196" s="150" t="s">
        <v>1654</v>
      </c>
      <c r="O196" s="117"/>
      <c r="P196" s="150"/>
    </row>
    <row r="197" spans="1:16">
      <c r="A197" s="178">
        <v>46189</v>
      </c>
      <c r="B197" s="179" t="s">
        <v>57</v>
      </c>
      <c r="C197" s="175">
        <v>0.27</v>
      </c>
      <c r="D197" s="175">
        <v>1</v>
      </c>
      <c r="E197" s="319">
        <v>297.006</v>
      </c>
      <c r="F197" s="10">
        <f t="shared" si="15"/>
        <v>313.9</v>
      </c>
      <c r="G197" s="10">
        <f t="shared" si="16"/>
        <v>-16.894</v>
      </c>
      <c r="H197" s="153">
        <f t="shared" si="14"/>
        <v>0.725978599758928</v>
      </c>
      <c r="I197" s="319">
        <v>52.27</v>
      </c>
      <c r="J197" s="319"/>
      <c r="K197" s="319">
        <v>215.62</v>
      </c>
      <c r="L197" s="10">
        <f t="shared" si="17"/>
        <v>5531.1</v>
      </c>
      <c r="N197" s="150" t="s">
        <v>1654</v>
      </c>
      <c r="O197" s="117"/>
      <c r="P197" s="150"/>
    </row>
    <row r="198" spans="1:16">
      <c r="A198" s="178">
        <v>46189</v>
      </c>
      <c r="B198" s="179" t="s">
        <v>132</v>
      </c>
      <c r="C198" s="175">
        <v>0.58</v>
      </c>
      <c r="D198" s="175">
        <v>0.99</v>
      </c>
      <c r="E198" s="319">
        <v>181.233</v>
      </c>
      <c r="F198" s="10">
        <f t="shared" si="15"/>
        <v>176.3</v>
      </c>
      <c r="G198" s="10">
        <f t="shared" si="16"/>
        <v>4.93299999999999</v>
      </c>
      <c r="H198" s="153">
        <f t="shared" si="14"/>
        <v>0.726026716988628</v>
      </c>
      <c r="I198" s="319">
        <v>31.9</v>
      </c>
      <c r="J198" s="319"/>
      <c r="K198" s="319">
        <v>131.58</v>
      </c>
      <c r="L198" s="10">
        <f t="shared" si="17"/>
        <v>5399.52</v>
      </c>
      <c r="N198" s="150" t="s">
        <v>1654</v>
      </c>
      <c r="O198" s="117"/>
      <c r="P198" s="150"/>
    </row>
    <row r="199" spans="1:16">
      <c r="A199" s="178">
        <v>46189</v>
      </c>
      <c r="B199" s="179" t="s">
        <v>60</v>
      </c>
      <c r="C199" s="175">
        <v>0.73</v>
      </c>
      <c r="D199" s="175">
        <v>1</v>
      </c>
      <c r="E199" s="319">
        <v>112.137</v>
      </c>
      <c r="F199" s="10">
        <f t="shared" si="15"/>
        <v>116.1</v>
      </c>
      <c r="G199" s="10">
        <f t="shared" si="16"/>
        <v>-3.96300000000001</v>
      </c>
      <c r="H199" s="153">
        <f t="shared" si="14"/>
        <v>0.726076139008534</v>
      </c>
      <c r="I199" s="319">
        <v>19.74</v>
      </c>
      <c r="J199" s="319"/>
      <c r="K199" s="319">
        <v>81.42</v>
      </c>
      <c r="L199" s="10">
        <f t="shared" si="17"/>
        <v>5318.1</v>
      </c>
      <c r="N199" s="150" t="s">
        <v>1654</v>
      </c>
      <c r="O199" s="117"/>
      <c r="P199" s="150"/>
    </row>
    <row r="200" spans="1:16">
      <c r="A200" s="178">
        <v>46189</v>
      </c>
      <c r="B200" s="179" t="s">
        <v>127</v>
      </c>
      <c r="C200" s="175">
        <v>0.59</v>
      </c>
      <c r="D200" s="175">
        <v>1</v>
      </c>
      <c r="E200" s="319">
        <v>172.8</v>
      </c>
      <c r="F200" s="10">
        <f t="shared" si="15"/>
        <v>176.3</v>
      </c>
      <c r="G200" s="10">
        <f t="shared" si="16"/>
        <v>-3.5</v>
      </c>
      <c r="H200" s="153">
        <f t="shared" si="14"/>
        <v>0.75</v>
      </c>
      <c r="I200" s="319">
        <v>34.56</v>
      </c>
      <c r="J200" s="319"/>
      <c r="K200" s="319">
        <v>129.6</v>
      </c>
      <c r="L200" s="10">
        <f t="shared" si="17"/>
        <v>5188.5</v>
      </c>
      <c r="N200" s="150" t="s">
        <v>1654</v>
      </c>
      <c r="O200" s="117"/>
      <c r="P200" s="150"/>
    </row>
    <row r="201" spans="1:16">
      <c r="A201" s="156">
        <v>46190</v>
      </c>
      <c r="B201" s="168" t="s">
        <v>138</v>
      </c>
      <c r="C201" s="158">
        <v>0.61</v>
      </c>
      <c r="D201" s="158">
        <v>1</v>
      </c>
      <c r="E201" s="315">
        <v>169.376</v>
      </c>
      <c r="F201" s="10">
        <f t="shared" si="15"/>
        <v>167.7</v>
      </c>
      <c r="G201" s="10">
        <f t="shared" si="16"/>
        <v>1.67600000000002</v>
      </c>
      <c r="H201" s="153">
        <f t="shared" si="14"/>
        <v>0.750047232193463</v>
      </c>
      <c r="I201" s="315">
        <v>33.88</v>
      </c>
      <c r="K201" s="315">
        <v>127.04</v>
      </c>
      <c r="L201" s="10">
        <f t="shared" si="17"/>
        <v>5061.46</v>
      </c>
      <c r="N201" s="150" t="s">
        <v>1654</v>
      </c>
      <c r="O201" s="117"/>
      <c r="P201" s="150"/>
    </row>
    <row r="202" spans="1:16">
      <c r="A202" s="163">
        <v>46190</v>
      </c>
      <c r="B202" s="164" t="s">
        <v>130</v>
      </c>
      <c r="C202" s="158">
        <v>0.53</v>
      </c>
      <c r="D202" s="158">
        <v>1</v>
      </c>
      <c r="E202" s="316">
        <v>193.12</v>
      </c>
      <c r="F202" s="10">
        <f t="shared" si="15"/>
        <v>202.1</v>
      </c>
      <c r="G202" s="10">
        <f t="shared" si="16"/>
        <v>-8.97999999999999</v>
      </c>
      <c r="H202" s="153">
        <f t="shared" si="14"/>
        <v>0.75</v>
      </c>
      <c r="I202" s="316">
        <v>38.62</v>
      </c>
      <c r="K202" s="316">
        <v>144.84</v>
      </c>
      <c r="L202" s="10">
        <f t="shared" si="17"/>
        <v>4916.62</v>
      </c>
      <c r="N202" s="150" t="s">
        <v>1654</v>
      </c>
      <c r="O202" s="117"/>
      <c r="P202" s="150"/>
    </row>
    <row r="203" spans="1:16">
      <c r="A203" s="163">
        <v>46190</v>
      </c>
      <c r="B203" s="164" t="s">
        <v>72</v>
      </c>
      <c r="C203" s="158">
        <v>0.74</v>
      </c>
      <c r="D203" s="158">
        <v>0.96</v>
      </c>
      <c r="E203" s="316">
        <v>117.816</v>
      </c>
      <c r="F203" s="10">
        <f t="shared" si="15"/>
        <v>94.6</v>
      </c>
      <c r="G203" s="10">
        <f t="shared" si="16"/>
        <v>23.216</v>
      </c>
      <c r="H203" s="153">
        <f t="shared" si="14"/>
        <v>0.726047395939431</v>
      </c>
      <c r="I203" s="316">
        <v>20.74</v>
      </c>
      <c r="K203" s="316">
        <v>85.54</v>
      </c>
      <c r="L203" s="10">
        <f t="shared" si="17"/>
        <v>4831.08</v>
      </c>
      <c r="N203" s="150" t="s">
        <v>1654</v>
      </c>
      <c r="O203" s="117"/>
      <c r="P203" s="150"/>
    </row>
    <row r="204" spans="1:16">
      <c r="A204" s="163">
        <v>46190</v>
      </c>
      <c r="B204" s="164" t="s">
        <v>81</v>
      </c>
      <c r="C204" s="158">
        <v>0.3</v>
      </c>
      <c r="D204" s="158">
        <v>0.46</v>
      </c>
      <c r="E204" s="316">
        <v>71.36</v>
      </c>
      <c r="F204" s="10">
        <f t="shared" si="15"/>
        <v>68.8</v>
      </c>
      <c r="G204" s="10">
        <f t="shared" si="16"/>
        <v>2.56</v>
      </c>
      <c r="H204" s="153">
        <f t="shared" si="14"/>
        <v>0.75</v>
      </c>
      <c r="I204" s="316">
        <v>14.27</v>
      </c>
      <c r="K204" s="316">
        <v>53.52</v>
      </c>
      <c r="L204" s="10">
        <f t="shared" si="17"/>
        <v>4777.56</v>
      </c>
      <c r="N204" s="150" t="s">
        <v>1654</v>
      </c>
      <c r="O204" s="117"/>
      <c r="P204" s="150"/>
    </row>
    <row r="205" spans="1:16">
      <c r="A205" s="163">
        <v>46190</v>
      </c>
      <c r="B205" s="164" t="s">
        <v>148</v>
      </c>
      <c r="C205" s="158">
        <v>0.59</v>
      </c>
      <c r="D205" s="158">
        <v>1</v>
      </c>
      <c r="E205" s="316">
        <v>176.76</v>
      </c>
      <c r="F205" s="10">
        <f t="shared" si="15"/>
        <v>176.3</v>
      </c>
      <c r="G205" s="10">
        <f t="shared" si="16"/>
        <v>0.45999999999998</v>
      </c>
      <c r="H205" s="153">
        <f t="shared" si="14"/>
        <v>0.75</v>
      </c>
      <c r="I205" s="316">
        <v>35.35</v>
      </c>
      <c r="K205" s="316">
        <v>132.57</v>
      </c>
      <c r="L205" s="10">
        <f t="shared" si="17"/>
        <v>4644.99</v>
      </c>
      <c r="N205" s="150" t="s">
        <v>1654</v>
      </c>
      <c r="O205" s="117"/>
      <c r="P205" s="150"/>
    </row>
    <row r="206" spans="1:16">
      <c r="A206" s="163">
        <v>46190</v>
      </c>
      <c r="B206" s="164" t="s">
        <v>183</v>
      </c>
      <c r="C206" s="158">
        <v>0.56</v>
      </c>
      <c r="D206" s="158">
        <v>1</v>
      </c>
      <c r="E206" s="316">
        <v>190.304</v>
      </c>
      <c r="F206" s="10">
        <f t="shared" si="15"/>
        <v>189.2</v>
      </c>
      <c r="G206" s="10">
        <f t="shared" si="16"/>
        <v>1.10400000000001</v>
      </c>
      <c r="H206" s="153">
        <f t="shared" si="14"/>
        <v>0.750010509500588</v>
      </c>
      <c r="I206" s="316">
        <v>38.06</v>
      </c>
      <c r="K206" s="316">
        <v>142.73</v>
      </c>
      <c r="L206" s="10">
        <f t="shared" si="17"/>
        <v>4502.26</v>
      </c>
      <c r="N206" s="150" t="s">
        <v>1654</v>
      </c>
      <c r="O206" s="117"/>
      <c r="P206" s="150"/>
    </row>
    <row r="207" spans="1:16">
      <c r="A207" s="163">
        <v>46190</v>
      </c>
      <c r="B207" s="164" t="s">
        <v>63</v>
      </c>
      <c r="C207" s="158">
        <v>0.54</v>
      </c>
      <c r="D207" s="158">
        <v>1</v>
      </c>
      <c r="E207" s="316">
        <v>216.736</v>
      </c>
      <c r="F207" s="10">
        <f t="shared" si="15"/>
        <v>197.8</v>
      </c>
      <c r="G207" s="10">
        <f t="shared" si="16"/>
        <v>18.936</v>
      </c>
      <c r="H207" s="153">
        <f t="shared" si="14"/>
        <v>0.74999077218367</v>
      </c>
      <c r="I207" s="316">
        <v>43.35</v>
      </c>
      <c r="K207" s="316">
        <v>162.55</v>
      </c>
      <c r="L207" s="10">
        <f t="shared" si="17"/>
        <v>4339.71</v>
      </c>
      <c r="N207" s="150" t="s">
        <v>1654</v>
      </c>
      <c r="O207" s="117"/>
      <c r="P207" s="150"/>
    </row>
    <row r="208" spans="1:16">
      <c r="A208" s="163">
        <v>46190</v>
      </c>
      <c r="B208" s="164" t="s">
        <v>135</v>
      </c>
      <c r="C208" s="158">
        <v>0.42</v>
      </c>
      <c r="D208" s="158">
        <v>1</v>
      </c>
      <c r="E208" s="316">
        <v>259.798</v>
      </c>
      <c r="F208" s="10">
        <f t="shared" si="15"/>
        <v>249.4</v>
      </c>
      <c r="G208" s="10">
        <f t="shared" si="16"/>
        <v>10.398</v>
      </c>
      <c r="H208" s="153">
        <f t="shared" si="14"/>
        <v>0.725987113064766</v>
      </c>
      <c r="I208" s="316">
        <v>45.72</v>
      </c>
      <c r="K208" s="316">
        <v>188.61</v>
      </c>
      <c r="L208" s="10">
        <f t="shared" si="17"/>
        <v>4151.1</v>
      </c>
      <c r="N208" s="150" t="s">
        <v>1654</v>
      </c>
      <c r="O208" s="117"/>
      <c r="P208" s="150"/>
    </row>
    <row r="209" spans="1:16">
      <c r="A209" s="163">
        <v>46190</v>
      </c>
      <c r="B209" s="164" t="s">
        <v>180</v>
      </c>
      <c r="C209" s="158">
        <v>0.34</v>
      </c>
      <c r="D209" s="158">
        <v>0.96</v>
      </c>
      <c r="E209" s="316">
        <v>281.632</v>
      </c>
      <c r="F209" s="10">
        <f t="shared" si="15"/>
        <v>266.6</v>
      </c>
      <c r="G209" s="10">
        <f t="shared" si="16"/>
        <v>15.032</v>
      </c>
      <c r="H209" s="153">
        <f t="shared" si="14"/>
        <v>0.750021304397228</v>
      </c>
      <c r="I209" s="316">
        <v>56.33</v>
      </c>
      <c r="K209" s="316">
        <v>211.23</v>
      </c>
      <c r="L209" s="10">
        <f t="shared" si="17"/>
        <v>3939.87</v>
      </c>
      <c r="N209" s="150" t="s">
        <v>1654</v>
      </c>
      <c r="O209" s="117"/>
      <c r="P209" s="150"/>
    </row>
    <row r="210" spans="1:16">
      <c r="A210" s="163">
        <v>46190</v>
      </c>
      <c r="B210" s="164" t="s">
        <v>96</v>
      </c>
      <c r="C210" s="158">
        <v>0.14</v>
      </c>
      <c r="D210" s="158">
        <v>0.31</v>
      </c>
      <c r="E210" s="316">
        <v>77.754</v>
      </c>
      <c r="F210" s="10">
        <f t="shared" si="15"/>
        <v>73.1</v>
      </c>
      <c r="G210" s="10">
        <f t="shared" si="16"/>
        <v>4.65400000000001</v>
      </c>
      <c r="H210" s="153">
        <f t="shared" si="14"/>
        <v>0.72587905445379</v>
      </c>
      <c r="I210" s="316">
        <v>13.68</v>
      </c>
      <c r="K210" s="316">
        <v>56.44</v>
      </c>
      <c r="L210" s="10">
        <f t="shared" si="17"/>
        <v>3883.43</v>
      </c>
      <c r="N210" s="150" t="s">
        <v>1654</v>
      </c>
      <c r="O210" s="117"/>
      <c r="P210" s="117"/>
    </row>
    <row r="211" spans="1:16">
      <c r="A211" s="163">
        <v>46190</v>
      </c>
      <c r="B211" s="164" t="s">
        <v>102</v>
      </c>
      <c r="C211" s="158">
        <v>0.19</v>
      </c>
      <c r="D211" s="158">
        <v>0.33</v>
      </c>
      <c r="E211" s="316">
        <v>63.809</v>
      </c>
      <c r="F211" s="10">
        <f t="shared" si="15"/>
        <v>60.2</v>
      </c>
      <c r="G211" s="10">
        <f t="shared" si="16"/>
        <v>3.60899999999999</v>
      </c>
      <c r="H211" s="153">
        <f t="shared" si="14"/>
        <v>0.726073124480873</v>
      </c>
      <c r="I211" s="316">
        <v>11.23</v>
      </c>
      <c r="K211" s="316">
        <v>46.33</v>
      </c>
      <c r="L211" s="10">
        <f t="shared" si="17"/>
        <v>3837.1</v>
      </c>
      <c r="N211" s="150" t="s">
        <v>1654</v>
      </c>
      <c r="O211" s="117"/>
      <c r="P211" s="117"/>
    </row>
    <row r="212" spans="1:16">
      <c r="A212" s="163">
        <v>46190</v>
      </c>
      <c r="B212" s="164" t="s">
        <v>69</v>
      </c>
      <c r="C212" s="158">
        <v>0.73</v>
      </c>
      <c r="D212" s="158">
        <v>0.86</v>
      </c>
      <c r="E212" s="316">
        <v>57.55</v>
      </c>
      <c r="F212" s="10">
        <f t="shared" si="15"/>
        <v>55.9</v>
      </c>
      <c r="G212" s="10">
        <f t="shared" si="16"/>
        <v>1.65</v>
      </c>
      <c r="H212" s="153">
        <f t="shared" si="14"/>
        <v>0.725977410947003</v>
      </c>
      <c r="I212" s="316">
        <v>10.13</v>
      </c>
      <c r="K212" s="316">
        <v>41.78</v>
      </c>
      <c r="L212" s="10">
        <f t="shared" si="17"/>
        <v>3795.32</v>
      </c>
      <c r="N212" s="150" t="s">
        <v>1654</v>
      </c>
      <c r="O212" s="117"/>
      <c r="P212" s="117"/>
    </row>
    <row r="213" spans="1:16">
      <c r="A213" s="163">
        <v>46190</v>
      </c>
      <c r="B213" s="164" t="s">
        <v>105</v>
      </c>
      <c r="C213" s="158">
        <v>0.74</v>
      </c>
      <c r="D213" s="158">
        <v>1</v>
      </c>
      <c r="E213" s="316">
        <v>118.248</v>
      </c>
      <c r="F213" s="10">
        <f t="shared" si="15"/>
        <v>111.8</v>
      </c>
      <c r="G213" s="10">
        <f t="shared" si="16"/>
        <v>6.44800000000001</v>
      </c>
      <c r="H213" s="153">
        <f t="shared" si="14"/>
        <v>0.726016507678777</v>
      </c>
      <c r="I213" s="316">
        <v>20.81</v>
      </c>
      <c r="K213" s="316">
        <v>85.85</v>
      </c>
      <c r="L213" s="10">
        <f t="shared" si="17"/>
        <v>3709.47</v>
      </c>
      <c r="N213" s="150" t="s">
        <v>1654</v>
      </c>
      <c r="O213" s="117"/>
      <c r="P213" s="117"/>
    </row>
    <row r="214" spans="1:16">
      <c r="A214" s="163">
        <v>46190</v>
      </c>
      <c r="B214" s="164" t="s">
        <v>166</v>
      </c>
      <c r="C214" s="158">
        <v>0.08</v>
      </c>
      <c r="D214" s="158">
        <v>0.64</v>
      </c>
      <c r="E214" s="316">
        <v>247.432</v>
      </c>
      <c r="F214" s="10">
        <f t="shared" si="15"/>
        <v>240.8</v>
      </c>
      <c r="G214" s="10">
        <f t="shared" si="16"/>
        <v>6.63199999999998</v>
      </c>
      <c r="H214" s="153">
        <f t="shared" si="14"/>
        <v>0.750024249086618</v>
      </c>
      <c r="I214" s="316">
        <v>49.49</v>
      </c>
      <c r="J214" s="144">
        <v>5000</v>
      </c>
      <c r="K214" s="316">
        <v>185.58</v>
      </c>
      <c r="L214" s="10">
        <f t="shared" si="17"/>
        <v>8523.89</v>
      </c>
      <c r="N214" s="150" t="s">
        <v>1654</v>
      </c>
      <c r="O214" s="117"/>
      <c r="P214" s="117"/>
    </row>
    <row r="215" spans="1:16">
      <c r="A215" s="163">
        <v>46191</v>
      </c>
      <c r="B215" s="179" t="s">
        <v>210</v>
      </c>
      <c r="C215" s="191">
        <v>0.62</v>
      </c>
      <c r="D215" s="191">
        <v>0.9</v>
      </c>
      <c r="E215" s="285">
        <v>123.296</v>
      </c>
      <c r="F215" s="10">
        <f t="shared" si="15"/>
        <v>120.4</v>
      </c>
      <c r="G215" s="10">
        <f t="shared" si="16"/>
        <v>2.896</v>
      </c>
      <c r="H215" s="153">
        <f t="shared" si="14"/>
        <v>0.749983778873605</v>
      </c>
      <c r="K215" s="285">
        <v>92.47</v>
      </c>
      <c r="L215" s="10">
        <f t="shared" si="17"/>
        <v>8431.42</v>
      </c>
      <c r="N215" s="150" t="s">
        <v>1654</v>
      </c>
    </row>
    <row r="216" spans="1:16">
      <c r="A216" s="163">
        <v>46191</v>
      </c>
      <c r="B216" s="179" t="s">
        <v>186</v>
      </c>
      <c r="C216" s="191">
        <v>0</v>
      </c>
      <c r="D216" s="191">
        <v>0</v>
      </c>
      <c r="E216" s="285">
        <v>0</v>
      </c>
      <c r="F216" s="10">
        <f t="shared" si="15"/>
        <v>0</v>
      </c>
      <c r="G216" s="10">
        <f t="shared" si="16"/>
        <v>0</v>
      </c>
      <c r="H216" s="153"/>
      <c r="K216" s="285">
        <v>0</v>
      </c>
      <c r="L216" s="10">
        <f t="shared" si="17"/>
        <v>8431.42</v>
      </c>
      <c r="N216" s="150" t="s">
        <v>1654</v>
      </c>
    </row>
    <row r="217" spans="1:16">
      <c r="A217" s="163">
        <v>46191</v>
      </c>
      <c r="B217" s="179" t="s">
        <v>186</v>
      </c>
      <c r="C217" s="191">
        <v>0.6</v>
      </c>
      <c r="D217" s="191">
        <v>0.82</v>
      </c>
      <c r="E217" s="285">
        <v>96.192</v>
      </c>
      <c r="F217" s="10">
        <f t="shared" si="15"/>
        <v>94.6</v>
      </c>
      <c r="G217" s="10">
        <f t="shared" si="16"/>
        <v>1.592</v>
      </c>
      <c r="H217" s="153">
        <f t="shared" ref="H217:H280" si="18">K217/E217</f>
        <v>0.750062375249501</v>
      </c>
      <c r="K217" s="285">
        <v>72.15</v>
      </c>
      <c r="L217" s="10">
        <f t="shared" si="17"/>
        <v>8359.27</v>
      </c>
      <c r="N217" s="150" t="s">
        <v>1654</v>
      </c>
    </row>
    <row r="218" spans="1:16">
      <c r="A218" s="163">
        <v>46191</v>
      </c>
      <c r="B218" s="179" t="s">
        <v>141</v>
      </c>
      <c r="C218" s="191">
        <v>0.26</v>
      </c>
      <c r="D218" s="191">
        <v>0.38</v>
      </c>
      <c r="E218" s="285">
        <v>55.03</v>
      </c>
      <c r="F218" s="10">
        <f t="shared" si="15"/>
        <v>51.6</v>
      </c>
      <c r="G218" s="10">
        <f t="shared" si="16"/>
        <v>3.43</v>
      </c>
      <c r="H218" s="153">
        <f t="shared" si="18"/>
        <v>0.726149373069235</v>
      </c>
      <c r="K218" s="285">
        <v>39.96</v>
      </c>
      <c r="L218" s="10">
        <f t="shared" si="17"/>
        <v>8319.31</v>
      </c>
      <c r="N218" s="150" t="s">
        <v>1654</v>
      </c>
    </row>
    <row r="219" spans="1:16">
      <c r="A219" s="163">
        <v>46191</v>
      </c>
      <c r="B219" s="179" t="s">
        <v>54</v>
      </c>
      <c r="C219" s="191">
        <v>0.42</v>
      </c>
      <c r="D219" s="191">
        <v>1</v>
      </c>
      <c r="E219" s="285">
        <v>236.928</v>
      </c>
      <c r="F219" s="10">
        <f t="shared" si="15"/>
        <v>249.4</v>
      </c>
      <c r="G219" s="10">
        <f t="shared" si="16"/>
        <v>-12.472</v>
      </c>
      <c r="H219" s="153">
        <f t="shared" si="18"/>
        <v>0.750016882766072</v>
      </c>
      <c r="K219" s="285">
        <v>177.7</v>
      </c>
      <c r="L219" s="10">
        <f t="shared" si="17"/>
        <v>8141.61</v>
      </c>
      <c r="N219" s="150" t="s">
        <v>1654</v>
      </c>
    </row>
    <row r="220" spans="1:16">
      <c r="A220" s="163">
        <v>46191</v>
      </c>
      <c r="B220" s="179" t="s">
        <v>138</v>
      </c>
      <c r="C220" s="191">
        <v>0.26</v>
      </c>
      <c r="D220" s="191">
        <v>1</v>
      </c>
      <c r="E220" s="285">
        <v>322.976</v>
      </c>
      <c r="F220" s="10">
        <f t="shared" si="15"/>
        <v>318.2</v>
      </c>
      <c r="G220" s="10">
        <f t="shared" si="16"/>
        <v>4.77600000000001</v>
      </c>
      <c r="H220" s="153">
        <f t="shared" si="18"/>
        <v>0.750024769642326</v>
      </c>
      <c r="K220" s="285">
        <v>242.24</v>
      </c>
      <c r="L220" s="10">
        <f t="shared" si="17"/>
        <v>7899.37</v>
      </c>
      <c r="N220" s="150" t="s">
        <v>1654</v>
      </c>
    </row>
    <row r="221" spans="1:16">
      <c r="A221" s="163">
        <v>46191</v>
      </c>
      <c r="B221" s="179" t="s">
        <v>177</v>
      </c>
      <c r="C221" s="191">
        <v>0.56</v>
      </c>
      <c r="D221" s="191">
        <v>0.77</v>
      </c>
      <c r="E221" s="285">
        <v>89.208</v>
      </c>
      <c r="F221" s="10">
        <f t="shared" si="15"/>
        <v>90.3</v>
      </c>
      <c r="G221" s="10">
        <f t="shared" si="16"/>
        <v>-1.092</v>
      </c>
      <c r="H221" s="153">
        <f t="shared" si="18"/>
        <v>0.749932741458165</v>
      </c>
      <c r="K221" s="285">
        <v>66.9</v>
      </c>
      <c r="L221" s="10">
        <f t="shared" si="17"/>
        <v>7832.47</v>
      </c>
      <c r="N221" s="150" t="s">
        <v>1654</v>
      </c>
    </row>
    <row r="222" spans="1:16">
      <c r="A222" s="163">
        <v>46191</v>
      </c>
      <c r="B222" s="179" t="s">
        <v>75</v>
      </c>
      <c r="C222" s="191">
        <v>0.54</v>
      </c>
      <c r="D222" s="191">
        <v>0.66</v>
      </c>
      <c r="E222" s="285">
        <v>56.448</v>
      </c>
      <c r="F222" s="10">
        <f t="shared" si="15"/>
        <v>51.6</v>
      </c>
      <c r="G222" s="10">
        <f t="shared" si="16"/>
        <v>4.848</v>
      </c>
      <c r="H222" s="153">
        <f t="shared" si="18"/>
        <v>0.750070861678005</v>
      </c>
      <c r="K222" s="285">
        <v>42.34</v>
      </c>
      <c r="L222" s="10">
        <f t="shared" si="17"/>
        <v>7790.13</v>
      </c>
      <c r="N222" s="150" t="s">
        <v>1654</v>
      </c>
    </row>
    <row r="223" spans="1:16">
      <c r="A223" s="163">
        <v>46191</v>
      </c>
      <c r="B223" s="179" t="s">
        <v>192</v>
      </c>
      <c r="C223" s="191">
        <v>0.39</v>
      </c>
      <c r="D223" s="191">
        <v>0.98</v>
      </c>
      <c r="E223" s="285">
        <v>263.648</v>
      </c>
      <c r="F223" s="10">
        <f t="shared" si="15"/>
        <v>253.7</v>
      </c>
      <c r="G223" s="10">
        <f t="shared" si="16"/>
        <v>9.94800000000004</v>
      </c>
      <c r="H223" s="153">
        <f t="shared" si="18"/>
        <v>0.750015171744144</v>
      </c>
      <c r="K223" s="285">
        <v>197.74</v>
      </c>
      <c r="L223" s="10">
        <f t="shared" si="17"/>
        <v>7592.39</v>
      </c>
      <c r="N223" s="150" t="s">
        <v>1654</v>
      </c>
    </row>
    <row r="224" spans="1:16">
      <c r="A224" s="163">
        <v>46191</v>
      </c>
      <c r="B224" s="179" t="s">
        <v>189</v>
      </c>
      <c r="C224" s="191">
        <v>0.58</v>
      </c>
      <c r="D224" s="191">
        <v>0.8</v>
      </c>
      <c r="E224" s="285">
        <v>97.272</v>
      </c>
      <c r="F224" s="10">
        <f t="shared" si="15"/>
        <v>94.6</v>
      </c>
      <c r="G224" s="10">
        <f t="shared" si="16"/>
        <v>2.67200000000001</v>
      </c>
      <c r="H224" s="153">
        <f t="shared" si="18"/>
        <v>0.74995887819722</v>
      </c>
      <c r="K224" s="285">
        <v>72.95</v>
      </c>
      <c r="L224" s="10">
        <f t="shared" si="17"/>
        <v>7519.44</v>
      </c>
      <c r="N224" s="150" t="s">
        <v>1654</v>
      </c>
    </row>
    <row r="225" spans="1:14">
      <c r="A225" s="163">
        <v>46191</v>
      </c>
      <c r="B225" s="179" t="s">
        <v>144</v>
      </c>
      <c r="C225" s="191">
        <v>0.45</v>
      </c>
      <c r="D225" s="191">
        <v>0.72</v>
      </c>
      <c r="E225" s="285">
        <v>122.392</v>
      </c>
      <c r="F225" s="10">
        <f t="shared" si="15"/>
        <v>116.1</v>
      </c>
      <c r="G225" s="10">
        <f t="shared" si="16"/>
        <v>6.292</v>
      </c>
      <c r="H225" s="153">
        <f t="shared" si="18"/>
        <v>0.750049022811949</v>
      </c>
      <c r="K225" s="285">
        <v>91.8</v>
      </c>
      <c r="L225" s="10">
        <f t="shared" si="17"/>
        <v>7427.64</v>
      </c>
      <c r="N225" s="150" t="s">
        <v>1654</v>
      </c>
    </row>
    <row r="226" spans="1:14">
      <c r="A226" s="163">
        <v>46191</v>
      </c>
      <c r="B226" s="179" t="s">
        <v>124</v>
      </c>
      <c r="C226" s="191">
        <v>0.59</v>
      </c>
      <c r="D226" s="191">
        <v>0.78</v>
      </c>
      <c r="E226" s="285">
        <v>77.408</v>
      </c>
      <c r="F226" s="10">
        <f t="shared" si="15"/>
        <v>81.7</v>
      </c>
      <c r="G226" s="10">
        <f t="shared" si="16"/>
        <v>-4.292</v>
      </c>
      <c r="H226" s="153">
        <f t="shared" si="18"/>
        <v>0.749922488631666</v>
      </c>
      <c r="K226" s="285">
        <v>58.05</v>
      </c>
      <c r="L226" s="10">
        <f t="shared" si="17"/>
        <v>7369.59</v>
      </c>
      <c r="N226" s="150" t="s">
        <v>1654</v>
      </c>
    </row>
    <row r="227" spans="1:14">
      <c r="A227" s="163">
        <v>46191</v>
      </c>
      <c r="B227" s="179" t="s">
        <v>339</v>
      </c>
      <c r="C227" s="191">
        <v>0.66</v>
      </c>
      <c r="D227" s="191">
        <v>1</v>
      </c>
      <c r="E227" s="285">
        <v>150.048</v>
      </c>
      <c r="F227" s="10">
        <f t="shared" si="15"/>
        <v>146.2</v>
      </c>
      <c r="G227" s="10">
        <f t="shared" si="16"/>
        <v>3.84800000000001</v>
      </c>
      <c r="H227" s="153">
        <f t="shared" si="18"/>
        <v>0.750026658136063</v>
      </c>
      <c r="K227" s="285">
        <v>112.54</v>
      </c>
      <c r="L227" s="10">
        <f t="shared" si="17"/>
        <v>7257.05</v>
      </c>
      <c r="N227" s="150" t="s">
        <v>1654</v>
      </c>
    </row>
    <row r="228" spans="1:14">
      <c r="A228" s="163">
        <v>46191</v>
      </c>
      <c r="B228" s="179" t="s">
        <v>174</v>
      </c>
      <c r="C228" s="191">
        <v>0.59</v>
      </c>
      <c r="D228" s="191">
        <v>1</v>
      </c>
      <c r="E228" s="285">
        <v>179.424</v>
      </c>
      <c r="F228" s="10">
        <f t="shared" si="15"/>
        <v>176.3</v>
      </c>
      <c r="G228" s="10">
        <f t="shared" si="16"/>
        <v>3.124</v>
      </c>
      <c r="H228" s="153">
        <f t="shared" si="18"/>
        <v>0.749955412876761</v>
      </c>
      <c r="K228" s="285">
        <v>134.56</v>
      </c>
      <c r="L228" s="10">
        <f t="shared" si="17"/>
        <v>7122.49</v>
      </c>
      <c r="N228" s="150" t="s">
        <v>1654</v>
      </c>
    </row>
    <row r="229" spans="1:14">
      <c r="A229" s="163">
        <v>46192</v>
      </c>
      <c r="B229" s="179" t="s">
        <v>96</v>
      </c>
      <c r="C229" s="191">
        <v>0.77</v>
      </c>
      <c r="D229" s="191">
        <v>1</v>
      </c>
      <c r="E229" s="285">
        <v>109.783</v>
      </c>
      <c r="F229" s="10">
        <f t="shared" si="15"/>
        <v>98.9</v>
      </c>
      <c r="G229" s="10">
        <f t="shared" si="16"/>
        <v>10.883</v>
      </c>
      <c r="H229" s="153">
        <f t="shared" si="18"/>
        <v>0.725977610376834</v>
      </c>
      <c r="K229" s="285">
        <v>79.7</v>
      </c>
      <c r="L229" s="10">
        <f t="shared" si="17"/>
        <v>7042.79</v>
      </c>
      <c r="N229" s="150" t="s">
        <v>1654</v>
      </c>
    </row>
    <row r="230" spans="1:14">
      <c r="A230" s="163">
        <v>46192</v>
      </c>
      <c r="B230" s="179" t="s">
        <v>84</v>
      </c>
      <c r="C230" s="191">
        <v>0.74</v>
      </c>
      <c r="D230" s="191">
        <v>1</v>
      </c>
      <c r="E230" s="285">
        <v>151.361</v>
      </c>
      <c r="F230" s="10">
        <f t="shared" si="15"/>
        <v>111.8</v>
      </c>
      <c r="G230" s="10">
        <f t="shared" si="16"/>
        <v>39.561</v>
      </c>
      <c r="H230" s="153">
        <f t="shared" si="18"/>
        <v>0.726012645265293</v>
      </c>
      <c r="K230" s="285">
        <v>109.89</v>
      </c>
      <c r="L230" s="10">
        <f t="shared" si="17"/>
        <v>6932.9</v>
      </c>
      <c r="N230" s="150" t="s">
        <v>1654</v>
      </c>
    </row>
    <row r="231" spans="1:14">
      <c r="A231" s="163">
        <v>46192</v>
      </c>
      <c r="B231" s="179" t="s">
        <v>132</v>
      </c>
      <c r="C231" s="191">
        <v>0.75</v>
      </c>
      <c r="D231" s="191">
        <v>0.93</v>
      </c>
      <c r="E231" s="285">
        <v>79.575</v>
      </c>
      <c r="F231" s="10">
        <f t="shared" si="15"/>
        <v>77.4</v>
      </c>
      <c r="G231" s="10">
        <f t="shared" si="16"/>
        <v>2.175</v>
      </c>
      <c r="H231" s="153">
        <f t="shared" si="18"/>
        <v>0.726107445805844</v>
      </c>
      <c r="K231" s="285">
        <v>57.78</v>
      </c>
      <c r="L231" s="10">
        <f t="shared" si="17"/>
        <v>6875.12</v>
      </c>
      <c r="N231" s="150" t="s">
        <v>1654</v>
      </c>
    </row>
    <row r="232" spans="1:14">
      <c r="A232" s="163">
        <v>46192</v>
      </c>
      <c r="B232" s="179" t="s">
        <v>60</v>
      </c>
      <c r="C232" s="191">
        <v>0.3</v>
      </c>
      <c r="D232" s="191">
        <v>1</v>
      </c>
      <c r="E232" s="285">
        <v>291.422</v>
      </c>
      <c r="F232" s="10">
        <f t="shared" si="15"/>
        <v>301</v>
      </c>
      <c r="G232" s="10">
        <f t="shared" si="16"/>
        <v>-9.57799999999997</v>
      </c>
      <c r="H232" s="153">
        <f t="shared" si="18"/>
        <v>0.725991860600778</v>
      </c>
      <c r="K232" s="285">
        <v>211.57</v>
      </c>
      <c r="L232" s="10">
        <f t="shared" si="17"/>
        <v>6663.55</v>
      </c>
      <c r="N232" s="150" t="s">
        <v>1654</v>
      </c>
    </row>
    <row r="233" spans="1:14">
      <c r="A233" s="163">
        <v>46192</v>
      </c>
      <c r="B233" s="179" t="s">
        <v>102</v>
      </c>
      <c r="C233" s="191">
        <v>0.7</v>
      </c>
      <c r="D233" s="191">
        <v>1</v>
      </c>
      <c r="E233" s="285">
        <v>127.112</v>
      </c>
      <c r="F233" s="10">
        <f t="shared" si="15"/>
        <v>129</v>
      </c>
      <c r="G233" s="10">
        <f t="shared" si="16"/>
        <v>-1.88800000000001</v>
      </c>
      <c r="H233" s="153">
        <f t="shared" si="18"/>
        <v>0.725973944238152</v>
      </c>
      <c r="K233" s="285">
        <v>92.28</v>
      </c>
      <c r="L233" s="10">
        <f t="shared" si="17"/>
        <v>6571.27</v>
      </c>
      <c r="N233" s="150" t="s">
        <v>1654</v>
      </c>
    </row>
    <row r="234" spans="1:14">
      <c r="A234" s="163">
        <v>46192</v>
      </c>
      <c r="B234" s="179" t="s">
        <v>198</v>
      </c>
      <c r="C234" s="191">
        <v>0.55</v>
      </c>
      <c r="D234" s="191">
        <v>1</v>
      </c>
      <c r="E234" s="285">
        <v>187.552</v>
      </c>
      <c r="F234" s="10">
        <f t="shared" si="15"/>
        <v>193.5</v>
      </c>
      <c r="G234" s="10">
        <f t="shared" si="16"/>
        <v>-5.94800000000001</v>
      </c>
      <c r="H234" s="153">
        <f t="shared" si="18"/>
        <v>0.749978672581471</v>
      </c>
      <c r="K234" s="285">
        <v>140.66</v>
      </c>
      <c r="L234" s="10">
        <f t="shared" si="17"/>
        <v>6430.61</v>
      </c>
      <c r="N234" s="150" t="s">
        <v>1654</v>
      </c>
    </row>
    <row r="235" spans="1:14">
      <c r="A235" s="163">
        <v>46192</v>
      </c>
      <c r="B235" s="179" t="s">
        <v>111</v>
      </c>
      <c r="C235" s="191">
        <v>0.51</v>
      </c>
      <c r="D235" s="191">
        <v>1</v>
      </c>
      <c r="E235" s="285">
        <v>201.888</v>
      </c>
      <c r="F235" s="10">
        <f t="shared" si="15"/>
        <v>210.7</v>
      </c>
      <c r="G235" s="10">
        <f t="shared" si="16"/>
        <v>-8.81199999999998</v>
      </c>
      <c r="H235" s="153">
        <f t="shared" si="18"/>
        <v>0.750019812965605</v>
      </c>
      <c r="K235" s="285">
        <v>151.42</v>
      </c>
      <c r="L235" s="10">
        <f t="shared" si="17"/>
        <v>6279.19</v>
      </c>
      <c r="N235" s="150" t="s">
        <v>1654</v>
      </c>
    </row>
    <row r="236" spans="1:14">
      <c r="A236" s="163">
        <v>46192</v>
      </c>
      <c r="B236" s="179" t="s">
        <v>57</v>
      </c>
      <c r="C236" s="191">
        <v>0.51</v>
      </c>
      <c r="D236" s="191">
        <v>0.7</v>
      </c>
      <c r="E236" s="285">
        <v>76.984</v>
      </c>
      <c r="F236" s="10">
        <f t="shared" si="15"/>
        <v>81.7</v>
      </c>
      <c r="G236" s="10">
        <f t="shared" si="16"/>
        <v>-4.71600000000001</v>
      </c>
      <c r="H236" s="153">
        <f t="shared" si="18"/>
        <v>0.750025979424296</v>
      </c>
      <c r="K236" s="285">
        <v>57.74</v>
      </c>
      <c r="L236" s="10">
        <f t="shared" si="17"/>
        <v>6221.45</v>
      </c>
      <c r="N236" s="150" t="s">
        <v>1654</v>
      </c>
    </row>
    <row r="237" spans="1:14">
      <c r="A237" s="163">
        <v>46192</v>
      </c>
      <c r="B237" s="179" t="s">
        <v>114</v>
      </c>
      <c r="C237" s="191">
        <v>0.66</v>
      </c>
      <c r="D237" s="191">
        <v>0.86</v>
      </c>
      <c r="E237" s="285">
        <v>81.896</v>
      </c>
      <c r="F237" s="10">
        <f t="shared" si="15"/>
        <v>86</v>
      </c>
      <c r="G237" s="10">
        <f t="shared" si="16"/>
        <v>-4.104</v>
      </c>
      <c r="H237" s="153">
        <f t="shared" si="18"/>
        <v>0.725920679886686</v>
      </c>
      <c r="K237" s="285">
        <v>59.45</v>
      </c>
      <c r="L237" s="10">
        <f t="shared" si="17"/>
        <v>6162</v>
      </c>
      <c r="N237" s="150" t="s">
        <v>1654</v>
      </c>
    </row>
    <row r="238" spans="1:14">
      <c r="A238" s="163">
        <v>46192</v>
      </c>
      <c r="B238" s="179" t="s">
        <v>51</v>
      </c>
      <c r="C238" s="191">
        <v>0.5</v>
      </c>
      <c r="D238" s="191">
        <v>1</v>
      </c>
      <c r="E238" s="285">
        <v>207.872</v>
      </c>
      <c r="F238" s="10">
        <f t="shared" si="15"/>
        <v>215</v>
      </c>
      <c r="G238" s="10">
        <f t="shared" si="16"/>
        <v>-7.12799999999999</v>
      </c>
      <c r="H238" s="153">
        <f t="shared" si="18"/>
        <v>0.749980757389163</v>
      </c>
      <c r="K238" s="285">
        <v>155.9</v>
      </c>
      <c r="L238" s="10">
        <f t="shared" si="17"/>
        <v>6006.1</v>
      </c>
      <c r="N238" s="150" t="s">
        <v>1654</v>
      </c>
    </row>
    <row r="239" spans="1:14">
      <c r="A239" s="163">
        <v>46192</v>
      </c>
      <c r="B239" s="179" t="s">
        <v>78</v>
      </c>
      <c r="C239" s="191">
        <v>0.55</v>
      </c>
      <c r="D239" s="191">
        <v>0.75</v>
      </c>
      <c r="E239" s="285">
        <v>91.776</v>
      </c>
      <c r="F239" s="10">
        <f t="shared" si="15"/>
        <v>86</v>
      </c>
      <c r="G239" s="10">
        <f t="shared" si="16"/>
        <v>5.776</v>
      </c>
      <c r="H239" s="153">
        <f t="shared" si="18"/>
        <v>0.750087168758717</v>
      </c>
      <c r="K239" s="285">
        <v>68.84</v>
      </c>
      <c r="L239" s="10">
        <f t="shared" si="17"/>
        <v>5937.26</v>
      </c>
      <c r="N239" s="150" t="s">
        <v>1654</v>
      </c>
    </row>
    <row r="240" spans="1:14">
      <c r="A240" s="163">
        <v>46192</v>
      </c>
      <c r="B240" s="179" t="s">
        <v>87</v>
      </c>
      <c r="C240" s="191">
        <v>0.44</v>
      </c>
      <c r="D240" s="191">
        <v>0.82</v>
      </c>
      <c r="E240" s="285">
        <v>174.752</v>
      </c>
      <c r="F240" s="10">
        <f t="shared" si="15"/>
        <v>163.4</v>
      </c>
      <c r="G240" s="10">
        <f t="shared" si="16"/>
        <v>11.352</v>
      </c>
      <c r="H240" s="153">
        <f t="shared" si="18"/>
        <v>0.749977110419337</v>
      </c>
      <c r="K240" s="285">
        <v>131.06</v>
      </c>
      <c r="L240" s="10">
        <f t="shared" si="17"/>
        <v>5806.2</v>
      </c>
      <c r="N240" s="150" t="s">
        <v>1654</v>
      </c>
    </row>
    <row r="241" spans="1:14">
      <c r="A241" s="163">
        <v>46192</v>
      </c>
      <c r="B241" s="179" t="s">
        <v>108</v>
      </c>
      <c r="C241" s="191">
        <v>0.73</v>
      </c>
      <c r="D241" s="191">
        <v>0.97</v>
      </c>
      <c r="E241" s="285">
        <v>111.874</v>
      </c>
      <c r="F241" s="10">
        <f t="shared" si="15"/>
        <v>103.2</v>
      </c>
      <c r="G241" s="10">
        <f t="shared" si="16"/>
        <v>8.67399999999999</v>
      </c>
      <c r="H241" s="153">
        <f t="shared" si="18"/>
        <v>0.725995316159251</v>
      </c>
      <c r="K241" s="285">
        <v>81.22</v>
      </c>
      <c r="L241" s="10">
        <f t="shared" si="17"/>
        <v>5724.98</v>
      </c>
      <c r="N241" s="150" t="s">
        <v>1654</v>
      </c>
    </row>
    <row r="242" spans="1:14">
      <c r="A242" s="163">
        <v>46192</v>
      </c>
      <c r="B242" s="179" t="s">
        <v>213</v>
      </c>
      <c r="C242" s="191">
        <v>0.62</v>
      </c>
      <c r="D242" s="191">
        <v>0.96</v>
      </c>
      <c r="E242" s="285">
        <v>151.04</v>
      </c>
      <c r="F242" s="10">
        <f t="shared" si="15"/>
        <v>146.2</v>
      </c>
      <c r="G242" s="10">
        <f t="shared" si="16"/>
        <v>4.84</v>
      </c>
      <c r="H242" s="153">
        <f t="shared" si="18"/>
        <v>0.75</v>
      </c>
      <c r="K242" s="285">
        <v>113.28</v>
      </c>
      <c r="L242" s="10">
        <f t="shared" si="17"/>
        <v>5611.7</v>
      </c>
      <c r="N242" s="150" t="s">
        <v>1654</v>
      </c>
    </row>
    <row r="243" spans="1:14">
      <c r="A243" s="163">
        <v>46192</v>
      </c>
      <c r="B243" s="179" t="s">
        <v>670</v>
      </c>
      <c r="C243" s="191">
        <v>0.61</v>
      </c>
      <c r="D243" s="191">
        <v>0.96</v>
      </c>
      <c r="E243" s="285">
        <v>152.896</v>
      </c>
      <c r="F243" s="10">
        <f t="shared" si="15"/>
        <v>150.5</v>
      </c>
      <c r="G243" s="10">
        <f t="shared" si="16"/>
        <v>2.39599999999999</v>
      </c>
      <c r="H243" s="153">
        <f t="shared" si="18"/>
        <v>0.74998691921306</v>
      </c>
      <c r="K243" s="285">
        <v>114.67</v>
      </c>
      <c r="L243" s="10">
        <f t="shared" si="17"/>
        <v>5497.03</v>
      </c>
      <c r="N243" s="150" t="s">
        <v>1654</v>
      </c>
    </row>
    <row r="244" spans="1:14">
      <c r="A244" s="163">
        <v>46192</v>
      </c>
      <c r="B244" s="179" t="s">
        <v>151</v>
      </c>
      <c r="C244" s="191">
        <v>0.57</v>
      </c>
      <c r="D244" s="191">
        <v>0.98</v>
      </c>
      <c r="E244" s="285">
        <v>177.536</v>
      </c>
      <c r="F244" s="10">
        <f t="shared" si="15"/>
        <v>176.3</v>
      </c>
      <c r="G244" s="10">
        <f t="shared" si="16"/>
        <v>1.23599999999999</v>
      </c>
      <c r="H244" s="153">
        <f t="shared" si="18"/>
        <v>0.749988734679164</v>
      </c>
      <c r="K244" s="285">
        <v>133.15</v>
      </c>
      <c r="L244" s="10">
        <f t="shared" si="17"/>
        <v>5363.88</v>
      </c>
      <c r="N244" s="150" t="s">
        <v>1654</v>
      </c>
    </row>
    <row r="245" spans="1:14">
      <c r="A245" s="163">
        <v>46192</v>
      </c>
      <c r="B245" s="179" t="s">
        <v>63</v>
      </c>
      <c r="C245" s="191">
        <v>0.55</v>
      </c>
      <c r="D245" s="191">
        <v>1</v>
      </c>
      <c r="E245" s="285">
        <v>207.072</v>
      </c>
      <c r="F245" s="10">
        <f t="shared" si="15"/>
        <v>193.5</v>
      </c>
      <c r="G245" s="10">
        <f t="shared" si="16"/>
        <v>13.572</v>
      </c>
      <c r="H245" s="153">
        <f t="shared" si="18"/>
        <v>0.749980683047442</v>
      </c>
      <c r="K245" s="285">
        <v>155.3</v>
      </c>
      <c r="L245" s="10">
        <f t="shared" si="17"/>
        <v>5208.58</v>
      </c>
      <c r="N245" s="150" t="s">
        <v>1654</v>
      </c>
    </row>
    <row r="246" spans="1:14">
      <c r="A246" s="163">
        <v>46192</v>
      </c>
      <c r="B246" s="179" t="s">
        <v>69</v>
      </c>
      <c r="C246" s="191">
        <v>0.69</v>
      </c>
      <c r="D246" s="191">
        <v>1</v>
      </c>
      <c r="E246" s="285">
        <v>140.192</v>
      </c>
      <c r="F246" s="10">
        <f t="shared" si="15"/>
        <v>133.3</v>
      </c>
      <c r="G246" s="10">
        <f t="shared" si="16"/>
        <v>6.892</v>
      </c>
      <c r="H246" s="153">
        <f t="shared" si="18"/>
        <v>0.750042798447843</v>
      </c>
      <c r="K246" s="285">
        <v>105.15</v>
      </c>
      <c r="L246" s="10">
        <f t="shared" si="17"/>
        <v>5103.43</v>
      </c>
      <c r="N246" s="150" t="s">
        <v>1654</v>
      </c>
    </row>
    <row r="247" spans="1:14">
      <c r="A247" s="163">
        <v>46192</v>
      </c>
      <c r="B247" s="179" t="s">
        <v>141</v>
      </c>
      <c r="C247" s="191">
        <v>0.69</v>
      </c>
      <c r="D247" s="191">
        <v>1</v>
      </c>
      <c r="E247" s="285">
        <v>135.222</v>
      </c>
      <c r="F247" s="10">
        <f t="shared" si="15"/>
        <v>133.3</v>
      </c>
      <c r="G247" s="10">
        <f t="shared" si="16"/>
        <v>1.922</v>
      </c>
      <c r="H247" s="153">
        <f t="shared" si="18"/>
        <v>0.725991332771295</v>
      </c>
      <c r="K247" s="285">
        <v>98.17</v>
      </c>
      <c r="L247" s="10">
        <f t="shared" si="17"/>
        <v>5005.26</v>
      </c>
      <c r="N247" s="150" t="s">
        <v>1654</v>
      </c>
    </row>
    <row r="248" spans="1:14">
      <c r="A248" s="163">
        <v>46192</v>
      </c>
      <c r="B248" s="179" t="s">
        <v>141</v>
      </c>
      <c r="C248" s="191">
        <v>0.76</v>
      </c>
      <c r="D248" s="191">
        <v>1</v>
      </c>
      <c r="E248" s="285">
        <v>105.152</v>
      </c>
      <c r="F248" s="10">
        <f t="shared" si="15"/>
        <v>103.2</v>
      </c>
      <c r="G248" s="10">
        <f t="shared" si="16"/>
        <v>1.952</v>
      </c>
      <c r="H248" s="153">
        <f t="shared" si="18"/>
        <v>0.74996195982958</v>
      </c>
      <c r="K248" s="285">
        <v>78.86</v>
      </c>
      <c r="L248" s="10">
        <f t="shared" si="17"/>
        <v>4926.4</v>
      </c>
      <c r="N248" s="150" t="s">
        <v>1654</v>
      </c>
    </row>
    <row r="249" spans="1:14">
      <c r="A249" s="163">
        <v>46192</v>
      </c>
      <c r="B249" s="179" t="s">
        <v>195</v>
      </c>
      <c r="C249" s="191">
        <v>0.55</v>
      </c>
      <c r="D249" s="191">
        <v>0.9</v>
      </c>
      <c r="E249" s="285">
        <v>157.432</v>
      </c>
      <c r="F249" s="10">
        <f t="shared" si="15"/>
        <v>150.5</v>
      </c>
      <c r="G249" s="10">
        <f t="shared" si="16"/>
        <v>6.93199999999999</v>
      </c>
      <c r="H249" s="153">
        <f t="shared" si="18"/>
        <v>0.750038111692667</v>
      </c>
      <c r="K249" s="285">
        <v>118.08</v>
      </c>
      <c r="L249" s="10">
        <f t="shared" si="17"/>
        <v>4808.32</v>
      </c>
      <c r="N249" s="150" t="s">
        <v>1654</v>
      </c>
    </row>
    <row r="250" spans="1:14">
      <c r="A250" s="163">
        <v>46193</v>
      </c>
      <c r="B250" s="179" t="s">
        <v>130</v>
      </c>
      <c r="C250" s="191">
        <v>0.48</v>
      </c>
      <c r="D250" s="191">
        <v>0.75</v>
      </c>
      <c r="E250" s="285">
        <v>109.472</v>
      </c>
      <c r="F250" s="10">
        <f t="shared" si="15"/>
        <v>116.1</v>
      </c>
      <c r="G250" s="10">
        <f t="shared" si="16"/>
        <v>-6.62800000000001</v>
      </c>
      <c r="H250" s="153">
        <f t="shared" si="18"/>
        <v>0.749963460976323</v>
      </c>
      <c r="K250" s="285">
        <v>82.1</v>
      </c>
      <c r="L250" s="10">
        <f t="shared" si="17"/>
        <v>4726.22</v>
      </c>
      <c r="N250" s="150" t="s">
        <v>1654</v>
      </c>
    </row>
    <row r="251" spans="1:14">
      <c r="A251" s="163">
        <v>46193</v>
      </c>
      <c r="B251" s="179" t="s">
        <v>163</v>
      </c>
      <c r="C251" s="191">
        <v>0.6</v>
      </c>
      <c r="D251" s="191">
        <v>0.7</v>
      </c>
      <c r="E251" s="285">
        <v>45.536</v>
      </c>
      <c r="F251" s="10">
        <f t="shared" si="15"/>
        <v>43</v>
      </c>
      <c r="G251" s="10">
        <f t="shared" si="16"/>
        <v>2.53600000000001</v>
      </c>
      <c r="H251" s="153">
        <f t="shared" si="18"/>
        <v>0.749956078706957</v>
      </c>
      <c r="K251" s="285">
        <v>34.15</v>
      </c>
      <c r="L251" s="10">
        <f t="shared" si="17"/>
        <v>4692.07</v>
      </c>
      <c r="N251" s="150" t="s">
        <v>1654</v>
      </c>
    </row>
    <row r="252" spans="1:14">
      <c r="A252" s="163">
        <v>46193</v>
      </c>
      <c r="B252" s="179" t="s">
        <v>221</v>
      </c>
      <c r="C252" s="191">
        <v>0.6</v>
      </c>
      <c r="D252" s="191">
        <v>0.79</v>
      </c>
      <c r="E252" s="285">
        <v>85.12</v>
      </c>
      <c r="F252" s="10">
        <f t="shared" si="15"/>
        <v>81.7</v>
      </c>
      <c r="G252" s="10">
        <f t="shared" si="16"/>
        <v>3.41999999999997</v>
      </c>
      <c r="H252" s="153">
        <f t="shared" si="18"/>
        <v>0.75</v>
      </c>
      <c r="K252" s="285">
        <v>63.84</v>
      </c>
      <c r="L252" s="10">
        <f t="shared" si="17"/>
        <v>4628.23</v>
      </c>
      <c r="N252" s="150" t="s">
        <v>1654</v>
      </c>
    </row>
    <row r="253" spans="1:14">
      <c r="A253" s="163">
        <v>46193</v>
      </c>
      <c r="B253" s="179" t="s">
        <v>135</v>
      </c>
      <c r="C253" s="191">
        <v>0.55</v>
      </c>
      <c r="D253" s="191">
        <v>0.94</v>
      </c>
      <c r="E253" s="285">
        <v>174.208</v>
      </c>
      <c r="F253" s="10">
        <f t="shared" si="15"/>
        <v>167.7</v>
      </c>
      <c r="G253" s="10">
        <f t="shared" si="16"/>
        <v>6.50800000000004</v>
      </c>
      <c r="H253" s="153">
        <f t="shared" si="18"/>
        <v>0.749965558412932</v>
      </c>
      <c r="K253" s="285">
        <v>130.65</v>
      </c>
      <c r="L253" s="10">
        <f t="shared" si="17"/>
        <v>4497.58</v>
      </c>
      <c r="N253" s="150" t="s">
        <v>1654</v>
      </c>
    </row>
    <row r="254" spans="1:14">
      <c r="A254" s="163">
        <v>46193</v>
      </c>
      <c r="B254" s="179" t="s">
        <v>72</v>
      </c>
      <c r="C254" s="191">
        <v>0.75</v>
      </c>
      <c r="D254" s="191">
        <v>1</v>
      </c>
      <c r="E254" s="285">
        <v>107.561</v>
      </c>
      <c r="F254" s="10">
        <f t="shared" si="15"/>
        <v>107.5</v>
      </c>
      <c r="G254" s="10">
        <f t="shared" si="16"/>
        <v>0.061000000000007</v>
      </c>
      <c r="H254" s="153">
        <f t="shared" si="18"/>
        <v>0.726006638093733</v>
      </c>
      <c r="K254" s="285">
        <v>78.09</v>
      </c>
      <c r="L254" s="10">
        <f t="shared" si="17"/>
        <v>4419.49</v>
      </c>
      <c r="N254" s="150" t="s">
        <v>1654</v>
      </c>
    </row>
    <row r="255" spans="1:14">
      <c r="A255" s="163">
        <v>46193</v>
      </c>
      <c r="B255" s="179" t="s">
        <v>338</v>
      </c>
      <c r="C255" s="191">
        <v>0.58</v>
      </c>
      <c r="D255" s="191">
        <v>0.87</v>
      </c>
      <c r="E255" s="285">
        <v>124.64</v>
      </c>
      <c r="F255" s="10">
        <f t="shared" si="15"/>
        <v>124.7</v>
      </c>
      <c r="G255" s="10">
        <f t="shared" si="16"/>
        <v>-0.0600000000000165</v>
      </c>
      <c r="H255" s="153">
        <f t="shared" si="18"/>
        <v>0.75</v>
      </c>
      <c r="K255" s="285">
        <v>93.48</v>
      </c>
      <c r="L255" s="10">
        <f t="shared" si="17"/>
        <v>4326.01</v>
      </c>
      <c r="N255" s="150" t="s">
        <v>1654</v>
      </c>
    </row>
    <row r="256" spans="1:14">
      <c r="A256" s="163">
        <v>46193</v>
      </c>
      <c r="B256" s="179" t="s">
        <v>223</v>
      </c>
      <c r="C256" s="191">
        <v>0.49</v>
      </c>
      <c r="D256" s="191">
        <v>0.49</v>
      </c>
      <c r="E256" s="285">
        <v>0.096</v>
      </c>
      <c r="F256" s="10">
        <f t="shared" si="15"/>
        <v>0</v>
      </c>
      <c r="G256" s="10">
        <f t="shared" si="16"/>
        <v>0.096</v>
      </c>
      <c r="H256" s="153">
        <f t="shared" si="18"/>
        <v>0.729166666666667</v>
      </c>
      <c r="K256" s="285">
        <v>0.07</v>
      </c>
      <c r="L256" s="10">
        <f t="shared" si="17"/>
        <v>4325.94</v>
      </c>
      <c r="N256" s="150" t="s">
        <v>1654</v>
      </c>
    </row>
    <row r="257" spans="1:14">
      <c r="A257" s="163">
        <v>46193</v>
      </c>
      <c r="B257" s="179" t="s">
        <v>160</v>
      </c>
      <c r="C257" s="191">
        <v>0.6</v>
      </c>
      <c r="D257" s="191">
        <v>0.97</v>
      </c>
      <c r="E257" s="285">
        <v>163.488</v>
      </c>
      <c r="F257" s="10">
        <f t="shared" si="15"/>
        <v>159.1</v>
      </c>
      <c r="G257" s="10">
        <f t="shared" si="16"/>
        <v>4.38800000000001</v>
      </c>
      <c r="H257" s="153">
        <f t="shared" si="18"/>
        <v>0.75002446662752</v>
      </c>
      <c r="K257" s="285">
        <v>122.62</v>
      </c>
      <c r="L257" s="10">
        <f t="shared" si="17"/>
        <v>4203.32</v>
      </c>
      <c r="N257" s="150" t="s">
        <v>1654</v>
      </c>
    </row>
    <row r="258" spans="1:14">
      <c r="A258" s="163">
        <v>46193</v>
      </c>
      <c r="B258" s="179" t="s">
        <v>223</v>
      </c>
      <c r="C258" s="191">
        <v>0.49</v>
      </c>
      <c r="D258" s="191">
        <v>0.71</v>
      </c>
      <c r="E258" s="285">
        <v>97.568</v>
      </c>
      <c r="F258" s="10">
        <f t="shared" si="15"/>
        <v>94.6</v>
      </c>
      <c r="G258" s="10">
        <f t="shared" si="16"/>
        <v>2.968</v>
      </c>
      <c r="H258" s="153">
        <f t="shared" si="18"/>
        <v>0.749938504427681</v>
      </c>
      <c r="K258" s="285">
        <v>73.17</v>
      </c>
      <c r="L258" s="10">
        <f t="shared" si="17"/>
        <v>4130.15</v>
      </c>
      <c r="N258" s="150" t="s">
        <v>1654</v>
      </c>
    </row>
    <row r="259" spans="1:14">
      <c r="A259" s="163">
        <v>46193</v>
      </c>
      <c r="B259" s="179" t="s">
        <v>124</v>
      </c>
      <c r="C259" s="191">
        <v>0.63</v>
      </c>
      <c r="D259" s="191">
        <v>0.87</v>
      </c>
      <c r="E259" s="285">
        <v>99.24</v>
      </c>
      <c r="F259" s="10">
        <f t="shared" ref="F259:F295" si="19">430*(D259-C259)</f>
        <v>103.2</v>
      </c>
      <c r="G259" s="10">
        <f t="shared" ref="G259:G295" si="20">E259-F259</f>
        <v>-3.96000000000001</v>
      </c>
      <c r="H259" s="153">
        <f t="shared" si="18"/>
        <v>0.75</v>
      </c>
      <c r="K259" s="285">
        <v>74.43</v>
      </c>
      <c r="L259" s="10">
        <f t="shared" ref="L259:L285" si="21">L258+J259-K259</f>
        <v>4055.72</v>
      </c>
      <c r="N259" s="150" t="s">
        <v>1654</v>
      </c>
    </row>
    <row r="260" spans="1:14">
      <c r="A260" s="163">
        <v>46193</v>
      </c>
      <c r="B260" s="179" t="s">
        <v>96</v>
      </c>
      <c r="C260" s="191">
        <v>0.19</v>
      </c>
      <c r="D260" s="191">
        <v>1</v>
      </c>
      <c r="E260" s="285">
        <v>378.451</v>
      </c>
      <c r="F260" s="10">
        <f t="shared" si="19"/>
        <v>348.3</v>
      </c>
      <c r="G260" s="10">
        <f t="shared" si="20"/>
        <v>30.151</v>
      </c>
      <c r="H260" s="153">
        <f t="shared" si="18"/>
        <v>0.726012086108902</v>
      </c>
      <c r="K260" s="285">
        <v>274.76</v>
      </c>
      <c r="L260" s="10">
        <f t="shared" si="21"/>
        <v>3780.96</v>
      </c>
      <c r="N260" s="150" t="s">
        <v>1654</v>
      </c>
    </row>
    <row r="261" spans="1:14">
      <c r="A261" s="163">
        <v>46193</v>
      </c>
      <c r="B261" s="179" t="s">
        <v>102</v>
      </c>
      <c r="C261" s="191">
        <v>0.12</v>
      </c>
      <c r="D261" s="191">
        <v>1</v>
      </c>
      <c r="E261" s="285">
        <v>402.856</v>
      </c>
      <c r="F261" s="10">
        <f t="shared" si="19"/>
        <v>378.4</v>
      </c>
      <c r="G261" s="10">
        <f t="shared" si="20"/>
        <v>24.456</v>
      </c>
      <c r="H261" s="153">
        <f t="shared" si="18"/>
        <v>0.725991421252259</v>
      </c>
      <c r="K261" s="285">
        <v>292.47</v>
      </c>
      <c r="L261" s="10">
        <f t="shared" si="21"/>
        <v>3488.49</v>
      </c>
      <c r="N261" s="150" t="s">
        <v>1654</v>
      </c>
    </row>
    <row r="262" spans="1:14">
      <c r="A262" s="163">
        <v>46193</v>
      </c>
      <c r="B262" s="179" t="s">
        <v>339</v>
      </c>
      <c r="C262" s="191">
        <v>0.63</v>
      </c>
      <c r="D262" s="191">
        <v>1</v>
      </c>
      <c r="E262" s="285">
        <v>159.968</v>
      </c>
      <c r="F262" s="10">
        <f t="shared" si="19"/>
        <v>159.1</v>
      </c>
      <c r="G262" s="10">
        <f t="shared" si="20"/>
        <v>0.867999999999995</v>
      </c>
      <c r="H262" s="153">
        <f t="shared" si="18"/>
        <v>0.7499624924985</v>
      </c>
      <c r="K262" s="285">
        <v>119.97</v>
      </c>
      <c r="L262" s="10">
        <f t="shared" si="21"/>
        <v>3368.52</v>
      </c>
      <c r="N262" s="150" t="s">
        <v>1654</v>
      </c>
    </row>
    <row r="263" spans="1:14">
      <c r="A263" s="163">
        <v>46193</v>
      </c>
      <c r="B263" s="179" t="s">
        <v>108</v>
      </c>
      <c r="C263" s="191">
        <v>0.35</v>
      </c>
      <c r="D263" s="191">
        <v>0.82</v>
      </c>
      <c r="E263" s="285">
        <v>221.901</v>
      </c>
      <c r="F263" s="10">
        <f t="shared" si="19"/>
        <v>202.1</v>
      </c>
      <c r="G263" s="10">
        <f t="shared" si="20"/>
        <v>19.801</v>
      </c>
      <c r="H263" s="153">
        <f t="shared" si="18"/>
        <v>0.725999432179215</v>
      </c>
      <c r="K263" s="285">
        <v>161.1</v>
      </c>
      <c r="L263" s="10">
        <f t="shared" si="21"/>
        <v>3207.42</v>
      </c>
      <c r="N263" s="150" t="s">
        <v>1654</v>
      </c>
    </row>
    <row r="264" spans="1:14">
      <c r="A264" s="163">
        <v>46193</v>
      </c>
      <c r="B264" s="179" t="s">
        <v>84</v>
      </c>
      <c r="C264" s="191">
        <v>0.18</v>
      </c>
      <c r="D264" s="191">
        <v>0.31</v>
      </c>
      <c r="E264" s="285">
        <v>59.747</v>
      </c>
      <c r="F264" s="10">
        <f t="shared" si="19"/>
        <v>55.9</v>
      </c>
      <c r="G264" s="10">
        <f t="shared" si="20"/>
        <v>3.847</v>
      </c>
      <c r="H264" s="153">
        <f t="shared" si="18"/>
        <v>0.726061559576213</v>
      </c>
      <c r="K264" s="285">
        <v>43.38</v>
      </c>
      <c r="L264" s="10">
        <f t="shared" si="21"/>
        <v>3164.04</v>
      </c>
      <c r="N264" s="150" t="s">
        <v>1654</v>
      </c>
    </row>
    <row r="265" spans="1:14">
      <c r="A265" s="163">
        <v>46193</v>
      </c>
      <c r="B265" s="179" t="s">
        <v>114</v>
      </c>
      <c r="C265" s="191">
        <v>0.31</v>
      </c>
      <c r="D265" s="191">
        <v>1</v>
      </c>
      <c r="E265" s="285">
        <v>282.159</v>
      </c>
      <c r="F265" s="10">
        <f t="shared" si="19"/>
        <v>296.7</v>
      </c>
      <c r="G265" s="10">
        <f t="shared" si="20"/>
        <v>-14.541</v>
      </c>
      <c r="H265" s="153">
        <f t="shared" si="18"/>
        <v>0.72600909416322</v>
      </c>
      <c r="K265" s="285">
        <v>204.85</v>
      </c>
      <c r="L265" s="10">
        <f t="shared" si="21"/>
        <v>2959.19</v>
      </c>
      <c r="N265" s="150" t="s">
        <v>1654</v>
      </c>
    </row>
    <row r="266" spans="1:14">
      <c r="A266" s="163">
        <v>46194</v>
      </c>
      <c r="B266" s="179" t="s">
        <v>144</v>
      </c>
      <c r="C266" s="191">
        <v>0.57</v>
      </c>
      <c r="D266" s="191">
        <v>1</v>
      </c>
      <c r="E266" s="285">
        <v>187.2</v>
      </c>
      <c r="F266" s="10">
        <f t="shared" si="19"/>
        <v>184.9</v>
      </c>
      <c r="G266" s="10">
        <f t="shared" si="20"/>
        <v>2.29999999999998</v>
      </c>
      <c r="H266" s="153">
        <f t="shared" si="18"/>
        <v>0.75</v>
      </c>
      <c r="K266" s="285">
        <v>140.4</v>
      </c>
      <c r="L266" s="10">
        <f t="shared" si="21"/>
        <v>2818.79</v>
      </c>
      <c r="N266" s="150" t="s">
        <v>1654</v>
      </c>
    </row>
    <row r="267" spans="1:14">
      <c r="A267" s="163">
        <v>46194</v>
      </c>
      <c r="B267" s="179" t="s">
        <v>108</v>
      </c>
      <c r="C267" s="191">
        <v>0.82</v>
      </c>
      <c r="D267" s="191">
        <v>1</v>
      </c>
      <c r="E267" s="285">
        <v>84.802</v>
      </c>
      <c r="F267" s="10">
        <f t="shared" si="19"/>
        <v>77.4</v>
      </c>
      <c r="G267" s="10">
        <f t="shared" si="20"/>
        <v>7.402</v>
      </c>
      <c r="H267" s="153">
        <f t="shared" si="18"/>
        <v>0.726044197070824</v>
      </c>
      <c r="K267" s="285">
        <v>61.57</v>
      </c>
      <c r="L267" s="10">
        <f t="shared" si="21"/>
        <v>2757.22</v>
      </c>
      <c r="N267" s="150" t="s">
        <v>1654</v>
      </c>
    </row>
    <row r="268" spans="1:14">
      <c r="A268" s="163">
        <v>46194</v>
      </c>
      <c r="B268" s="179" t="s">
        <v>105</v>
      </c>
      <c r="C268" s="191">
        <v>0.7</v>
      </c>
      <c r="D268" s="191">
        <v>0.95</v>
      </c>
      <c r="E268" s="285">
        <v>117.322</v>
      </c>
      <c r="F268" s="10">
        <f t="shared" si="19"/>
        <v>107.5</v>
      </c>
      <c r="G268" s="10">
        <f t="shared" si="20"/>
        <v>9.822</v>
      </c>
      <c r="H268" s="153">
        <f t="shared" si="18"/>
        <v>0.726036037571811</v>
      </c>
      <c r="K268" s="285">
        <v>85.18</v>
      </c>
      <c r="L268" s="10">
        <f t="shared" si="21"/>
        <v>2672.04</v>
      </c>
      <c r="N268" s="150" t="s">
        <v>1654</v>
      </c>
    </row>
    <row r="269" spans="1:14">
      <c r="A269" s="163">
        <v>46194</v>
      </c>
      <c r="B269" s="179" t="s">
        <v>54</v>
      </c>
      <c r="C269" s="191">
        <v>0.49</v>
      </c>
      <c r="D269" s="191">
        <v>0.96</v>
      </c>
      <c r="E269" s="285">
        <v>194.016</v>
      </c>
      <c r="F269" s="10">
        <f t="shared" si="19"/>
        <v>202.1</v>
      </c>
      <c r="G269" s="10">
        <f t="shared" si="20"/>
        <v>-8.084</v>
      </c>
      <c r="H269" s="153">
        <f t="shared" si="18"/>
        <v>0.749989691571829</v>
      </c>
      <c r="K269" s="285">
        <v>145.51</v>
      </c>
      <c r="L269" s="10">
        <f t="shared" si="21"/>
        <v>2526.53</v>
      </c>
      <c r="N269" s="150" t="s">
        <v>1654</v>
      </c>
    </row>
    <row r="270" spans="1:14">
      <c r="A270" s="163">
        <v>46194</v>
      </c>
      <c r="B270" s="179" t="s">
        <v>57</v>
      </c>
      <c r="C270" s="191">
        <v>0.75</v>
      </c>
      <c r="D270" s="191">
        <v>1</v>
      </c>
      <c r="E270" s="285">
        <v>101.646</v>
      </c>
      <c r="F270" s="10">
        <f t="shared" si="19"/>
        <v>107.5</v>
      </c>
      <c r="G270" s="10">
        <f t="shared" si="20"/>
        <v>-5.854</v>
      </c>
      <c r="H270" s="153">
        <f t="shared" si="18"/>
        <v>0.726049229679476</v>
      </c>
      <c r="K270" s="285">
        <v>73.8</v>
      </c>
      <c r="L270" s="10">
        <f t="shared" si="21"/>
        <v>2452.73</v>
      </c>
      <c r="N270" s="150" t="s">
        <v>1654</v>
      </c>
    </row>
    <row r="271" spans="1:14">
      <c r="A271" s="163">
        <v>46194</v>
      </c>
      <c r="B271" s="179" t="s">
        <v>189</v>
      </c>
      <c r="C271" s="191">
        <v>0.62</v>
      </c>
      <c r="D271" s="191">
        <v>0.84</v>
      </c>
      <c r="E271" s="285">
        <v>98.28</v>
      </c>
      <c r="F271" s="10">
        <f t="shared" si="19"/>
        <v>94.6</v>
      </c>
      <c r="G271" s="10">
        <f t="shared" si="20"/>
        <v>3.68000000000001</v>
      </c>
      <c r="H271" s="153">
        <f t="shared" si="18"/>
        <v>0.75</v>
      </c>
      <c r="K271" s="285">
        <v>73.71</v>
      </c>
      <c r="L271" s="10">
        <f t="shared" si="21"/>
        <v>2379.02</v>
      </c>
      <c r="N271" s="150" t="s">
        <v>1654</v>
      </c>
    </row>
    <row r="272" spans="1:14">
      <c r="A272" s="163">
        <v>46194</v>
      </c>
      <c r="B272" s="179" t="s">
        <v>141</v>
      </c>
      <c r="C272" s="191">
        <v>0.38</v>
      </c>
      <c r="D272" s="191">
        <v>0.43</v>
      </c>
      <c r="E272" s="285">
        <v>24.296</v>
      </c>
      <c r="F272" s="10">
        <f t="shared" si="19"/>
        <v>21.5</v>
      </c>
      <c r="G272" s="10">
        <f t="shared" si="20"/>
        <v>2.796</v>
      </c>
      <c r="H272" s="153">
        <f t="shared" si="18"/>
        <v>0.74991768192295</v>
      </c>
      <c r="K272" s="285">
        <v>18.22</v>
      </c>
      <c r="L272" s="10">
        <f t="shared" si="21"/>
        <v>2360.8</v>
      </c>
      <c r="N272" s="150" t="s">
        <v>1654</v>
      </c>
    </row>
    <row r="273" spans="1:14">
      <c r="A273" s="163">
        <v>46194</v>
      </c>
      <c r="B273" s="179" t="s">
        <v>51</v>
      </c>
      <c r="C273" s="191">
        <v>0.46</v>
      </c>
      <c r="D273" s="191">
        <v>0.73</v>
      </c>
      <c r="E273" s="285">
        <v>109.216</v>
      </c>
      <c r="F273" s="10">
        <f t="shared" si="19"/>
        <v>116.1</v>
      </c>
      <c r="G273" s="10">
        <f t="shared" si="20"/>
        <v>-6.884</v>
      </c>
      <c r="H273" s="153">
        <f t="shared" si="18"/>
        <v>0.749981687664811</v>
      </c>
      <c r="K273" s="285">
        <v>81.91</v>
      </c>
      <c r="L273" s="10">
        <f t="shared" si="21"/>
        <v>2278.89</v>
      </c>
      <c r="N273" s="150" t="s">
        <v>1654</v>
      </c>
    </row>
    <row r="274" spans="1:14">
      <c r="A274" s="163">
        <v>46194</v>
      </c>
      <c r="B274" s="179" t="s">
        <v>141</v>
      </c>
      <c r="C274" s="191">
        <v>0.24</v>
      </c>
      <c r="D274" s="191">
        <v>0.35</v>
      </c>
      <c r="E274" s="285">
        <v>45.933</v>
      </c>
      <c r="F274" s="10">
        <f t="shared" si="19"/>
        <v>47.3</v>
      </c>
      <c r="G274" s="10">
        <f t="shared" si="20"/>
        <v>-1.367</v>
      </c>
      <c r="H274" s="153">
        <f t="shared" si="18"/>
        <v>0.725839810158274</v>
      </c>
      <c r="K274" s="285">
        <v>33.34</v>
      </c>
      <c r="L274" s="10">
        <f t="shared" si="21"/>
        <v>2245.55</v>
      </c>
      <c r="N274" s="150" t="s">
        <v>1654</v>
      </c>
    </row>
    <row r="275" spans="1:14">
      <c r="A275" s="163">
        <v>46194</v>
      </c>
      <c r="B275" s="179" t="s">
        <v>180</v>
      </c>
      <c r="C275" s="191">
        <v>0.66</v>
      </c>
      <c r="D275" s="191">
        <v>0.66</v>
      </c>
      <c r="E275" s="285">
        <v>1.184</v>
      </c>
      <c r="F275" s="10">
        <f t="shared" si="19"/>
        <v>0</v>
      </c>
      <c r="G275" s="10">
        <f t="shared" si="20"/>
        <v>1.184</v>
      </c>
      <c r="H275" s="153">
        <f t="shared" si="18"/>
        <v>0.751689189189189</v>
      </c>
      <c r="K275" s="285">
        <v>0.89</v>
      </c>
      <c r="L275" s="10">
        <f t="shared" si="21"/>
        <v>2244.66</v>
      </c>
      <c r="N275" s="150" t="s">
        <v>1654</v>
      </c>
    </row>
    <row r="276" spans="1:14">
      <c r="A276" s="163">
        <v>46194</v>
      </c>
      <c r="B276" s="179" t="s">
        <v>180</v>
      </c>
      <c r="C276" s="191">
        <v>0.66</v>
      </c>
      <c r="D276" s="191">
        <v>0.66</v>
      </c>
      <c r="E276" s="285">
        <v>0.32</v>
      </c>
      <c r="F276" s="10">
        <f t="shared" si="19"/>
        <v>0</v>
      </c>
      <c r="G276" s="10">
        <f t="shared" si="20"/>
        <v>0.32</v>
      </c>
      <c r="H276" s="153">
        <f t="shared" si="18"/>
        <v>0.75</v>
      </c>
      <c r="K276" s="285">
        <v>0.24</v>
      </c>
      <c r="L276" s="10">
        <f t="shared" si="21"/>
        <v>2244.42</v>
      </c>
      <c r="N276" s="150" t="s">
        <v>1654</v>
      </c>
    </row>
    <row r="277" spans="1:14">
      <c r="A277" s="163">
        <v>46194</v>
      </c>
      <c r="B277" s="179" t="s">
        <v>180</v>
      </c>
      <c r="C277" s="191">
        <v>0.66</v>
      </c>
      <c r="D277" s="191">
        <v>0.73</v>
      </c>
      <c r="E277" s="285">
        <v>31.808</v>
      </c>
      <c r="F277" s="10">
        <f t="shared" si="19"/>
        <v>30.1</v>
      </c>
      <c r="G277" s="10">
        <f t="shared" si="20"/>
        <v>1.708</v>
      </c>
      <c r="H277" s="153">
        <f t="shared" si="18"/>
        <v>0.749811368209256</v>
      </c>
      <c r="K277" s="285">
        <v>23.85</v>
      </c>
      <c r="L277" s="10">
        <f t="shared" si="21"/>
        <v>2220.57</v>
      </c>
      <c r="N277" s="150" t="s">
        <v>1654</v>
      </c>
    </row>
    <row r="278" spans="1:14">
      <c r="A278" s="163">
        <v>46194</v>
      </c>
      <c r="B278" s="179" t="s">
        <v>183</v>
      </c>
      <c r="C278" s="191">
        <v>0.59</v>
      </c>
      <c r="D278" s="191">
        <v>0.6</v>
      </c>
      <c r="E278" s="285">
        <v>2.944</v>
      </c>
      <c r="F278" s="10">
        <f t="shared" si="19"/>
        <v>4.3</v>
      </c>
      <c r="G278" s="10">
        <f t="shared" si="20"/>
        <v>-1.356</v>
      </c>
      <c r="H278" s="153">
        <f t="shared" si="18"/>
        <v>0.750679347826087</v>
      </c>
      <c r="K278" s="285">
        <v>2.21</v>
      </c>
      <c r="L278" s="10">
        <f t="shared" si="21"/>
        <v>2218.36</v>
      </c>
      <c r="N278" s="150" t="s">
        <v>1654</v>
      </c>
    </row>
    <row r="279" spans="1:14">
      <c r="A279" s="163">
        <v>46194</v>
      </c>
      <c r="B279" s="179" t="s">
        <v>201</v>
      </c>
      <c r="C279" s="191">
        <v>0.42</v>
      </c>
      <c r="D279" s="191">
        <v>1</v>
      </c>
      <c r="E279" s="285">
        <v>255.924</v>
      </c>
      <c r="F279" s="10">
        <f t="shared" si="19"/>
        <v>249.4</v>
      </c>
      <c r="G279" s="10">
        <f t="shared" si="20"/>
        <v>6.524</v>
      </c>
      <c r="H279" s="153">
        <f t="shared" si="18"/>
        <v>0.72599678029415</v>
      </c>
      <c r="K279" s="285">
        <v>185.8</v>
      </c>
      <c r="L279" s="10">
        <f t="shared" si="21"/>
        <v>2032.56</v>
      </c>
      <c r="N279" s="150" t="s">
        <v>1654</v>
      </c>
    </row>
    <row r="280" spans="1:14">
      <c r="A280" s="163">
        <v>46194</v>
      </c>
      <c r="B280" s="179" t="s">
        <v>148</v>
      </c>
      <c r="C280" s="191">
        <v>0.55</v>
      </c>
      <c r="D280" s="191">
        <v>0.99</v>
      </c>
      <c r="E280" s="285">
        <v>198.944</v>
      </c>
      <c r="F280" s="10">
        <f t="shared" si="19"/>
        <v>189.2</v>
      </c>
      <c r="G280" s="10">
        <f t="shared" si="20"/>
        <v>9.744</v>
      </c>
      <c r="H280" s="153">
        <f t="shared" si="18"/>
        <v>0.750010053080264</v>
      </c>
      <c r="K280" s="285">
        <v>149.21</v>
      </c>
      <c r="L280" s="10">
        <f t="shared" si="21"/>
        <v>1883.35</v>
      </c>
      <c r="N280" s="150" t="s">
        <v>1654</v>
      </c>
    </row>
    <row r="281" spans="1:14">
      <c r="A281" s="163">
        <v>46194</v>
      </c>
      <c r="B281" s="179" t="s">
        <v>207</v>
      </c>
      <c r="C281" s="191">
        <v>0.44</v>
      </c>
      <c r="D281" s="191">
        <v>0.9</v>
      </c>
      <c r="E281" s="285">
        <v>199.648</v>
      </c>
      <c r="F281" s="10">
        <f t="shared" si="19"/>
        <v>197.8</v>
      </c>
      <c r="G281" s="10">
        <f t="shared" si="20"/>
        <v>1.84799999999998</v>
      </c>
      <c r="H281" s="153">
        <f>K281/E281</f>
        <v>0.750020035262061</v>
      </c>
      <c r="K281" s="285">
        <v>149.74</v>
      </c>
      <c r="L281" s="10">
        <f t="shared" si="21"/>
        <v>1733.61</v>
      </c>
      <c r="N281" s="150" t="s">
        <v>1654</v>
      </c>
    </row>
    <row r="282" spans="1:14">
      <c r="A282" s="163">
        <v>46194</v>
      </c>
      <c r="B282" s="179" t="s">
        <v>186</v>
      </c>
      <c r="C282" s="191">
        <v>0.6</v>
      </c>
      <c r="D282" s="191">
        <v>0.84</v>
      </c>
      <c r="E282" s="285">
        <v>105.456</v>
      </c>
      <c r="F282" s="10">
        <f t="shared" si="19"/>
        <v>103.2</v>
      </c>
      <c r="G282" s="10">
        <f t="shared" si="20"/>
        <v>2.256</v>
      </c>
      <c r="H282" s="153">
        <f>K282/E282</f>
        <v>0.749981034744348</v>
      </c>
      <c r="K282" s="285">
        <v>79.09</v>
      </c>
      <c r="L282" s="10">
        <f t="shared" si="21"/>
        <v>1654.52</v>
      </c>
      <c r="N282" s="150" t="s">
        <v>1654</v>
      </c>
    </row>
    <row r="283" spans="1:14">
      <c r="A283" s="163">
        <v>46194</v>
      </c>
      <c r="B283" s="179" t="s">
        <v>183</v>
      </c>
      <c r="C283" s="191">
        <v>0.6</v>
      </c>
      <c r="D283" s="191">
        <v>0.64</v>
      </c>
      <c r="E283" s="285">
        <v>18.6</v>
      </c>
      <c r="F283" s="10">
        <f t="shared" si="19"/>
        <v>17.2</v>
      </c>
      <c r="G283" s="10">
        <f t="shared" si="20"/>
        <v>1.4</v>
      </c>
      <c r="H283" s="153">
        <f>K283/E283</f>
        <v>0.75</v>
      </c>
      <c r="K283" s="285">
        <v>13.95</v>
      </c>
      <c r="L283" s="10">
        <f t="shared" si="21"/>
        <v>1640.57</v>
      </c>
      <c r="N283" s="150" t="s">
        <v>1654</v>
      </c>
    </row>
    <row r="284" spans="1:14">
      <c r="A284" s="163">
        <v>46194</v>
      </c>
      <c r="B284" s="179" t="s">
        <v>183</v>
      </c>
      <c r="C284" s="191">
        <v>0.63</v>
      </c>
      <c r="D284" s="191">
        <v>0.97</v>
      </c>
      <c r="E284" s="285">
        <v>150.016</v>
      </c>
      <c r="F284" s="10">
        <f t="shared" si="19"/>
        <v>146.2</v>
      </c>
      <c r="G284" s="10">
        <f t="shared" si="20"/>
        <v>3.816</v>
      </c>
      <c r="H284" s="153">
        <f>K284/E284</f>
        <v>0.749986668088737</v>
      </c>
      <c r="K284" s="285">
        <v>112.51</v>
      </c>
      <c r="L284" s="10">
        <f t="shared" si="21"/>
        <v>1528.06</v>
      </c>
      <c r="N284" s="150" t="s">
        <v>1654</v>
      </c>
    </row>
    <row r="285" spans="1:14">
      <c r="A285" s="163">
        <v>46194</v>
      </c>
      <c r="B285" s="179" t="s">
        <v>177</v>
      </c>
      <c r="C285" s="191">
        <v>0.63</v>
      </c>
      <c r="D285" s="191">
        <v>0.63</v>
      </c>
      <c r="E285" s="285">
        <v>2.856</v>
      </c>
      <c r="F285" s="10">
        <f t="shared" si="19"/>
        <v>0</v>
      </c>
      <c r="G285" s="10">
        <f t="shared" si="20"/>
        <v>2.856</v>
      </c>
      <c r="H285" s="153">
        <f>K285/E285</f>
        <v>0.749299719887955</v>
      </c>
      <c r="K285" s="285">
        <v>2.14</v>
      </c>
      <c r="L285" s="10">
        <f t="shared" si="21"/>
        <v>1525.92</v>
      </c>
      <c r="N285" s="150" t="s">
        <v>1654</v>
      </c>
    </row>
    <row r="286" spans="1:14">
      <c r="A286" s="163">
        <v>46195</v>
      </c>
      <c r="B286" s="164" t="s">
        <v>670</v>
      </c>
      <c r="C286" s="169">
        <v>0.39</v>
      </c>
      <c r="D286" s="169">
        <v>0.97</v>
      </c>
      <c r="E286" s="316">
        <v>255.136</v>
      </c>
      <c r="F286" s="10">
        <f t="shared" si="19"/>
        <v>249.4</v>
      </c>
      <c r="G286" s="10">
        <f t="shared" si="20"/>
        <v>5.73599999999999</v>
      </c>
      <c r="H286" s="153">
        <v>0.749992161043522</v>
      </c>
      <c r="J286" s="144">
        <v>10000</v>
      </c>
      <c r="K286" s="144">
        <v>191.35</v>
      </c>
      <c r="L286" s="10">
        <f t="shared" ref="L286:L295" si="22">L285+J286-K286</f>
        <v>11334.57</v>
      </c>
      <c r="N286" s="150" t="s">
        <v>1654</v>
      </c>
    </row>
    <row r="287" spans="1:14">
      <c r="A287" s="163">
        <v>46195</v>
      </c>
      <c r="B287" s="164" t="s">
        <v>213</v>
      </c>
      <c r="C287" s="169">
        <v>0.49</v>
      </c>
      <c r="D287" s="169">
        <v>1</v>
      </c>
      <c r="E287" s="316">
        <v>223.232</v>
      </c>
      <c r="F287" s="10">
        <f t="shared" si="19"/>
        <v>219.3</v>
      </c>
      <c r="G287" s="10">
        <f t="shared" si="20"/>
        <v>3.93199999999999</v>
      </c>
      <c r="H287" s="153">
        <v>0.750026877866973</v>
      </c>
      <c r="K287" s="144">
        <v>167.43</v>
      </c>
      <c r="L287" s="10">
        <f t="shared" si="22"/>
        <v>11167.14</v>
      </c>
      <c r="N287" s="150" t="s">
        <v>1654</v>
      </c>
    </row>
    <row r="288" spans="1:14">
      <c r="A288" s="163">
        <v>46195</v>
      </c>
      <c r="B288" s="164" t="s">
        <v>130</v>
      </c>
      <c r="C288" s="169">
        <v>0.36</v>
      </c>
      <c r="D288" s="169">
        <v>1</v>
      </c>
      <c r="E288" s="316">
        <v>262.802</v>
      </c>
      <c r="F288" s="10">
        <f t="shared" si="19"/>
        <v>275.2</v>
      </c>
      <c r="G288" s="10">
        <f t="shared" si="20"/>
        <v>-12.398</v>
      </c>
      <c r="H288" s="153">
        <v>0.72598382051887</v>
      </c>
      <c r="K288" s="144">
        <v>190.79</v>
      </c>
      <c r="L288" s="10">
        <f t="shared" si="22"/>
        <v>10976.35</v>
      </c>
      <c r="N288" s="150" t="s">
        <v>1654</v>
      </c>
    </row>
    <row r="289" spans="1:16">
      <c r="A289" s="163">
        <v>46195</v>
      </c>
      <c r="B289" s="164" t="s">
        <v>141</v>
      </c>
      <c r="C289" s="169">
        <v>0.5</v>
      </c>
      <c r="D289" s="169">
        <v>0.81</v>
      </c>
      <c r="E289" s="316">
        <v>136.928</v>
      </c>
      <c r="F289" s="10">
        <f t="shared" si="19"/>
        <v>133.3</v>
      </c>
      <c r="G289" s="10">
        <f t="shared" si="20"/>
        <v>3.62799999999999</v>
      </c>
      <c r="H289" s="153">
        <v>0.750029212432811</v>
      </c>
      <c r="K289" s="144">
        <v>102.7</v>
      </c>
      <c r="L289" s="10">
        <f t="shared" si="22"/>
        <v>10873.65</v>
      </c>
      <c r="N289" s="150" t="s">
        <v>1654</v>
      </c>
    </row>
    <row r="290" spans="1:16">
      <c r="A290" s="163">
        <v>46195</v>
      </c>
      <c r="B290" s="164" t="s">
        <v>174</v>
      </c>
      <c r="C290" s="169">
        <v>0.58</v>
      </c>
      <c r="D290" s="169">
        <v>1</v>
      </c>
      <c r="E290" s="316">
        <v>182.24</v>
      </c>
      <c r="F290" s="10">
        <f t="shared" si="19"/>
        <v>180.6</v>
      </c>
      <c r="G290" s="10">
        <f t="shared" si="20"/>
        <v>1.64000000000001</v>
      </c>
      <c r="H290" s="153">
        <v>0.75</v>
      </c>
      <c r="K290" s="144">
        <v>136.68</v>
      </c>
      <c r="L290" s="10">
        <f t="shared" si="22"/>
        <v>10736.97</v>
      </c>
      <c r="N290" s="150" t="s">
        <v>1654</v>
      </c>
    </row>
    <row r="291" spans="1:16">
      <c r="A291" s="163">
        <v>46195</v>
      </c>
      <c r="B291" s="164" t="s">
        <v>63</v>
      </c>
      <c r="C291" s="169">
        <v>0.7</v>
      </c>
      <c r="D291" s="169">
        <v>1</v>
      </c>
      <c r="E291" s="316">
        <v>133.952</v>
      </c>
      <c r="F291" s="10">
        <f t="shared" si="19"/>
        <v>129</v>
      </c>
      <c r="G291" s="10">
        <f t="shared" si="20"/>
        <v>4.952</v>
      </c>
      <c r="H291" s="153">
        <v>0.749970138557095</v>
      </c>
      <c r="K291" s="144">
        <v>100.46</v>
      </c>
      <c r="L291" s="10">
        <f t="shared" si="22"/>
        <v>10636.51</v>
      </c>
      <c r="N291" s="150" t="s">
        <v>1654</v>
      </c>
    </row>
    <row r="292" spans="1:16">
      <c r="A292" s="163">
        <v>46195</v>
      </c>
      <c r="B292" s="164" t="s">
        <v>135</v>
      </c>
      <c r="C292" s="169">
        <v>0.18</v>
      </c>
      <c r="D292" s="169">
        <v>0.18</v>
      </c>
      <c r="E292" s="316">
        <v>1.76</v>
      </c>
      <c r="F292" s="10">
        <f t="shared" si="19"/>
        <v>0</v>
      </c>
      <c r="G292" s="10">
        <f t="shared" si="20"/>
        <v>1.76</v>
      </c>
      <c r="H292" s="153">
        <v>0.75</v>
      </c>
      <c r="K292" s="144">
        <v>1.32</v>
      </c>
      <c r="L292" s="10">
        <f t="shared" si="22"/>
        <v>10635.19</v>
      </c>
      <c r="N292" s="150" t="s">
        <v>1654</v>
      </c>
    </row>
    <row r="293" spans="1:16">
      <c r="A293" s="163">
        <v>46195</v>
      </c>
      <c r="B293" s="164" t="s">
        <v>135</v>
      </c>
      <c r="C293" s="169">
        <v>0.18</v>
      </c>
      <c r="D293" s="169">
        <v>0.21</v>
      </c>
      <c r="E293" s="316">
        <v>12.064</v>
      </c>
      <c r="F293" s="10">
        <f t="shared" si="19"/>
        <v>12.9</v>
      </c>
      <c r="G293" s="10">
        <f t="shared" si="20"/>
        <v>-0.836</v>
      </c>
      <c r="H293" s="153">
        <v>0.750165782493369</v>
      </c>
      <c r="K293" s="144">
        <v>9.05</v>
      </c>
      <c r="L293" s="10">
        <f t="shared" si="22"/>
        <v>10626.14</v>
      </c>
      <c r="N293" s="150" t="s">
        <v>1654</v>
      </c>
    </row>
    <row r="294" spans="1:16">
      <c r="A294" s="163">
        <v>46195</v>
      </c>
      <c r="B294" s="164" t="s">
        <v>135</v>
      </c>
      <c r="C294" s="169">
        <v>0</v>
      </c>
      <c r="D294" s="169">
        <v>0</v>
      </c>
      <c r="E294" s="316">
        <v>0</v>
      </c>
      <c r="F294" s="10">
        <f t="shared" si="19"/>
        <v>0</v>
      </c>
      <c r="G294" s="10">
        <f t="shared" si="20"/>
        <v>0</v>
      </c>
      <c r="H294" s="153" t="e">
        <v>#DIV/0!</v>
      </c>
      <c r="K294" s="144">
        <v>0</v>
      </c>
      <c r="L294" s="10">
        <f t="shared" si="22"/>
        <v>10626.14</v>
      </c>
      <c r="N294" s="150" t="s">
        <v>1654</v>
      </c>
    </row>
    <row r="295" spans="1:16">
      <c r="A295" s="163">
        <v>46195</v>
      </c>
      <c r="B295" s="164" t="s">
        <v>135</v>
      </c>
      <c r="C295" s="169">
        <v>0.2</v>
      </c>
      <c r="D295" s="169">
        <v>0.62</v>
      </c>
      <c r="E295" s="316">
        <v>180.288</v>
      </c>
      <c r="F295" s="10">
        <f t="shared" si="19"/>
        <v>180.6</v>
      </c>
      <c r="G295" s="10">
        <f t="shared" si="20"/>
        <v>-0.311999999999983</v>
      </c>
      <c r="H295" s="153">
        <v>0.750022186723465</v>
      </c>
      <c r="K295" s="144">
        <v>135.22</v>
      </c>
      <c r="L295" s="10">
        <f t="shared" si="22"/>
        <v>10490.92</v>
      </c>
      <c r="N295" s="150" t="s">
        <v>1654</v>
      </c>
    </row>
    <row r="296" spans="1:16">
      <c r="A296" s="203">
        <v>46196</v>
      </c>
      <c r="B296" s="55" t="s">
        <v>75</v>
      </c>
      <c r="C296" s="195">
        <v>0.37</v>
      </c>
      <c r="D296" s="195">
        <v>1</v>
      </c>
      <c r="E296" s="235">
        <v>270.008</v>
      </c>
      <c r="F296" s="10">
        <f t="shared" ref="F296:F325" si="23">430*(D296-C296)</f>
        <v>270.9</v>
      </c>
      <c r="G296" s="10">
        <f t="shared" ref="G296:G325" si="24">E296-F296</f>
        <v>-0.891999999999996</v>
      </c>
      <c r="H296" s="153">
        <v>0.750022186723465</v>
      </c>
      <c r="K296" s="285">
        <v>196.02</v>
      </c>
      <c r="L296" s="10">
        <f t="shared" ref="L296:L325" si="25">L295+J296-K296</f>
        <v>10294.9</v>
      </c>
      <c r="N296" s="150" t="s">
        <v>1654</v>
      </c>
      <c r="O296" s="144" t="str">
        <f>MIN(MAX(C296,0),100)&amp;"%"</f>
        <v>0.37%</v>
      </c>
      <c r="P296" s="144" t="str">
        <f>MIN(MAX(D296,0),100)&amp;"%"</f>
        <v>1%</v>
      </c>
    </row>
    <row r="297" spans="1:16">
      <c r="A297" s="203">
        <v>46196</v>
      </c>
      <c r="B297" s="55" t="s">
        <v>102</v>
      </c>
      <c r="C297" s="195">
        <v>0.27</v>
      </c>
      <c r="D297" s="195">
        <v>0.35</v>
      </c>
      <c r="E297" s="235">
        <v>37.171</v>
      </c>
      <c r="F297" s="10">
        <f t="shared" si="23"/>
        <v>34.4</v>
      </c>
      <c r="G297" s="10">
        <f t="shared" si="24"/>
        <v>2.771</v>
      </c>
      <c r="H297" s="153">
        <v>0.750022186723465</v>
      </c>
      <c r="K297" s="285">
        <v>26.98</v>
      </c>
      <c r="L297" s="10">
        <f t="shared" si="25"/>
        <v>10267.92</v>
      </c>
      <c r="N297" s="150" t="s">
        <v>1654</v>
      </c>
    </row>
    <row r="298" spans="1:16">
      <c r="A298" s="203">
        <v>46196</v>
      </c>
      <c r="B298" s="55" t="s">
        <v>90</v>
      </c>
      <c r="C298" s="195">
        <v>0.77</v>
      </c>
      <c r="D298" s="195">
        <v>0.87</v>
      </c>
      <c r="E298" s="235">
        <v>50.087</v>
      </c>
      <c r="F298" s="10">
        <f t="shared" si="23"/>
        <v>43</v>
      </c>
      <c r="G298" s="10">
        <f t="shared" si="24"/>
        <v>7.087</v>
      </c>
      <c r="H298" s="153">
        <v>0.750022186723465</v>
      </c>
      <c r="K298" s="285">
        <v>36.37</v>
      </c>
      <c r="L298" s="10">
        <f t="shared" si="25"/>
        <v>10231.55</v>
      </c>
      <c r="N298" s="150" t="s">
        <v>1654</v>
      </c>
    </row>
    <row r="299" spans="1:16">
      <c r="A299" s="203">
        <v>46196</v>
      </c>
      <c r="B299" s="55" t="s">
        <v>210</v>
      </c>
      <c r="C299" s="195">
        <v>0.41</v>
      </c>
      <c r="D299" s="195">
        <v>0.96</v>
      </c>
      <c r="E299" s="235">
        <v>243.328</v>
      </c>
      <c r="F299" s="10">
        <f t="shared" si="23"/>
        <v>236.5</v>
      </c>
      <c r="G299" s="10">
        <f t="shared" si="24"/>
        <v>6.828</v>
      </c>
      <c r="H299" s="153">
        <v>0.750022186723465</v>
      </c>
      <c r="K299" s="285">
        <v>182.5</v>
      </c>
      <c r="L299" s="10">
        <f t="shared" si="25"/>
        <v>10049.05</v>
      </c>
      <c r="N299" s="150" t="s">
        <v>1654</v>
      </c>
    </row>
    <row r="300" spans="1:16">
      <c r="A300" s="203">
        <v>46196</v>
      </c>
      <c r="B300" s="55" t="s">
        <v>151</v>
      </c>
      <c r="C300" s="195">
        <v>0.41</v>
      </c>
      <c r="D300" s="195">
        <v>0.93</v>
      </c>
      <c r="E300" s="235">
        <v>227.648</v>
      </c>
      <c r="F300" s="10">
        <f t="shared" si="23"/>
        <v>223.6</v>
      </c>
      <c r="G300" s="10">
        <f t="shared" si="24"/>
        <v>4.048</v>
      </c>
      <c r="H300" s="153">
        <v>0.750022186723465</v>
      </c>
      <c r="K300" s="285">
        <v>170.74</v>
      </c>
      <c r="L300" s="10">
        <f t="shared" si="25"/>
        <v>9878.31</v>
      </c>
      <c r="N300" s="150" t="s">
        <v>1654</v>
      </c>
    </row>
    <row r="301" spans="1:16">
      <c r="A301" s="203">
        <v>46196</v>
      </c>
      <c r="B301" s="55" t="s">
        <v>148</v>
      </c>
      <c r="C301" s="195">
        <v>0.65</v>
      </c>
      <c r="D301" s="195">
        <v>0.65</v>
      </c>
      <c r="E301" s="235">
        <v>2.176</v>
      </c>
      <c r="F301" s="10">
        <f t="shared" si="23"/>
        <v>0</v>
      </c>
      <c r="G301" s="10">
        <f t="shared" si="24"/>
        <v>2.176</v>
      </c>
      <c r="H301" s="153">
        <v>0.750022186723465</v>
      </c>
      <c r="K301" s="285">
        <v>1.64</v>
      </c>
      <c r="L301" s="10">
        <f t="shared" si="25"/>
        <v>9876.67</v>
      </c>
      <c r="N301" s="150" t="s">
        <v>1654</v>
      </c>
    </row>
    <row r="302" spans="1:16">
      <c r="A302" s="203">
        <v>46196</v>
      </c>
      <c r="B302" s="55" t="s">
        <v>148</v>
      </c>
      <c r="C302" s="195">
        <v>0.65</v>
      </c>
      <c r="D302" s="195">
        <v>0.65</v>
      </c>
      <c r="E302" s="235">
        <v>0.64</v>
      </c>
      <c r="F302" s="10">
        <f t="shared" si="23"/>
        <v>0</v>
      </c>
      <c r="G302" s="10">
        <f t="shared" si="24"/>
        <v>0.64</v>
      </c>
      <c r="H302" s="153">
        <v>0.750022186723465</v>
      </c>
      <c r="K302" s="285">
        <v>0.48</v>
      </c>
      <c r="L302" s="10">
        <f t="shared" si="25"/>
        <v>9876.19</v>
      </c>
      <c r="N302" s="150" t="s">
        <v>1654</v>
      </c>
    </row>
    <row r="303" spans="1:16">
      <c r="A303" s="203">
        <v>46196</v>
      </c>
      <c r="B303" s="55" t="s">
        <v>148</v>
      </c>
      <c r="C303" s="195">
        <v>0.65</v>
      </c>
      <c r="D303" s="195">
        <v>0.75</v>
      </c>
      <c r="E303" s="235">
        <v>39.36</v>
      </c>
      <c r="F303" s="10">
        <f t="shared" si="23"/>
        <v>43</v>
      </c>
      <c r="G303" s="10">
        <f t="shared" si="24"/>
        <v>-3.64</v>
      </c>
      <c r="H303" s="153">
        <v>0.750022186723465</v>
      </c>
      <c r="K303" s="285">
        <v>29.52</v>
      </c>
      <c r="L303" s="10">
        <f t="shared" si="25"/>
        <v>9846.67</v>
      </c>
      <c r="N303" s="150" t="s">
        <v>1654</v>
      </c>
    </row>
    <row r="304" spans="1:16">
      <c r="A304" s="203">
        <v>46196</v>
      </c>
      <c r="B304" s="55" t="s">
        <v>148</v>
      </c>
      <c r="C304" s="195">
        <v>0.72</v>
      </c>
      <c r="D304" s="195">
        <v>0.75</v>
      </c>
      <c r="E304" s="235">
        <v>0</v>
      </c>
      <c r="F304" s="10">
        <f t="shared" si="23"/>
        <v>12.9</v>
      </c>
      <c r="G304" s="10">
        <f t="shared" si="24"/>
        <v>-12.9</v>
      </c>
      <c r="H304" s="153">
        <v>0.750022186723465</v>
      </c>
      <c r="K304" s="285">
        <v>0</v>
      </c>
      <c r="L304" s="10">
        <f t="shared" si="25"/>
        <v>9846.67</v>
      </c>
      <c r="N304" s="150" t="s">
        <v>1654</v>
      </c>
    </row>
    <row r="305" spans="1:14">
      <c r="A305" s="203">
        <v>46196</v>
      </c>
      <c r="B305" s="55" t="s">
        <v>135</v>
      </c>
      <c r="C305" s="195">
        <v>0.59</v>
      </c>
      <c r="D305" s="195">
        <v>0.97</v>
      </c>
      <c r="E305" s="235">
        <v>170.496</v>
      </c>
      <c r="F305" s="10">
        <f t="shared" si="23"/>
        <v>163.4</v>
      </c>
      <c r="G305" s="10">
        <f t="shared" si="24"/>
        <v>7.096</v>
      </c>
      <c r="H305" s="153">
        <v>0.750022186723465</v>
      </c>
      <c r="K305" s="285">
        <v>127.87</v>
      </c>
      <c r="L305" s="10">
        <f t="shared" si="25"/>
        <v>9718.8</v>
      </c>
      <c r="N305" s="150" t="s">
        <v>1654</v>
      </c>
    </row>
    <row r="306" spans="1:14">
      <c r="A306" s="203">
        <v>46196</v>
      </c>
      <c r="B306" s="55" t="s">
        <v>124</v>
      </c>
      <c r="C306" s="195">
        <v>0.44</v>
      </c>
      <c r="D306" s="195">
        <v>1</v>
      </c>
      <c r="E306" s="235">
        <v>230.793</v>
      </c>
      <c r="F306" s="10">
        <f t="shared" si="23"/>
        <v>240.8</v>
      </c>
      <c r="G306" s="10">
        <f t="shared" si="24"/>
        <v>-10.007</v>
      </c>
      <c r="H306" s="153">
        <v>0.750022186723465</v>
      </c>
      <c r="K306" s="285">
        <v>167.56</v>
      </c>
      <c r="L306" s="10">
        <f t="shared" si="25"/>
        <v>9551.24</v>
      </c>
      <c r="N306" s="150" t="s">
        <v>1654</v>
      </c>
    </row>
    <row r="307" spans="1:14">
      <c r="A307" s="203">
        <v>46196</v>
      </c>
      <c r="B307" s="55" t="s">
        <v>195</v>
      </c>
      <c r="C307" s="195">
        <v>0.61</v>
      </c>
      <c r="D307" s="195">
        <v>0.95</v>
      </c>
      <c r="E307" s="235">
        <v>149.952</v>
      </c>
      <c r="F307" s="10">
        <f t="shared" si="23"/>
        <v>146.2</v>
      </c>
      <c r="G307" s="10">
        <f t="shared" si="24"/>
        <v>3.75200000000001</v>
      </c>
      <c r="H307" s="153">
        <v>0.750022186723465</v>
      </c>
      <c r="K307" s="285">
        <v>112.46</v>
      </c>
      <c r="L307" s="10">
        <f t="shared" si="25"/>
        <v>9438.78</v>
      </c>
      <c r="N307" s="150" t="s">
        <v>1654</v>
      </c>
    </row>
    <row r="308" spans="1:14">
      <c r="A308" s="203">
        <v>46196</v>
      </c>
      <c r="B308" s="55" t="s">
        <v>221</v>
      </c>
      <c r="C308" s="195">
        <v>0.56</v>
      </c>
      <c r="D308" s="195">
        <v>0.66</v>
      </c>
      <c r="E308" s="235">
        <v>43.2</v>
      </c>
      <c r="F308" s="10">
        <f t="shared" si="23"/>
        <v>43</v>
      </c>
      <c r="G308" s="10">
        <f t="shared" si="24"/>
        <v>0.200000000000003</v>
      </c>
      <c r="H308" s="153">
        <v>0.750022186723465</v>
      </c>
      <c r="K308" s="285">
        <v>32.4</v>
      </c>
      <c r="L308" s="10">
        <f t="shared" si="25"/>
        <v>9406.38</v>
      </c>
      <c r="N308" s="150" t="s">
        <v>1654</v>
      </c>
    </row>
    <row r="309" spans="1:14">
      <c r="A309" s="203">
        <v>46196</v>
      </c>
      <c r="B309" s="55" t="s">
        <v>124</v>
      </c>
      <c r="C309" s="195">
        <v>0.76</v>
      </c>
      <c r="D309" s="195">
        <v>0.88</v>
      </c>
      <c r="E309" s="235">
        <v>52.352</v>
      </c>
      <c r="F309" s="10">
        <f t="shared" si="23"/>
        <v>51.6</v>
      </c>
      <c r="G309" s="10">
        <f t="shared" si="24"/>
        <v>0.751999999999995</v>
      </c>
      <c r="H309" s="153">
        <v>0.750022186723465</v>
      </c>
      <c r="K309" s="285">
        <v>39.26</v>
      </c>
      <c r="L309" s="10">
        <f t="shared" si="25"/>
        <v>9367.12</v>
      </c>
      <c r="N309" s="150" t="s">
        <v>1654</v>
      </c>
    </row>
    <row r="310" spans="1:14">
      <c r="A310" s="203">
        <v>46196</v>
      </c>
      <c r="B310" s="55" t="s">
        <v>54</v>
      </c>
      <c r="C310" s="195">
        <v>0.29</v>
      </c>
      <c r="D310" s="195">
        <v>0.96</v>
      </c>
      <c r="E310" s="235">
        <v>279.502</v>
      </c>
      <c r="F310" s="10">
        <f t="shared" si="23"/>
        <v>288.1</v>
      </c>
      <c r="G310" s="10">
        <f t="shared" si="24"/>
        <v>-8.59800000000001</v>
      </c>
      <c r="H310" s="153">
        <v>0.750022186723465</v>
      </c>
      <c r="K310" s="285">
        <v>202.92</v>
      </c>
      <c r="L310" s="10">
        <f t="shared" si="25"/>
        <v>9164.2</v>
      </c>
      <c r="N310" s="150" t="s">
        <v>1654</v>
      </c>
    </row>
    <row r="311" spans="1:14">
      <c r="A311" s="203">
        <v>46196</v>
      </c>
      <c r="B311" s="55" t="s">
        <v>105</v>
      </c>
      <c r="C311" s="195">
        <v>0.43</v>
      </c>
      <c r="D311" s="195">
        <v>1</v>
      </c>
      <c r="E311" s="235">
        <v>252.573</v>
      </c>
      <c r="F311" s="10">
        <f t="shared" si="23"/>
        <v>245.1</v>
      </c>
      <c r="G311" s="10">
        <f t="shared" si="24"/>
        <v>7.47300000000001</v>
      </c>
      <c r="H311" s="153">
        <v>0.750022186723465</v>
      </c>
      <c r="K311" s="285">
        <v>183.37</v>
      </c>
      <c r="L311" s="10">
        <f t="shared" si="25"/>
        <v>8980.83</v>
      </c>
      <c r="N311" s="150" t="s">
        <v>1654</v>
      </c>
    </row>
    <row r="312" spans="1:14">
      <c r="A312" s="203">
        <v>46196</v>
      </c>
      <c r="B312" s="55" t="s">
        <v>51</v>
      </c>
      <c r="C312" s="195">
        <v>0.67</v>
      </c>
      <c r="D312" s="195">
        <v>1</v>
      </c>
      <c r="E312" s="235">
        <v>137.783</v>
      </c>
      <c r="F312" s="10">
        <f t="shared" si="23"/>
        <v>141.9</v>
      </c>
      <c r="G312" s="10">
        <f t="shared" si="24"/>
        <v>-4.11700000000002</v>
      </c>
      <c r="H312" s="153">
        <v>0.750022186723465</v>
      </c>
      <c r="K312" s="285">
        <v>100.03</v>
      </c>
      <c r="L312" s="10">
        <f t="shared" si="25"/>
        <v>8880.8</v>
      </c>
      <c r="N312" s="150" t="s">
        <v>1654</v>
      </c>
    </row>
    <row r="313" spans="1:14">
      <c r="A313" s="203">
        <v>46196</v>
      </c>
      <c r="B313" s="55" t="s">
        <v>114</v>
      </c>
      <c r="C313" s="195">
        <v>0.15</v>
      </c>
      <c r="D313" s="195">
        <v>0.94</v>
      </c>
      <c r="E313" s="235">
        <v>299.648</v>
      </c>
      <c r="F313" s="10">
        <f t="shared" si="23"/>
        <v>339.7</v>
      </c>
      <c r="G313" s="10">
        <f t="shared" si="24"/>
        <v>-40.052</v>
      </c>
      <c r="H313" s="153">
        <v>0.750022186723465</v>
      </c>
      <c r="K313" s="285">
        <v>224.74</v>
      </c>
      <c r="L313" s="10">
        <f t="shared" si="25"/>
        <v>8656.06</v>
      </c>
      <c r="N313" s="150" t="s">
        <v>1654</v>
      </c>
    </row>
    <row r="314" spans="1:14">
      <c r="A314" s="203">
        <v>46196</v>
      </c>
      <c r="B314" s="55" t="s">
        <v>72</v>
      </c>
      <c r="C314" s="195">
        <v>0.22</v>
      </c>
      <c r="D314" s="195">
        <v>1</v>
      </c>
      <c r="E314" s="235">
        <v>360.469</v>
      </c>
      <c r="F314" s="10">
        <f t="shared" si="23"/>
        <v>335.4</v>
      </c>
      <c r="G314" s="10">
        <f t="shared" si="24"/>
        <v>25.069</v>
      </c>
      <c r="H314" s="153">
        <v>0.750022186723465</v>
      </c>
      <c r="K314" s="285">
        <v>261.7</v>
      </c>
      <c r="L314" s="10">
        <f t="shared" si="25"/>
        <v>8394.36</v>
      </c>
      <c r="N314" s="150" t="s">
        <v>1654</v>
      </c>
    </row>
    <row r="315" spans="1:14">
      <c r="A315" s="203">
        <v>46197</v>
      </c>
      <c r="B315" s="55" t="s">
        <v>57</v>
      </c>
      <c r="C315" s="195">
        <v>0.51</v>
      </c>
      <c r="D315" s="195">
        <v>0.86</v>
      </c>
      <c r="E315" s="235">
        <v>141.632</v>
      </c>
      <c r="F315" s="10">
        <f t="shared" si="23"/>
        <v>150.5</v>
      </c>
      <c r="G315" s="10">
        <f t="shared" si="24"/>
        <v>-8.86799999999999</v>
      </c>
      <c r="H315" s="153">
        <v>0.750022186723465</v>
      </c>
      <c r="K315" s="285">
        <v>106.23</v>
      </c>
      <c r="L315" s="10">
        <f t="shared" si="25"/>
        <v>8288.13</v>
      </c>
      <c r="N315" s="150" t="s">
        <v>1654</v>
      </c>
    </row>
    <row r="316" spans="1:14">
      <c r="A316" s="203">
        <v>46197</v>
      </c>
      <c r="B316" s="55" t="s">
        <v>78</v>
      </c>
      <c r="C316" s="195">
        <v>0.41</v>
      </c>
      <c r="D316" s="195">
        <v>1</v>
      </c>
      <c r="E316" s="235">
        <v>254.999</v>
      </c>
      <c r="F316" s="10">
        <f t="shared" si="23"/>
        <v>253.7</v>
      </c>
      <c r="G316" s="10">
        <f t="shared" si="24"/>
        <v>1.29900000000001</v>
      </c>
      <c r="H316" s="153">
        <v>0.750022186723465</v>
      </c>
      <c r="K316" s="285">
        <v>185.13</v>
      </c>
      <c r="L316" s="10">
        <f t="shared" si="25"/>
        <v>8103</v>
      </c>
      <c r="N316" s="150" t="s">
        <v>1654</v>
      </c>
    </row>
    <row r="317" spans="1:14">
      <c r="A317" s="203">
        <v>46197</v>
      </c>
      <c r="B317" s="55" t="s">
        <v>93</v>
      </c>
      <c r="C317" s="195">
        <v>0.79</v>
      </c>
      <c r="D317" s="195">
        <v>1</v>
      </c>
      <c r="E317" s="235">
        <v>101.078</v>
      </c>
      <c r="F317" s="10">
        <f t="shared" si="23"/>
        <v>90.3</v>
      </c>
      <c r="G317" s="10">
        <f t="shared" si="24"/>
        <v>10.778</v>
      </c>
      <c r="H317" s="153">
        <v>0.750022186723465</v>
      </c>
      <c r="K317" s="285">
        <v>73.38</v>
      </c>
      <c r="L317" s="10">
        <f t="shared" si="25"/>
        <v>8029.62</v>
      </c>
      <c r="N317" s="150" t="s">
        <v>1654</v>
      </c>
    </row>
    <row r="318" spans="1:14">
      <c r="A318" s="203">
        <v>46197</v>
      </c>
      <c r="B318" s="55" t="s">
        <v>186</v>
      </c>
      <c r="C318" s="195">
        <v>0.51</v>
      </c>
      <c r="D318" s="195">
        <v>0.8</v>
      </c>
      <c r="E318" s="235">
        <v>128.352</v>
      </c>
      <c r="F318" s="10">
        <f t="shared" si="23"/>
        <v>124.7</v>
      </c>
      <c r="G318" s="10">
        <f t="shared" si="24"/>
        <v>3.652</v>
      </c>
      <c r="H318" s="153">
        <v>0.750022186723465</v>
      </c>
      <c r="K318" s="285">
        <v>96.26</v>
      </c>
      <c r="L318" s="10">
        <f t="shared" si="25"/>
        <v>7933.36</v>
      </c>
      <c r="N318" s="150" t="s">
        <v>1654</v>
      </c>
    </row>
    <row r="319" spans="1:14">
      <c r="A319" s="203">
        <v>46197</v>
      </c>
      <c r="B319" s="55" t="s">
        <v>192</v>
      </c>
      <c r="C319" s="195">
        <v>0.14</v>
      </c>
      <c r="D319" s="195">
        <v>0.57</v>
      </c>
      <c r="E319" s="235">
        <v>181.44</v>
      </c>
      <c r="F319" s="10">
        <f t="shared" si="23"/>
        <v>184.9</v>
      </c>
      <c r="G319" s="10">
        <f t="shared" si="24"/>
        <v>-3.46000000000001</v>
      </c>
      <c r="H319" s="153">
        <v>0.750022186723465</v>
      </c>
      <c r="K319" s="285">
        <v>136.08</v>
      </c>
      <c r="L319" s="10">
        <f t="shared" si="25"/>
        <v>7797.28</v>
      </c>
      <c r="N319" s="150" t="s">
        <v>1654</v>
      </c>
    </row>
    <row r="320" spans="1:14">
      <c r="A320" s="203">
        <v>46197</v>
      </c>
      <c r="B320" s="55" t="s">
        <v>180</v>
      </c>
      <c r="C320" s="195">
        <v>0.17</v>
      </c>
      <c r="D320" s="195">
        <v>0.18</v>
      </c>
      <c r="E320" s="235">
        <v>3.712</v>
      </c>
      <c r="F320" s="10">
        <f t="shared" si="23"/>
        <v>4.29999999999999</v>
      </c>
      <c r="G320" s="10">
        <f t="shared" si="24"/>
        <v>-0.58799999999999</v>
      </c>
      <c r="H320" s="153">
        <v>0.750022186723465</v>
      </c>
      <c r="K320" s="285">
        <v>2.78</v>
      </c>
      <c r="L320" s="10">
        <f t="shared" si="25"/>
        <v>7794.5</v>
      </c>
      <c r="N320" s="150" t="s">
        <v>1654</v>
      </c>
    </row>
    <row r="321" spans="1:16">
      <c r="A321" s="203">
        <v>46197</v>
      </c>
      <c r="B321" s="55" t="s">
        <v>180</v>
      </c>
      <c r="C321" s="195">
        <v>0.18</v>
      </c>
      <c r="D321" s="195">
        <v>0.73</v>
      </c>
      <c r="E321" s="235">
        <v>243.008</v>
      </c>
      <c r="F321" s="10">
        <f t="shared" si="23"/>
        <v>236.5</v>
      </c>
      <c r="G321" s="10">
        <f t="shared" si="24"/>
        <v>6.50800000000001</v>
      </c>
      <c r="H321" s="153">
        <v>0.750022186723465</v>
      </c>
      <c r="K321" s="285">
        <v>182.25</v>
      </c>
      <c r="L321" s="10">
        <f t="shared" si="25"/>
        <v>7612.25</v>
      </c>
      <c r="N321" s="150" t="s">
        <v>1654</v>
      </c>
    </row>
    <row r="322" spans="1:16">
      <c r="A322" s="203">
        <v>46197</v>
      </c>
      <c r="B322" s="55" t="s">
        <v>63</v>
      </c>
      <c r="C322" s="195">
        <v>0.47</v>
      </c>
      <c r="D322" s="195">
        <v>1</v>
      </c>
      <c r="E322" s="235">
        <v>245.664</v>
      </c>
      <c r="F322" s="10">
        <f t="shared" si="23"/>
        <v>227.9</v>
      </c>
      <c r="G322" s="10">
        <f t="shared" si="24"/>
        <v>17.764</v>
      </c>
      <c r="H322" s="153">
        <v>0.750022186723465</v>
      </c>
      <c r="K322" s="285">
        <v>178.36</v>
      </c>
      <c r="L322" s="10">
        <f t="shared" si="25"/>
        <v>7433.89</v>
      </c>
      <c r="N322" s="150" t="s">
        <v>1654</v>
      </c>
    </row>
    <row r="323" spans="1:16">
      <c r="A323" s="203">
        <v>46197</v>
      </c>
      <c r="B323" s="55" t="s">
        <v>213</v>
      </c>
      <c r="C323" s="195">
        <v>0.65</v>
      </c>
      <c r="D323" s="195">
        <v>1</v>
      </c>
      <c r="E323" s="235">
        <v>151.264</v>
      </c>
      <c r="F323" s="10">
        <f t="shared" si="23"/>
        <v>150.5</v>
      </c>
      <c r="G323" s="10">
        <f t="shared" si="24"/>
        <v>0.76400000000001</v>
      </c>
      <c r="H323" s="153">
        <v>0.750022186723465</v>
      </c>
      <c r="K323" s="285">
        <v>113.45</v>
      </c>
      <c r="L323" s="10">
        <f t="shared" si="25"/>
        <v>7320.44</v>
      </c>
      <c r="N323" s="150" t="s">
        <v>1654</v>
      </c>
    </row>
    <row r="324" spans="1:16">
      <c r="A324" s="203">
        <v>46197</v>
      </c>
      <c r="B324" s="55" t="s">
        <v>670</v>
      </c>
      <c r="C324" s="195">
        <v>0.67</v>
      </c>
      <c r="D324" s="195">
        <v>1</v>
      </c>
      <c r="E324" s="235">
        <v>143.072</v>
      </c>
      <c r="F324" s="10">
        <f t="shared" si="23"/>
        <v>141.9</v>
      </c>
      <c r="G324" s="10">
        <f t="shared" si="24"/>
        <v>1.172</v>
      </c>
      <c r="H324" s="153">
        <v>0.750022186723465</v>
      </c>
      <c r="K324" s="285">
        <v>107.3</v>
      </c>
      <c r="L324" s="10">
        <f t="shared" si="25"/>
        <v>7213.14</v>
      </c>
      <c r="N324" s="150" t="s">
        <v>1654</v>
      </c>
    </row>
    <row r="325" spans="1:16">
      <c r="A325" s="204">
        <v>46197</v>
      </c>
      <c r="B325" s="199" t="s">
        <v>201</v>
      </c>
      <c r="C325" s="200">
        <v>0.41</v>
      </c>
      <c r="D325" s="200">
        <v>1</v>
      </c>
      <c r="E325" s="240">
        <v>261.428</v>
      </c>
      <c r="F325" s="130">
        <f t="shared" si="23"/>
        <v>253.7</v>
      </c>
      <c r="G325" s="130">
        <f t="shared" si="24"/>
        <v>7.72800000000001</v>
      </c>
      <c r="H325" s="323">
        <v>0.750022186723465</v>
      </c>
      <c r="K325" s="285">
        <v>189.8</v>
      </c>
      <c r="L325" s="130">
        <f t="shared" si="25"/>
        <v>7023.34</v>
      </c>
      <c r="N325" s="205" t="s">
        <v>1654</v>
      </c>
    </row>
    <row r="326" spans="1:16">
      <c r="A326" s="203">
        <v>46197</v>
      </c>
      <c r="B326" s="55" t="s">
        <v>111</v>
      </c>
      <c r="C326" s="195">
        <v>0.54</v>
      </c>
      <c r="D326" s="195">
        <v>0.9</v>
      </c>
      <c r="E326" s="235">
        <v>145.696</v>
      </c>
      <c r="F326" s="10">
        <f t="shared" ref="F326:F358" si="26">430*(D326-C326)</f>
        <v>154.8</v>
      </c>
      <c r="G326" s="10">
        <f t="shared" ref="G326:G358" si="27">E326-F326</f>
        <v>-9.10400000000001</v>
      </c>
      <c r="H326" s="153">
        <v>0.750022186723465</v>
      </c>
      <c r="I326" s="55"/>
      <c r="J326" s="55"/>
      <c r="K326" s="235">
        <v>109.27</v>
      </c>
      <c r="L326" s="10">
        <f t="shared" ref="L326:L358" si="28">L325+J326-K326</f>
        <v>6914.07</v>
      </c>
      <c r="M326" s="55"/>
      <c r="N326" s="150" t="s">
        <v>1654</v>
      </c>
      <c r="O326" s="144" t="str">
        <f>MIN(MAX(C326,0),100)&amp;"%"</f>
        <v>0.54%</v>
      </c>
      <c r="P326" s="144" t="str">
        <f>MIN(MAX(D326,0),100)&amp;"%"</f>
        <v>0.9%</v>
      </c>
    </row>
    <row r="327" spans="1:16">
      <c r="A327" s="203">
        <v>46197</v>
      </c>
      <c r="B327" s="55" t="s">
        <v>144</v>
      </c>
      <c r="C327" s="195">
        <v>0.62</v>
      </c>
      <c r="D327" s="195">
        <v>0.64</v>
      </c>
      <c r="E327" s="235">
        <v>7.744</v>
      </c>
      <c r="F327" s="10">
        <f t="shared" si="26"/>
        <v>8.60000000000001</v>
      </c>
      <c r="G327" s="10">
        <f t="shared" si="27"/>
        <v>-0.856000000000011</v>
      </c>
      <c r="H327" s="153">
        <v>0.750022186723465</v>
      </c>
      <c r="I327" s="55"/>
      <c r="J327" s="55"/>
      <c r="K327" s="235">
        <v>5.81</v>
      </c>
      <c r="L327" s="10">
        <f t="shared" si="28"/>
        <v>6908.26</v>
      </c>
      <c r="M327" s="55"/>
      <c r="N327" s="150" t="s">
        <v>1654</v>
      </c>
    </row>
    <row r="328" spans="1:16">
      <c r="A328" s="203">
        <v>46197</v>
      </c>
      <c r="B328" s="55" t="s">
        <v>144</v>
      </c>
      <c r="C328" s="195">
        <v>0.64</v>
      </c>
      <c r="D328" s="195">
        <v>0.66</v>
      </c>
      <c r="E328" s="235">
        <v>9.184</v>
      </c>
      <c r="F328" s="10">
        <f t="shared" si="26"/>
        <v>8.60000000000001</v>
      </c>
      <c r="G328" s="10">
        <f t="shared" si="27"/>
        <v>0.583999999999989</v>
      </c>
      <c r="H328" s="153">
        <v>0.750022186723465</v>
      </c>
      <c r="I328" s="55"/>
      <c r="J328" s="55"/>
      <c r="K328" s="235">
        <v>6.89</v>
      </c>
      <c r="L328" s="10">
        <f t="shared" si="28"/>
        <v>6901.37</v>
      </c>
      <c r="M328" s="55"/>
      <c r="N328" s="150" t="s">
        <v>1654</v>
      </c>
    </row>
    <row r="329" spans="1:16">
      <c r="A329" s="203">
        <v>46197</v>
      </c>
      <c r="B329" s="55" t="s">
        <v>144</v>
      </c>
      <c r="C329" s="195">
        <v>0.66</v>
      </c>
      <c r="D329" s="195">
        <v>1</v>
      </c>
      <c r="E329" s="235">
        <v>148.832</v>
      </c>
      <c r="F329" s="10">
        <f t="shared" si="26"/>
        <v>146.2</v>
      </c>
      <c r="G329" s="10">
        <f t="shared" si="27"/>
        <v>2.632</v>
      </c>
      <c r="H329" s="153">
        <v>0.750022186723465</v>
      </c>
      <c r="I329" s="55"/>
      <c r="J329" s="55"/>
      <c r="K329" s="235">
        <v>111.63</v>
      </c>
      <c r="L329" s="10">
        <f t="shared" si="28"/>
        <v>6789.74</v>
      </c>
      <c r="M329" s="55"/>
      <c r="N329" s="150" t="s">
        <v>1654</v>
      </c>
    </row>
    <row r="330" spans="1:16">
      <c r="A330" s="203">
        <v>46197</v>
      </c>
      <c r="B330" s="55" t="s">
        <v>81</v>
      </c>
      <c r="C330" s="195">
        <v>0.09</v>
      </c>
      <c r="D330" s="195">
        <v>1</v>
      </c>
      <c r="E330" s="235">
        <v>415.31</v>
      </c>
      <c r="F330" s="10">
        <f t="shared" si="26"/>
        <v>391.3</v>
      </c>
      <c r="G330" s="10">
        <f t="shared" si="27"/>
        <v>24.01</v>
      </c>
      <c r="H330" s="153">
        <v>0.750022186723465</v>
      </c>
      <c r="I330" s="55"/>
      <c r="J330" s="55"/>
      <c r="K330" s="235">
        <v>301.51</v>
      </c>
      <c r="L330" s="10">
        <f t="shared" si="28"/>
        <v>6488.23</v>
      </c>
      <c r="M330" s="55"/>
      <c r="N330" s="150" t="s">
        <v>1654</v>
      </c>
    </row>
    <row r="331" spans="1:16">
      <c r="A331" s="203">
        <v>46197</v>
      </c>
      <c r="B331" s="55" t="s">
        <v>127</v>
      </c>
      <c r="C331" s="195">
        <v>0.36</v>
      </c>
      <c r="D331" s="195">
        <v>1</v>
      </c>
      <c r="E331" s="235">
        <v>263.972</v>
      </c>
      <c r="F331" s="10">
        <f t="shared" si="26"/>
        <v>275.2</v>
      </c>
      <c r="G331" s="10">
        <f t="shared" si="27"/>
        <v>-11.228</v>
      </c>
      <c r="H331" s="153">
        <v>0.750022186723465</v>
      </c>
      <c r="I331" s="55"/>
      <c r="J331" s="55"/>
      <c r="K331" s="235">
        <v>191.64</v>
      </c>
      <c r="L331" s="10">
        <f t="shared" si="28"/>
        <v>6296.59</v>
      </c>
      <c r="M331" s="55"/>
      <c r="N331" s="150" t="s">
        <v>1654</v>
      </c>
    </row>
    <row r="332" spans="1:16">
      <c r="A332" s="203">
        <v>46197</v>
      </c>
      <c r="B332" s="55" t="s">
        <v>132</v>
      </c>
      <c r="C332" s="195">
        <v>0.31</v>
      </c>
      <c r="D332" s="195">
        <v>0.96</v>
      </c>
      <c r="E332" s="235">
        <v>286.059</v>
      </c>
      <c r="F332" s="10">
        <f t="shared" si="26"/>
        <v>279.5</v>
      </c>
      <c r="G332" s="10">
        <f t="shared" si="27"/>
        <v>6.55900000000003</v>
      </c>
      <c r="H332" s="153">
        <v>0.750022186723465</v>
      </c>
      <c r="I332" s="55"/>
      <c r="J332" s="55"/>
      <c r="K332" s="235">
        <v>207.68</v>
      </c>
      <c r="L332" s="10">
        <f t="shared" si="28"/>
        <v>6088.91</v>
      </c>
      <c r="M332" s="55"/>
      <c r="N332" s="150" t="s">
        <v>1654</v>
      </c>
    </row>
    <row r="333" spans="1:16">
      <c r="A333" s="203">
        <v>46197</v>
      </c>
      <c r="B333" s="55" t="s">
        <v>84</v>
      </c>
      <c r="C333" s="195">
        <v>0.25</v>
      </c>
      <c r="D333" s="195">
        <v>0.28</v>
      </c>
      <c r="E333" s="235">
        <v>17.626</v>
      </c>
      <c r="F333" s="10">
        <f t="shared" si="26"/>
        <v>12.9</v>
      </c>
      <c r="G333" s="10">
        <f t="shared" si="27"/>
        <v>4.726</v>
      </c>
      <c r="H333" s="153">
        <v>0.750022186723465</v>
      </c>
      <c r="I333" s="55"/>
      <c r="J333" s="55"/>
      <c r="K333" s="235">
        <v>12.79</v>
      </c>
      <c r="L333" s="10">
        <f t="shared" si="28"/>
        <v>6076.12</v>
      </c>
      <c r="M333" s="55"/>
      <c r="N333" s="150" t="s">
        <v>1654</v>
      </c>
    </row>
    <row r="334" spans="1:16">
      <c r="A334" s="203">
        <v>46197</v>
      </c>
      <c r="B334" s="55" t="s">
        <v>60</v>
      </c>
      <c r="C334" s="195">
        <v>0.32</v>
      </c>
      <c r="D334" s="195">
        <v>1</v>
      </c>
      <c r="E334" s="235">
        <v>285.386</v>
      </c>
      <c r="F334" s="10">
        <f t="shared" si="26"/>
        <v>292.4</v>
      </c>
      <c r="G334" s="10">
        <f t="shared" si="27"/>
        <v>-7.01399999999995</v>
      </c>
      <c r="H334" s="153">
        <v>0.750022186723465</v>
      </c>
      <c r="I334" s="55"/>
      <c r="J334" s="55"/>
      <c r="K334" s="235">
        <v>207.19</v>
      </c>
      <c r="L334" s="10">
        <f t="shared" si="28"/>
        <v>5868.93</v>
      </c>
      <c r="M334" s="55"/>
      <c r="N334" s="150" t="s">
        <v>1654</v>
      </c>
    </row>
    <row r="335" spans="1:16">
      <c r="A335" s="203">
        <v>46197</v>
      </c>
      <c r="B335" s="55" t="s">
        <v>84</v>
      </c>
      <c r="C335" s="195">
        <v>0.28</v>
      </c>
      <c r="D335" s="195">
        <v>0.92</v>
      </c>
      <c r="E335" s="235">
        <v>294.973</v>
      </c>
      <c r="F335" s="10">
        <f t="shared" si="26"/>
        <v>275.2</v>
      </c>
      <c r="G335" s="10">
        <f t="shared" si="27"/>
        <v>19.773</v>
      </c>
      <c r="H335" s="153">
        <v>0.750022186723465</v>
      </c>
      <c r="I335" s="55"/>
      <c r="J335" s="55"/>
      <c r="K335" s="235">
        <v>214.16</v>
      </c>
      <c r="L335" s="10">
        <f t="shared" si="28"/>
        <v>5654.77</v>
      </c>
      <c r="M335" s="55"/>
      <c r="N335" s="150" t="s">
        <v>1654</v>
      </c>
    </row>
    <row r="336" spans="1:16">
      <c r="A336" s="203">
        <v>46197</v>
      </c>
      <c r="B336" s="55" t="s">
        <v>141</v>
      </c>
      <c r="C336" s="195">
        <v>0.33</v>
      </c>
      <c r="D336" s="195">
        <v>1</v>
      </c>
      <c r="E336" s="235">
        <v>293.214</v>
      </c>
      <c r="F336" s="10">
        <f t="shared" si="26"/>
        <v>288.1</v>
      </c>
      <c r="G336" s="10">
        <f t="shared" si="27"/>
        <v>5.11399999999998</v>
      </c>
      <c r="H336" s="153">
        <v>0.750022186723465</v>
      </c>
      <c r="I336" s="55"/>
      <c r="J336" s="55"/>
      <c r="K336" s="235">
        <v>212.88</v>
      </c>
      <c r="L336" s="10">
        <f t="shared" si="28"/>
        <v>5441.89</v>
      </c>
      <c r="M336" s="55"/>
      <c r="N336" s="150" t="s">
        <v>1654</v>
      </c>
    </row>
    <row r="337" spans="1:14">
      <c r="A337" s="203">
        <v>46197</v>
      </c>
      <c r="B337" s="55" t="s">
        <v>99</v>
      </c>
      <c r="C337" s="195">
        <v>0.16</v>
      </c>
      <c r="D337" s="195">
        <v>0.17</v>
      </c>
      <c r="E337" s="235">
        <v>5.184</v>
      </c>
      <c r="F337" s="10">
        <f t="shared" si="26"/>
        <v>4.3</v>
      </c>
      <c r="G337" s="10">
        <f t="shared" si="27"/>
        <v>0.884</v>
      </c>
      <c r="H337" s="153">
        <v>0.750022186723465</v>
      </c>
      <c r="I337" s="55"/>
      <c r="J337" s="55"/>
      <c r="K337" s="235">
        <v>3.89</v>
      </c>
      <c r="L337" s="10">
        <f t="shared" si="28"/>
        <v>5438</v>
      </c>
      <c r="M337" s="55"/>
      <c r="N337" s="150" t="s">
        <v>1654</v>
      </c>
    </row>
    <row r="338" spans="1:14">
      <c r="A338" s="203">
        <v>46197</v>
      </c>
      <c r="B338" s="55" t="s">
        <v>99</v>
      </c>
      <c r="C338" s="195">
        <v>0.17</v>
      </c>
      <c r="D338" s="195">
        <v>0.17</v>
      </c>
      <c r="E338" s="235">
        <v>0.096</v>
      </c>
      <c r="F338" s="10">
        <f t="shared" si="26"/>
        <v>0</v>
      </c>
      <c r="G338" s="10">
        <f t="shared" si="27"/>
        <v>0.096</v>
      </c>
      <c r="H338" s="153">
        <v>0.750022186723465</v>
      </c>
      <c r="I338" s="55"/>
      <c r="J338" s="55"/>
      <c r="K338" s="235">
        <v>0.07</v>
      </c>
      <c r="L338" s="10">
        <f t="shared" si="28"/>
        <v>5437.93</v>
      </c>
      <c r="M338" s="55"/>
      <c r="N338" s="150" t="s">
        <v>1654</v>
      </c>
    </row>
    <row r="339" spans="1:14">
      <c r="A339" s="203">
        <v>46197</v>
      </c>
      <c r="B339" s="55" t="s">
        <v>99</v>
      </c>
      <c r="C339" s="195">
        <v>0.17</v>
      </c>
      <c r="D339" s="195">
        <v>0.83</v>
      </c>
      <c r="E339" s="235">
        <v>306.048</v>
      </c>
      <c r="F339" s="10">
        <f t="shared" si="26"/>
        <v>283.8</v>
      </c>
      <c r="G339" s="10">
        <f t="shared" si="27"/>
        <v>22.248</v>
      </c>
      <c r="H339" s="153">
        <v>0.750022186723465</v>
      </c>
      <c r="I339" s="55"/>
      <c r="J339" s="55"/>
      <c r="K339" s="235">
        <v>229.54</v>
      </c>
      <c r="L339" s="10">
        <f t="shared" si="28"/>
        <v>5208.39</v>
      </c>
      <c r="M339" s="55"/>
      <c r="N339" s="150" t="s">
        <v>1654</v>
      </c>
    </row>
    <row r="340" spans="1:14">
      <c r="A340" s="203">
        <v>46197</v>
      </c>
      <c r="B340" s="55" t="s">
        <v>66</v>
      </c>
      <c r="C340" s="195">
        <v>0.64</v>
      </c>
      <c r="D340" s="195">
        <v>0.94</v>
      </c>
      <c r="E340" s="235">
        <v>136.128</v>
      </c>
      <c r="F340" s="10">
        <f t="shared" si="26"/>
        <v>129</v>
      </c>
      <c r="G340" s="10">
        <f t="shared" si="27"/>
        <v>7.12799999999999</v>
      </c>
      <c r="H340" s="153">
        <v>0.750022186723465</v>
      </c>
      <c r="I340" s="55"/>
      <c r="J340" s="55"/>
      <c r="K340" s="235">
        <v>102.1</v>
      </c>
      <c r="L340" s="10">
        <f t="shared" si="28"/>
        <v>5106.29</v>
      </c>
      <c r="M340" s="55"/>
      <c r="N340" s="150" t="s">
        <v>1654</v>
      </c>
    </row>
    <row r="341" spans="1:14">
      <c r="A341" s="203">
        <v>46197</v>
      </c>
      <c r="B341" s="55" t="s">
        <v>189</v>
      </c>
      <c r="C341" s="195">
        <v>0.52</v>
      </c>
      <c r="D341" s="195">
        <v>0.98</v>
      </c>
      <c r="E341" s="235">
        <v>199.52</v>
      </c>
      <c r="F341" s="10">
        <f t="shared" si="26"/>
        <v>197.8</v>
      </c>
      <c r="G341" s="10">
        <f t="shared" si="27"/>
        <v>1.72</v>
      </c>
      <c r="H341" s="153">
        <v>0.750022186723465</v>
      </c>
      <c r="I341" s="55"/>
      <c r="J341" s="55"/>
      <c r="K341" s="235">
        <v>149.64</v>
      </c>
      <c r="L341" s="10">
        <f t="shared" si="28"/>
        <v>4956.65</v>
      </c>
      <c r="M341" s="55"/>
      <c r="N341" s="150" t="s">
        <v>1654</v>
      </c>
    </row>
    <row r="342" spans="1:14">
      <c r="A342" s="203">
        <v>46197</v>
      </c>
      <c r="B342" s="55" t="s">
        <v>148</v>
      </c>
      <c r="C342" s="195">
        <v>0.65</v>
      </c>
      <c r="D342" s="195">
        <v>1</v>
      </c>
      <c r="E342" s="235">
        <v>152.272</v>
      </c>
      <c r="F342" s="10">
        <f t="shared" si="26"/>
        <v>150.5</v>
      </c>
      <c r="G342" s="10">
        <f t="shared" si="27"/>
        <v>1.77199999999999</v>
      </c>
      <c r="H342" s="153">
        <v>0.750022186723465</v>
      </c>
      <c r="I342" s="55"/>
      <c r="J342" s="55"/>
      <c r="K342" s="235">
        <v>114.2</v>
      </c>
      <c r="L342" s="10">
        <f t="shared" si="28"/>
        <v>4842.45</v>
      </c>
      <c r="M342" s="55"/>
      <c r="N342" s="150" t="s">
        <v>1654</v>
      </c>
    </row>
    <row r="343" spans="1:14">
      <c r="A343" s="203">
        <v>46197</v>
      </c>
      <c r="B343" s="55" t="s">
        <v>130</v>
      </c>
      <c r="C343" s="195">
        <v>0.56</v>
      </c>
      <c r="D343" s="195">
        <v>0.7</v>
      </c>
      <c r="E343" s="235">
        <v>57.312</v>
      </c>
      <c r="F343" s="10">
        <f t="shared" si="26"/>
        <v>60.2</v>
      </c>
      <c r="G343" s="10">
        <f t="shared" si="27"/>
        <v>-2.88800000000001</v>
      </c>
      <c r="H343" s="153">
        <v>0.750022186723465</v>
      </c>
      <c r="I343" s="55"/>
      <c r="J343" s="55"/>
      <c r="K343" s="235">
        <v>42.98</v>
      </c>
      <c r="L343" s="10">
        <f t="shared" si="28"/>
        <v>4799.47</v>
      </c>
      <c r="M343" s="55"/>
      <c r="N343" s="150" t="s">
        <v>1654</v>
      </c>
    </row>
    <row r="344" spans="1:14">
      <c r="A344" s="203">
        <v>46197</v>
      </c>
      <c r="B344" s="55" t="s">
        <v>138</v>
      </c>
      <c r="C344" s="195">
        <v>0.57</v>
      </c>
      <c r="D344" s="195">
        <v>1</v>
      </c>
      <c r="E344" s="235">
        <v>186.752</v>
      </c>
      <c r="F344" s="10">
        <f t="shared" si="26"/>
        <v>184.9</v>
      </c>
      <c r="G344" s="10">
        <f t="shared" si="27"/>
        <v>1.852</v>
      </c>
      <c r="H344" s="153">
        <v>0.750022186723465</v>
      </c>
      <c r="I344" s="55"/>
      <c r="J344" s="55"/>
      <c r="K344" s="235">
        <v>140.06</v>
      </c>
      <c r="L344" s="10">
        <f t="shared" si="28"/>
        <v>4659.41</v>
      </c>
      <c r="M344" s="55"/>
      <c r="N344" s="150" t="s">
        <v>1654</v>
      </c>
    </row>
    <row r="345" spans="1:14">
      <c r="A345" s="203">
        <v>46198</v>
      </c>
      <c r="B345" s="55" t="s">
        <v>192</v>
      </c>
      <c r="C345" s="195">
        <v>0.52</v>
      </c>
      <c r="D345" s="195">
        <v>1</v>
      </c>
      <c r="E345" s="235">
        <v>200.896</v>
      </c>
      <c r="F345" s="10">
        <f t="shared" si="26"/>
        <v>206.4</v>
      </c>
      <c r="G345" s="10">
        <f t="shared" si="27"/>
        <v>-5.50400000000002</v>
      </c>
      <c r="H345" s="153">
        <v>0.750022186723465</v>
      </c>
      <c r="I345" s="55"/>
      <c r="J345" s="55">
        <v>10000</v>
      </c>
      <c r="K345" s="235">
        <v>150.67</v>
      </c>
      <c r="L345" s="10">
        <f t="shared" si="28"/>
        <v>14508.74</v>
      </c>
      <c r="M345" s="55"/>
      <c r="N345" s="150" t="s">
        <v>1654</v>
      </c>
    </row>
    <row r="346" spans="1:14">
      <c r="A346" s="203">
        <v>46198</v>
      </c>
      <c r="B346" s="55" t="s">
        <v>339</v>
      </c>
      <c r="C346" s="195">
        <v>0.64</v>
      </c>
      <c r="D346" s="195">
        <v>1</v>
      </c>
      <c r="E346" s="235">
        <v>155.872</v>
      </c>
      <c r="F346" s="10">
        <f t="shared" si="26"/>
        <v>154.8</v>
      </c>
      <c r="G346" s="10">
        <f t="shared" si="27"/>
        <v>1.072</v>
      </c>
      <c r="H346" s="153">
        <v>0.750022186723465</v>
      </c>
      <c r="I346" s="55"/>
      <c r="J346" s="55"/>
      <c r="K346" s="235">
        <v>116.9</v>
      </c>
      <c r="L346" s="10">
        <f t="shared" si="28"/>
        <v>14391.84</v>
      </c>
      <c r="M346" s="55"/>
      <c r="N346" s="150" t="s">
        <v>1654</v>
      </c>
    </row>
    <row r="347" spans="1:14">
      <c r="A347" s="203">
        <v>46198</v>
      </c>
      <c r="B347" s="55" t="s">
        <v>135</v>
      </c>
      <c r="C347" s="195">
        <v>0.67</v>
      </c>
      <c r="D347" s="195">
        <v>1</v>
      </c>
      <c r="E347" s="235">
        <v>145.298</v>
      </c>
      <c r="F347" s="10">
        <f t="shared" si="26"/>
        <v>141.9</v>
      </c>
      <c r="G347" s="10">
        <f t="shared" si="27"/>
        <v>3.398</v>
      </c>
      <c r="H347" s="153">
        <v>0.750022186723465</v>
      </c>
      <c r="I347" s="55"/>
      <c r="J347" s="55"/>
      <c r="K347" s="235">
        <v>105.48</v>
      </c>
      <c r="L347" s="10">
        <f t="shared" si="28"/>
        <v>14286.36</v>
      </c>
      <c r="M347" s="55"/>
      <c r="N347" s="150" t="s">
        <v>1654</v>
      </c>
    </row>
    <row r="348" spans="1:14">
      <c r="A348" s="203">
        <v>46198</v>
      </c>
      <c r="B348" s="55" t="s">
        <v>124</v>
      </c>
      <c r="C348" s="195">
        <v>0.27</v>
      </c>
      <c r="D348" s="195">
        <v>1</v>
      </c>
      <c r="E348" s="235">
        <v>309.988</v>
      </c>
      <c r="F348" s="10">
        <f t="shared" si="26"/>
        <v>313.9</v>
      </c>
      <c r="G348" s="10">
        <f t="shared" si="27"/>
        <v>-3.91199999999998</v>
      </c>
      <c r="H348" s="153">
        <v>0.750022186723465</v>
      </c>
      <c r="I348" s="55"/>
      <c r="J348" s="55"/>
      <c r="K348" s="235">
        <v>225.05</v>
      </c>
      <c r="L348" s="10">
        <f t="shared" si="28"/>
        <v>14061.31</v>
      </c>
      <c r="M348" s="55"/>
      <c r="N348" s="150" t="s">
        <v>1654</v>
      </c>
    </row>
    <row r="349" spans="1:14">
      <c r="A349" s="203">
        <v>46198</v>
      </c>
      <c r="B349" s="55" t="s">
        <v>201</v>
      </c>
      <c r="C349" s="195">
        <v>0.66</v>
      </c>
      <c r="D349" s="195">
        <v>1</v>
      </c>
      <c r="E349" s="235">
        <v>150.325</v>
      </c>
      <c r="F349" s="10">
        <f t="shared" si="26"/>
        <v>146.2</v>
      </c>
      <c r="G349" s="10">
        <f t="shared" si="27"/>
        <v>4.125</v>
      </c>
      <c r="H349" s="153">
        <v>0.750022186723465</v>
      </c>
      <c r="I349" s="55"/>
      <c r="J349" s="55"/>
      <c r="K349" s="235">
        <v>109.14</v>
      </c>
      <c r="L349" s="10">
        <f t="shared" si="28"/>
        <v>13952.17</v>
      </c>
      <c r="M349" s="55"/>
      <c r="N349" s="150" t="s">
        <v>1654</v>
      </c>
    </row>
    <row r="350" spans="1:14">
      <c r="A350" s="203">
        <v>46198</v>
      </c>
      <c r="B350" s="55" t="s">
        <v>207</v>
      </c>
      <c r="C350" s="195">
        <v>0.61</v>
      </c>
      <c r="D350" s="195">
        <v>0.62</v>
      </c>
      <c r="E350" s="235">
        <v>4.8</v>
      </c>
      <c r="F350" s="10">
        <f t="shared" si="26"/>
        <v>4.3</v>
      </c>
      <c r="G350" s="10">
        <f t="shared" si="27"/>
        <v>0.5</v>
      </c>
      <c r="H350" s="153">
        <v>0.750022186723465</v>
      </c>
      <c r="I350" s="55"/>
      <c r="J350" s="55"/>
      <c r="K350" s="235">
        <v>3.6</v>
      </c>
      <c r="L350" s="10">
        <f t="shared" si="28"/>
        <v>13948.57</v>
      </c>
      <c r="M350" s="55"/>
      <c r="N350" s="150" t="s">
        <v>1654</v>
      </c>
    </row>
    <row r="351" spans="1:14">
      <c r="A351" s="203">
        <v>46198</v>
      </c>
      <c r="B351" s="55" t="s">
        <v>207</v>
      </c>
      <c r="C351" s="195">
        <v>0.62</v>
      </c>
      <c r="D351" s="195">
        <v>0.63</v>
      </c>
      <c r="E351" s="235">
        <v>2.56</v>
      </c>
      <c r="F351" s="10">
        <f t="shared" si="26"/>
        <v>4.3</v>
      </c>
      <c r="G351" s="10">
        <f t="shared" si="27"/>
        <v>-1.74</v>
      </c>
      <c r="H351" s="153">
        <v>0.750022186723465</v>
      </c>
      <c r="I351" s="55"/>
      <c r="J351" s="55"/>
      <c r="K351" s="235">
        <v>1.92</v>
      </c>
      <c r="L351" s="10">
        <f t="shared" si="28"/>
        <v>13946.65</v>
      </c>
      <c r="M351" s="55"/>
      <c r="N351" s="150" t="s">
        <v>1654</v>
      </c>
    </row>
    <row r="352" spans="1:14">
      <c r="A352" s="203">
        <v>46198</v>
      </c>
      <c r="B352" s="55" t="s">
        <v>207</v>
      </c>
      <c r="C352" s="195">
        <v>0.63</v>
      </c>
      <c r="D352" s="195">
        <v>1</v>
      </c>
      <c r="E352" s="235">
        <v>162.56</v>
      </c>
      <c r="F352" s="10">
        <f t="shared" si="26"/>
        <v>159.1</v>
      </c>
      <c r="G352" s="10">
        <f t="shared" si="27"/>
        <v>3.46000000000001</v>
      </c>
      <c r="H352" s="153">
        <v>0.750022186723465</v>
      </c>
      <c r="I352" s="55"/>
      <c r="J352" s="55"/>
      <c r="K352" s="235">
        <v>121.92</v>
      </c>
      <c r="L352" s="10">
        <f t="shared" si="28"/>
        <v>13824.73</v>
      </c>
      <c r="M352" s="55"/>
      <c r="N352" s="150" t="s">
        <v>1654</v>
      </c>
    </row>
    <row r="353" spans="1:16">
      <c r="A353" s="203">
        <v>46198</v>
      </c>
      <c r="B353" s="55" t="s">
        <v>213</v>
      </c>
      <c r="C353" s="195">
        <v>0.56</v>
      </c>
      <c r="D353" s="195">
        <v>0.93</v>
      </c>
      <c r="E353" s="235">
        <v>162.592</v>
      </c>
      <c r="F353" s="10">
        <f t="shared" si="26"/>
        <v>159.1</v>
      </c>
      <c r="G353" s="10">
        <f t="shared" si="27"/>
        <v>3.49200000000002</v>
      </c>
      <c r="H353" s="153">
        <v>0.750022186723465</v>
      </c>
      <c r="I353" s="55"/>
      <c r="J353" s="55"/>
      <c r="K353" s="235">
        <v>121.95</v>
      </c>
      <c r="L353" s="10">
        <f t="shared" si="28"/>
        <v>13702.78</v>
      </c>
      <c r="M353" s="55"/>
      <c r="N353" s="150" t="s">
        <v>1654</v>
      </c>
    </row>
    <row r="354" spans="1:16">
      <c r="A354" s="203">
        <v>46198</v>
      </c>
      <c r="B354" s="55" t="s">
        <v>670</v>
      </c>
      <c r="C354" s="195">
        <v>0.52</v>
      </c>
      <c r="D354" s="195">
        <v>0.9</v>
      </c>
      <c r="E354" s="235">
        <v>165.28</v>
      </c>
      <c r="F354" s="10">
        <f t="shared" si="26"/>
        <v>163.4</v>
      </c>
      <c r="G354" s="10">
        <f t="shared" si="27"/>
        <v>1.88</v>
      </c>
      <c r="H354" s="153">
        <v>0.750022186723465</v>
      </c>
      <c r="I354" s="55"/>
      <c r="J354" s="55"/>
      <c r="K354" s="235">
        <v>123.96</v>
      </c>
      <c r="L354" s="10">
        <f t="shared" si="28"/>
        <v>13578.82</v>
      </c>
      <c r="M354" s="55"/>
      <c r="N354" s="150" t="s">
        <v>1654</v>
      </c>
    </row>
    <row r="355" spans="1:16">
      <c r="A355" s="203">
        <v>46198</v>
      </c>
      <c r="B355" s="55" t="s">
        <v>198</v>
      </c>
      <c r="C355" s="195">
        <v>0.57</v>
      </c>
      <c r="D355" s="195">
        <v>0.75</v>
      </c>
      <c r="E355" s="235">
        <v>79.136</v>
      </c>
      <c r="F355" s="10">
        <f t="shared" si="26"/>
        <v>77.4</v>
      </c>
      <c r="G355" s="10">
        <f t="shared" si="27"/>
        <v>1.73599999999999</v>
      </c>
      <c r="H355" s="153">
        <v>0.750022186723465</v>
      </c>
      <c r="I355" s="55"/>
      <c r="J355" s="55"/>
      <c r="K355" s="235">
        <v>59.35</v>
      </c>
      <c r="L355" s="10">
        <f t="shared" si="28"/>
        <v>13519.47</v>
      </c>
      <c r="M355" s="55"/>
      <c r="N355" s="150" t="s">
        <v>1654</v>
      </c>
    </row>
    <row r="356" spans="1:16">
      <c r="A356" s="203">
        <v>46198</v>
      </c>
      <c r="B356" s="55" t="s">
        <v>174</v>
      </c>
      <c r="C356" s="195">
        <v>0.59</v>
      </c>
      <c r="D356" s="195">
        <v>1</v>
      </c>
      <c r="E356" s="235">
        <v>178.432</v>
      </c>
      <c r="F356" s="10">
        <f t="shared" si="26"/>
        <v>176.3</v>
      </c>
      <c r="G356" s="10">
        <f t="shared" si="27"/>
        <v>2.13199999999998</v>
      </c>
      <c r="H356" s="153">
        <v>0.750022186723465</v>
      </c>
      <c r="I356" s="55"/>
      <c r="J356" s="55"/>
      <c r="K356" s="235">
        <v>133.83</v>
      </c>
      <c r="L356" s="10">
        <f t="shared" si="28"/>
        <v>13385.64</v>
      </c>
      <c r="M356" s="55"/>
      <c r="N356" s="150" t="s">
        <v>1654</v>
      </c>
    </row>
    <row r="357" spans="1:16">
      <c r="A357" s="203">
        <v>46198</v>
      </c>
      <c r="B357" s="55" t="s">
        <v>183</v>
      </c>
      <c r="C357" s="195">
        <v>0.61</v>
      </c>
      <c r="D357" s="195">
        <v>0.61</v>
      </c>
      <c r="E357" s="235">
        <v>0.224</v>
      </c>
      <c r="F357" s="10">
        <f t="shared" si="26"/>
        <v>0</v>
      </c>
      <c r="G357" s="10">
        <f t="shared" si="27"/>
        <v>0.224</v>
      </c>
      <c r="H357" s="153">
        <v>0.750022186723465</v>
      </c>
      <c r="I357" s="55"/>
      <c r="J357" s="55"/>
      <c r="K357" s="235">
        <v>0.16</v>
      </c>
      <c r="L357" s="10">
        <f t="shared" si="28"/>
        <v>13385.48</v>
      </c>
      <c r="M357" s="55"/>
      <c r="N357" s="150" t="s">
        <v>1654</v>
      </c>
    </row>
    <row r="358" spans="1:16">
      <c r="A358" s="203">
        <v>46198</v>
      </c>
      <c r="B358" s="55" t="s">
        <v>124</v>
      </c>
      <c r="C358" s="195">
        <v>0.71</v>
      </c>
      <c r="D358" s="195">
        <v>0.71</v>
      </c>
      <c r="E358" s="235">
        <v>0.096</v>
      </c>
      <c r="F358" s="10">
        <f t="shared" si="26"/>
        <v>0</v>
      </c>
      <c r="G358" s="10">
        <f t="shared" si="27"/>
        <v>0.096</v>
      </c>
      <c r="H358" s="153">
        <v>0.750022186723465</v>
      </c>
      <c r="I358" s="55"/>
      <c r="J358" s="55"/>
      <c r="K358" s="235">
        <v>0.07</v>
      </c>
      <c r="L358" s="10">
        <f t="shared" si="28"/>
        <v>13385.41</v>
      </c>
      <c r="M358" s="55"/>
      <c r="N358" s="150" t="s">
        <v>1654</v>
      </c>
    </row>
    <row r="359" spans="1:16">
      <c r="A359" s="203">
        <v>46198</v>
      </c>
      <c r="B359" s="55" t="s">
        <v>124</v>
      </c>
      <c r="C359" s="195">
        <v>0.71</v>
      </c>
      <c r="D359" s="195">
        <v>0.72</v>
      </c>
      <c r="E359" s="235">
        <v>2.208</v>
      </c>
      <c r="F359" s="10">
        <f t="shared" ref="F359:F384" si="29">430*(D359-C359)</f>
        <v>4.3</v>
      </c>
      <c r="G359" s="10">
        <f t="shared" ref="G359:G384" si="30">E359-F359</f>
        <v>-2.092</v>
      </c>
      <c r="H359" s="153">
        <v>0.750022186723465</v>
      </c>
      <c r="I359" s="55"/>
      <c r="J359" s="55"/>
      <c r="K359" s="235">
        <v>1.65</v>
      </c>
      <c r="L359" s="10">
        <f t="shared" ref="L359:L384" si="31">L358+J359-K359</f>
        <v>13383.76</v>
      </c>
      <c r="M359" s="55"/>
      <c r="N359" s="150" t="s">
        <v>1654</v>
      </c>
      <c r="O359" s="144" t="str">
        <f>MIN(MAX(C359,0),100)&amp;"%"</f>
        <v>0.71%</v>
      </c>
      <c r="P359" s="144" t="str">
        <f>MIN(MAX(D359,0),100)&amp;"%"</f>
        <v>0.72%</v>
      </c>
    </row>
    <row r="360" spans="1:16">
      <c r="A360" s="203">
        <v>46198</v>
      </c>
      <c r="B360" s="55" t="s">
        <v>102</v>
      </c>
      <c r="C360" s="195">
        <v>0.67</v>
      </c>
      <c r="D360" s="195">
        <v>1</v>
      </c>
      <c r="E360" s="235">
        <v>159.287</v>
      </c>
      <c r="F360" s="10">
        <f t="shared" si="29"/>
        <v>141.9</v>
      </c>
      <c r="G360" s="10">
        <f t="shared" si="30"/>
        <v>17.387</v>
      </c>
      <c r="H360" s="153">
        <v>0.750022186723465</v>
      </c>
      <c r="I360" s="55"/>
      <c r="J360" s="55"/>
      <c r="K360" s="235">
        <v>115.64</v>
      </c>
      <c r="L360" s="10">
        <f t="shared" si="31"/>
        <v>13268.12</v>
      </c>
      <c r="M360" s="55"/>
      <c r="N360" s="150" t="s">
        <v>1654</v>
      </c>
    </row>
    <row r="361" spans="1:16">
      <c r="A361" s="203">
        <v>46198</v>
      </c>
      <c r="B361" s="55" t="s">
        <v>124</v>
      </c>
      <c r="C361" s="195">
        <v>0.71</v>
      </c>
      <c r="D361" s="195">
        <v>0.87</v>
      </c>
      <c r="E361" s="235">
        <v>66.216</v>
      </c>
      <c r="F361" s="10">
        <f t="shared" si="29"/>
        <v>68.8</v>
      </c>
      <c r="G361" s="10">
        <f t="shared" si="30"/>
        <v>-2.584</v>
      </c>
      <c r="H361" s="153">
        <v>0.750022186723465</v>
      </c>
      <c r="I361" s="55"/>
      <c r="J361" s="55"/>
      <c r="K361" s="235">
        <v>49.66</v>
      </c>
      <c r="L361" s="10">
        <f t="shared" si="31"/>
        <v>13218.46</v>
      </c>
      <c r="M361" s="55"/>
      <c r="N361" s="150" t="s">
        <v>1654</v>
      </c>
    </row>
    <row r="362" spans="1:16">
      <c r="A362" s="203">
        <v>46198</v>
      </c>
      <c r="B362" s="55" t="s">
        <v>63</v>
      </c>
      <c r="C362" s="195">
        <v>0.46</v>
      </c>
      <c r="D362" s="195">
        <v>1</v>
      </c>
      <c r="E362" s="235">
        <v>244.896</v>
      </c>
      <c r="F362" s="10">
        <f t="shared" si="29"/>
        <v>232.2</v>
      </c>
      <c r="G362" s="10">
        <f t="shared" si="30"/>
        <v>12.696</v>
      </c>
      <c r="H362" s="153">
        <v>0.750022186723465</v>
      </c>
      <c r="I362" s="55"/>
      <c r="J362" s="55"/>
      <c r="K362" s="235">
        <v>198.36</v>
      </c>
      <c r="L362" s="10">
        <f t="shared" si="31"/>
        <v>13020.1</v>
      </c>
      <c r="M362" s="55"/>
      <c r="N362" s="150" t="s">
        <v>1654</v>
      </c>
    </row>
    <row r="363" spans="1:16">
      <c r="A363" s="203">
        <v>46198</v>
      </c>
      <c r="B363" s="55" t="s">
        <v>54</v>
      </c>
      <c r="C363" s="195">
        <v>0.41</v>
      </c>
      <c r="D363" s="195">
        <v>0.98</v>
      </c>
      <c r="E363" s="235">
        <v>240.657</v>
      </c>
      <c r="F363" s="10">
        <f t="shared" si="29"/>
        <v>245.1</v>
      </c>
      <c r="G363" s="10">
        <f t="shared" si="30"/>
        <v>-4.44299999999998</v>
      </c>
      <c r="H363" s="153">
        <v>0.750022186723465</v>
      </c>
      <c r="I363" s="55"/>
      <c r="J363" s="55"/>
      <c r="K363" s="235">
        <v>174.72</v>
      </c>
      <c r="L363" s="10">
        <f t="shared" si="31"/>
        <v>12845.38</v>
      </c>
      <c r="M363" s="55"/>
      <c r="N363" s="150" t="s">
        <v>1654</v>
      </c>
    </row>
    <row r="364" spans="1:16">
      <c r="A364" s="203">
        <v>46198</v>
      </c>
      <c r="B364" s="55" t="s">
        <v>51</v>
      </c>
      <c r="C364" s="195">
        <v>0.49</v>
      </c>
      <c r="D364" s="195">
        <v>0.98</v>
      </c>
      <c r="E364" s="235">
        <v>214.53</v>
      </c>
      <c r="F364" s="10">
        <f t="shared" si="29"/>
        <v>210.7</v>
      </c>
      <c r="G364" s="10">
        <f t="shared" si="30"/>
        <v>3.83000000000001</v>
      </c>
      <c r="H364" s="153">
        <v>0.750022186723465</v>
      </c>
      <c r="I364" s="55"/>
      <c r="J364" s="55"/>
      <c r="K364" s="235">
        <v>155.75</v>
      </c>
      <c r="L364" s="10">
        <f t="shared" si="31"/>
        <v>12689.63</v>
      </c>
      <c r="M364" s="55"/>
      <c r="N364" s="150" t="s">
        <v>1654</v>
      </c>
    </row>
    <row r="365" spans="1:16">
      <c r="A365" s="203">
        <v>46198</v>
      </c>
      <c r="B365" s="55" t="s">
        <v>105</v>
      </c>
      <c r="C365" s="195">
        <v>0.59</v>
      </c>
      <c r="D365" s="195">
        <v>0.76</v>
      </c>
      <c r="E365" s="235">
        <v>81.632</v>
      </c>
      <c r="F365" s="10">
        <f t="shared" si="29"/>
        <v>73.1</v>
      </c>
      <c r="G365" s="10">
        <f t="shared" si="30"/>
        <v>8.53200000000001</v>
      </c>
      <c r="H365" s="153">
        <v>0.750022186723465</v>
      </c>
      <c r="I365" s="55"/>
      <c r="J365" s="55"/>
      <c r="K365" s="235">
        <v>61.23</v>
      </c>
      <c r="L365" s="10">
        <f t="shared" si="31"/>
        <v>12628.4</v>
      </c>
      <c r="M365" s="55"/>
      <c r="N365" s="150" t="s">
        <v>1654</v>
      </c>
    </row>
    <row r="366" spans="1:16">
      <c r="A366" s="203">
        <v>46198</v>
      </c>
      <c r="B366" s="55" t="s">
        <v>189</v>
      </c>
      <c r="C366" s="195">
        <v>0.29</v>
      </c>
      <c r="D366" s="195">
        <v>0.43</v>
      </c>
      <c r="E366" s="235">
        <v>62.187</v>
      </c>
      <c r="F366" s="10">
        <f t="shared" si="29"/>
        <v>60.2</v>
      </c>
      <c r="G366" s="10">
        <f t="shared" si="30"/>
        <v>1.98699999999999</v>
      </c>
      <c r="H366" s="153">
        <v>0.750022186723465</v>
      </c>
      <c r="I366" s="55"/>
      <c r="J366" s="55"/>
      <c r="K366" s="235">
        <v>56.59</v>
      </c>
      <c r="L366" s="10">
        <f t="shared" si="31"/>
        <v>12571.81</v>
      </c>
      <c r="M366" s="55"/>
      <c r="N366" s="150" t="s">
        <v>1654</v>
      </c>
    </row>
    <row r="367" spans="1:16">
      <c r="A367" s="203">
        <v>46198</v>
      </c>
      <c r="B367" s="55" t="s">
        <v>189</v>
      </c>
      <c r="C367" s="195">
        <v>0.43</v>
      </c>
      <c r="D367" s="195">
        <v>0.99</v>
      </c>
      <c r="E367" s="235">
        <v>251.697</v>
      </c>
      <c r="F367" s="10">
        <f t="shared" si="29"/>
        <v>240.8</v>
      </c>
      <c r="G367" s="10">
        <f t="shared" si="30"/>
        <v>10.897</v>
      </c>
      <c r="H367" s="153">
        <v>0.750022186723465</v>
      </c>
      <c r="I367" s="55"/>
      <c r="J367" s="55"/>
      <c r="K367" s="235">
        <v>229.04</v>
      </c>
      <c r="L367" s="10">
        <f t="shared" si="31"/>
        <v>12342.77</v>
      </c>
      <c r="M367" s="55"/>
      <c r="N367" s="150" t="s">
        <v>1654</v>
      </c>
    </row>
    <row r="368" spans="1:16">
      <c r="A368" s="203">
        <v>46198</v>
      </c>
      <c r="B368" s="55" t="s">
        <v>160</v>
      </c>
      <c r="C368" s="195">
        <v>0.44</v>
      </c>
      <c r="D368" s="195">
        <v>0.67</v>
      </c>
      <c r="E368" s="235">
        <v>99.68</v>
      </c>
      <c r="F368" s="10">
        <f t="shared" si="29"/>
        <v>98.9</v>
      </c>
      <c r="G368" s="10">
        <f t="shared" si="30"/>
        <v>0.780000000000001</v>
      </c>
      <c r="H368" s="153">
        <v>0.750022186723465</v>
      </c>
      <c r="I368" s="55"/>
      <c r="J368" s="55"/>
      <c r="K368" s="235">
        <v>74.76</v>
      </c>
      <c r="L368" s="10">
        <f t="shared" si="31"/>
        <v>12268.01</v>
      </c>
      <c r="M368" s="55"/>
      <c r="N368" s="150" t="s">
        <v>1654</v>
      </c>
    </row>
    <row r="369" spans="1:14">
      <c r="A369" s="203">
        <v>46198</v>
      </c>
      <c r="B369" s="55" t="s">
        <v>151</v>
      </c>
      <c r="C369" s="195">
        <v>0.43</v>
      </c>
      <c r="D369" s="195">
        <v>0.75</v>
      </c>
      <c r="E369" s="235">
        <v>140.216</v>
      </c>
      <c r="F369" s="10">
        <f t="shared" si="29"/>
        <v>137.6</v>
      </c>
      <c r="G369" s="10">
        <f t="shared" si="30"/>
        <v>2.61600000000001</v>
      </c>
      <c r="H369" s="153">
        <v>0.750022186723465</v>
      </c>
      <c r="I369" s="55"/>
      <c r="J369" s="55"/>
      <c r="K369" s="235">
        <v>105.16</v>
      </c>
      <c r="L369" s="10">
        <f t="shared" si="31"/>
        <v>12162.85</v>
      </c>
      <c r="M369" s="55"/>
      <c r="N369" s="150" t="s">
        <v>1654</v>
      </c>
    </row>
    <row r="370" spans="1:14">
      <c r="A370" s="203">
        <v>46198</v>
      </c>
      <c r="B370" s="55" t="s">
        <v>210</v>
      </c>
      <c r="C370" s="195">
        <v>0.41</v>
      </c>
      <c r="D370" s="195">
        <v>0.76</v>
      </c>
      <c r="E370" s="235">
        <v>152.832</v>
      </c>
      <c r="F370" s="10">
        <f t="shared" si="29"/>
        <v>150.5</v>
      </c>
      <c r="G370" s="10">
        <f t="shared" si="30"/>
        <v>2.33199999999999</v>
      </c>
      <c r="H370" s="153">
        <v>0.750022186723465</v>
      </c>
      <c r="I370" s="55"/>
      <c r="J370" s="55"/>
      <c r="K370" s="235">
        <v>114.63</v>
      </c>
      <c r="L370" s="10">
        <f t="shared" si="31"/>
        <v>12048.22</v>
      </c>
      <c r="M370" s="55"/>
      <c r="N370" s="150" t="s">
        <v>1654</v>
      </c>
    </row>
    <row r="371" spans="1:14">
      <c r="A371" s="203">
        <v>46199</v>
      </c>
      <c r="B371" s="55" t="s">
        <v>201</v>
      </c>
      <c r="C371" s="195">
        <v>0.17</v>
      </c>
      <c r="D371" s="195">
        <v>0.19</v>
      </c>
      <c r="E371" s="235">
        <v>5.767</v>
      </c>
      <c r="F371" s="10">
        <f t="shared" si="29"/>
        <v>8.6</v>
      </c>
      <c r="G371" s="10">
        <f t="shared" si="30"/>
        <v>-2.833</v>
      </c>
      <c r="H371" s="153">
        <v>0.750022186723465</v>
      </c>
      <c r="I371" s="55"/>
      <c r="J371" s="55"/>
      <c r="K371" s="235">
        <v>4.39</v>
      </c>
      <c r="L371" s="10">
        <f t="shared" si="31"/>
        <v>12043.83</v>
      </c>
      <c r="M371" s="55"/>
      <c r="N371" s="150" t="s">
        <v>1654</v>
      </c>
    </row>
    <row r="372" spans="1:14">
      <c r="A372" s="203">
        <v>46199</v>
      </c>
      <c r="B372" s="55" t="s">
        <v>201</v>
      </c>
      <c r="C372" s="195">
        <v>0.19</v>
      </c>
      <c r="D372" s="195">
        <v>1</v>
      </c>
      <c r="E372" s="235">
        <v>350.421</v>
      </c>
      <c r="F372" s="10">
        <f t="shared" si="29"/>
        <v>348.3</v>
      </c>
      <c r="G372" s="10">
        <f t="shared" si="30"/>
        <v>2.12099999999998</v>
      </c>
      <c r="H372" s="153">
        <v>0.750022186723465</v>
      </c>
      <c r="I372" s="55"/>
      <c r="J372" s="55"/>
      <c r="K372" s="235">
        <v>266.32</v>
      </c>
      <c r="L372" s="10">
        <f t="shared" si="31"/>
        <v>11777.51</v>
      </c>
      <c r="M372" s="55"/>
      <c r="N372" s="150" t="s">
        <v>1654</v>
      </c>
    </row>
    <row r="373" spans="1:14">
      <c r="A373" s="203">
        <v>46199</v>
      </c>
      <c r="B373" s="55" t="s">
        <v>87</v>
      </c>
      <c r="C373" s="195">
        <v>0.31</v>
      </c>
      <c r="D373" s="195">
        <v>1</v>
      </c>
      <c r="E373" s="235">
        <v>318.328</v>
      </c>
      <c r="F373" s="10">
        <f t="shared" si="29"/>
        <v>296.7</v>
      </c>
      <c r="G373" s="10">
        <f t="shared" si="30"/>
        <v>21.628</v>
      </c>
      <c r="H373" s="153">
        <v>0.750022186723465</v>
      </c>
      <c r="I373" s="55"/>
      <c r="J373" s="55"/>
      <c r="K373" s="235">
        <v>231.11</v>
      </c>
      <c r="L373" s="10">
        <f t="shared" si="31"/>
        <v>11546.4</v>
      </c>
      <c r="M373" s="55"/>
      <c r="N373" s="150" t="s">
        <v>1654</v>
      </c>
    </row>
    <row r="374" spans="1:14">
      <c r="A374" s="203">
        <v>46199</v>
      </c>
      <c r="B374" s="55" t="s">
        <v>114</v>
      </c>
      <c r="C374" s="195">
        <v>0.43</v>
      </c>
      <c r="D374" s="195">
        <v>1</v>
      </c>
      <c r="E374" s="235">
        <v>242.688</v>
      </c>
      <c r="F374" s="10">
        <f t="shared" si="29"/>
        <v>245.1</v>
      </c>
      <c r="G374" s="10">
        <f t="shared" si="30"/>
        <v>-2.41200000000001</v>
      </c>
      <c r="H374" s="153">
        <v>0.750022186723465</v>
      </c>
      <c r="I374" s="55"/>
      <c r="J374" s="55"/>
      <c r="K374" s="235">
        <v>182.02</v>
      </c>
      <c r="L374" s="10">
        <f t="shared" si="31"/>
        <v>11364.38</v>
      </c>
      <c r="M374" s="55"/>
      <c r="N374" s="150" t="s">
        <v>1654</v>
      </c>
    </row>
    <row r="375" spans="1:14">
      <c r="A375" s="203">
        <v>46199</v>
      </c>
      <c r="B375" s="55" t="s">
        <v>69</v>
      </c>
      <c r="C375" s="195">
        <v>0.28</v>
      </c>
      <c r="D375" s="195">
        <v>1</v>
      </c>
      <c r="E375" s="235">
        <v>333.527</v>
      </c>
      <c r="F375" s="10">
        <f t="shared" si="29"/>
        <v>309.6</v>
      </c>
      <c r="G375" s="10">
        <f t="shared" si="30"/>
        <v>23.927</v>
      </c>
      <c r="H375" s="153">
        <v>0.750022186723465</v>
      </c>
      <c r="I375" s="55"/>
      <c r="J375" s="55"/>
      <c r="K375" s="235">
        <v>242.14</v>
      </c>
      <c r="L375" s="10">
        <f t="shared" si="31"/>
        <v>11122.24</v>
      </c>
      <c r="M375" s="55"/>
      <c r="N375" s="150" t="s">
        <v>1654</v>
      </c>
    </row>
    <row r="376" spans="1:14">
      <c r="A376" s="203">
        <v>46199</v>
      </c>
      <c r="B376" s="55" t="s">
        <v>81</v>
      </c>
      <c r="C376" s="195">
        <v>0.42</v>
      </c>
      <c r="D376" s="195">
        <v>0.6</v>
      </c>
      <c r="E376" s="235">
        <v>83.008</v>
      </c>
      <c r="F376" s="10">
        <f t="shared" si="29"/>
        <v>77.4</v>
      </c>
      <c r="G376" s="10">
        <f t="shared" si="30"/>
        <v>5.60799999999999</v>
      </c>
      <c r="H376" s="153">
        <v>0.750022186723465</v>
      </c>
      <c r="I376" s="55"/>
      <c r="J376" s="55"/>
      <c r="K376" s="235">
        <v>62.25</v>
      </c>
      <c r="L376" s="10">
        <f t="shared" si="31"/>
        <v>11059.99</v>
      </c>
      <c r="M376" s="55"/>
      <c r="N376" s="150" t="s">
        <v>1654</v>
      </c>
    </row>
    <row r="377" spans="1:14">
      <c r="A377" s="203">
        <v>46199</v>
      </c>
      <c r="B377" s="55" t="s">
        <v>90</v>
      </c>
      <c r="C377" s="195">
        <v>0.32</v>
      </c>
      <c r="D377" s="195">
        <v>1</v>
      </c>
      <c r="E377" s="235">
        <v>312.572</v>
      </c>
      <c r="F377" s="10">
        <f t="shared" si="29"/>
        <v>292.4</v>
      </c>
      <c r="G377" s="10">
        <f t="shared" si="30"/>
        <v>20.172</v>
      </c>
      <c r="H377" s="153">
        <v>0.750022186723465</v>
      </c>
      <c r="I377" s="55"/>
      <c r="J377" s="55"/>
      <c r="K377" s="235">
        <v>226.92</v>
      </c>
      <c r="L377" s="10">
        <f t="shared" si="31"/>
        <v>10833.07</v>
      </c>
      <c r="M377" s="55"/>
      <c r="N377" s="150" t="s">
        <v>1654</v>
      </c>
    </row>
    <row r="378" spans="1:14">
      <c r="A378" s="203">
        <v>46199</v>
      </c>
      <c r="B378" s="55" t="s">
        <v>111</v>
      </c>
      <c r="C378" s="195">
        <v>0.51</v>
      </c>
      <c r="D378" s="195">
        <v>0.75</v>
      </c>
      <c r="E378" s="235">
        <v>98.464</v>
      </c>
      <c r="F378" s="10">
        <f t="shared" si="29"/>
        <v>103.2</v>
      </c>
      <c r="G378" s="10">
        <f t="shared" si="30"/>
        <v>-4.736</v>
      </c>
      <c r="H378" s="153">
        <v>0.750022186723465</v>
      </c>
      <c r="I378" s="55"/>
      <c r="J378" s="55"/>
      <c r="K378" s="235">
        <v>73.85</v>
      </c>
      <c r="L378" s="10">
        <f t="shared" si="31"/>
        <v>10759.22</v>
      </c>
      <c r="M378" s="55"/>
      <c r="N378" s="150" t="s">
        <v>1654</v>
      </c>
    </row>
    <row r="379" spans="1:14">
      <c r="A379" s="203">
        <v>46199</v>
      </c>
      <c r="B379" s="55" t="s">
        <v>72</v>
      </c>
      <c r="C379" s="195">
        <v>0.68</v>
      </c>
      <c r="D379" s="195">
        <v>1</v>
      </c>
      <c r="E379" s="235">
        <v>132.248</v>
      </c>
      <c r="F379" s="10">
        <f t="shared" si="29"/>
        <v>137.6</v>
      </c>
      <c r="G379" s="10">
        <f t="shared" si="30"/>
        <v>-5.352</v>
      </c>
      <c r="H379" s="153">
        <v>0.750022186723465</v>
      </c>
      <c r="I379" s="55"/>
      <c r="J379" s="55"/>
      <c r="K379" s="235">
        <v>96.02</v>
      </c>
      <c r="L379" s="10">
        <f t="shared" si="31"/>
        <v>10663.2</v>
      </c>
      <c r="M379" s="55"/>
      <c r="N379" s="150" t="s">
        <v>1654</v>
      </c>
    </row>
    <row r="380" spans="1:14">
      <c r="A380" s="203">
        <v>46199</v>
      </c>
      <c r="B380" s="55" t="s">
        <v>186</v>
      </c>
      <c r="C380" s="195">
        <v>0.52</v>
      </c>
      <c r="D380" s="195">
        <v>0.91</v>
      </c>
      <c r="E380" s="235">
        <v>169.504</v>
      </c>
      <c r="F380" s="10">
        <f t="shared" si="29"/>
        <v>167.7</v>
      </c>
      <c r="G380" s="10">
        <f t="shared" si="30"/>
        <v>1.804</v>
      </c>
      <c r="H380" s="153">
        <v>0.750022186723465</v>
      </c>
      <c r="I380" s="55"/>
      <c r="J380" s="55"/>
      <c r="K380" s="235">
        <v>127.13</v>
      </c>
      <c r="L380" s="10">
        <f t="shared" si="31"/>
        <v>10536.07</v>
      </c>
      <c r="M380" s="55"/>
      <c r="N380" s="150" t="s">
        <v>1654</v>
      </c>
    </row>
    <row r="381" spans="1:14">
      <c r="A381" s="203">
        <v>46199</v>
      </c>
      <c r="B381" s="55" t="s">
        <v>166</v>
      </c>
      <c r="C381" s="195">
        <v>0.08</v>
      </c>
      <c r="D381" s="195">
        <v>0.99</v>
      </c>
      <c r="E381" s="235">
        <v>399.712</v>
      </c>
      <c r="F381" s="10">
        <f t="shared" si="29"/>
        <v>391.3</v>
      </c>
      <c r="G381" s="10">
        <f t="shared" si="30"/>
        <v>8.41199999999998</v>
      </c>
      <c r="H381" s="153">
        <v>0.750022186723465</v>
      </c>
      <c r="I381" s="55"/>
      <c r="J381" s="55"/>
      <c r="K381" s="235">
        <v>299.78</v>
      </c>
      <c r="L381" s="10">
        <f t="shared" si="31"/>
        <v>10236.29</v>
      </c>
      <c r="M381" s="55"/>
      <c r="N381" s="150" t="s">
        <v>1654</v>
      </c>
    </row>
    <row r="382" spans="1:14">
      <c r="A382" s="203">
        <v>46199</v>
      </c>
      <c r="B382" s="55" t="s">
        <v>221</v>
      </c>
      <c r="C382" s="195">
        <v>0.54</v>
      </c>
      <c r="D382" s="195">
        <v>0.7</v>
      </c>
      <c r="E382" s="235">
        <v>72.208</v>
      </c>
      <c r="F382" s="10">
        <f t="shared" si="29"/>
        <v>68.8</v>
      </c>
      <c r="G382" s="10">
        <f t="shared" si="30"/>
        <v>3.408</v>
      </c>
      <c r="H382" s="153">
        <v>0.750022186723465</v>
      </c>
      <c r="I382" s="55"/>
      <c r="J382" s="55"/>
      <c r="K382" s="235">
        <v>54.15</v>
      </c>
      <c r="L382" s="10">
        <f t="shared" si="31"/>
        <v>10182.14</v>
      </c>
      <c r="M382" s="55"/>
      <c r="N382" s="150" t="s">
        <v>1654</v>
      </c>
    </row>
    <row r="383" spans="1:14">
      <c r="A383" s="203">
        <v>46199</v>
      </c>
      <c r="B383" s="55" t="s">
        <v>219</v>
      </c>
      <c r="C383" s="195">
        <v>0.51</v>
      </c>
      <c r="D383" s="195">
        <v>0.68</v>
      </c>
      <c r="E383" s="235">
        <v>74.56</v>
      </c>
      <c r="F383" s="10">
        <f t="shared" si="29"/>
        <v>73.1</v>
      </c>
      <c r="G383" s="10">
        <f t="shared" si="30"/>
        <v>1.46000000000001</v>
      </c>
      <c r="H383" s="153">
        <v>0.750022186723465</v>
      </c>
      <c r="I383" s="55"/>
      <c r="J383" s="55"/>
      <c r="K383" s="235">
        <v>55.92</v>
      </c>
      <c r="L383" s="10">
        <f t="shared" si="31"/>
        <v>10126.22</v>
      </c>
      <c r="M383" s="55"/>
      <c r="N383" s="150" t="s">
        <v>1654</v>
      </c>
    </row>
    <row r="384" spans="1:14">
      <c r="A384" s="203">
        <v>46199</v>
      </c>
      <c r="B384" s="55" t="s">
        <v>78</v>
      </c>
      <c r="C384" s="195">
        <v>0.12</v>
      </c>
      <c r="D384" s="195">
        <v>0.34</v>
      </c>
      <c r="E384" s="235">
        <v>103.2</v>
      </c>
      <c r="F384" s="10">
        <f t="shared" si="29"/>
        <v>94.6</v>
      </c>
      <c r="G384" s="10">
        <f t="shared" si="30"/>
        <v>8.60000000000001</v>
      </c>
      <c r="H384" s="153">
        <v>0.750022186723465</v>
      </c>
      <c r="I384" s="55"/>
      <c r="J384" s="55"/>
      <c r="K384" s="235">
        <v>77.4</v>
      </c>
      <c r="L384" s="10">
        <f t="shared" si="31"/>
        <v>10048.82</v>
      </c>
      <c r="M384" s="55"/>
      <c r="N384" s="150" t="s">
        <v>1654</v>
      </c>
    </row>
    <row r="385" spans="1:14">
      <c r="A385" s="203">
        <v>46199</v>
      </c>
      <c r="B385" s="164" t="s">
        <v>201</v>
      </c>
      <c r="C385" s="195">
        <v>0.85</v>
      </c>
      <c r="D385" s="195">
        <v>0.95</v>
      </c>
      <c r="E385" s="235">
        <v>44.717</v>
      </c>
      <c r="F385" s="10">
        <f t="shared" ref="F385:F416" si="32">430*(D385-C385)</f>
        <v>43</v>
      </c>
      <c r="G385" s="10">
        <f t="shared" ref="G385:G416" si="33">E385-F385</f>
        <v>1.71700000000001</v>
      </c>
      <c r="H385" s="153">
        <v>0.750022186723465</v>
      </c>
      <c r="I385" s="55"/>
      <c r="J385" s="55"/>
      <c r="K385" s="235">
        <v>29.07</v>
      </c>
      <c r="L385" s="10">
        <f t="shared" ref="L385:L416" si="34">L384+J385-K385</f>
        <v>10019.75</v>
      </c>
      <c r="N385" s="150" t="s">
        <v>1654</v>
      </c>
    </row>
    <row r="386" spans="1:14">
      <c r="A386" s="203">
        <v>46199</v>
      </c>
      <c r="B386" s="164" t="s">
        <v>60</v>
      </c>
      <c r="C386" s="195">
        <v>0.35</v>
      </c>
      <c r="D386" s="195">
        <v>1</v>
      </c>
      <c r="E386" s="235">
        <v>266.013</v>
      </c>
      <c r="F386" s="10">
        <f t="shared" si="32"/>
        <v>279.5</v>
      </c>
      <c r="G386" s="10">
        <f t="shared" si="33"/>
        <v>-13.487</v>
      </c>
      <c r="H386" s="153">
        <v>0.750022186723465</v>
      </c>
      <c r="I386" s="55"/>
      <c r="J386" s="55"/>
      <c r="K386" s="235">
        <v>193.13</v>
      </c>
      <c r="L386" s="10">
        <f t="shared" si="34"/>
        <v>9826.62</v>
      </c>
      <c r="N386" s="150" t="s">
        <v>1654</v>
      </c>
    </row>
    <row r="387" spans="1:14">
      <c r="A387" s="203">
        <v>46199</v>
      </c>
      <c r="B387" s="164" t="s">
        <v>63</v>
      </c>
      <c r="C387" s="195">
        <v>0.68</v>
      </c>
      <c r="D387" s="195">
        <v>1</v>
      </c>
      <c r="E387" s="235">
        <v>149.44</v>
      </c>
      <c r="F387" s="10">
        <f t="shared" si="32"/>
        <v>137.6</v>
      </c>
      <c r="G387" s="10">
        <f t="shared" si="33"/>
        <v>11.84</v>
      </c>
      <c r="H387" s="153">
        <v>0.750022186723465</v>
      </c>
      <c r="I387" s="55"/>
      <c r="J387" s="55"/>
      <c r="K387" s="235">
        <v>112.08</v>
      </c>
      <c r="L387" s="10">
        <f t="shared" si="34"/>
        <v>9714.54</v>
      </c>
      <c r="N387" s="150" t="s">
        <v>1654</v>
      </c>
    </row>
    <row r="388" spans="1:14">
      <c r="A388" s="203">
        <v>46199</v>
      </c>
      <c r="B388" s="164" t="s">
        <v>78</v>
      </c>
      <c r="C388" s="195">
        <v>0.22</v>
      </c>
      <c r="D388" s="195">
        <v>0.87</v>
      </c>
      <c r="E388" s="235">
        <v>297.439</v>
      </c>
      <c r="F388" s="10">
        <f t="shared" si="32"/>
        <v>279.5</v>
      </c>
      <c r="G388" s="10">
        <f t="shared" si="33"/>
        <v>17.939</v>
      </c>
      <c r="H388" s="153">
        <v>0.750022186723465</v>
      </c>
      <c r="I388" s="55"/>
      <c r="J388" s="55"/>
      <c r="K388" s="235">
        <v>215.94</v>
      </c>
      <c r="L388" s="10">
        <f t="shared" si="34"/>
        <v>9498.6</v>
      </c>
      <c r="N388" s="150" t="s">
        <v>1654</v>
      </c>
    </row>
    <row r="389" spans="1:14">
      <c r="A389" s="203">
        <v>46199</v>
      </c>
      <c r="B389" s="164" t="s">
        <v>132</v>
      </c>
      <c r="C389" s="195">
        <v>0.36</v>
      </c>
      <c r="D389" s="195">
        <v>0.92</v>
      </c>
      <c r="E389" s="235">
        <v>246.537</v>
      </c>
      <c r="F389" s="10">
        <f t="shared" si="32"/>
        <v>240.8</v>
      </c>
      <c r="G389" s="10">
        <f t="shared" si="33"/>
        <v>5.73699999999999</v>
      </c>
      <c r="H389" s="153">
        <v>0.750022186723465</v>
      </c>
      <c r="I389" s="55"/>
      <c r="J389" s="55"/>
      <c r="K389" s="235">
        <v>178.99</v>
      </c>
      <c r="L389" s="10">
        <f t="shared" si="34"/>
        <v>9319.61</v>
      </c>
      <c r="N389" s="150" t="s">
        <v>1654</v>
      </c>
    </row>
    <row r="390" spans="1:14">
      <c r="A390" s="203">
        <v>46199</v>
      </c>
      <c r="B390" s="164" t="s">
        <v>84</v>
      </c>
      <c r="C390" s="195">
        <v>0.17</v>
      </c>
      <c r="D390" s="195">
        <v>0.58</v>
      </c>
      <c r="E390" s="235">
        <v>186.574</v>
      </c>
      <c r="F390" s="10">
        <f t="shared" si="32"/>
        <v>176.3</v>
      </c>
      <c r="G390" s="10">
        <f t="shared" si="33"/>
        <v>10.2740000000001</v>
      </c>
      <c r="H390" s="153">
        <v>0.750022186723465</v>
      </c>
      <c r="I390" s="55"/>
      <c r="J390" s="55"/>
      <c r="K390" s="235">
        <v>135.46</v>
      </c>
      <c r="L390" s="10">
        <f t="shared" si="34"/>
        <v>9184.15</v>
      </c>
      <c r="N390" s="150" t="s">
        <v>1654</v>
      </c>
    </row>
    <row r="391" spans="1:14">
      <c r="A391" s="203">
        <v>46199</v>
      </c>
      <c r="B391" s="164" t="s">
        <v>195</v>
      </c>
      <c r="C391" s="195">
        <v>0.5</v>
      </c>
      <c r="D391" s="195">
        <v>0.82</v>
      </c>
      <c r="E391" s="235">
        <v>140.512</v>
      </c>
      <c r="F391" s="10">
        <f t="shared" si="32"/>
        <v>137.6</v>
      </c>
      <c r="G391" s="10">
        <f t="shared" si="33"/>
        <v>2.91200000000003</v>
      </c>
      <c r="H391" s="153">
        <v>0.750022186723465</v>
      </c>
      <c r="I391" s="55"/>
      <c r="J391" s="55"/>
      <c r="K391" s="235">
        <v>105.38</v>
      </c>
      <c r="L391" s="10">
        <f t="shared" si="34"/>
        <v>9078.77</v>
      </c>
      <c r="N391" s="150" t="s">
        <v>1654</v>
      </c>
    </row>
    <row r="392" spans="1:14">
      <c r="A392" s="203">
        <v>46199</v>
      </c>
      <c r="B392" s="164" t="s">
        <v>183</v>
      </c>
      <c r="C392" s="195">
        <v>0.55</v>
      </c>
      <c r="D392" s="195">
        <v>0.97</v>
      </c>
      <c r="E392" s="235">
        <v>191.744</v>
      </c>
      <c r="F392" s="10">
        <f t="shared" si="32"/>
        <v>180.6</v>
      </c>
      <c r="G392" s="10">
        <f t="shared" si="33"/>
        <v>11.144</v>
      </c>
      <c r="H392" s="153">
        <v>0.750022186723465</v>
      </c>
      <c r="I392" s="55"/>
      <c r="J392" s="55"/>
      <c r="K392" s="235">
        <v>143.81</v>
      </c>
      <c r="L392" s="10">
        <f t="shared" si="34"/>
        <v>8934.96</v>
      </c>
      <c r="N392" s="150" t="s">
        <v>1654</v>
      </c>
    </row>
    <row r="393" spans="1:14">
      <c r="A393" s="203">
        <v>46199</v>
      </c>
      <c r="B393" s="164" t="s">
        <v>124</v>
      </c>
      <c r="C393" s="195">
        <v>0.73</v>
      </c>
      <c r="D393" s="195">
        <v>1</v>
      </c>
      <c r="E393" s="235">
        <v>116.713</v>
      </c>
      <c r="F393" s="10">
        <f t="shared" si="32"/>
        <v>116.1</v>
      </c>
      <c r="G393" s="10">
        <f t="shared" si="33"/>
        <v>0.612999999999985</v>
      </c>
      <c r="H393" s="153">
        <v>0.750022186723465</v>
      </c>
      <c r="I393" s="55"/>
      <c r="J393" s="55"/>
      <c r="K393" s="235">
        <v>84.73</v>
      </c>
      <c r="L393" s="10">
        <f t="shared" si="34"/>
        <v>8850.23</v>
      </c>
      <c r="N393" s="150" t="s">
        <v>1654</v>
      </c>
    </row>
    <row r="394" spans="1:14">
      <c r="A394" s="203">
        <v>46199</v>
      </c>
      <c r="B394" s="164" t="s">
        <v>130</v>
      </c>
      <c r="C394" s="195">
        <v>0.55</v>
      </c>
      <c r="D394" s="195">
        <v>0.55</v>
      </c>
      <c r="E394" s="235">
        <v>1.184</v>
      </c>
      <c r="F394" s="10">
        <f t="shared" si="32"/>
        <v>0</v>
      </c>
      <c r="G394" s="10">
        <f t="shared" si="33"/>
        <v>1.184</v>
      </c>
      <c r="H394" s="153">
        <v>0.750022186723465</v>
      </c>
      <c r="I394" s="55"/>
      <c r="J394" s="55"/>
      <c r="K394" s="235">
        <v>0.89</v>
      </c>
      <c r="L394" s="10">
        <f t="shared" si="34"/>
        <v>8849.34000000001</v>
      </c>
      <c r="N394" s="150" t="s">
        <v>1654</v>
      </c>
    </row>
    <row r="395" spans="1:14">
      <c r="A395" s="203">
        <v>46199</v>
      </c>
      <c r="B395" s="164" t="s">
        <v>130</v>
      </c>
      <c r="C395" s="195">
        <v>0.55</v>
      </c>
      <c r="D395" s="195">
        <v>0.97</v>
      </c>
      <c r="E395" s="235">
        <v>182.08</v>
      </c>
      <c r="F395" s="10">
        <f t="shared" si="32"/>
        <v>180.6</v>
      </c>
      <c r="G395" s="10">
        <f t="shared" si="33"/>
        <v>1.48000000000005</v>
      </c>
      <c r="H395" s="153">
        <v>0.750022186723465</v>
      </c>
      <c r="I395" s="55"/>
      <c r="J395" s="55"/>
      <c r="K395" s="235">
        <v>136.56</v>
      </c>
      <c r="L395" s="10">
        <f t="shared" si="34"/>
        <v>8712.78000000001</v>
      </c>
      <c r="N395" s="150" t="s">
        <v>1654</v>
      </c>
    </row>
    <row r="396" spans="1:14">
      <c r="A396" s="203">
        <v>46199</v>
      </c>
      <c r="B396" s="164" t="s">
        <v>141</v>
      </c>
      <c r="C396" s="195">
        <v>0.5</v>
      </c>
      <c r="D396" s="195">
        <v>1</v>
      </c>
      <c r="E396" s="235">
        <v>216.992</v>
      </c>
      <c r="F396" s="10">
        <f t="shared" si="32"/>
        <v>215</v>
      </c>
      <c r="G396" s="10">
        <f t="shared" si="33"/>
        <v>1.99199999999999</v>
      </c>
      <c r="H396" s="153">
        <v>0.750022186723465</v>
      </c>
      <c r="I396" s="55"/>
      <c r="J396" s="55"/>
      <c r="K396" s="235">
        <v>162.75</v>
      </c>
      <c r="L396" s="10">
        <f t="shared" si="34"/>
        <v>8550.03000000001</v>
      </c>
      <c r="N396" s="150" t="s">
        <v>1654</v>
      </c>
    </row>
    <row r="397" spans="1:14">
      <c r="A397" s="203">
        <v>46200</v>
      </c>
      <c r="B397" s="164" t="s">
        <v>180</v>
      </c>
      <c r="C397" s="195">
        <v>0.61</v>
      </c>
      <c r="D397" s="195">
        <v>0.8</v>
      </c>
      <c r="E397" s="235">
        <v>83.68</v>
      </c>
      <c r="F397" s="10">
        <f t="shared" si="32"/>
        <v>81.7</v>
      </c>
      <c r="G397" s="10">
        <f t="shared" si="33"/>
        <v>1.97999999999998</v>
      </c>
      <c r="H397" s="153">
        <v>0.750022186723465</v>
      </c>
      <c r="I397" s="55"/>
      <c r="J397" s="55"/>
      <c r="K397" s="235">
        <v>62.76</v>
      </c>
      <c r="L397" s="10">
        <f t="shared" si="34"/>
        <v>8487.27000000001</v>
      </c>
      <c r="N397" s="150" t="s">
        <v>1654</v>
      </c>
    </row>
    <row r="398" spans="1:14">
      <c r="A398" s="203">
        <v>46200</v>
      </c>
      <c r="B398" s="164" t="s">
        <v>192</v>
      </c>
      <c r="C398" s="195">
        <v>0.24</v>
      </c>
      <c r="D398" s="195">
        <v>1</v>
      </c>
      <c r="E398" s="235">
        <v>331.843</v>
      </c>
      <c r="F398" s="10">
        <f t="shared" si="32"/>
        <v>326.8</v>
      </c>
      <c r="G398" s="10">
        <f t="shared" si="33"/>
        <v>5.04300000000001</v>
      </c>
      <c r="H398" s="153">
        <v>0.750022186723465</v>
      </c>
      <c r="I398" s="55"/>
      <c r="J398" s="55"/>
      <c r="K398" s="235">
        <v>240.91</v>
      </c>
      <c r="L398" s="10">
        <f t="shared" si="34"/>
        <v>8246.36000000001</v>
      </c>
      <c r="N398" s="150" t="s">
        <v>1654</v>
      </c>
    </row>
    <row r="399" spans="1:14">
      <c r="A399" s="203">
        <v>46200</v>
      </c>
      <c r="B399" s="164" t="s">
        <v>84</v>
      </c>
      <c r="C399" s="195">
        <v>0.28</v>
      </c>
      <c r="D399" s="195">
        <v>1</v>
      </c>
      <c r="E399" s="235">
        <v>346.19</v>
      </c>
      <c r="F399" s="10">
        <f t="shared" si="32"/>
        <v>309.6</v>
      </c>
      <c r="G399" s="10">
        <f t="shared" si="33"/>
        <v>36.59</v>
      </c>
      <c r="H399" s="153">
        <v>0.750022186723465</v>
      </c>
      <c r="I399" s="55"/>
      <c r="J399" s="55"/>
      <c r="K399" s="235">
        <v>251.33</v>
      </c>
      <c r="L399" s="10">
        <f t="shared" si="34"/>
        <v>7995.03000000001</v>
      </c>
      <c r="N399" s="150" t="s">
        <v>1654</v>
      </c>
    </row>
    <row r="400" spans="1:14">
      <c r="A400" s="203">
        <v>46200</v>
      </c>
      <c r="B400" s="164" t="s">
        <v>102</v>
      </c>
      <c r="C400" s="195">
        <v>0.56</v>
      </c>
      <c r="D400" s="195">
        <v>1</v>
      </c>
      <c r="E400" s="235">
        <v>210.047</v>
      </c>
      <c r="F400" s="10">
        <f t="shared" si="32"/>
        <v>189.2</v>
      </c>
      <c r="G400" s="10">
        <f t="shared" si="33"/>
        <v>20.847</v>
      </c>
      <c r="H400" s="153">
        <v>0.750022186723465</v>
      </c>
      <c r="I400" s="55"/>
      <c r="J400" s="55"/>
      <c r="K400" s="235">
        <v>152.5</v>
      </c>
      <c r="L400" s="10">
        <f t="shared" si="34"/>
        <v>7842.53000000001</v>
      </c>
      <c r="N400" s="150" t="s">
        <v>1654</v>
      </c>
    </row>
    <row r="401" spans="1:16">
      <c r="A401" s="203">
        <v>46200</v>
      </c>
      <c r="B401" s="164" t="s">
        <v>144</v>
      </c>
      <c r="C401" s="195">
        <v>0.48</v>
      </c>
      <c r="D401" s="195">
        <v>1</v>
      </c>
      <c r="E401" s="235">
        <v>226.584</v>
      </c>
      <c r="F401" s="10">
        <f t="shared" si="32"/>
        <v>223.6</v>
      </c>
      <c r="G401" s="10">
        <f t="shared" si="33"/>
        <v>2.98400000000001</v>
      </c>
      <c r="H401" s="153">
        <v>0.750022186723465</v>
      </c>
      <c r="I401" s="55"/>
      <c r="J401" s="55"/>
      <c r="K401" s="235">
        <v>169.94</v>
      </c>
      <c r="L401" s="10">
        <f t="shared" si="34"/>
        <v>7672.59000000001</v>
      </c>
      <c r="N401" s="150" t="s">
        <v>1654</v>
      </c>
    </row>
    <row r="402" spans="1:16">
      <c r="A402" s="203">
        <v>46200</v>
      </c>
      <c r="B402" s="164" t="s">
        <v>138</v>
      </c>
      <c r="C402" s="195">
        <v>0.59</v>
      </c>
      <c r="D402" s="195">
        <v>1</v>
      </c>
      <c r="E402" s="235">
        <v>177.44</v>
      </c>
      <c r="F402" s="10">
        <f t="shared" si="32"/>
        <v>176.3</v>
      </c>
      <c r="G402" s="10">
        <f t="shared" si="33"/>
        <v>1.13999999999999</v>
      </c>
      <c r="H402" s="153">
        <v>0.750022186723465</v>
      </c>
      <c r="I402" s="55"/>
      <c r="J402" s="55"/>
      <c r="K402" s="235">
        <v>133.08</v>
      </c>
      <c r="L402" s="10">
        <f t="shared" si="34"/>
        <v>7539.51000000001</v>
      </c>
      <c r="N402" s="150" t="s">
        <v>1654</v>
      </c>
    </row>
    <row r="403" spans="1:16">
      <c r="A403" s="203">
        <v>46200</v>
      </c>
      <c r="B403" s="164" t="s">
        <v>135</v>
      </c>
      <c r="C403" s="195">
        <v>0.76</v>
      </c>
      <c r="D403" s="195">
        <v>1</v>
      </c>
      <c r="E403" s="235">
        <v>104.987</v>
      </c>
      <c r="F403" s="10">
        <f t="shared" si="32"/>
        <v>103.2</v>
      </c>
      <c r="G403" s="10">
        <f t="shared" si="33"/>
        <v>1.78699999999999</v>
      </c>
      <c r="H403" s="153">
        <v>0.750022186723465</v>
      </c>
      <c r="I403" s="55"/>
      <c r="J403" s="55"/>
      <c r="K403" s="235">
        <v>76.22</v>
      </c>
      <c r="L403" s="10">
        <f t="shared" si="34"/>
        <v>7463.29000000001</v>
      </c>
      <c r="N403" s="150" t="s">
        <v>1654</v>
      </c>
    </row>
    <row r="404" spans="1:16">
      <c r="A404" s="203">
        <v>46200</v>
      </c>
      <c r="B404" s="164" t="s">
        <v>105</v>
      </c>
      <c r="C404" s="195">
        <v>0.71</v>
      </c>
      <c r="D404" s="195">
        <v>1</v>
      </c>
      <c r="E404" s="235">
        <v>123.541</v>
      </c>
      <c r="F404" s="10">
        <f t="shared" si="32"/>
        <v>124.7</v>
      </c>
      <c r="G404" s="10">
        <f t="shared" si="33"/>
        <v>-1.15900000000002</v>
      </c>
      <c r="H404" s="153">
        <v>0.750022186723465</v>
      </c>
      <c r="I404" s="55"/>
      <c r="J404" s="55"/>
      <c r="K404" s="235">
        <v>89.69</v>
      </c>
      <c r="L404" s="10">
        <f t="shared" si="34"/>
        <v>7373.60000000001</v>
      </c>
      <c r="N404" s="150" t="s">
        <v>1654</v>
      </c>
    </row>
    <row r="405" spans="1:16">
      <c r="A405" s="203">
        <v>46200</v>
      </c>
      <c r="B405" s="164" t="s">
        <v>54</v>
      </c>
      <c r="C405" s="195">
        <v>0.54</v>
      </c>
      <c r="D405" s="195">
        <v>1</v>
      </c>
      <c r="E405" s="235">
        <v>188.768</v>
      </c>
      <c r="F405" s="10">
        <f t="shared" si="32"/>
        <v>197.8</v>
      </c>
      <c r="G405" s="10">
        <f t="shared" si="33"/>
        <v>-9.03199999999998</v>
      </c>
      <c r="H405" s="153">
        <v>0.750022186723465</v>
      </c>
      <c r="I405" s="55"/>
      <c r="J405" s="55"/>
      <c r="K405" s="235">
        <v>141.57</v>
      </c>
      <c r="L405" s="10">
        <f t="shared" si="34"/>
        <v>7232.03000000001</v>
      </c>
      <c r="N405" s="150" t="s">
        <v>1654</v>
      </c>
    </row>
    <row r="406" spans="1:16">
      <c r="A406" s="203">
        <v>46200</v>
      </c>
      <c r="B406" s="164" t="s">
        <v>339</v>
      </c>
      <c r="C406" s="195">
        <v>0.63</v>
      </c>
      <c r="D406" s="195">
        <v>1</v>
      </c>
      <c r="E406" s="235">
        <v>160.128</v>
      </c>
      <c r="F406" s="10">
        <f t="shared" si="32"/>
        <v>159.1</v>
      </c>
      <c r="G406" s="10">
        <f t="shared" si="33"/>
        <v>1.02799999999999</v>
      </c>
      <c r="H406" s="153">
        <v>0.750022186723465</v>
      </c>
      <c r="I406" s="55"/>
      <c r="J406" s="55"/>
      <c r="K406" s="235">
        <v>120.1</v>
      </c>
      <c r="L406" s="10">
        <f t="shared" si="34"/>
        <v>7111.93000000001</v>
      </c>
      <c r="N406" s="150" t="s">
        <v>1654</v>
      </c>
    </row>
    <row r="407" spans="1:16">
      <c r="A407" s="203">
        <v>46200</v>
      </c>
      <c r="B407" s="164" t="s">
        <v>124</v>
      </c>
      <c r="C407" s="195">
        <v>0.76</v>
      </c>
      <c r="D407" s="195">
        <v>0.95</v>
      </c>
      <c r="E407" s="235">
        <v>82.464</v>
      </c>
      <c r="F407" s="10">
        <f t="shared" si="32"/>
        <v>81.7</v>
      </c>
      <c r="G407" s="10">
        <f t="shared" si="33"/>
        <v>0.764000000000024</v>
      </c>
      <c r="H407" s="153">
        <v>0.750022186723465</v>
      </c>
      <c r="I407" s="55"/>
      <c r="J407" s="55"/>
      <c r="K407" s="235">
        <v>61.85</v>
      </c>
      <c r="L407" s="10">
        <f t="shared" si="34"/>
        <v>7050.08000000001</v>
      </c>
      <c r="N407" s="150" t="s">
        <v>1654</v>
      </c>
    </row>
    <row r="408" spans="1:16">
      <c r="A408" s="203">
        <v>46200</v>
      </c>
      <c r="B408" s="164" t="s">
        <v>96</v>
      </c>
      <c r="C408" s="195">
        <v>0.28</v>
      </c>
      <c r="D408" s="195">
        <v>1</v>
      </c>
      <c r="E408" s="235">
        <v>342.486</v>
      </c>
      <c r="F408" s="10">
        <f t="shared" si="32"/>
        <v>309.6</v>
      </c>
      <c r="G408" s="10">
        <f t="shared" si="33"/>
        <v>32.886</v>
      </c>
      <c r="H408" s="153">
        <v>0.750022186723465</v>
      </c>
      <c r="I408" s="55"/>
      <c r="J408" s="55"/>
      <c r="K408" s="235">
        <v>248.65</v>
      </c>
      <c r="L408" s="10">
        <f t="shared" si="34"/>
        <v>6801.43000000001</v>
      </c>
      <c r="N408" s="150" t="s">
        <v>1654</v>
      </c>
    </row>
    <row r="409" spans="1:16">
      <c r="A409" s="203">
        <v>46200</v>
      </c>
      <c r="B409" s="164" t="s">
        <v>51</v>
      </c>
      <c r="C409" s="195">
        <v>0.3</v>
      </c>
      <c r="D409" s="195">
        <v>1</v>
      </c>
      <c r="E409" s="235">
        <v>290.861</v>
      </c>
      <c r="F409" s="10">
        <f t="shared" si="32"/>
        <v>301</v>
      </c>
      <c r="G409" s="10">
        <f t="shared" si="33"/>
        <v>-10.139</v>
      </c>
      <c r="H409" s="153">
        <v>0.750022186723465</v>
      </c>
      <c r="I409" s="55"/>
      <c r="J409" s="55"/>
      <c r="K409" s="235">
        <v>211.16</v>
      </c>
      <c r="L409" s="10">
        <f t="shared" si="34"/>
        <v>6590.27000000001</v>
      </c>
      <c r="N409" s="150" t="s">
        <v>1654</v>
      </c>
    </row>
    <row r="410" spans="1:16">
      <c r="A410" s="203">
        <v>46200</v>
      </c>
      <c r="B410" s="164" t="s">
        <v>201</v>
      </c>
      <c r="C410" s="195">
        <v>0.38</v>
      </c>
      <c r="D410" s="195">
        <v>1</v>
      </c>
      <c r="E410" s="235">
        <v>271.713</v>
      </c>
      <c r="F410" s="10">
        <f t="shared" si="32"/>
        <v>266.6</v>
      </c>
      <c r="G410" s="10">
        <f t="shared" si="33"/>
        <v>5.113</v>
      </c>
      <c r="H410" s="153">
        <v>0.750022186723465</v>
      </c>
      <c r="I410" s="55"/>
      <c r="J410" s="55"/>
      <c r="K410" s="235">
        <v>197.26</v>
      </c>
      <c r="L410" s="10">
        <f t="shared" si="34"/>
        <v>6393.01000000001</v>
      </c>
      <c r="N410" s="150" t="s">
        <v>1654</v>
      </c>
    </row>
    <row r="411" spans="1:16">
      <c r="A411" s="203">
        <v>46200</v>
      </c>
      <c r="B411" s="164" t="s">
        <v>69</v>
      </c>
      <c r="C411" s="195">
        <v>0.35</v>
      </c>
      <c r="D411" s="195">
        <v>1</v>
      </c>
      <c r="E411" s="235">
        <v>290.273</v>
      </c>
      <c r="F411" s="10">
        <f t="shared" si="32"/>
        <v>279.5</v>
      </c>
      <c r="G411" s="10">
        <f t="shared" si="33"/>
        <v>10.773</v>
      </c>
      <c r="H411" s="153">
        <v>0.750022186723465</v>
      </c>
      <c r="I411" s="55"/>
      <c r="J411" s="55"/>
      <c r="K411" s="235">
        <v>210.74</v>
      </c>
      <c r="L411" s="10">
        <f t="shared" si="34"/>
        <v>6182.27000000001</v>
      </c>
      <c r="N411" s="150" t="s">
        <v>1654</v>
      </c>
    </row>
    <row r="412" spans="1:16">
      <c r="A412" s="203">
        <v>46200</v>
      </c>
      <c r="B412" s="164" t="s">
        <v>189</v>
      </c>
      <c r="C412" s="195">
        <v>0.63</v>
      </c>
      <c r="D412" s="195">
        <v>1</v>
      </c>
      <c r="E412" s="235">
        <v>161.779</v>
      </c>
      <c r="F412" s="10">
        <f t="shared" si="32"/>
        <v>159.1</v>
      </c>
      <c r="G412" s="10">
        <f t="shared" si="33"/>
        <v>2.679</v>
      </c>
      <c r="H412" s="153">
        <v>0.750022186723465</v>
      </c>
      <c r="I412" s="55"/>
      <c r="J412" s="55"/>
      <c r="K412" s="235">
        <v>117.45</v>
      </c>
      <c r="L412" s="10">
        <f t="shared" si="34"/>
        <v>6064.82000000001</v>
      </c>
      <c r="N412" s="150" t="s">
        <v>1654</v>
      </c>
    </row>
    <row r="413" spans="1:16">
      <c r="A413" s="203">
        <v>46200</v>
      </c>
      <c r="B413" s="164" t="s">
        <v>135</v>
      </c>
      <c r="C413" s="195">
        <v>0.77</v>
      </c>
      <c r="D413" s="195">
        <v>1</v>
      </c>
      <c r="E413" s="235">
        <v>98.24</v>
      </c>
      <c r="F413" s="10">
        <f t="shared" si="32"/>
        <v>98.9</v>
      </c>
      <c r="G413" s="10">
        <f t="shared" si="33"/>
        <v>-0.659999999999997</v>
      </c>
      <c r="H413" s="153">
        <v>0.750022186723465</v>
      </c>
      <c r="I413" s="55"/>
      <c r="J413" s="55"/>
      <c r="K413" s="235">
        <v>73.68</v>
      </c>
      <c r="L413" s="10">
        <f t="shared" si="34"/>
        <v>5991.14000000001</v>
      </c>
      <c r="N413" s="150" t="s">
        <v>1654</v>
      </c>
    </row>
    <row r="414" spans="1:16">
      <c r="A414" s="203">
        <v>46200</v>
      </c>
      <c r="B414" s="164" t="s">
        <v>63</v>
      </c>
      <c r="C414" s="195">
        <v>0.39</v>
      </c>
      <c r="D414" s="195">
        <v>1</v>
      </c>
      <c r="E414" s="235">
        <v>283.321</v>
      </c>
      <c r="F414" s="10">
        <f t="shared" si="32"/>
        <v>262.3</v>
      </c>
      <c r="G414" s="10">
        <f t="shared" si="33"/>
        <v>21.021</v>
      </c>
      <c r="H414" s="153">
        <v>0.750022186723465</v>
      </c>
      <c r="I414" s="55"/>
      <c r="J414" s="55"/>
      <c r="K414" s="235">
        <v>184.16</v>
      </c>
      <c r="L414" s="10">
        <f t="shared" si="34"/>
        <v>5806.98000000001</v>
      </c>
      <c r="N414" s="150" t="s">
        <v>1654</v>
      </c>
    </row>
    <row r="415" spans="1:16">
      <c r="A415" s="203">
        <v>46200</v>
      </c>
      <c r="B415" s="164" t="s">
        <v>198</v>
      </c>
      <c r="C415" s="195">
        <v>0.53</v>
      </c>
      <c r="D415" s="195">
        <v>1</v>
      </c>
      <c r="E415" s="235">
        <v>208.104</v>
      </c>
      <c r="F415" s="10">
        <f t="shared" si="32"/>
        <v>202.1</v>
      </c>
      <c r="G415" s="10">
        <f t="shared" si="33"/>
        <v>6.00400000000002</v>
      </c>
      <c r="H415" s="153">
        <v>0.750022186723465</v>
      </c>
      <c r="I415" s="55"/>
      <c r="J415" s="55"/>
      <c r="K415" s="235">
        <v>151.09</v>
      </c>
      <c r="L415" s="10">
        <f t="shared" si="34"/>
        <v>5655.89000000001</v>
      </c>
      <c r="N415" s="150" t="s">
        <v>1654</v>
      </c>
    </row>
    <row r="416" spans="1:16">
      <c r="A416" s="203">
        <v>46200</v>
      </c>
      <c r="B416" s="164" t="s">
        <v>127</v>
      </c>
      <c r="C416" s="195">
        <v>0.32</v>
      </c>
      <c r="D416" s="195">
        <v>0.32</v>
      </c>
      <c r="E416" s="235">
        <v>0.128</v>
      </c>
      <c r="F416" s="10">
        <f t="shared" si="32"/>
        <v>0</v>
      </c>
      <c r="G416" s="10">
        <f t="shared" si="33"/>
        <v>0.128</v>
      </c>
      <c r="H416" s="153">
        <v>0.750022186723465</v>
      </c>
      <c r="I416" s="55"/>
      <c r="J416" s="55"/>
      <c r="K416" s="235">
        <v>0.1</v>
      </c>
      <c r="L416" s="10">
        <f t="shared" si="34"/>
        <v>5655.79000000001</v>
      </c>
      <c r="N416" s="150" t="s">
        <v>1654</v>
      </c>
      <c r="O416" s="144" t="str">
        <f>MIN(MAX(C416,0),100)&amp;"%"</f>
        <v>0.32%</v>
      </c>
      <c r="P416" s="144" t="str">
        <f>MIN(MAX(D416,0),100)&amp;"%"</f>
        <v>0.32%</v>
      </c>
    </row>
  </sheetData>
  <autoFilter xmlns:etc="http://www.wps.cn/officeDocument/2017/etCustomData" ref="A1:O416" etc:filterBottomFollowUsedRange="0">
    <sortState ref="A1:O416">
      <sortCondition ref="A1"/>
    </sortState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7"/>
  <sheetViews>
    <sheetView workbookViewId="0">
      <pane ySplit="1" topLeftCell="A222" activePane="bottomLeft" state="frozen"/>
      <selection/>
      <selection pane="bottomLeft" activeCell="P256" sqref="P256"/>
    </sheetView>
  </sheetViews>
  <sheetFormatPr defaultColWidth="9" defaultRowHeight="13.5"/>
  <cols>
    <col min="1" max="1" width="10.875" style="144" customWidth="1"/>
    <col min="2" max="2" width="13.875" style="144" customWidth="1"/>
    <col min="3" max="4" width="9" style="144"/>
    <col min="5" max="5" width="9.25" style="144"/>
    <col min="6" max="6" width="9" style="144"/>
    <col min="7" max="7" width="12.875" style="144"/>
    <col min="8" max="8" width="12.625" style="146"/>
    <col min="9" max="9" width="9.375" style="144"/>
    <col min="10" max="10" width="9" style="144"/>
    <col min="11" max="11" width="9.375" style="144"/>
    <col min="12" max="13" width="13.75" style="144" customWidth="1"/>
    <col min="14" max="14" width="9" style="144"/>
    <col min="15" max="15" width="20.125" style="144" customWidth="1"/>
    <col min="16" max="16" width="17.75" style="144" customWidth="1"/>
    <col min="17" max="16384" width="9" style="144"/>
  </cols>
  <sheetData>
    <row r="1" s="144" customFormat="1" ht="27" spans="1:16">
      <c r="A1" s="291" t="s">
        <v>335</v>
      </c>
      <c r="B1" s="291" t="s">
        <v>3</v>
      </c>
      <c r="C1" s="292" t="s">
        <v>1581</v>
      </c>
      <c r="D1" s="292" t="s">
        <v>1582</v>
      </c>
      <c r="E1" s="293" t="s">
        <v>1583</v>
      </c>
      <c r="F1" s="291" t="s">
        <v>1584</v>
      </c>
      <c r="G1" s="291" t="s">
        <v>1585</v>
      </c>
      <c r="H1" s="293" t="s">
        <v>1588</v>
      </c>
      <c r="I1" s="293" t="s">
        <v>1604</v>
      </c>
      <c r="J1" s="293" t="s">
        <v>1655</v>
      </c>
      <c r="K1" s="293" t="s">
        <v>1605</v>
      </c>
      <c r="L1" s="293" t="s">
        <v>1589</v>
      </c>
      <c r="M1" s="293" t="s">
        <v>1606</v>
      </c>
      <c r="N1" s="291" t="s">
        <v>1607</v>
      </c>
      <c r="O1" s="291" t="s">
        <v>1590</v>
      </c>
      <c r="P1" s="291" t="s">
        <v>352</v>
      </c>
    </row>
    <row r="2" spans="1:16">
      <c r="A2" s="294">
        <v>46174</v>
      </c>
      <c r="K2" s="144">
        <v>5000</v>
      </c>
      <c r="M2" s="144">
        <v>12662.75</v>
      </c>
      <c r="O2" s="144" t="s">
        <v>1656</v>
      </c>
    </row>
    <row r="3" spans="1:16">
      <c r="A3" s="295">
        <v>46174</v>
      </c>
      <c r="B3" s="296" t="s">
        <v>69</v>
      </c>
      <c r="C3" s="158">
        <v>0.16</v>
      </c>
      <c r="D3" s="158">
        <v>0.76</v>
      </c>
      <c r="E3" s="297">
        <v>278.506</v>
      </c>
      <c r="F3" s="105">
        <f t="shared" ref="F3:F66" si="0">(D3-C3)*430</f>
        <v>258</v>
      </c>
      <c r="G3" s="170">
        <f t="shared" ref="G3:G66" si="1">E3-F3</f>
        <v>20.506</v>
      </c>
      <c r="H3" s="211">
        <f t="shared" ref="H3:H66" si="2">L3/E3</f>
        <v>0.879981041701077</v>
      </c>
      <c r="I3" s="160"/>
      <c r="J3" s="105"/>
      <c r="K3" s="105"/>
      <c r="L3" s="297">
        <v>245.08</v>
      </c>
      <c r="M3" s="297">
        <f t="shared" ref="M3:M66" si="3">M2+K3-L3</f>
        <v>12417.67</v>
      </c>
      <c r="N3" s="117"/>
      <c r="O3" s="117"/>
      <c r="P3" s="298" t="s">
        <v>1656</v>
      </c>
    </row>
    <row r="4" spans="1:16">
      <c r="A4" s="295">
        <v>46175</v>
      </c>
      <c r="B4" s="296" t="s">
        <v>172</v>
      </c>
      <c r="C4" s="158">
        <v>0</v>
      </c>
      <c r="D4" s="158">
        <v>0.38</v>
      </c>
      <c r="E4" s="297">
        <v>0</v>
      </c>
      <c r="F4" s="105">
        <f t="shared" si="0"/>
        <v>163.4</v>
      </c>
      <c r="G4" s="105">
        <f t="shared" si="1"/>
        <v>-163.4</v>
      </c>
      <c r="H4" s="211" t="e">
        <f t="shared" si="2"/>
        <v>#DIV/0!</v>
      </c>
      <c r="I4" s="160"/>
      <c r="J4" s="105"/>
      <c r="K4" s="105"/>
      <c r="L4" s="297">
        <v>0</v>
      </c>
      <c r="M4" s="297">
        <f t="shared" si="3"/>
        <v>12417.67</v>
      </c>
      <c r="N4" s="117"/>
      <c r="O4" s="117"/>
      <c r="P4" s="298" t="s">
        <v>1656</v>
      </c>
    </row>
    <row r="5" spans="1:16">
      <c r="A5" s="295">
        <v>46175</v>
      </c>
      <c r="B5" s="296" t="s">
        <v>172</v>
      </c>
      <c r="C5" s="158">
        <v>0</v>
      </c>
      <c r="D5" s="158">
        <v>0.38</v>
      </c>
      <c r="E5" s="297">
        <v>0</v>
      </c>
      <c r="F5" s="105">
        <f t="shared" si="0"/>
        <v>163.4</v>
      </c>
      <c r="G5" s="105">
        <f t="shared" si="1"/>
        <v>-163.4</v>
      </c>
      <c r="H5" s="211" t="e">
        <f t="shared" si="2"/>
        <v>#DIV/0!</v>
      </c>
      <c r="I5" s="160"/>
      <c r="J5" s="105"/>
      <c r="K5" s="105"/>
      <c r="L5" s="297">
        <v>0</v>
      </c>
      <c r="M5" s="297">
        <f t="shared" si="3"/>
        <v>12417.67</v>
      </c>
      <c r="N5" s="117"/>
      <c r="O5" s="117"/>
      <c r="P5" s="298" t="s">
        <v>1656</v>
      </c>
    </row>
    <row r="6" spans="1:16">
      <c r="A6" s="295">
        <v>46175</v>
      </c>
      <c r="B6" s="296" t="s">
        <v>172</v>
      </c>
      <c r="C6" s="158">
        <v>0.39</v>
      </c>
      <c r="D6" s="158">
        <v>1</v>
      </c>
      <c r="E6" s="297">
        <v>261.929</v>
      </c>
      <c r="F6" s="105">
        <f t="shared" si="0"/>
        <v>262.3</v>
      </c>
      <c r="G6" s="105">
        <f t="shared" si="1"/>
        <v>-0.371000000000038</v>
      </c>
      <c r="H6" s="211">
        <f t="shared" si="2"/>
        <v>0.879933111644759</v>
      </c>
      <c r="I6" s="160"/>
      <c r="J6" s="105"/>
      <c r="K6" s="105"/>
      <c r="L6" s="297">
        <v>230.48</v>
      </c>
      <c r="M6" s="297">
        <f t="shared" si="3"/>
        <v>12187.19</v>
      </c>
      <c r="N6" s="117"/>
      <c r="O6" s="117"/>
      <c r="P6" s="298" t="s">
        <v>1656</v>
      </c>
    </row>
    <row r="7" spans="1:16">
      <c r="A7" s="295">
        <v>46175</v>
      </c>
      <c r="B7" s="296" t="s">
        <v>75</v>
      </c>
      <c r="C7" s="158">
        <v>0.14</v>
      </c>
      <c r="D7" s="158">
        <v>1</v>
      </c>
      <c r="E7" s="297">
        <v>391.821</v>
      </c>
      <c r="F7" s="105">
        <f t="shared" si="0"/>
        <v>369.8</v>
      </c>
      <c r="G7" s="170">
        <f t="shared" si="1"/>
        <v>22.021</v>
      </c>
      <c r="H7" s="211">
        <f t="shared" si="2"/>
        <v>0.879968148720972</v>
      </c>
      <c r="I7" s="160"/>
      <c r="J7" s="105"/>
      <c r="K7" s="105"/>
      <c r="L7" s="297">
        <v>344.79</v>
      </c>
      <c r="M7" s="297">
        <f t="shared" si="3"/>
        <v>11842.4</v>
      </c>
      <c r="N7" s="117"/>
      <c r="O7" s="117"/>
      <c r="P7" s="298" t="s">
        <v>1656</v>
      </c>
    </row>
    <row r="8" spans="1:16">
      <c r="A8" s="295">
        <v>46176</v>
      </c>
      <c r="B8" s="296" t="s">
        <v>72</v>
      </c>
      <c r="C8" s="158">
        <v>0.91</v>
      </c>
      <c r="D8" s="158">
        <v>1</v>
      </c>
      <c r="E8" s="297">
        <v>38.114</v>
      </c>
      <c r="F8" s="105">
        <f t="shared" si="0"/>
        <v>38.7</v>
      </c>
      <c r="G8" s="105">
        <f t="shared" si="1"/>
        <v>-0.585999999999991</v>
      </c>
      <c r="H8" s="211">
        <f t="shared" si="2"/>
        <v>0.879729233352574</v>
      </c>
      <c r="I8" s="160"/>
      <c r="J8" s="105"/>
      <c r="K8" s="105"/>
      <c r="L8" s="297">
        <v>33.53</v>
      </c>
      <c r="M8" s="297">
        <f t="shared" si="3"/>
        <v>11808.87</v>
      </c>
      <c r="N8" s="117"/>
      <c r="O8" s="117"/>
      <c r="P8" s="298" t="s">
        <v>1656</v>
      </c>
    </row>
    <row r="9" spans="1:16">
      <c r="A9" s="295">
        <v>46176</v>
      </c>
      <c r="B9" s="296" t="s">
        <v>63</v>
      </c>
      <c r="C9" s="158">
        <v>0.95</v>
      </c>
      <c r="D9" s="158">
        <v>1</v>
      </c>
      <c r="E9" s="297">
        <v>21.186</v>
      </c>
      <c r="F9" s="105">
        <f t="shared" si="0"/>
        <v>21.5</v>
      </c>
      <c r="G9" s="105">
        <f t="shared" si="1"/>
        <v>-0.314000000000018</v>
      </c>
      <c r="H9" s="211">
        <f t="shared" si="2"/>
        <v>0.879354290569244</v>
      </c>
      <c r="I9" s="160"/>
      <c r="J9" s="105"/>
      <c r="K9" s="105"/>
      <c r="L9" s="297">
        <v>18.63</v>
      </c>
      <c r="M9" s="297">
        <f t="shared" si="3"/>
        <v>11790.24</v>
      </c>
      <c r="N9" s="117"/>
      <c r="O9" s="117"/>
      <c r="P9" s="298" t="s">
        <v>1656</v>
      </c>
    </row>
    <row r="10" spans="1:16">
      <c r="A10" s="295">
        <v>46176</v>
      </c>
      <c r="B10" s="296" t="s">
        <v>93</v>
      </c>
      <c r="C10" s="158">
        <v>0.92</v>
      </c>
      <c r="D10" s="158">
        <v>1</v>
      </c>
      <c r="E10" s="297">
        <v>35.685</v>
      </c>
      <c r="F10" s="105">
        <f t="shared" si="0"/>
        <v>34.4</v>
      </c>
      <c r="G10" s="105">
        <f t="shared" si="1"/>
        <v>1.28500000000002</v>
      </c>
      <c r="H10" s="211">
        <f t="shared" si="2"/>
        <v>0.879641305870814</v>
      </c>
      <c r="I10" s="160"/>
      <c r="J10" s="105"/>
      <c r="K10" s="105"/>
      <c r="L10" s="297">
        <v>31.39</v>
      </c>
      <c r="M10" s="297">
        <f t="shared" si="3"/>
        <v>11758.85</v>
      </c>
      <c r="N10" s="117"/>
      <c r="O10" s="117"/>
      <c r="P10" s="298" t="s">
        <v>1656</v>
      </c>
    </row>
    <row r="11" spans="1:16">
      <c r="A11" s="295">
        <v>46176</v>
      </c>
      <c r="B11" s="296" t="s">
        <v>99</v>
      </c>
      <c r="C11" s="158">
        <v>0.91</v>
      </c>
      <c r="D11" s="158">
        <v>1</v>
      </c>
      <c r="E11" s="297">
        <v>37.295</v>
      </c>
      <c r="F11" s="105">
        <f t="shared" si="0"/>
        <v>38.7</v>
      </c>
      <c r="G11" s="105">
        <f t="shared" si="1"/>
        <v>-1.40499999999999</v>
      </c>
      <c r="H11" s="211">
        <f t="shared" si="2"/>
        <v>0.879742592840863</v>
      </c>
      <c r="I11" s="160"/>
      <c r="J11" s="105"/>
      <c r="K11" s="105"/>
      <c r="L11" s="297">
        <v>32.81</v>
      </c>
      <c r="M11" s="297">
        <f t="shared" si="3"/>
        <v>11726.04</v>
      </c>
      <c r="N11" s="117"/>
      <c r="O11" s="117"/>
      <c r="P11" s="298" t="s">
        <v>1656</v>
      </c>
    </row>
    <row r="12" spans="1:16">
      <c r="A12" s="295">
        <v>46176</v>
      </c>
      <c r="B12" s="296" t="s">
        <v>108</v>
      </c>
      <c r="C12" s="158">
        <v>0.49</v>
      </c>
      <c r="D12" s="158">
        <v>1</v>
      </c>
      <c r="E12" s="297">
        <v>245.253</v>
      </c>
      <c r="F12" s="105">
        <f t="shared" si="0"/>
        <v>219.3</v>
      </c>
      <c r="G12" s="170">
        <f t="shared" si="1"/>
        <v>25.953</v>
      </c>
      <c r="H12" s="211">
        <f t="shared" si="2"/>
        <v>0.879948461384774</v>
      </c>
      <c r="I12" s="160"/>
      <c r="J12" s="105"/>
      <c r="K12" s="105"/>
      <c r="L12" s="297">
        <v>215.81</v>
      </c>
      <c r="M12" s="297">
        <f t="shared" si="3"/>
        <v>11510.23</v>
      </c>
      <c r="N12" s="117"/>
      <c r="O12" s="117"/>
      <c r="P12" s="298" t="s">
        <v>1656</v>
      </c>
    </row>
    <row r="13" spans="1:16">
      <c r="A13" s="295">
        <v>46176</v>
      </c>
      <c r="B13" s="296" t="s">
        <v>138</v>
      </c>
      <c r="C13" s="158">
        <v>0.27</v>
      </c>
      <c r="D13" s="158">
        <v>0.97</v>
      </c>
      <c r="E13" s="297">
        <v>305.962</v>
      </c>
      <c r="F13" s="105">
        <f t="shared" si="0"/>
        <v>301</v>
      </c>
      <c r="G13" s="105">
        <f t="shared" si="1"/>
        <v>4.96199999999999</v>
      </c>
      <c r="H13" s="211">
        <f t="shared" si="2"/>
        <v>0.879945875631615</v>
      </c>
      <c r="I13" s="160"/>
      <c r="J13" s="105"/>
      <c r="K13" s="105"/>
      <c r="L13" s="297">
        <v>269.23</v>
      </c>
      <c r="M13" s="297">
        <f t="shared" si="3"/>
        <v>11241</v>
      </c>
      <c r="N13" s="117"/>
      <c r="O13" s="117"/>
      <c r="P13" s="298" t="s">
        <v>1656</v>
      </c>
    </row>
    <row r="14" spans="1:16">
      <c r="A14" s="299">
        <v>46177</v>
      </c>
      <c r="B14" s="300" t="s">
        <v>51</v>
      </c>
      <c r="C14" s="301">
        <v>0</v>
      </c>
      <c r="D14" s="301">
        <v>0.3</v>
      </c>
      <c r="E14" s="302">
        <v>0.711</v>
      </c>
      <c r="F14" s="105">
        <f t="shared" si="0"/>
        <v>129</v>
      </c>
      <c r="G14" s="105">
        <f t="shared" si="1"/>
        <v>-128.289</v>
      </c>
      <c r="H14" s="211">
        <f t="shared" si="2"/>
        <v>0.857946554149086</v>
      </c>
      <c r="I14" s="160"/>
      <c r="J14" s="105"/>
      <c r="K14" s="105"/>
      <c r="L14" s="302">
        <v>0.61</v>
      </c>
      <c r="M14" s="297">
        <f t="shared" si="3"/>
        <v>11240.39</v>
      </c>
      <c r="N14" s="117"/>
      <c r="O14" s="117"/>
      <c r="P14" s="298" t="s">
        <v>1656</v>
      </c>
    </row>
    <row r="15" spans="1:16">
      <c r="A15" s="295">
        <v>46177</v>
      </c>
      <c r="B15" s="296" t="s">
        <v>51</v>
      </c>
      <c r="C15" s="301">
        <v>0.3</v>
      </c>
      <c r="D15" s="301">
        <v>1</v>
      </c>
      <c r="E15" s="297">
        <v>289.977</v>
      </c>
      <c r="F15" s="105">
        <f t="shared" si="0"/>
        <v>301</v>
      </c>
      <c r="G15" s="105">
        <f t="shared" si="1"/>
        <v>-11.023</v>
      </c>
      <c r="H15" s="211">
        <f t="shared" si="2"/>
        <v>0.879966342158171</v>
      </c>
      <c r="I15" s="160"/>
      <c r="J15" s="105"/>
      <c r="K15" s="105"/>
      <c r="L15" s="297">
        <v>255.17</v>
      </c>
      <c r="M15" s="297">
        <f t="shared" si="3"/>
        <v>10985.22</v>
      </c>
      <c r="N15" s="117"/>
      <c r="O15" s="117"/>
      <c r="P15" s="298" t="s">
        <v>1656</v>
      </c>
    </row>
    <row r="16" spans="1:16">
      <c r="A16" s="295">
        <v>46177</v>
      </c>
      <c r="B16" s="296" t="s">
        <v>141</v>
      </c>
      <c r="C16" s="301">
        <v>0.31</v>
      </c>
      <c r="D16" s="301">
        <v>1</v>
      </c>
      <c r="E16" s="297">
        <v>304.523</v>
      </c>
      <c r="F16" s="105">
        <f t="shared" si="0"/>
        <v>296.7</v>
      </c>
      <c r="G16" s="105">
        <f t="shared" si="1"/>
        <v>7.82300000000004</v>
      </c>
      <c r="H16" s="211">
        <f t="shared" si="2"/>
        <v>0.879966373640086</v>
      </c>
      <c r="I16" s="160"/>
      <c r="J16" s="105"/>
      <c r="K16" s="105"/>
      <c r="L16" s="297">
        <v>267.97</v>
      </c>
      <c r="M16" s="297">
        <f t="shared" si="3"/>
        <v>10717.25</v>
      </c>
      <c r="N16" s="117"/>
      <c r="O16" s="117"/>
      <c r="P16" s="298" t="s">
        <v>1656</v>
      </c>
    </row>
    <row r="17" spans="1:16">
      <c r="A17" s="295">
        <v>46177</v>
      </c>
      <c r="B17" s="296" t="s">
        <v>54</v>
      </c>
      <c r="C17" s="301">
        <v>0.37</v>
      </c>
      <c r="D17" s="301">
        <v>0.38</v>
      </c>
      <c r="E17" s="297">
        <v>2.853</v>
      </c>
      <c r="F17" s="105">
        <f t="shared" si="0"/>
        <v>4.3</v>
      </c>
      <c r="G17" s="105">
        <f t="shared" si="1"/>
        <v>-1.447</v>
      </c>
      <c r="H17" s="211">
        <f t="shared" si="2"/>
        <v>0.87627059235892</v>
      </c>
      <c r="I17" s="160"/>
      <c r="J17" s="105"/>
      <c r="K17" s="105"/>
      <c r="L17" s="297">
        <v>2.5</v>
      </c>
      <c r="M17" s="297">
        <f t="shared" si="3"/>
        <v>10714.75</v>
      </c>
      <c r="N17" s="117"/>
      <c r="O17" s="117"/>
      <c r="P17" s="298" t="s">
        <v>1656</v>
      </c>
    </row>
    <row r="18" spans="1:16">
      <c r="A18" s="295">
        <v>46177</v>
      </c>
      <c r="B18" s="296" t="s">
        <v>54</v>
      </c>
      <c r="C18" s="301">
        <v>0.38</v>
      </c>
      <c r="D18" s="301">
        <v>1</v>
      </c>
      <c r="E18" s="297">
        <v>259.306</v>
      </c>
      <c r="F18" s="105">
        <f t="shared" si="0"/>
        <v>266.6</v>
      </c>
      <c r="G18" s="105">
        <f t="shared" si="1"/>
        <v>-7.29400000000004</v>
      </c>
      <c r="H18" s="211">
        <f t="shared" si="2"/>
        <v>0.879964212166321</v>
      </c>
      <c r="I18" s="160"/>
      <c r="J18" s="105"/>
      <c r="K18" s="105"/>
      <c r="L18" s="297">
        <v>228.18</v>
      </c>
      <c r="M18" s="297">
        <f t="shared" si="3"/>
        <v>10486.57</v>
      </c>
      <c r="N18" s="117"/>
      <c r="O18" s="117"/>
      <c r="P18" s="298" t="s">
        <v>1656</v>
      </c>
    </row>
    <row r="19" spans="1:16">
      <c r="A19" s="295">
        <v>46178</v>
      </c>
      <c r="B19" s="296" t="s">
        <v>151</v>
      </c>
      <c r="C19" s="301">
        <v>0.34</v>
      </c>
      <c r="D19" s="301">
        <v>1</v>
      </c>
      <c r="E19" s="297">
        <v>290.946</v>
      </c>
      <c r="F19" s="105">
        <f t="shared" si="0"/>
        <v>283.8</v>
      </c>
      <c r="G19" s="105">
        <f t="shared" si="1"/>
        <v>7.14600000000007</v>
      </c>
      <c r="H19" s="211">
        <f t="shared" si="2"/>
        <v>0.879991476081472</v>
      </c>
      <c r="I19" s="160"/>
      <c r="J19" s="105"/>
      <c r="K19" s="105">
        <v>10000</v>
      </c>
      <c r="L19" s="297">
        <v>256.03</v>
      </c>
      <c r="M19" s="297">
        <f t="shared" si="3"/>
        <v>20230.54</v>
      </c>
      <c r="N19" s="117"/>
      <c r="O19" s="117"/>
      <c r="P19" s="298" t="s">
        <v>1656</v>
      </c>
    </row>
    <row r="20" spans="1:16">
      <c r="A20" s="295">
        <v>46178</v>
      </c>
      <c r="B20" s="296" t="s">
        <v>72</v>
      </c>
      <c r="C20" s="301">
        <v>0.94</v>
      </c>
      <c r="D20" s="301">
        <v>1</v>
      </c>
      <c r="E20" s="297">
        <v>25.724</v>
      </c>
      <c r="F20" s="105">
        <f t="shared" si="0"/>
        <v>25.8</v>
      </c>
      <c r="G20" s="105">
        <f t="shared" si="1"/>
        <v>-0.0760000000000218</v>
      </c>
      <c r="H20" s="211">
        <f t="shared" si="2"/>
        <v>0.87933447364329</v>
      </c>
      <c r="I20" s="160"/>
      <c r="J20" s="105"/>
      <c r="K20" s="105"/>
      <c r="L20" s="297">
        <v>22.62</v>
      </c>
      <c r="M20" s="297">
        <f t="shared" si="3"/>
        <v>20207.92</v>
      </c>
      <c r="N20" s="117"/>
      <c r="O20" s="117"/>
      <c r="P20" s="298" t="s">
        <v>1656</v>
      </c>
    </row>
    <row r="21" spans="1:16">
      <c r="A21" s="295">
        <v>46178</v>
      </c>
      <c r="B21" s="296" t="s">
        <v>148</v>
      </c>
      <c r="C21" s="301">
        <v>0.33</v>
      </c>
      <c r="D21" s="301">
        <v>1</v>
      </c>
      <c r="E21" s="297">
        <v>298.727</v>
      </c>
      <c r="F21" s="105">
        <f t="shared" si="0"/>
        <v>288.1</v>
      </c>
      <c r="G21" s="105">
        <f t="shared" si="1"/>
        <v>10.627</v>
      </c>
      <c r="H21" s="211">
        <f t="shared" si="2"/>
        <v>0.879967328028601</v>
      </c>
      <c r="I21" s="160"/>
      <c r="J21" s="105"/>
      <c r="K21" s="105"/>
      <c r="L21" s="297">
        <v>262.87</v>
      </c>
      <c r="M21" s="297">
        <f t="shared" si="3"/>
        <v>19945.05</v>
      </c>
      <c r="N21" s="117"/>
      <c r="O21" s="117"/>
      <c r="P21" s="298" t="s">
        <v>1656</v>
      </c>
    </row>
    <row r="22" spans="1:16">
      <c r="A22" s="295">
        <v>46178</v>
      </c>
      <c r="B22" s="296" t="s">
        <v>99</v>
      </c>
      <c r="C22" s="301">
        <v>0.92</v>
      </c>
      <c r="D22" s="301">
        <v>1</v>
      </c>
      <c r="E22" s="297">
        <v>37.215</v>
      </c>
      <c r="F22" s="105">
        <f t="shared" si="0"/>
        <v>34.4</v>
      </c>
      <c r="G22" s="105">
        <f t="shared" si="1"/>
        <v>2.81500000000002</v>
      </c>
      <c r="H22" s="211">
        <f t="shared" si="2"/>
        <v>0.879484079000403</v>
      </c>
      <c r="I22" s="160"/>
      <c r="J22" s="105"/>
      <c r="K22" s="105"/>
      <c r="L22" s="297">
        <v>32.73</v>
      </c>
      <c r="M22" s="297">
        <f t="shared" si="3"/>
        <v>19912.32</v>
      </c>
      <c r="N22" s="117"/>
      <c r="O22" s="117"/>
      <c r="P22" s="298" t="s">
        <v>1656</v>
      </c>
    </row>
    <row r="23" spans="1:16">
      <c r="A23" s="295">
        <v>46178</v>
      </c>
      <c r="B23" s="296" t="s">
        <v>66</v>
      </c>
      <c r="C23" s="301">
        <v>0.91</v>
      </c>
      <c r="D23" s="301">
        <v>1</v>
      </c>
      <c r="E23" s="297">
        <v>36.971</v>
      </c>
      <c r="F23" s="105">
        <f t="shared" si="0"/>
        <v>38.7</v>
      </c>
      <c r="G23" s="105">
        <f t="shared" si="1"/>
        <v>-1.72899999999999</v>
      </c>
      <c r="H23" s="211">
        <f t="shared" si="2"/>
        <v>0.879608341673203</v>
      </c>
      <c r="I23" s="160"/>
      <c r="J23" s="105"/>
      <c r="K23" s="105"/>
      <c r="L23" s="297">
        <v>32.52</v>
      </c>
      <c r="M23" s="297">
        <f t="shared" si="3"/>
        <v>19879.8</v>
      </c>
      <c r="N23" s="117"/>
      <c r="O23" s="117"/>
      <c r="P23" s="298" t="s">
        <v>1656</v>
      </c>
    </row>
    <row r="24" spans="1:16">
      <c r="A24" s="295">
        <v>46178</v>
      </c>
      <c r="B24" s="296" t="s">
        <v>163</v>
      </c>
      <c r="C24" s="301">
        <v>0.26</v>
      </c>
      <c r="D24" s="301">
        <v>0.99</v>
      </c>
      <c r="E24" s="297">
        <v>326.523</v>
      </c>
      <c r="F24" s="105">
        <f t="shared" si="0"/>
        <v>313.9</v>
      </c>
      <c r="G24" s="105">
        <f t="shared" si="1"/>
        <v>12.623</v>
      </c>
      <c r="H24" s="211">
        <f t="shared" si="2"/>
        <v>0.879968639268903</v>
      </c>
      <c r="I24" s="160"/>
      <c r="J24" s="105"/>
      <c r="K24" s="105"/>
      <c r="L24" s="297">
        <v>287.33</v>
      </c>
      <c r="M24" s="297">
        <f t="shared" si="3"/>
        <v>19592.47</v>
      </c>
      <c r="N24" s="117"/>
      <c r="O24" s="117"/>
      <c r="P24" s="298" t="s">
        <v>1656</v>
      </c>
    </row>
    <row r="25" spans="1:16">
      <c r="A25" s="295">
        <v>46178</v>
      </c>
      <c r="B25" s="296" t="s">
        <v>338</v>
      </c>
      <c r="C25" s="301">
        <v>0.28</v>
      </c>
      <c r="D25" s="301">
        <v>0.99</v>
      </c>
      <c r="E25" s="297">
        <v>317.4</v>
      </c>
      <c r="F25" s="105">
        <f t="shared" si="0"/>
        <v>305.3</v>
      </c>
      <c r="G25" s="105">
        <f t="shared" si="1"/>
        <v>12.1</v>
      </c>
      <c r="H25" s="211">
        <f t="shared" si="2"/>
        <v>0.879993698802773</v>
      </c>
      <c r="I25" s="160"/>
      <c r="J25" s="105"/>
      <c r="K25" s="105"/>
      <c r="L25" s="297">
        <v>279.31</v>
      </c>
      <c r="M25" s="297">
        <f t="shared" si="3"/>
        <v>19313.16</v>
      </c>
      <c r="N25" s="117"/>
      <c r="O25" s="117"/>
      <c r="P25" s="298" t="s">
        <v>1656</v>
      </c>
    </row>
    <row r="26" spans="1:16">
      <c r="A26" s="295">
        <v>46178</v>
      </c>
      <c r="B26" s="296" t="s">
        <v>154</v>
      </c>
      <c r="C26" s="301">
        <v>0.25</v>
      </c>
      <c r="D26" s="301">
        <v>0.39</v>
      </c>
      <c r="E26" s="297">
        <v>66.676</v>
      </c>
      <c r="F26" s="105">
        <f t="shared" si="0"/>
        <v>60.2</v>
      </c>
      <c r="G26" s="105">
        <f t="shared" si="1"/>
        <v>6.476</v>
      </c>
      <c r="H26" s="211">
        <f t="shared" si="2"/>
        <v>0.879776831243626</v>
      </c>
      <c r="I26" s="160"/>
      <c r="J26" s="105"/>
      <c r="K26" s="105"/>
      <c r="L26" s="297">
        <v>58.66</v>
      </c>
      <c r="M26" s="297">
        <f t="shared" si="3"/>
        <v>19254.5</v>
      </c>
      <c r="N26" s="117"/>
      <c r="O26" s="117"/>
      <c r="P26" s="298" t="s">
        <v>1656</v>
      </c>
    </row>
    <row r="27" spans="1:16">
      <c r="A27" s="295">
        <v>46178</v>
      </c>
      <c r="B27" s="296" t="s">
        <v>160</v>
      </c>
      <c r="C27" s="301">
        <v>0.23</v>
      </c>
      <c r="D27" s="301">
        <v>1</v>
      </c>
      <c r="E27" s="297">
        <v>340.434</v>
      </c>
      <c r="F27" s="105">
        <f t="shared" si="0"/>
        <v>331.1</v>
      </c>
      <c r="G27" s="105">
        <f t="shared" si="1"/>
        <v>9.334</v>
      </c>
      <c r="H27" s="211">
        <f t="shared" si="2"/>
        <v>0.879994360140291</v>
      </c>
      <c r="I27" s="160"/>
      <c r="J27" s="105"/>
      <c r="K27" s="105"/>
      <c r="L27" s="297">
        <v>299.58</v>
      </c>
      <c r="M27" s="297">
        <f t="shared" si="3"/>
        <v>18954.92</v>
      </c>
      <c r="N27" s="117"/>
      <c r="O27" s="117"/>
      <c r="P27" s="298" t="s">
        <v>1656</v>
      </c>
    </row>
    <row r="28" spans="1:16">
      <c r="A28" s="295">
        <v>46178</v>
      </c>
      <c r="B28" s="296" t="s">
        <v>154</v>
      </c>
      <c r="C28" s="301">
        <v>0.4</v>
      </c>
      <c r="D28" s="301">
        <v>0.99</v>
      </c>
      <c r="E28" s="297">
        <v>262.311</v>
      </c>
      <c r="F28" s="105">
        <f t="shared" si="0"/>
        <v>253.7</v>
      </c>
      <c r="G28" s="105">
        <f t="shared" si="1"/>
        <v>8.61099999999999</v>
      </c>
      <c r="H28" s="211">
        <f t="shared" si="2"/>
        <v>0.879947848164965</v>
      </c>
      <c r="I28" s="160"/>
      <c r="J28" s="105"/>
      <c r="K28" s="105"/>
      <c r="L28" s="297">
        <v>230.82</v>
      </c>
      <c r="M28" s="297">
        <f t="shared" si="3"/>
        <v>18724.1</v>
      </c>
      <c r="N28" s="117"/>
      <c r="O28" s="117"/>
      <c r="P28" s="298" t="s">
        <v>1656</v>
      </c>
    </row>
    <row r="29" spans="1:16">
      <c r="A29" s="295">
        <v>46178</v>
      </c>
      <c r="B29" s="296" t="s">
        <v>87</v>
      </c>
      <c r="C29" s="301">
        <v>0.45</v>
      </c>
      <c r="D29" s="301">
        <v>1</v>
      </c>
      <c r="E29" s="297">
        <v>253.285</v>
      </c>
      <c r="F29" s="105">
        <f t="shared" si="0"/>
        <v>236.5</v>
      </c>
      <c r="G29" s="105">
        <f t="shared" si="1"/>
        <v>16.785</v>
      </c>
      <c r="H29" s="211">
        <f t="shared" si="2"/>
        <v>0.879957360285844</v>
      </c>
      <c r="I29" s="160"/>
      <c r="J29" s="105"/>
      <c r="K29" s="105"/>
      <c r="L29" s="297">
        <v>222.88</v>
      </c>
      <c r="M29" s="297">
        <f t="shared" si="3"/>
        <v>18501.22</v>
      </c>
      <c r="N29" s="117"/>
      <c r="O29" s="117"/>
      <c r="P29" s="298" t="s">
        <v>1656</v>
      </c>
    </row>
    <row r="30" spans="1:16">
      <c r="A30" s="295">
        <v>46178</v>
      </c>
      <c r="B30" s="296" t="s">
        <v>114</v>
      </c>
      <c r="C30" s="301">
        <v>0.32</v>
      </c>
      <c r="D30" s="301">
        <v>1</v>
      </c>
      <c r="E30" s="297">
        <v>278.099</v>
      </c>
      <c r="F30" s="105">
        <f t="shared" si="0"/>
        <v>292.4</v>
      </c>
      <c r="G30" s="105">
        <f t="shared" si="1"/>
        <v>-14.301</v>
      </c>
      <c r="H30" s="211">
        <f t="shared" si="2"/>
        <v>0.879974397606608</v>
      </c>
      <c r="I30" s="160"/>
      <c r="J30" s="105"/>
      <c r="K30" s="105"/>
      <c r="L30" s="297">
        <v>244.72</v>
      </c>
      <c r="M30" s="297">
        <f t="shared" si="3"/>
        <v>18256.5</v>
      </c>
      <c r="N30" s="117"/>
      <c r="O30" s="117"/>
      <c r="P30" s="298" t="s">
        <v>1656</v>
      </c>
    </row>
    <row r="31" spans="1:16">
      <c r="A31" s="295">
        <v>46178</v>
      </c>
      <c r="B31" s="296" t="s">
        <v>102</v>
      </c>
      <c r="C31" s="301">
        <v>0.64</v>
      </c>
      <c r="D31" s="301">
        <v>1</v>
      </c>
      <c r="E31" s="297">
        <v>176.56</v>
      </c>
      <c r="F31" s="105">
        <f t="shared" si="0"/>
        <v>154.8</v>
      </c>
      <c r="G31" s="170">
        <f t="shared" si="1"/>
        <v>21.76</v>
      </c>
      <c r="H31" s="211">
        <f t="shared" si="2"/>
        <v>0.879927503398278</v>
      </c>
      <c r="I31" s="160"/>
      <c r="J31" s="105"/>
      <c r="K31" s="105"/>
      <c r="L31" s="297">
        <v>155.36</v>
      </c>
      <c r="M31" s="297">
        <f t="shared" si="3"/>
        <v>18101.14</v>
      </c>
      <c r="N31" s="117"/>
      <c r="O31" s="117"/>
      <c r="P31" s="298" t="s">
        <v>1656</v>
      </c>
    </row>
    <row r="32" spans="1:16">
      <c r="A32" s="295">
        <v>46178</v>
      </c>
      <c r="B32" s="296" t="s">
        <v>96</v>
      </c>
      <c r="C32" s="301">
        <v>0.5</v>
      </c>
      <c r="D32" s="301">
        <v>1</v>
      </c>
      <c r="E32" s="297">
        <v>232.657</v>
      </c>
      <c r="F32" s="105">
        <f t="shared" si="0"/>
        <v>215</v>
      </c>
      <c r="G32" s="105">
        <f t="shared" si="1"/>
        <v>17.657</v>
      </c>
      <c r="H32" s="211">
        <f t="shared" si="2"/>
        <v>0.879964926909571</v>
      </c>
      <c r="I32" s="160"/>
      <c r="J32" s="105"/>
      <c r="K32" s="105"/>
      <c r="L32" s="297">
        <v>204.73</v>
      </c>
      <c r="M32" s="297">
        <f t="shared" si="3"/>
        <v>17896.41</v>
      </c>
      <c r="N32" s="117"/>
      <c r="O32" s="117"/>
      <c r="P32" s="298" t="s">
        <v>1656</v>
      </c>
    </row>
    <row r="33" spans="1:16">
      <c r="A33" s="295">
        <v>46179</v>
      </c>
      <c r="B33" s="296" t="s">
        <v>339</v>
      </c>
      <c r="C33" s="301">
        <v>0.31</v>
      </c>
      <c r="D33" s="301">
        <v>1</v>
      </c>
      <c r="E33" s="297">
        <v>306.574</v>
      </c>
      <c r="F33" s="105">
        <f t="shared" si="0"/>
        <v>296.7</v>
      </c>
      <c r="G33" s="105">
        <f t="shared" si="1"/>
        <v>9.87400000000002</v>
      </c>
      <c r="H33" s="211">
        <f t="shared" si="2"/>
        <v>0.87998329930131</v>
      </c>
      <c r="I33" s="160"/>
      <c r="J33" s="105"/>
      <c r="K33" s="105"/>
      <c r="L33" s="297">
        <v>269.78</v>
      </c>
      <c r="M33" s="297">
        <f t="shared" si="3"/>
        <v>17626.63</v>
      </c>
      <c r="N33" s="117"/>
      <c r="O33" s="117"/>
      <c r="P33" s="298" t="s">
        <v>1656</v>
      </c>
    </row>
    <row r="34" spans="1:16">
      <c r="A34" s="295">
        <v>46179</v>
      </c>
      <c r="B34" s="296" t="s">
        <v>84</v>
      </c>
      <c r="C34" s="301">
        <v>0.51</v>
      </c>
      <c r="D34" s="301">
        <v>0.98</v>
      </c>
      <c r="E34" s="297">
        <v>229.515</v>
      </c>
      <c r="F34" s="105">
        <f t="shared" si="0"/>
        <v>202.1</v>
      </c>
      <c r="G34" s="170">
        <f t="shared" si="1"/>
        <v>27.415</v>
      </c>
      <c r="H34" s="211">
        <f t="shared" si="2"/>
        <v>0.879942487419123</v>
      </c>
      <c r="I34" s="160"/>
      <c r="J34" s="105"/>
      <c r="K34" s="105"/>
      <c r="L34" s="297">
        <v>201.96</v>
      </c>
      <c r="M34" s="297">
        <f t="shared" si="3"/>
        <v>17424.67</v>
      </c>
      <c r="N34" s="117"/>
      <c r="O34" s="117"/>
      <c r="P34" s="298" t="s">
        <v>1656</v>
      </c>
    </row>
    <row r="35" spans="1:16">
      <c r="A35" s="295">
        <v>46179</v>
      </c>
      <c r="B35" s="296" t="s">
        <v>174</v>
      </c>
      <c r="C35" s="301">
        <v>0.31</v>
      </c>
      <c r="D35" s="301">
        <v>1</v>
      </c>
      <c r="E35" s="297">
        <v>304.747</v>
      </c>
      <c r="F35" s="105">
        <f t="shared" si="0"/>
        <v>296.7</v>
      </c>
      <c r="G35" s="105">
        <f t="shared" si="1"/>
        <v>8.04700000000003</v>
      </c>
      <c r="H35" s="211">
        <f t="shared" si="2"/>
        <v>0.879975848818856</v>
      </c>
      <c r="I35" s="160"/>
      <c r="J35" s="105"/>
      <c r="K35" s="105"/>
      <c r="L35" s="297">
        <v>268.17</v>
      </c>
      <c r="M35" s="297">
        <f t="shared" si="3"/>
        <v>17156.5</v>
      </c>
      <c r="N35" s="117"/>
      <c r="O35" s="117"/>
      <c r="P35" s="298" t="s">
        <v>1656</v>
      </c>
    </row>
    <row r="36" spans="1:16">
      <c r="A36" s="295">
        <v>46179</v>
      </c>
      <c r="B36" s="296" t="s">
        <v>141</v>
      </c>
      <c r="C36" s="301">
        <v>0.21</v>
      </c>
      <c r="D36" s="301">
        <v>1</v>
      </c>
      <c r="E36" s="297">
        <v>345.617</v>
      </c>
      <c r="F36" s="105">
        <f t="shared" si="0"/>
        <v>339.7</v>
      </c>
      <c r="G36" s="105">
        <f t="shared" si="1"/>
        <v>5.91700000000003</v>
      </c>
      <c r="H36" s="211">
        <f t="shared" si="2"/>
        <v>0.879962501844527</v>
      </c>
      <c r="I36" s="160"/>
      <c r="J36" s="105"/>
      <c r="K36" s="105"/>
      <c r="L36" s="297">
        <v>304.13</v>
      </c>
      <c r="M36" s="297">
        <f t="shared" si="3"/>
        <v>16852.37</v>
      </c>
      <c r="N36" s="117"/>
      <c r="O36" s="117"/>
      <c r="P36" s="298" t="s">
        <v>1656</v>
      </c>
    </row>
    <row r="37" spans="1:16">
      <c r="A37" s="295">
        <v>46180</v>
      </c>
      <c r="B37" s="296" t="s">
        <v>51</v>
      </c>
      <c r="C37" s="301">
        <v>0.29</v>
      </c>
      <c r="D37" s="301">
        <v>1</v>
      </c>
      <c r="E37" s="297">
        <v>290.682</v>
      </c>
      <c r="F37" s="105">
        <f t="shared" si="0"/>
        <v>305.3</v>
      </c>
      <c r="G37" s="105">
        <f t="shared" si="1"/>
        <v>-14.618</v>
      </c>
      <c r="H37" s="211">
        <f t="shared" si="2"/>
        <v>0.879965047715373</v>
      </c>
      <c r="I37" s="160"/>
      <c r="J37" s="105"/>
      <c r="K37" s="105"/>
      <c r="L37" s="297">
        <v>255.79</v>
      </c>
      <c r="M37" s="297">
        <f t="shared" si="3"/>
        <v>16596.58</v>
      </c>
      <c r="N37" s="117"/>
      <c r="O37" s="117"/>
      <c r="P37" s="298" t="s">
        <v>1656</v>
      </c>
    </row>
    <row r="38" spans="1:16">
      <c r="A38" s="295">
        <v>46180</v>
      </c>
      <c r="B38" s="296" t="s">
        <v>160</v>
      </c>
      <c r="C38" s="301">
        <v>0.36</v>
      </c>
      <c r="D38" s="301">
        <v>0.86</v>
      </c>
      <c r="E38" s="297">
        <v>221.637</v>
      </c>
      <c r="F38" s="105">
        <f t="shared" si="0"/>
        <v>215</v>
      </c>
      <c r="G38" s="105">
        <f t="shared" si="1"/>
        <v>6.637</v>
      </c>
      <c r="H38" s="211">
        <f t="shared" si="2"/>
        <v>0.879952354525643</v>
      </c>
      <c r="I38" s="160"/>
      <c r="J38" s="105"/>
      <c r="K38" s="105"/>
      <c r="L38" s="297">
        <v>195.03</v>
      </c>
      <c r="M38" s="297">
        <f t="shared" si="3"/>
        <v>16401.55</v>
      </c>
      <c r="N38" s="117"/>
      <c r="O38" s="117"/>
      <c r="P38" s="298" t="s">
        <v>1656</v>
      </c>
    </row>
    <row r="39" spans="1:16">
      <c r="A39" s="295">
        <v>46180</v>
      </c>
      <c r="B39" s="296" t="s">
        <v>338</v>
      </c>
      <c r="C39" s="301">
        <v>0.41</v>
      </c>
      <c r="D39" s="301">
        <v>0.49</v>
      </c>
      <c r="E39" s="297">
        <v>39.873</v>
      </c>
      <c r="F39" s="105">
        <f t="shared" si="0"/>
        <v>34.4</v>
      </c>
      <c r="G39" s="105">
        <f t="shared" si="1"/>
        <v>5.47299999999999</v>
      </c>
      <c r="H39" s="211">
        <f t="shared" si="2"/>
        <v>0.879542547588594</v>
      </c>
      <c r="I39" s="160"/>
      <c r="J39" s="105"/>
      <c r="K39" s="105"/>
      <c r="L39" s="297">
        <v>35.07</v>
      </c>
      <c r="M39" s="297">
        <f t="shared" si="3"/>
        <v>16366.48</v>
      </c>
      <c r="N39" s="117"/>
      <c r="O39" s="117"/>
      <c r="P39" s="298" t="s">
        <v>1656</v>
      </c>
    </row>
    <row r="40" spans="1:16">
      <c r="A40" s="295">
        <v>46180</v>
      </c>
      <c r="B40" s="296" t="s">
        <v>60</v>
      </c>
      <c r="C40" s="301">
        <v>0.82</v>
      </c>
      <c r="D40" s="301">
        <v>1</v>
      </c>
      <c r="E40" s="297">
        <v>81.967</v>
      </c>
      <c r="F40" s="105">
        <f t="shared" si="0"/>
        <v>77.4</v>
      </c>
      <c r="G40" s="105">
        <f t="shared" si="1"/>
        <v>4.56699999999998</v>
      </c>
      <c r="H40" s="211">
        <f t="shared" si="2"/>
        <v>0.879866287652348</v>
      </c>
      <c r="I40" s="160"/>
      <c r="J40" s="105"/>
      <c r="K40" s="105"/>
      <c r="L40" s="297">
        <v>72.12</v>
      </c>
      <c r="M40" s="297">
        <f t="shared" si="3"/>
        <v>16294.36</v>
      </c>
      <c r="N40" s="117"/>
      <c r="O40" s="117"/>
      <c r="P40" s="298" t="s">
        <v>1656</v>
      </c>
    </row>
    <row r="41" spans="1:16">
      <c r="A41" s="295">
        <v>46180</v>
      </c>
      <c r="B41" s="296" t="s">
        <v>75</v>
      </c>
      <c r="C41" s="301">
        <v>0.16</v>
      </c>
      <c r="D41" s="301">
        <v>1</v>
      </c>
      <c r="E41" s="297">
        <v>403.084</v>
      </c>
      <c r="F41" s="105">
        <f t="shared" si="0"/>
        <v>361.2</v>
      </c>
      <c r="G41" s="170">
        <f t="shared" si="1"/>
        <v>41.884</v>
      </c>
      <c r="H41" s="211">
        <f t="shared" si="2"/>
        <v>0.879965466255173</v>
      </c>
      <c r="I41" s="160"/>
      <c r="J41" s="105"/>
      <c r="K41" s="105"/>
      <c r="L41" s="297">
        <v>354.7</v>
      </c>
      <c r="M41" s="297">
        <f t="shared" si="3"/>
        <v>15939.66</v>
      </c>
      <c r="N41" s="117"/>
      <c r="O41" s="117"/>
      <c r="P41" s="298" t="s">
        <v>1656</v>
      </c>
    </row>
    <row r="42" spans="1:16">
      <c r="A42" s="299">
        <v>46181</v>
      </c>
      <c r="B42" s="300" t="s">
        <v>66</v>
      </c>
      <c r="C42" s="301">
        <v>0.93</v>
      </c>
      <c r="D42" s="301">
        <v>1</v>
      </c>
      <c r="E42" s="302">
        <v>26.856</v>
      </c>
      <c r="F42" s="105">
        <f t="shared" si="0"/>
        <v>30.1</v>
      </c>
      <c r="G42" s="105">
        <f t="shared" si="1"/>
        <v>-3.24399999999998</v>
      </c>
      <c r="H42" s="211">
        <f t="shared" si="2"/>
        <v>0.879877867143283</v>
      </c>
      <c r="I42" s="105"/>
      <c r="J42" s="105"/>
      <c r="K42" s="105"/>
      <c r="L42" s="302">
        <v>23.63</v>
      </c>
      <c r="M42" s="297">
        <f t="shared" si="3"/>
        <v>15916.03</v>
      </c>
      <c r="N42" s="117"/>
      <c r="O42" s="117"/>
      <c r="P42" s="298" t="s">
        <v>1656</v>
      </c>
    </row>
    <row r="43" spans="1:16">
      <c r="A43" s="295">
        <v>46181</v>
      </c>
      <c r="B43" s="296" t="s">
        <v>154</v>
      </c>
      <c r="C43" s="301">
        <v>0.25</v>
      </c>
      <c r="D43" s="301">
        <v>1</v>
      </c>
      <c r="E43" s="297">
        <v>329.239</v>
      </c>
      <c r="F43" s="105">
        <f t="shared" si="0"/>
        <v>322.5</v>
      </c>
      <c r="G43" s="105">
        <f t="shared" si="1"/>
        <v>6.73899999999998</v>
      </c>
      <c r="H43" s="211">
        <f t="shared" si="2"/>
        <v>0.879968654989233</v>
      </c>
      <c r="I43" s="105"/>
      <c r="J43" s="105"/>
      <c r="K43" s="105"/>
      <c r="L43" s="297">
        <v>289.72</v>
      </c>
      <c r="M43" s="297">
        <f t="shared" si="3"/>
        <v>15626.31</v>
      </c>
      <c r="N43" s="117"/>
      <c r="O43" s="117"/>
      <c r="P43" s="298" t="s">
        <v>1656</v>
      </c>
    </row>
    <row r="44" spans="1:16">
      <c r="A44" s="295">
        <v>46181</v>
      </c>
      <c r="B44" s="296" t="s">
        <v>160</v>
      </c>
      <c r="C44" s="301">
        <v>0.35</v>
      </c>
      <c r="D44" s="301">
        <v>0.99</v>
      </c>
      <c r="E44" s="297">
        <v>285.806</v>
      </c>
      <c r="F44" s="105">
        <f t="shared" si="0"/>
        <v>275.2</v>
      </c>
      <c r="G44" s="105">
        <f t="shared" si="1"/>
        <v>10.606</v>
      </c>
      <c r="H44" s="211">
        <f t="shared" si="2"/>
        <v>0.879967530422734</v>
      </c>
      <c r="I44" s="105"/>
      <c r="J44" s="105"/>
      <c r="K44" s="105"/>
      <c r="L44" s="297">
        <v>251.5</v>
      </c>
      <c r="M44" s="297">
        <f t="shared" si="3"/>
        <v>15374.81</v>
      </c>
      <c r="N44" s="117"/>
      <c r="O44" s="117"/>
      <c r="P44" s="298" t="s">
        <v>1656</v>
      </c>
    </row>
    <row r="45" spans="1:16">
      <c r="A45" s="295">
        <v>46181</v>
      </c>
      <c r="B45" s="296" t="s">
        <v>163</v>
      </c>
      <c r="C45" s="301">
        <v>0.29</v>
      </c>
      <c r="D45" s="301">
        <v>1</v>
      </c>
      <c r="E45" s="297">
        <v>315.116</v>
      </c>
      <c r="F45" s="105">
        <f t="shared" si="0"/>
        <v>305.3</v>
      </c>
      <c r="G45" s="105">
        <f t="shared" si="1"/>
        <v>9.81599999999997</v>
      </c>
      <c r="H45" s="211">
        <f t="shared" si="2"/>
        <v>0.8799616649107</v>
      </c>
      <c r="I45" s="105"/>
      <c r="J45" s="105"/>
      <c r="K45" s="105"/>
      <c r="L45" s="297">
        <v>277.29</v>
      </c>
      <c r="M45" s="297">
        <f t="shared" si="3"/>
        <v>15097.52</v>
      </c>
      <c r="N45" s="117"/>
      <c r="O45" s="117"/>
      <c r="P45" s="298" t="s">
        <v>1656</v>
      </c>
    </row>
    <row r="46" spans="1:16">
      <c r="A46" s="295">
        <v>46181</v>
      </c>
      <c r="B46" s="296" t="s">
        <v>338</v>
      </c>
      <c r="C46" s="301">
        <v>0.3</v>
      </c>
      <c r="D46" s="301">
        <v>0.7</v>
      </c>
      <c r="E46" s="297">
        <v>173.985</v>
      </c>
      <c r="F46" s="105">
        <f t="shared" si="0"/>
        <v>172</v>
      </c>
      <c r="G46" s="105">
        <f t="shared" si="1"/>
        <v>1.98500000000004</v>
      </c>
      <c r="H46" s="211">
        <f t="shared" si="2"/>
        <v>0.879960916170934</v>
      </c>
      <c r="I46" s="105"/>
      <c r="J46" s="105"/>
      <c r="K46" s="105"/>
      <c r="L46" s="297">
        <v>153.1</v>
      </c>
      <c r="M46" s="297">
        <f t="shared" si="3"/>
        <v>14944.42</v>
      </c>
      <c r="N46" s="117"/>
      <c r="O46" s="117"/>
      <c r="P46" s="298" t="s">
        <v>1656</v>
      </c>
    </row>
    <row r="47" spans="1:16">
      <c r="A47" s="295">
        <v>46181</v>
      </c>
      <c r="B47" s="296" t="s">
        <v>180</v>
      </c>
      <c r="C47" s="301">
        <v>0.31</v>
      </c>
      <c r="D47" s="301">
        <v>0.49</v>
      </c>
      <c r="E47" s="297">
        <v>82.68</v>
      </c>
      <c r="F47" s="105">
        <f t="shared" si="0"/>
        <v>77.4</v>
      </c>
      <c r="G47" s="105">
        <f t="shared" si="1"/>
        <v>5.28000000000002</v>
      </c>
      <c r="H47" s="211">
        <f t="shared" si="2"/>
        <v>0.879898403483309</v>
      </c>
      <c r="I47" s="105"/>
      <c r="J47" s="105"/>
      <c r="K47" s="105"/>
      <c r="L47" s="297">
        <v>72.75</v>
      </c>
      <c r="M47" s="297">
        <f t="shared" si="3"/>
        <v>14871.67</v>
      </c>
      <c r="N47" s="117"/>
      <c r="O47" s="117"/>
      <c r="P47" s="298" t="s">
        <v>1656</v>
      </c>
    </row>
    <row r="48" spans="1:16">
      <c r="A48" s="295">
        <v>46181</v>
      </c>
      <c r="B48" s="296" t="s">
        <v>87</v>
      </c>
      <c r="C48" s="301">
        <v>0.47</v>
      </c>
      <c r="D48" s="301">
        <v>1</v>
      </c>
      <c r="E48" s="297">
        <v>244.803</v>
      </c>
      <c r="F48" s="105">
        <f t="shared" si="0"/>
        <v>227.9</v>
      </c>
      <c r="G48" s="105">
        <f t="shared" si="1"/>
        <v>16.903</v>
      </c>
      <c r="H48" s="211">
        <f t="shared" si="2"/>
        <v>0.879972876149394</v>
      </c>
      <c r="I48" s="105"/>
      <c r="J48" s="105"/>
      <c r="K48" s="105"/>
      <c r="L48" s="297">
        <v>215.42</v>
      </c>
      <c r="M48" s="297">
        <f t="shared" si="3"/>
        <v>14656.25</v>
      </c>
      <c r="N48" s="117"/>
      <c r="O48" s="117"/>
      <c r="P48" s="298" t="s">
        <v>1656</v>
      </c>
    </row>
    <row r="49" spans="1:16">
      <c r="A49" s="295">
        <v>46182</v>
      </c>
      <c r="B49" s="296" t="s">
        <v>151</v>
      </c>
      <c r="C49" s="301">
        <v>0.36</v>
      </c>
      <c r="D49" s="301">
        <v>1</v>
      </c>
      <c r="E49" s="297">
        <v>282.455</v>
      </c>
      <c r="F49" s="105">
        <f t="shared" si="0"/>
        <v>275.2</v>
      </c>
      <c r="G49" s="105">
        <f t="shared" si="1"/>
        <v>7.255</v>
      </c>
      <c r="H49" s="211">
        <f t="shared" si="2"/>
        <v>0.879963179975571</v>
      </c>
      <c r="I49" s="105"/>
      <c r="J49" s="105"/>
      <c r="K49" s="105"/>
      <c r="L49" s="297">
        <v>248.55</v>
      </c>
      <c r="M49" s="297">
        <f t="shared" si="3"/>
        <v>14407.7</v>
      </c>
      <c r="N49" s="117"/>
      <c r="O49" s="117"/>
      <c r="P49" s="298" t="s">
        <v>1656</v>
      </c>
    </row>
    <row r="50" spans="1:16">
      <c r="A50" s="295">
        <v>46182</v>
      </c>
      <c r="B50" s="296" t="s">
        <v>96</v>
      </c>
      <c r="C50" s="301">
        <v>0.44</v>
      </c>
      <c r="D50" s="301">
        <v>1</v>
      </c>
      <c r="E50" s="297">
        <v>251.703</v>
      </c>
      <c r="F50" s="105">
        <f t="shared" si="0"/>
        <v>240.8</v>
      </c>
      <c r="G50" s="105">
        <f t="shared" si="1"/>
        <v>10.903</v>
      </c>
      <c r="H50" s="211">
        <f t="shared" si="2"/>
        <v>0.879965673829871</v>
      </c>
      <c r="I50" s="105"/>
      <c r="J50" s="105"/>
      <c r="K50" s="105"/>
      <c r="L50" s="297">
        <v>221.49</v>
      </c>
      <c r="M50" s="297">
        <f t="shared" si="3"/>
        <v>14186.21</v>
      </c>
      <c r="N50" s="117"/>
      <c r="O50" s="117"/>
      <c r="P50" s="298" t="s">
        <v>1656</v>
      </c>
    </row>
    <row r="51" spans="1:16">
      <c r="A51" s="295">
        <v>46182</v>
      </c>
      <c r="B51" s="296" t="s">
        <v>141</v>
      </c>
      <c r="C51" s="301">
        <v>0.23</v>
      </c>
      <c r="D51" s="301">
        <v>0.99</v>
      </c>
      <c r="E51" s="297">
        <v>339.479</v>
      </c>
      <c r="F51" s="105">
        <f t="shared" si="0"/>
        <v>326.8</v>
      </c>
      <c r="G51" s="105">
        <f t="shared" si="1"/>
        <v>12.679</v>
      </c>
      <c r="H51" s="211">
        <f t="shared" si="2"/>
        <v>0.879966065647654</v>
      </c>
      <c r="I51" s="105"/>
      <c r="J51" s="105"/>
      <c r="K51" s="105"/>
      <c r="L51" s="297">
        <v>298.73</v>
      </c>
      <c r="M51" s="297">
        <f t="shared" si="3"/>
        <v>13887.48</v>
      </c>
      <c r="N51" s="117"/>
      <c r="O51" s="117"/>
      <c r="P51" s="298" t="s">
        <v>1656</v>
      </c>
    </row>
    <row r="52" spans="1:16">
      <c r="A52" s="295">
        <v>46182</v>
      </c>
      <c r="B52" s="296" t="s">
        <v>60</v>
      </c>
      <c r="C52" s="301">
        <v>0.34</v>
      </c>
      <c r="D52" s="301">
        <v>1</v>
      </c>
      <c r="E52" s="297">
        <v>270.53</v>
      </c>
      <c r="F52" s="105">
        <f t="shared" si="0"/>
        <v>283.8</v>
      </c>
      <c r="G52" s="105">
        <f t="shared" si="1"/>
        <v>-13.27</v>
      </c>
      <c r="H52" s="211">
        <f t="shared" si="2"/>
        <v>0.879976342734632</v>
      </c>
      <c r="I52" s="105"/>
      <c r="J52" s="105"/>
      <c r="K52" s="105"/>
      <c r="L52" s="297">
        <v>238.06</v>
      </c>
      <c r="M52" s="297">
        <f t="shared" si="3"/>
        <v>13649.42</v>
      </c>
      <c r="N52" s="117"/>
      <c r="O52" s="117"/>
      <c r="P52" s="298" t="s">
        <v>1656</v>
      </c>
    </row>
    <row r="53" spans="1:16">
      <c r="A53" s="295">
        <v>46182</v>
      </c>
      <c r="B53" s="296" t="s">
        <v>54</v>
      </c>
      <c r="C53" s="301">
        <v>0.33</v>
      </c>
      <c r="D53" s="301">
        <v>1</v>
      </c>
      <c r="E53" s="297">
        <v>273.213</v>
      </c>
      <c r="F53" s="105">
        <f t="shared" si="0"/>
        <v>288.1</v>
      </c>
      <c r="G53" s="105">
        <f t="shared" si="1"/>
        <v>-14.8869999999999</v>
      </c>
      <c r="H53" s="211">
        <f t="shared" si="2"/>
        <v>0.879936167019871</v>
      </c>
      <c r="I53" s="105"/>
      <c r="J53" s="105"/>
      <c r="K53" s="105"/>
      <c r="L53" s="297">
        <v>240.41</v>
      </c>
      <c r="M53" s="297">
        <f t="shared" si="3"/>
        <v>13409.01</v>
      </c>
      <c r="N53" s="117"/>
      <c r="O53" s="117"/>
      <c r="P53" s="298" t="s">
        <v>1656</v>
      </c>
    </row>
    <row r="54" spans="1:16">
      <c r="A54" s="295">
        <v>46183</v>
      </c>
      <c r="B54" s="296" t="s">
        <v>180</v>
      </c>
      <c r="C54" s="301">
        <v>0.42</v>
      </c>
      <c r="D54" s="301">
        <v>1</v>
      </c>
      <c r="E54" s="297">
        <v>256.504</v>
      </c>
      <c r="F54" s="105">
        <f t="shared" si="0"/>
        <v>249.4</v>
      </c>
      <c r="G54" s="105">
        <f t="shared" si="1"/>
        <v>7.10399999999998</v>
      </c>
      <c r="H54" s="211">
        <f t="shared" si="2"/>
        <v>0.879947291270312</v>
      </c>
      <c r="I54" s="105"/>
      <c r="J54" s="105"/>
      <c r="K54" s="105"/>
      <c r="L54" s="297">
        <v>225.71</v>
      </c>
      <c r="M54" s="297">
        <f t="shared" si="3"/>
        <v>13183.3</v>
      </c>
      <c r="N54" s="117"/>
      <c r="O54" s="117"/>
      <c r="P54" s="298" t="s">
        <v>1656</v>
      </c>
    </row>
    <row r="55" spans="1:16">
      <c r="A55" s="295">
        <v>46183</v>
      </c>
      <c r="B55" s="296" t="s">
        <v>87</v>
      </c>
      <c r="C55" s="301">
        <v>0.53</v>
      </c>
      <c r="D55" s="301">
        <v>1</v>
      </c>
      <c r="E55" s="297">
        <v>206.698</v>
      </c>
      <c r="F55" s="105">
        <f t="shared" si="0"/>
        <v>202.1</v>
      </c>
      <c r="G55" s="105">
        <f t="shared" si="1"/>
        <v>4.59800000000001</v>
      </c>
      <c r="H55" s="211">
        <f t="shared" si="2"/>
        <v>0.879979486981006</v>
      </c>
      <c r="I55" s="105"/>
      <c r="J55" s="105"/>
      <c r="K55" s="105"/>
      <c r="L55" s="297">
        <v>181.89</v>
      </c>
      <c r="M55" s="297">
        <f t="shared" si="3"/>
        <v>13001.41</v>
      </c>
      <c r="N55" s="117"/>
      <c r="O55" s="117"/>
      <c r="P55" s="298" t="s">
        <v>1656</v>
      </c>
    </row>
    <row r="56" spans="1:16">
      <c r="A56" s="295">
        <v>46183</v>
      </c>
      <c r="B56" s="296" t="s">
        <v>174</v>
      </c>
      <c r="C56" s="301">
        <v>0.3</v>
      </c>
      <c r="D56" s="301">
        <v>0.45</v>
      </c>
      <c r="E56" s="297">
        <v>67.599</v>
      </c>
      <c r="F56" s="105">
        <f t="shared" si="0"/>
        <v>64.5</v>
      </c>
      <c r="G56" s="105">
        <f t="shared" si="1"/>
        <v>3.09899999999999</v>
      </c>
      <c r="H56" s="211">
        <f t="shared" si="2"/>
        <v>0.879746741815707</v>
      </c>
      <c r="I56" s="105"/>
      <c r="J56" s="105"/>
      <c r="K56" s="105"/>
      <c r="L56" s="297">
        <v>59.47</v>
      </c>
      <c r="M56" s="297">
        <f t="shared" si="3"/>
        <v>12941.94</v>
      </c>
      <c r="N56" s="117"/>
      <c r="O56" s="117"/>
      <c r="P56" s="298" t="s">
        <v>1656</v>
      </c>
    </row>
    <row r="57" spans="1:16">
      <c r="A57" s="295">
        <v>46183</v>
      </c>
      <c r="B57" s="296" t="s">
        <v>174</v>
      </c>
      <c r="C57" s="301">
        <v>0.45</v>
      </c>
      <c r="D57" s="301">
        <v>1</v>
      </c>
      <c r="E57" s="297">
        <v>241.212</v>
      </c>
      <c r="F57" s="105">
        <f t="shared" si="0"/>
        <v>236.5</v>
      </c>
      <c r="G57" s="105">
        <f t="shared" si="1"/>
        <v>4.71199999999996</v>
      </c>
      <c r="H57" s="211">
        <f t="shared" si="2"/>
        <v>0.879931346699169</v>
      </c>
      <c r="I57" s="105"/>
      <c r="J57" s="105"/>
      <c r="K57" s="105"/>
      <c r="L57" s="297">
        <v>212.25</v>
      </c>
      <c r="M57" s="297">
        <f t="shared" si="3"/>
        <v>12729.69</v>
      </c>
      <c r="N57" s="117"/>
      <c r="O57" s="117"/>
      <c r="P57" s="298" t="s">
        <v>1656</v>
      </c>
    </row>
    <row r="58" spans="1:16">
      <c r="A58" s="295">
        <v>46183</v>
      </c>
      <c r="B58" s="296" t="s">
        <v>51</v>
      </c>
      <c r="C58" s="301">
        <v>0.37</v>
      </c>
      <c r="D58" s="301">
        <v>1</v>
      </c>
      <c r="E58" s="297">
        <v>256.904</v>
      </c>
      <c r="F58" s="105">
        <f t="shared" si="0"/>
        <v>270.9</v>
      </c>
      <c r="G58" s="105">
        <f t="shared" si="1"/>
        <v>-13.996</v>
      </c>
      <c r="H58" s="211">
        <f t="shared" si="2"/>
        <v>0.879939588328714</v>
      </c>
      <c r="I58" s="105"/>
      <c r="J58" s="105"/>
      <c r="K58" s="105"/>
      <c r="L58" s="297">
        <v>226.06</v>
      </c>
      <c r="M58" s="297">
        <f t="shared" si="3"/>
        <v>12503.63</v>
      </c>
      <c r="N58" s="117"/>
      <c r="O58" s="117"/>
      <c r="P58" s="298" t="s">
        <v>1656</v>
      </c>
    </row>
    <row r="59" spans="1:16">
      <c r="A59" s="295">
        <v>46183</v>
      </c>
      <c r="B59" s="296" t="s">
        <v>66</v>
      </c>
      <c r="C59" s="301">
        <v>0.93</v>
      </c>
      <c r="D59" s="301">
        <v>0.93</v>
      </c>
      <c r="E59" s="297">
        <v>0.009</v>
      </c>
      <c r="F59" s="105">
        <f t="shared" si="0"/>
        <v>0</v>
      </c>
      <c r="G59" s="105">
        <f t="shared" si="1"/>
        <v>0.009</v>
      </c>
      <c r="H59" s="211">
        <f t="shared" si="2"/>
        <v>0</v>
      </c>
      <c r="I59" s="105"/>
      <c r="J59" s="105"/>
      <c r="K59" s="105"/>
      <c r="L59" s="297">
        <v>0</v>
      </c>
      <c r="M59" s="297">
        <f t="shared" si="3"/>
        <v>12503.63</v>
      </c>
      <c r="N59" s="117"/>
      <c r="O59" s="117"/>
      <c r="P59" s="298" t="s">
        <v>1656</v>
      </c>
    </row>
    <row r="60" spans="1:16">
      <c r="A60" s="295">
        <v>46183</v>
      </c>
      <c r="B60" s="296" t="s">
        <v>111</v>
      </c>
      <c r="C60" s="301">
        <v>0.33</v>
      </c>
      <c r="D60" s="301">
        <v>1</v>
      </c>
      <c r="E60" s="297">
        <v>272.422</v>
      </c>
      <c r="F60" s="105">
        <f t="shared" si="0"/>
        <v>288.1</v>
      </c>
      <c r="G60" s="105">
        <f t="shared" si="1"/>
        <v>-15.6779999999999</v>
      </c>
      <c r="H60" s="211">
        <f t="shared" si="2"/>
        <v>0.879958299990456</v>
      </c>
      <c r="I60" s="105"/>
      <c r="J60" s="105"/>
      <c r="K60" s="105"/>
      <c r="L60" s="297">
        <v>239.72</v>
      </c>
      <c r="M60" s="297">
        <f t="shared" si="3"/>
        <v>12263.91</v>
      </c>
      <c r="N60" s="117"/>
      <c r="O60" s="117"/>
      <c r="P60" s="298" t="s">
        <v>1656</v>
      </c>
    </row>
    <row r="61" spans="1:16">
      <c r="A61" s="295">
        <v>46183</v>
      </c>
      <c r="B61" s="296" t="s">
        <v>96</v>
      </c>
      <c r="C61" s="301">
        <v>0.48</v>
      </c>
      <c r="D61" s="301">
        <v>1</v>
      </c>
      <c r="E61" s="297">
        <v>245.284</v>
      </c>
      <c r="F61" s="105">
        <f t="shared" si="0"/>
        <v>223.6</v>
      </c>
      <c r="G61" s="105">
        <f t="shared" si="1"/>
        <v>21.684</v>
      </c>
      <c r="H61" s="211">
        <f t="shared" si="2"/>
        <v>0.879959557084849</v>
      </c>
      <c r="I61" s="105"/>
      <c r="J61" s="105"/>
      <c r="K61" s="105"/>
      <c r="L61" s="297">
        <v>215.84</v>
      </c>
      <c r="M61" s="297">
        <f t="shared" si="3"/>
        <v>12048.07</v>
      </c>
      <c r="N61" s="117"/>
      <c r="O61" s="117"/>
      <c r="P61" s="298" t="s">
        <v>1656</v>
      </c>
    </row>
    <row r="62" spans="1:16">
      <c r="A62" s="303">
        <v>46184</v>
      </c>
      <c r="B62" s="304" t="s">
        <v>339</v>
      </c>
      <c r="C62" s="305">
        <v>0.25</v>
      </c>
      <c r="D62" s="305">
        <v>1</v>
      </c>
      <c r="E62" s="306">
        <v>334.825</v>
      </c>
      <c r="F62" s="105">
        <f t="shared" si="0"/>
        <v>322.5</v>
      </c>
      <c r="G62" s="105">
        <f t="shared" si="1"/>
        <v>12.325</v>
      </c>
      <c r="H62" s="211">
        <f t="shared" si="2"/>
        <v>0.879982080191145</v>
      </c>
      <c r="I62" s="160"/>
      <c r="J62" s="105"/>
      <c r="K62" s="105"/>
      <c r="L62" s="306">
        <v>294.64</v>
      </c>
      <c r="M62" s="297">
        <f t="shared" si="3"/>
        <v>11753.43</v>
      </c>
      <c r="N62" s="117"/>
      <c r="O62" s="117"/>
      <c r="P62" s="298" t="s">
        <v>1656</v>
      </c>
    </row>
    <row r="63" spans="1:16">
      <c r="A63" s="307">
        <v>46184</v>
      </c>
      <c r="B63" s="308" t="s">
        <v>75</v>
      </c>
      <c r="C63" s="305">
        <v>0.19</v>
      </c>
      <c r="D63" s="305">
        <v>1</v>
      </c>
      <c r="E63" s="309">
        <v>383.752</v>
      </c>
      <c r="F63" s="105">
        <f t="shared" si="0"/>
        <v>348.3</v>
      </c>
      <c r="G63" s="105">
        <f t="shared" si="1"/>
        <v>35.452</v>
      </c>
      <c r="H63" s="211">
        <f t="shared" si="2"/>
        <v>0.879969355208572</v>
      </c>
      <c r="I63" s="160"/>
      <c r="J63" s="105"/>
      <c r="K63" s="105"/>
      <c r="L63" s="309">
        <v>337.69</v>
      </c>
      <c r="M63" s="297">
        <f t="shared" si="3"/>
        <v>11415.74</v>
      </c>
      <c r="N63" s="117"/>
      <c r="O63" s="117"/>
      <c r="P63" s="298" t="s">
        <v>1656</v>
      </c>
    </row>
    <row r="64" spans="1:16">
      <c r="A64" s="307">
        <v>46184</v>
      </c>
      <c r="B64" s="308" t="s">
        <v>338</v>
      </c>
      <c r="C64" s="305">
        <v>0.27</v>
      </c>
      <c r="D64" s="305">
        <v>1</v>
      </c>
      <c r="E64" s="309">
        <v>320.955</v>
      </c>
      <c r="F64" s="105">
        <f t="shared" si="0"/>
        <v>313.9</v>
      </c>
      <c r="G64" s="105">
        <f t="shared" si="1"/>
        <v>7.05500000000001</v>
      </c>
      <c r="H64" s="211">
        <f t="shared" si="2"/>
        <v>0.879967596703588</v>
      </c>
      <c r="I64" s="160"/>
      <c r="J64" s="105"/>
      <c r="K64" s="105"/>
      <c r="L64" s="309">
        <v>282.43</v>
      </c>
      <c r="M64" s="297">
        <f t="shared" si="3"/>
        <v>11133.31</v>
      </c>
      <c r="N64" s="117"/>
      <c r="O64" s="117"/>
      <c r="P64" s="298" t="s">
        <v>1656</v>
      </c>
    </row>
    <row r="65" spans="1:16">
      <c r="A65" s="307">
        <v>46184</v>
      </c>
      <c r="B65" s="308" t="s">
        <v>160</v>
      </c>
      <c r="C65" s="305">
        <v>0.3</v>
      </c>
      <c r="D65" s="305">
        <v>0.99</v>
      </c>
      <c r="E65" s="309">
        <v>309.595</v>
      </c>
      <c r="F65" s="105">
        <f t="shared" si="0"/>
        <v>296.7</v>
      </c>
      <c r="G65" s="105">
        <f t="shared" si="1"/>
        <v>12.895</v>
      </c>
      <c r="H65" s="211">
        <f t="shared" si="2"/>
        <v>0.879988371905231</v>
      </c>
      <c r="I65" s="160"/>
      <c r="J65" s="105"/>
      <c r="K65" s="105"/>
      <c r="L65" s="309">
        <v>272.44</v>
      </c>
      <c r="M65" s="297">
        <f t="shared" si="3"/>
        <v>10860.87</v>
      </c>
      <c r="N65" s="117"/>
      <c r="O65" s="117"/>
      <c r="P65" s="298" t="s">
        <v>1656</v>
      </c>
    </row>
    <row r="66" spans="1:16">
      <c r="A66" s="307">
        <v>46184</v>
      </c>
      <c r="B66" s="308" t="s">
        <v>63</v>
      </c>
      <c r="C66" s="305">
        <v>0.35</v>
      </c>
      <c r="D66" s="305">
        <v>1</v>
      </c>
      <c r="E66" s="309">
        <v>298.169</v>
      </c>
      <c r="F66" s="105">
        <f t="shared" si="0"/>
        <v>279.5</v>
      </c>
      <c r="G66" s="105">
        <f t="shared" si="1"/>
        <v>18.669</v>
      </c>
      <c r="H66" s="211">
        <f t="shared" si="2"/>
        <v>0.879970754840376</v>
      </c>
      <c r="I66" s="160"/>
      <c r="J66" s="105"/>
      <c r="K66" s="105"/>
      <c r="L66" s="309">
        <v>262.38</v>
      </c>
      <c r="M66" s="297">
        <f t="shared" si="3"/>
        <v>10598.49</v>
      </c>
      <c r="N66" s="117"/>
      <c r="O66" s="117"/>
      <c r="P66" s="298" t="s">
        <v>1656</v>
      </c>
    </row>
    <row r="67" spans="1:16">
      <c r="A67" s="307">
        <v>46184</v>
      </c>
      <c r="B67" s="308" t="s">
        <v>154</v>
      </c>
      <c r="C67" s="305">
        <v>0.32</v>
      </c>
      <c r="D67" s="305">
        <v>1</v>
      </c>
      <c r="E67" s="309">
        <v>300.75</v>
      </c>
      <c r="F67" s="105">
        <f t="shared" ref="F67:F130" si="4">(D67-C67)*430</f>
        <v>292.4</v>
      </c>
      <c r="G67" s="105">
        <f t="shared" ref="G67:G130" si="5">E67-F67</f>
        <v>8.35000000000002</v>
      </c>
      <c r="H67" s="211">
        <f t="shared" ref="H67:H130" si="6">L67/E67</f>
        <v>0.879966749792186</v>
      </c>
      <c r="I67" s="160"/>
      <c r="J67" s="105"/>
      <c r="K67" s="105"/>
      <c r="L67" s="309">
        <v>264.65</v>
      </c>
      <c r="M67" s="297">
        <f t="shared" ref="M67:M130" si="7">M66+K67-L67</f>
        <v>10333.84</v>
      </c>
      <c r="N67" s="117"/>
      <c r="O67" s="117"/>
      <c r="P67" s="298" t="s">
        <v>1656</v>
      </c>
    </row>
    <row r="68" spans="1:16">
      <c r="A68" s="307">
        <v>46184</v>
      </c>
      <c r="B68" s="308" t="s">
        <v>163</v>
      </c>
      <c r="C68" s="305">
        <v>0.27</v>
      </c>
      <c r="D68" s="305">
        <v>1</v>
      </c>
      <c r="E68" s="309">
        <v>313.681</v>
      </c>
      <c r="F68" s="105">
        <f t="shared" si="4"/>
        <v>313.9</v>
      </c>
      <c r="G68" s="105">
        <f t="shared" si="5"/>
        <v>-0.218999999999994</v>
      </c>
      <c r="H68" s="211">
        <f t="shared" si="6"/>
        <v>0.879970415804591</v>
      </c>
      <c r="I68" s="160"/>
      <c r="J68" s="105"/>
      <c r="K68" s="105"/>
      <c r="L68" s="309">
        <v>276.03</v>
      </c>
      <c r="M68" s="297">
        <f t="shared" si="7"/>
        <v>10057.81</v>
      </c>
      <c r="N68" s="117"/>
      <c r="O68" s="117"/>
      <c r="P68" s="298" t="s">
        <v>1656</v>
      </c>
    </row>
    <row r="69" spans="1:16">
      <c r="A69" s="307">
        <v>46184</v>
      </c>
      <c r="B69" s="308" t="s">
        <v>60</v>
      </c>
      <c r="C69" s="305">
        <v>0.28</v>
      </c>
      <c r="D69" s="305">
        <v>1</v>
      </c>
      <c r="E69" s="309">
        <v>301.621</v>
      </c>
      <c r="F69" s="105">
        <f t="shared" si="4"/>
        <v>309.6</v>
      </c>
      <c r="G69" s="105">
        <f t="shared" si="5"/>
        <v>-7.97899999999998</v>
      </c>
      <c r="H69" s="211">
        <f t="shared" si="6"/>
        <v>0.879978516084756</v>
      </c>
      <c r="I69" s="160"/>
      <c r="J69" s="105"/>
      <c r="K69" s="105"/>
      <c r="L69" s="309">
        <v>265.42</v>
      </c>
      <c r="M69" s="297">
        <f t="shared" si="7"/>
        <v>9792.39</v>
      </c>
      <c r="N69" s="117"/>
      <c r="O69" s="117"/>
      <c r="P69" s="298" t="s">
        <v>1656</v>
      </c>
    </row>
    <row r="70" spans="1:16">
      <c r="A70" s="307">
        <v>46185</v>
      </c>
      <c r="B70" s="308" t="s">
        <v>339</v>
      </c>
      <c r="C70" s="305">
        <v>0.34</v>
      </c>
      <c r="D70" s="305">
        <v>1</v>
      </c>
      <c r="E70" s="309">
        <v>290.329</v>
      </c>
      <c r="F70" s="105">
        <f t="shared" si="4"/>
        <v>283.8</v>
      </c>
      <c r="G70" s="105">
        <f t="shared" si="5"/>
        <v>6.52900000000005</v>
      </c>
      <c r="H70" s="211">
        <f t="shared" si="6"/>
        <v>0.879967209613921</v>
      </c>
      <c r="I70" s="160"/>
      <c r="J70" s="105"/>
      <c r="K70" s="105"/>
      <c r="L70" s="309">
        <v>255.48</v>
      </c>
      <c r="M70" s="297">
        <f t="shared" si="7"/>
        <v>9536.91</v>
      </c>
      <c r="N70" s="117"/>
      <c r="O70" s="117"/>
      <c r="P70" s="298" t="s">
        <v>1656</v>
      </c>
    </row>
    <row r="71" spans="1:16">
      <c r="A71" s="307">
        <v>46185</v>
      </c>
      <c r="B71" s="308" t="s">
        <v>114</v>
      </c>
      <c r="C71" s="305">
        <v>0.22</v>
      </c>
      <c r="D71" s="305">
        <v>0.7</v>
      </c>
      <c r="E71" s="309">
        <v>197.91</v>
      </c>
      <c r="F71" s="105">
        <f t="shared" si="4"/>
        <v>206.4</v>
      </c>
      <c r="G71" s="105">
        <f t="shared" si="5"/>
        <v>-8.49000000000001</v>
      </c>
      <c r="H71" s="211">
        <f t="shared" si="6"/>
        <v>0.879945429740791</v>
      </c>
      <c r="I71" s="160"/>
      <c r="J71" s="105"/>
      <c r="K71" s="105"/>
      <c r="L71" s="309">
        <v>174.15</v>
      </c>
      <c r="M71" s="297">
        <f t="shared" si="7"/>
        <v>9362.76</v>
      </c>
      <c r="N71" s="117"/>
      <c r="O71" s="117"/>
      <c r="P71" s="298" t="s">
        <v>1656</v>
      </c>
    </row>
    <row r="72" spans="1:16">
      <c r="A72" s="307">
        <v>46185</v>
      </c>
      <c r="B72" s="308" t="s">
        <v>105</v>
      </c>
      <c r="C72" s="305">
        <v>0.84</v>
      </c>
      <c r="D72" s="305">
        <v>1</v>
      </c>
      <c r="E72" s="309">
        <v>72.493</v>
      </c>
      <c r="F72" s="105">
        <f t="shared" si="4"/>
        <v>68.8</v>
      </c>
      <c r="G72" s="105">
        <f t="shared" si="5"/>
        <v>3.69299999999998</v>
      </c>
      <c r="H72" s="211">
        <f t="shared" si="6"/>
        <v>0.879809085015105</v>
      </c>
      <c r="I72" s="160"/>
      <c r="J72" s="105"/>
      <c r="K72" s="105"/>
      <c r="L72" s="309">
        <v>63.78</v>
      </c>
      <c r="M72" s="297">
        <f t="shared" si="7"/>
        <v>9298.98</v>
      </c>
      <c r="N72" s="117"/>
      <c r="O72" s="117"/>
      <c r="P72" s="298" t="s">
        <v>1656</v>
      </c>
    </row>
    <row r="73" spans="1:16">
      <c r="A73" s="307">
        <v>46185</v>
      </c>
      <c r="B73" s="308" t="s">
        <v>84</v>
      </c>
      <c r="C73" s="305">
        <v>0.47</v>
      </c>
      <c r="D73" s="305">
        <v>1</v>
      </c>
      <c r="E73" s="309">
        <v>237.264</v>
      </c>
      <c r="F73" s="105">
        <f t="shared" si="4"/>
        <v>227.9</v>
      </c>
      <c r="G73" s="105">
        <f t="shared" si="5"/>
        <v>9.364</v>
      </c>
      <c r="H73" s="211">
        <f t="shared" si="6"/>
        <v>0.879948074718457</v>
      </c>
      <c r="I73" s="160"/>
      <c r="J73" s="105"/>
      <c r="K73" s="105"/>
      <c r="L73" s="309">
        <v>208.78</v>
      </c>
      <c r="M73" s="297">
        <f t="shared" si="7"/>
        <v>9090.2</v>
      </c>
      <c r="N73" s="117"/>
      <c r="O73" s="117"/>
      <c r="P73" s="298" t="s">
        <v>1656</v>
      </c>
    </row>
    <row r="74" spans="1:16">
      <c r="A74" s="307">
        <v>46185</v>
      </c>
      <c r="B74" s="308" t="s">
        <v>148</v>
      </c>
      <c r="C74" s="305">
        <v>0.41</v>
      </c>
      <c r="D74" s="305">
        <v>0.41</v>
      </c>
      <c r="E74" s="309">
        <v>2.526</v>
      </c>
      <c r="F74" s="105">
        <f t="shared" si="4"/>
        <v>0</v>
      </c>
      <c r="G74" s="105">
        <f t="shared" si="5"/>
        <v>2.526</v>
      </c>
      <c r="H74" s="211">
        <f t="shared" si="6"/>
        <v>0.874901029295329</v>
      </c>
      <c r="I74" s="160"/>
      <c r="J74" s="105"/>
      <c r="K74" s="105"/>
      <c r="L74" s="309">
        <v>2.21</v>
      </c>
      <c r="M74" s="297">
        <f t="shared" si="7"/>
        <v>9087.99</v>
      </c>
      <c r="N74" s="117"/>
      <c r="O74" s="117"/>
      <c r="P74" s="298" t="s">
        <v>1656</v>
      </c>
    </row>
    <row r="75" spans="1:16">
      <c r="A75" s="307">
        <v>46185</v>
      </c>
      <c r="B75" s="308" t="s">
        <v>148</v>
      </c>
      <c r="C75" s="305">
        <v>0.42</v>
      </c>
      <c r="D75" s="305">
        <v>0.88</v>
      </c>
      <c r="E75" s="309">
        <v>206.09</v>
      </c>
      <c r="F75" s="105">
        <f t="shared" si="4"/>
        <v>197.8</v>
      </c>
      <c r="G75" s="105">
        <f t="shared" si="5"/>
        <v>8.28999999999999</v>
      </c>
      <c r="H75" s="211">
        <f t="shared" si="6"/>
        <v>0.87995535930904</v>
      </c>
      <c r="I75" s="160"/>
      <c r="J75" s="105"/>
      <c r="K75" s="105"/>
      <c r="L75" s="309">
        <v>181.35</v>
      </c>
      <c r="M75" s="297">
        <f t="shared" si="7"/>
        <v>8906.64</v>
      </c>
      <c r="N75" s="117"/>
      <c r="O75" s="117"/>
      <c r="P75" s="298" t="s">
        <v>1656</v>
      </c>
    </row>
    <row r="76" spans="1:16">
      <c r="A76" s="307">
        <v>46185</v>
      </c>
      <c r="B76" s="308" t="s">
        <v>54</v>
      </c>
      <c r="C76" s="305">
        <v>0.27</v>
      </c>
      <c r="D76" s="305">
        <v>0.99</v>
      </c>
      <c r="E76" s="309">
        <v>303.265</v>
      </c>
      <c r="F76" s="105">
        <f t="shared" si="4"/>
        <v>309.6</v>
      </c>
      <c r="G76" s="105">
        <f t="shared" si="5"/>
        <v>-6.33499999999998</v>
      </c>
      <c r="H76" s="211">
        <f t="shared" si="6"/>
        <v>0.879956473711111</v>
      </c>
      <c r="I76" s="160"/>
      <c r="J76" s="105"/>
      <c r="K76" s="105"/>
      <c r="L76" s="309">
        <v>266.86</v>
      </c>
      <c r="M76" s="297">
        <f t="shared" si="7"/>
        <v>8639.78</v>
      </c>
      <c r="N76" s="117"/>
      <c r="O76" s="117"/>
      <c r="P76" s="298" t="s">
        <v>1656</v>
      </c>
    </row>
    <row r="77" spans="1:16">
      <c r="A77" s="307">
        <v>46185</v>
      </c>
      <c r="B77" s="308" t="s">
        <v>78</v>
      </c>
      <c r="C77" s="305">
        <v>0.38</v>
      </c>
      <c r="D77" s="305">
        <v>1</v>
      </c>
      <c r="E77" s="309">
        <v>290.21</v>
      </c>
      <c r="F77" s="105">
        <f t="shared" si="4"/>
        <v>266.6</v>
      </c>
      <c r="G77" s="105">
        <f t="shared" si="5"/>
        <v>23.61</v>
      </c>
      <c r="H77" s="211">
        <f t="shared" si="6"/>
        <v>0.879949002446504</v>
      </c>
      <c r="I77" s="160"/>
      <c r="J77" s="105"/>
      <c r="K77" s="105"/>
      <c r="L77" s="309">
        <v>255.37</v>
      </c>
      <c r="M77" s="297">
        <f t="shared" si="7"/>
        <v>8384.41</v>
      </c>
      <c r="N77" s="117"/>
      <c r="O77" s="117"/>
      <c r="P77" s="298" t="s">
        <v>1656</v>
      </c>
    </row>
    <row r="78" spans="1:16">
      <c r="A78" s="307">
        <v>46185</v>
      </c>
      <c r="B78" s="308" t="s">
        <v>183</v>
      </c>
      <c r="C78" s="305">
        <v>0.18</v>
      </c>
      <c r="D78" s="305">
        <v>0.99</v>
      </c>
      <c r="E78" s="309">
        <v>365.611</v>
      </c>
      <c r="F78" s="105">
        <f t="shared" si="4"/>
        <v>348.3</v>
      </c>
      <c r="G78" s="105">
        <f t="shared" si="5"/>
        <v>17.311</v>
      </c>
      <c r="H78" s="211">
        <f t="shared" si="6"/>
        <v>0.879978994067465</v>
      </c>
      <c r="I78" s="160"/>
      <c r="J78" s="105"/>
      <c r="K78" s="105"/>
      <c r="L78" s="309">
        <v>321.73</v>
      </c>
      <c r="M78" s="297">
        <f t="shared" si="7"/>
        <v>8062.68</v>
      </c>
      <c r="N78" s="117"/>
      <c r="O78" s="117"/>
      <c r="P78" s="298" t="s">
        <v>1656</v>
      </c>
    </row>
    <row r="79" spans="1:16">
      <c r="A79" s="307">
        <v>46185</v>
      </c>
      <c r="B79" s="308" t="s">
        <v>183</v>
      </c>
      <c r="C79" s="305">
        <v>0</v>
      </c>
      <c r="D79" s="305">
        <v>1</v>
      </c>
      <c r="E79" s="309">
        <v>0.07</v>
      </c>
      <c r="F79" s="105">
        <f t="shared" si="4"/>
        <v>430</v>
      </c>
      <c r="G79" s="105">
        <f t="shared" si="5"/>
        <v>-429.93</v>
      </c>
      <c r="H79" s="211">
        <f t="shared" si="6"/>
        <v>0.857142857142857</v>
      </c>
      <c r="I79" s="160"/>
      <c r="J79" s="105"/>
      <c r="K79" s="105"/>
      <c r="L79" s="309">
        <v>0.06</v>
      </c>
      <c r="M79" s="297">
        <f t="shared" si="7"/>
        <v>8062.62</v>
      </c>
      <c r="N79" s="117"/>
      <c r="O79" s="117"/>
      <c r="P79" s="298" t="s">
        <v>1656</v>
      </c>
    </row>
    <row r="80" spans="1:16">
      <c r="A80" s="307">
        <v>46185</v>
      </c>
      <c r="B80" s="308" t="s">
        <v>51</v>
      </c>
      <c r="C80" s="305">
        <v>0.27</v>
      </c>
      <c r="D80" s="305">
        <v>1</v>
      </c>
      <c r="E80" s="309">
        <v>306.308</v>
      </c>
      <c r="F80" s="105">
        <f t="shared" si="4"/>
        <v>313.9</v>
      </c>
      <c r="G80" s="105">
        <f t="shared" si="5"/>
        <v>-7.59199999999998</v>
      </c>
      <c r="H80" s="211">
        <f t="shared" si="6"/>
        <v>0.879963957846351</v>
      </c>
      <c r="I80" s="160"/>
      <c r="J80" s="105"/>
      <c r="K80" s="105"/>
      <c r="L80" s="309">
        <v>269.54</v>
      </c>
      <c r="M80" s="297">
        <f t="shared" si="7"/>
        <v>7793.08</v>
      </c>
      <c r="N80" s="117"/>
      <c r="O80" s="117"/>
      <c r="P80" s="298" t="s">
        <v>1656</v>
      </c>
    </row>
    <row r="81" spans="1:16">
      <c r="A81" s="307">
        <v>46186</v>
      </c>
      <c r="B81" s="308" t="s">
        <v>66</v>
      </c>
      <c r="C81" s="305">
        <v>0.95</v>
      </c>
      <c r="D81" s="305">
        <v>1</v>
      </c>
      <c r="E81" s="309">
        <v>28.408</v>
      </c>
      <c r="F81" s="105">
        <f t="shared" si="4"/>
        <v>21.5</v>
      </c>
      <c r="G81" s="105">
        <f t="shared" si="5"/>
        <v>6.90799999999998</v>
      </c>
      <c r="H81" s="211">
        <f t="shared" si="6"/>
        <v>0.879681779780343</v>
      </c>
      <c r="I81" s="160"/>
      <c r="J81" s="105"/>
      <c r="K81" s="105">
        <v>10000</v>
      </c>
      <c r="L81" s="309">
        <v>24.99</v>
      </c>
      <c r="M81" s="297">
        <f t="shared" si="7"/>
        <v>17768.09</v>
      </c>
      <c r="N81" s="117"/>
      <c r="O81" s="117"/>
      <c r="P81" s="298" t="s">
        <v>1656</v>
      </c>
    </row>
    <row r="82" spans="1:16">
      <c r="A82" s="307">
        <v>46186</v>
      </c>
      <c r="B82" s="308" t="s">
        <v>81</v>
      </c>
      <c r="C82" s="305">
        <v>0.22</v>
      </c>
      <c r="D82" s="305">
        <v>0.58</v>
      </c>
      <c r="E82" s="309">
        <v>163.746</v>
      </c>
      <c r="F82" s="105">
        <f t="shared" si="4"/>
        <v>154.8</v>
      </c>
      <c r="G82" s="105">
        <f t="shared" si="5"/>
        <v>8.94600000000003</v>
      </c>
      <c r="H82" s="211">
        <f t="shared" si="6"/>
        <v>0.879960426514235</v>
      </c>
      <c r="I82" s="160"/>
      <c r="J82" s="105"/>
      <c r="K82" s="105"/>
      <c r="L82" s="309">
        <v>144.09</v>
      </c>
      <c r="M82" s="297">
        <f t="shared" si="7"/>
        <v>17624</v>
      </c>
      <c r="N82" s="117"/>
      <c r="O82" s="117"/>
      <c r="P82" s="298" t="s">
        <v>1656</v>
      </c>
    </row>
    <row r="83" spans="1:16">
      <c r="A83" s="307">
        <v>46186</v>
      </c>
      <c r="B83" s="308" t="s">
        <v>338</v>
      </c>
      <c r="C83" s="305">
        <v>0.33</v>
      </c>
      <c r="D83" s="305">
        <v>0.99</v>
      </c>
      <c r="E83" s="309">
        <v>294.657</v>
      </c>
      <c r="F83" s="105">
        <f t="shared" si="4"/>
        <v>283.8</v>
      </c>
      <c r="G83" s="105">
        <f t="shared" si="5"/>
        <v>10.857</v>
      </c>
      <c r="H83" s="211">
        <f t="shared" si="6"/>
        <v>0.87997230678382</v>
      </c>
      <c r="I83" s="160"/>
      <c r="J83" s="105"/>
      <c r="K83" s="105"/>
      <c r="L83" s="309">
        <v>259.29</v>
      </c>
      <c r="M83" s="297">
        <f t="shared" si="7"/>
        <v>17364.71</v>
      </c>
      <c r="N83" s="117"/>
      <c r="O83" s="117"/>
      <c r="P83" s="298" t="s">
        <v>1656</v>
      </c>
    </row>
    <row r="84" spans="1:16">
      <c r="A84" s="307">
        <v>46186</v>
      </c>
      <c r="B84" s="308" t="s">
        <v>105</v>
      </c>
      <c r="C84" s="305">
        <v>0.53</v>
      </c>
      <c r="D84" s="305">
        <v>0.97</v>
      </c>
      <c r="E84" s="309">
        <v>220.432</v>
      </c>
      <c r="F84" s="105">
        <f t="shared" si="4"/>
        <v>189.2</v>
      </c>
      <c r="G84" s="105">
        <f t="shared" si="5"/>
        <v>31.232</v>
      </c>
      <c r="H84" s="211">
        <f t="shared" si="6"/>
        <v>0.879953908688394</v>
      </c>
      <c r="I84" s="160"/>
      <c r="J84" s="105"/>
      <c r="K84" s="105"/>
      <c r="L84" s="309">
        <v>193.97</v>
      </c>
      <c r="M84" s="297">
        <f t="shared" si="7"/>
        <v>17170.74</v>
      </c>
      <c r="N84" s="117"/>
      <c r="O84" s="117"/>
      <c r="P84" s="298" t="s">
        <v>1656</v>
      </c>
    </row>
    <row r="85" spans="1:16">
      <c r="A85" s="307">
        <v>46186</v>
      </c>
      <c r="B85" s="308" t="s">
        <v>172</v>
      </c>
      <c r="C85" s="305">
        <v>0</v>
      </c>
      <c r="D85" s="305">
        <v>0.47</v>
      </c>
      <c r="E85" s="309">
        <v>0</v>
      </c>
      <c r="F85" s="105">
        <f t="shared" si="4"/>
        <v>202.1</v>
      </c>
      <c r="G85" s="105">
        <f t="shared" si="5"/>
        <v>-202.1</v>
      </c>
      <c r="H85" s="211" t="e">
        <f t="shared" si="6"/>
        <v>#DIV/0!</v>
      </c>
      <c r="I85" s="160"/>
      <c r="J85" s="105"/>
      <c r="K85" s="105"/>
      <c r="L85" s="309">
        <v>0</v>
      </c>
      <c r="M85" s="297">
        <f t="shared" si="7"/>
        <v>17170.74</v>
      </c>
      <c r="N85" s="117"/>
      <c r="O85" s="117"/>
      <c r="P85" s="298" t="s">
        <v>1656</v>
      </c>
    </row>
    <row r="86" spans="1:16">
      <c r="A86" s="307">
        <v>46186</v>
      </c>
      <c r="B86" s="308" t="s">
        <v>172</v>
      </c>
      <c r="C86" s="305">
        <v>0.47</v>
      </c>
      <c r="D86" s="305">
        <v>1</v>
      </c>
      <c r="E86" s="309">
        <v>220.31</v>
      </c>
      <c r="F86" s="105">
        <f t="shared" si="4"/>
        <v>227.9</v>
      </c>
      <c r="G86" s="105">
        <f t="shared" si="5"/>
        <v>-7.59</v>
      </c>
      <c r="H86" s="211">
        <f t="shared" si="6"/>
        <v>0.87994190004993</v>
      </c>
      <c r="I86" s="160"/>
      <c r="J86" s="105"/>
      <c r="K86" s="105"/>
      <c r="L86" s="309">
        <v>193.86</v>
      </c>
      <c r="M86" s="297">
        <f t="shared" si="7"/>
        <v>16976.88</v>
      </c>
      <c r="N86" s="117"/>
      <c r="O86" s="117"/>
      <c r="P86" s="298" t="s">
        <v>1656</v>
      </c>
    </row>
    <row r="87" spans="1:16">
      <c r="A87" s="307">
        <v>46187</v>
      </c>
      <c r="B87" s="308" t="s">
        <v>192</v>
      </c>
      <c r="C87" s="305">
        <v>0.27</v>
      </c>
      <c r="D87" s="305">
        <v>1</v>
      </c>
      <c r="E87" s="309">
        <v>324.723</v>
      </c>
      <c r="F87" s="105">
        <f t="shared" si="4"/>
        <v>313.9</v>
      </c>
      <c r="G87" s="105">
        <f t="shared" si="5"/>
        <v>10.823</v>
      </c>
      <c r="H87" s="211">
        <f t="shared" si="6"/>
        <v>0.879980783621733</v>
      </c>
      <c r="I87" s="160"/>
      <c r="J87" s="105"/>
      <c r="K87" s="105"/>
      <c r="L87" s="309">
        <v>285.75</v>
      </c>
      <c r="M87" s="297">
        <f t="shared" si="7"/>
        <v>16691.13</v>
      </c>
      <c r="N87" s="117"/>
      <c r="O87" s="117"/>
      <c r="P87" s="298" t="s">
        <v>1656</v>
      </c>
    </row>
    <row r="88" spans="1:16">
      <c r="A88" s="307">
        <v>46187</v>
      </c>
      <c r="B88" s="308" t="s">
        <v>195</v>
      </c>
      <c r="C88" s="305">
        <v>0.2</v>
      </c>
      <c r="D88" s="305">
        <v>1</v>
      </c>
      <c r="E88" s="309">
        <v>354.954</v>
      </c>
      <c r="F88" s="105">
        <f t="shared" si="4"/>
        <v>344</v>
      </c>
      <c r="G88" s="105">
        <f t="shared" si="5"/>
        <v>10.954</v>
      </c>
      <c r="H88" s="211">
        <f t="shared" si="6"/>
        <v>0.879973179623275</v>
      </c>
      <c r="I88" s="160"/>
      <c r="J88" s="105"/>
      <c r="K88" s="105"/>
      <c r="L88" s="309">
        <v>312.35</v>
      </c>
      <c r="M88" s="297">
        <f t="shared" si="7"/>
        <v>16378.78</v>
      </c>
      <c r="N88" s="117"/>
      <c r="O88" s="117"/>
      <c r="P88" s="298" t="s">
        <v>1656</v>
      </c>
    </row>
    <row r="89" spans="1:16">
      <c r="A89" s="307">
        <v>46187</v>
      </c>
      <c r="B89" s="308" t="s">
        <v>105</v>
      </c>
      <c r="C89" s="305">
        <v>0.88</v>
      </c>
      <c r="D89" s="305">
        <v>1</v>
      </c>
      <c r="E89" s="309">
        <v>39.923</v>
      </c>
      <c r="F89" s="105">
        <f t="shared" si="4"/>
        <v>51.6</v>
      </c>
      <c r="G89" s="105">
        <f t="shared" si="5"/>
        <v>-11.677</v>
      </c>
      <c r="H89" s="211">
        <f t="shared" si="6"/>
        <v>0.879693409813892</v>
      </c>
      <c r="I89" s="160"/>
      <c r="J89" s="105"/>
      <c r="K89" s="105"/>
      <c r="L89" s="309">
        <v>35.12</v>
      </c>
      <c r="M89" s="297">
        <f t="shared" si="7"/>
        <v>16343.66</v>
      </c>
      <c r="N89" s="117"/>
      <c r="O89" s="117"/>
      <c r="P89" s="298" t="s">
        <v>1656</v>
      </c>
    </row>
    <row r="90" spans="1:16">
      <c r="A90" s="307">
        <v>46187</v>
      </c>
      <c r="B90" s="308" t="s">
        <v>72</v>
      </c>
      <c r="C90" s="305">
        <v>0.92</v>
      </c>
      <c r="D90" s="305">
        <v>1</v>
      </c>
      <c r="E90" s="309">
        <v>34.651</v>
      </c>
      <c r="F90" s="105">
        <f t="shared" si="4"/>
        <v>34.4</v>
      </c>
      <c r="G90" s="105">
        <f t="shared" si="5"/>
        <v>0.251000000000019</v>
      </c>
      <c r="H90" s="211">
        <f t="shared" si="6"/>
        <v>0.879628293555741</v>
      </c>
      <c r="I90" s="160"/>
      <c r="J90" s="105"/>
      <c r="K90" s="105"/>
      <c r="L90" s="309">
        <v>30.48</v>
      </c>
      <c r="M90" s="297">
        <f t="shared" si="7"/>
        <v>16313.18</v>
      </c>
      <c r="N90" s="117"/>
      <c r="O90" s="117"/>
      <c r="P90" s="298" t="s">
        <v>1656</v>
      </c>
    </row>
    <row r="91" spans="1:16">
      <c r="A91" s="307">
        <v>46187</v>
      </c>
      <c r="B91" s="308" t="s">
        <v>189</v>
      </c>
      <c r="C91" s="305">
        <v>0.16</v>
      </c>
      <c r="D91" s="305">
        <v>1</v>
      </c>
      <c r="E91" s="309">
        <v>366.658</v>
      </c>
      <c r="F91" s="105">
        <f t="shared" si="4"/>
        <v>361.2</v>
      </c>
      <c r="G91" s="105">
        <f t="shared" si="5"/>
        <v>5.45800000000003</v>
      </c>
      <c r="H91" s="211">
        <f t="shared" si="6"/>
        <v>0.879975344871788</v>
      </c>
      <c r="I91" s="160"/>
      <c r="J91" s="105"/>
      <c r="K91" s="105"/>
      <c r="L91" s="309">
        <v>322.65</v>
      </c>
      <c r="M91" s="297">
        <f t="shared" si="7"/>
        <v>15990.53</v>
      </c>
      <c r="N91" s="117"/>
      <c r="O91" s="117"/>
      <c r="P91" s="298" t="s">
        <v>1656</v>
      </c>
    </row>
    <row r="92" spans="1:16">
      <c r="A92" s="307">
        <v>46187</v>
      </c>
      <c r="B92" s="308" t="s">
        <v>339</v>
      </c>
      <c r="C92" s="305">
        <v>0.33</v>
      </c>
      <c r="D92" s="305">
        <v>1</v>
      </c>
      <c r="E92" s="309">
        <v>295.6</v>
      </c>
      <c r="F92" s="105">
        <f t="shared" si="4"/>
        <v>288.1</v>
      </c>
      <c r="G92" s="105">
        <f t="shared" si="5"/>
        <v>7.50000000000006</v>
      </c>
      <c r="H92" s="211">
        <f t="shared" si="6"/>
        <v>0.879939106901218</v>
      </c>
      <c r="I92" s="160"/>
      <c r="J92" s="105"/>
      <c r="K92" s="105"/>
      <c r="L92" s="309">
        <v>260.11</v>
      </c>
      <c r="M92" s="297">
        <f t="shared" si="7"/>
        <v>15730.42</v>
      </c>
      <c r="N92" s="117"/>
      <c r="O92" s="117"/>
      <c r="P92" s="298" t="s">
        <v>1656</v>
      </c>
    </row>
    <row r="93" spans="1:16">
      <c r="A93" s="299">
        <v>46188</v>
      </c>
      <c r="B93" s="300" t="s">
        <v>151</v>
      </c>
      <c r="C93" s="158">
        <v>0.19</v>
      </c>
      <c r="D93" s="158">
        <v>1</v>
      </c>
      <c r="E93" s="302">
        <v>358.364</v>
      </c>
      <c r="F93" s="105">
        <f t="shared" si="4"/>
        <v>348.3</v>
      </c>
      <c r="G93" s="105">
        <f t="shared" si="5"/>
        <v>10.064</v>
      </c>
      <c r="H93" s="160">
        <f t="shared" si="6"/>
        <v>0.879971202464533</v>
      </c>
      <c r="J93" s="105"/>
      <c r="K93" s="105"/>
      <c r="L93" s="302">
        <v>315.35</v>
      </c>
      <c r="M93" s="297">
        <f t="shared" si="7"/>
        <v>15415.07</v>
      </c>
      <c r="N93" s="117"/>
      <c r="O93" s="117"/>
      <c r="P93" s="298" t="s">
        <v>1656</v>
      </c>
    </row>
    <row r="94" spans="1:16">
      <c r="A94" s="295">
        <v>46188</v>
      </c>
      <c r="B94" s="296" t="s">
        <v>183</v>
      </c>
      <c r="C94" s="158">
        <v>0.37</v>
      </c>
      <c r="D94" s="158">
        <v>0.99</v>
      </c>
      <c r="E94" s="297">
        <v>277.423</v>
      </c>
      <c r="F94" s="105">
        <f t="shared" si="4"/>
        <v>266.6</v>
      </c>
      <c r="G94" s="105">
        <f t="shared" si="5"/>
        <v>10.823</v>
      </c>
      <c r="H94" s="160">
        <f t="shared" si="6"/>
        <v>0.879991925687488</v>
      </c>
      <c r="J94" s="105"/>
      <c r="K94" s="105"/>
      <c r="L94" s="297">
        <v>244.13</v>
      </c>
      <c r="M94" s="297">
        <f t="shared" si="7"/>
        <v>15170.94</v>
      </c>
      <c r="N94" s="117"/>
      <c r="O94" s="117"/>
      <c r="P94" s="298" t="s">
        <v>1656</v>
      </c>
    </row>
    <row r="95" spans="1:16">
      <c r="A95" s="295">
        <v>46188</v>
      </c>
      <c r="B95" s="296" t="s">
        <v>81</v>
      </c>
      <c r="C95" s="158">
        <v>0.16</v>
      </c>
      <c r="D95" s="158">
        <v>0.44</v>
      </c>
      <c r="E95" s="297">
        <v>130.315</v>
      </c>
      <c r="F95" s="105">
        <f t="shared" si="4"/>
        <v>120.4</v>
      </c>
      <c r="G95" s="105">
        <f t="shared" si="5"/>
        <v>9.91499999999999</v>
      </c>
      <c r="H95" s="160">
        <f t="shared" si="6"/>
        <v>0.879944749261405</v>
      </c>
      <c r="J95" s="105"/>
      <c r="K95" s="105"/>
      <c r="L95" s="297">
        <v>114.67</v>
      </c>
      <c r="M95" s="297">
        <f t="shared" si="7"/>
        <v>15056.27</v>
      </c>
      <c r="N95" s="117"/>
      <c r="O95" s="117"/>
      <c r="P95" s="298" t="s">
        <v>1656</v>
      </c>
    </row>
    <row r="96" spans="1:16">
      <c r="A96" s="295">
        <v>46188</v>
      </c>
      <c r="B96" s="296" t="s">
        <v>81</v>
      </c>
      <c r="C96" s="158">
        <v>0.45</v>
      </c>
      <c r="D96" s="158">
        <v>1</v>
      </c>
      <c r="E96" s="297">
        <v>252.577</v>
      </c>
      <c r="F96" s="105">
        <f t="shared" si="4"/>
        <v>236.5</v>
      </c>
      <c r="G96" s="105">
        <f t="shared" si="5"/>
        <v>16.077</v>
      </c>
      <c r="H96" s="160">
        <f t="shared" si="6"/>
        <v>0.879969276695819</v>
      </c>
      <c r="J96" s="105"/>
      <c r="K96" s="105"/>
      <c r="L96" s="297">
        <v>222.26</v>
      </c>
      <c r="M96" s="297">
        <f t="shared" si="7"/>
        <v>14834.01</v>
      </c>
      <c r="N96" s="117"/>
      <c r="O96" s="117"/>
      <c r="P96" s="298" t="s">
        <v>1656</v>
      </c>
    </row>
    <row r="97" spans="1:16">
      <c r="A97" s="295">
        <v>46188</v>
      </c>
      <c r="B97" s="296" t="s">
        <v>154</v>
      </c>
      <c r="C97" s="158">
        <v>0.31</v>
      </c>
      <c r="D97" s="158">
        <v>0.99</v>
      </c>
      <c r="E97" s="297">
        <v>311.979</v>
      </c>
      <c r="F97" s="105">
        <f t="shared" si="4"/>
        <v>292.4</v>
      </c>
      <c r="G97" s="105">
        <f t="shared" si="5"/>
        <v>19.579</v>
      </c>
      <c r="H97" s="160">
        <f t="shared" si="6"/>
        <v>0.879995127877197</v>
      </c>
      <c r="J97" s="105"/>
      <c r="K97" s="105"/>
      <c r="L97" s="297">
        <v>274.54</v>
      </c>
      <c r="M97" s="297">
        <f t="shared" si="7"/>
        <v>14559.47</v>
      </c>
      <c r="N97" s="117"/>
      <c r="O97" s="117"/>
      <c r="P97" s="298" t="s">
        <v>1656</v>
      </c>
    </row>
    <row r="98" spans="1:16">
      <c r="A98" s="295">
        <v>46188</v>
      </c>
      <c r="B98" s="296" t="s">
        <v>66</v>
      </c>
      <c r="C98" s="158">
        <v>0.42</v>
      </c>
      <c r="D98" s="158">
        <v>1</v>
      </c>
      <c r="E98" s="297">
        <v>265.133</v>
      </c>
      <c r="F98" s="105">
        <f t="shared" si="4"/>
        <v>249.4</v>
      </c>
      <c r="G98" s="105">
        <f t="shared" si="5"/>
        <v>15.7329999999999</v>
      </c>
      <c r="H98" s="160">
        <f t="shared" si="6"/>
        <v>0.879973447288719</v>
      </c>
      <c r="J98" s="105"/>
      <c r="K98" s="105"/>
      <c r="L98" s="297">
        <v>233.31</v>
      </c>
      <c r="M98" s="297">
        <f t="shared" si="7"/>
        <v>14326.16</v>
      </c>
      <c r="N98" s="117"/>
      <c r="O98" s="117"/>
      <c r="P98" s="298" t="s">
        <v>1656</v>
      </c>
    </row>
    <row r="99" spans="1:16">
      <c r="A99" s="295">
        <v>46188</v>
      </c>
      <c r="B99" s="296" t="s">
        <v>160</v>
      </c>
      <c r="C99" s="158">
        <v>0.3</v>
      </c>
      <c r="D99" s="158">
        <v>0.99</v>
      </c>
      <c r="E99" s="297">
        <v>307.334</v>
      </c>
      <c r="F99" s="105">
        <f t="shared" si="4"/>
        <v>296.7</v>
      </c>
      <c r="G99" s="105">
        <f t="shared" si="5"/>
        <v>10.634</v>
      </c>
      <c r="H99" s="160">
        <f t="shared" si="6"/>
        <v>0.8799547072566</v>
      </c>
      <c r="J99" s="105"/>
      <c r="K99" s="105"/>
      <c r="L99" s="297">
        <v>270.44</v>
      </c>
      <c r="M99" s="297">
        <f t="shared" si="7"/>
        <v>14055.72</v>
      </c>
      <c r="N99" s="117"/>
      <c r="O99" s="117"/>
      <c r="P99" s="298" t="s">
        <v>1656</v>
      </c>
    </row>
    <row r="100" spans="1:16">
      <c r="A100" s="295">
        <v>46188</v>
      </c>
      <c r="B100" s="296" t="s">
        <v>201</v>
      </c>
      <c r="C100" s="158">
        <v>0.29</v>
      </c>
      <c r="D100" s="158">
        <v>1</v>
      </c>
      <c r="E100" s="297">
        <v>310.157</v>
      </c>
      <c r="F100" s="105">
        <f t="shared" si="4"/>
        <v>305.3</v>
      </c>
      <c r="G100" s="105">
        <f t="shared" si="5"/>
        <v>4.85699999999997</v>
      </c>
      <c r="H100" s="160">
        <f t="shared" si="6"/>
        <v>0.87997369074372</v>
      </c>
      <c r="J100" s="105"/>
      <c r="K100" s="105"/>
      <c r="L100" s="297">
        <v>272.93</v>
      </c>
      <c r="M100" s="297">
        <f t="shared" si="7"/>
        <v>13782.79</v>
      </c>
      <c r="N100" s="117"/>
      <c r="O100" s="117"/>
      <c r="P100" s="298" t="s">
        <v>1656</v>
      </c>
    </row>
    <row r="101" spans="1:16">
      <c r="A101" s="295">
        <v>46188</v>
      </c>
      <c r="B101" s="296" t="s">
        <v>204</v>
      </c>
      <c r="C101" s="158">
        <v>0.3</v>
      </c>
      <c r="D101" s="158">
        <v>0.95</v>
      </c>
      <c r="E101" s="297">
        <v>280.988</v>
      </c>
      <c r="F101" s="105">
        <f t="shared" si="4"/>
        <v>279.5</v>
      </c>
      <c r="G101" s="105">
        <f t="shared" si="5"/>
        <v>1.48800000000006</v>
      </c>
      <c r="H101" s="160">
        <f t="shared" si="6"/>
        <v>0.879966404259257</v>
      </c>
      <c r="J101" s="105"/>
      <c r="K101" s="105"/>
      <c r="L101" s="297">
        <v>247.26</v>
      </c>
      <c r="M101" s="297">
        <f t="shared" si="7"/>
        <v>13535.53</v>
      </c>
      <c r="N101" s="117"/>
      <c r="O101" s="117"/>
      <c r="P101" s="298" t="s">
        <v>1656</v>
      </c>
    </row>
    <row r="102" spans="1:16">
      <c r="A102" s="295">
        <v>46188</v>
      </c>
      <c r="B102" s="296" t="s">
        <v>87</v>
      </c>
      <c r="C102" s="158">
        <v>0.37</v>
      </c>
      <c r="D102" s="158">
        <v>0.95</v>
      </c>
      <c r="E102" s="297">
        <v>273.489</v>
      </c>
      <c r="F102" s="105">
        <f t="shared" si="4"/>
        <v>249.4</v>
      </c>
      <c r="G102" s="105">
        <f t="shared" si="5"/>
        <v>24.089</v>
      </c>
      <c r="H102" s="160">
        <f t="shared" si="6"/>
        <v>0.879962265392758</v>
      </c>
      <c r="J102" s="105"/>
      <c r="K102" s="105"/>
      <c r="L102" s="297">
        <v>240.66</v>
      </c>
      <c r="M102" s="297">
        <f t="shared" si="7"/>
        <v>13294.87</v>
      </c>
      <c r="N102" s="117"/>
      <c r="O102" s="117"/>
      <c r="P102" s="298" t="s">
        <v>1656</v>
      </c>
    </row>
    <row r="103" spans="1:16">
      <c r="A103" s="295">
        <v>46188</v>
      </c>
      <c r="B103" s="296" t="s">
        <v>163</v>
      </c>
      <c r="C103" s="158">
        <v>0.27</v>
      </c>
      <c r="D103" s="158">
        <v>0.99</v>
      </c>
      <c r="E103" s="297">
        <v>307.213</v>
      </c>
      <c r="F103" s="105">
        <f t="shared" si="4"/>
        <v>309.6</v>
      </c>
      <c r="G103" s="105">
        <f t="shared" si="5"/>
        <v>-2.38699999999994</v>
      </c>
      <c r="H103" s="160">
        <f t="shared" si="6"/>
        <v>0.879943231568976</v>
      </c>
      <c r="J103" s="105"/>
      <c r="K103" s="105"/>
      <c r="L103" s="297">
        <v>270.33</v>
      </c>
      <c r="M103" s="297">
        <f t="shared" si="7"/>
        <v>13024.54</v>
      </c>
      <c r="N103" s="117"/>
      <c r="O103" s="117"/>
      <c r="P103" s="298" t="s">
        <v>1656</v>
      </c>
    </row>
    <row r="104" spans="1:16">
      <c r="A104" s="295">
        <v>46188</v>
      </c>
      <c r="B104" s="296" t="s">
        <v>51</v>
      </c>
      <c r="C104" s="158">
        <v>0.34</v>
      </c>
      <c r="D104" s="158">
        <v>1</v>
      </c>
      <c r="E104" s="297">
        <v>267.941</v>
      </c>
      <c r="F104" s="105">
        <f t="shared" si="4"/>
        <v>283.8</v>
      </c>
      <c r="G104" s="105">
        <f t="shared" si="5"/>
        <v>-15.859</v>
      </c>
      <c r="H104" s="160">
        <f t="shared" si="6"/>
        <v>0.879969844107471</v>
      </c>
      <c r="J104" s="105"/>
      <c r="K104" s="105"/>
      <c r="L104" s="297">
        <v>235.78</v>
      </c>
      <c r="M104" s="297">
        <f t="shared" si="7"/>
        <v>12788.76</v>
      </c>
      <c r="N104" s="117"/>
      <c r="O104" s="117"/>
      <c r="P104" s="298" t="s">
        <v>1656</v>
      </c>
    </row>
    <row r="105" spans="1:16">
      <c r="A105" s="295">
        <v>46188</v>
      </c>
      <c r="B105" s="296" t="s">
        <v>78</v>
      </c>
      <c r="C105" s="158">
        <v>0.37</v>
      </c>
      <c r="D105" s="158">
        <v>0.48</v>
      </c>
      <c r="E105" s="297">
        <v>54.281</v>
      </c>
      <c r="F105" s="105">
        <f t="shared" si="4"/>
        <v>47.3</v>
      </c>
      <c r="G105" s="105">
        <f t="shared" si="5"/>
        <v>6.981</v>
      </c>
      <c r="H105" s="160">
        <f t="shared" si="6"/>
        <v>0.879681656564912</v>
      </c>
      <c r="J105" s="105"/>
      <c r="K105" s="105"/>
      <c r="L105" s="297">
        <v>47.75</v>
      </c>
      <c r="M105" s="297">
        <f t="shared" si="7"/>
        <v>12741.01</v>
      </c>
      <c r="N105" s="117"/>
      <c r="O105" s="117"/>
      <c r="P105" s="298" t="s">
        <v>1656</v>
      </c>
    </row>
    <row r="106" spans="1:16">
      <c r="A106" s="295">
        <v>46188</v>
      </c>
      <c r="B106" s="296" t="s">
        <v>60</v>
      </c>
      <c r="C106" s="158">
        <v>0.32</v>
      </c>
      <c r="D106" s="158">
        <v>1</v>
      </c>
      <c r="E106" s="297">
        <v>281.269</v>
      </c>
      <c r="F106" s="105">
        <f t="shared" si="4"/>
        <v>292.4</v>
      </c>
      <c r="G106" s="105">
        <f t="shared" si="5"/>
        <v>-11.131</v>
      </c>
      <c r="H106" s="160">
        <f t="shared" si="6"/>
        <v>0.879976108280685</v>
      </c>
      <c r="J106" s="105"/>
      <c r="K106" s="105"/>
      <c r="L106" s="297">
        <v>247.51</v>
      </c>
      <c r="M106" s="297">
        <f t="shared" si="7"/>
        <v>12493.5</v>
      </c>
      <c r="N106" s="117"/>
      <c r="O106" s="117"/>
      <c r="P106" s="298" t="s">
        <v>1656</v>
      </c>
    </row>
    <row r="107" spans="1:16">
      <c r="A107" s="295">
        <v>46188</v>
      </c>
      <c r="B107" s="296" t="s">
        <v>338</v>
      </c>
      <c r="C107" s="158">
        <v>0.25</v>
      </c>
      <c r="D107" s="158">
        <v>0.97</v>
      </c>
      <c r="E107" s="297">
        <v>316.742</v>
      </c>
      <c r="F107" s="105">
        <f t="shared" si="4"/>
        <v>309.6</v>
      </c>
      <c r="G107" s="105">
        <f t="shared" si="5"/>
        <v>7.14200000000005</v>
      </c>
      <c r="H107" s="160">
        <f t="shared" si="6"/>
        <v>0.87999065485474</v>
      </c>
      <c r="J107" s="105"/>
      <c r="K107" s="105"/>
      <c r="L107" s="297">
        <v>278.73</v>
      </c>
      <c r="M107" s="297">
        <f t="shared" si="7"/>
        <v>12214.77</v>
      </c>
      <c r="N107" s="117"/>
      <c r="O107" s="117"/>
      <c r="P107" s="298" t="s">
        <v>1656</v>
      </c>
    </row>
    <row r="108" spans="1:16">
      <c r="A108" s="295">
        <v>46188</v>
      </c>
      <c r="B108" s="296" t="s">
        <v>180</v>
      </c>
      <c r="C108" s="158">
        <v>0.34</v>
      </c>
      <c r="D108" s="158">
        <v>0.97</v>
      </c>
      <c r="E108" s="297">
        <v>281.416</v>
      </c>
      <c r="F108" s="105">
        <f t="shared" si="4"/>
        <v>270.9</v>
      </c>
      <c r="G108" s="105">
        <f t="shared" si="5"/>
        <v>10.516</v>
      </c>
      <c r="H108" s="160">
        <f t="shared" si="6"/>
        <v>0.879942860391733</v>
      </c>
      <c r="J108" s="105"/>
      <c r="K108" s="105"/>
      <c r="L108" s="297">
        <v>247.63</v>
      </c>
      <c r="M108" s="297">
        <f t="shared" si="7"/>
        <v>11967.14</v>
      </c>
      <c r="N108" s="117"/>
      <c r="O108" s="117"/>
      <c r="P108" s="298" t="s">
        <v>1656</v>
      </c>
    </row>
    <row r="109" spans="1:16">
      <c r="A109" s="295">
        <v>46189</v>
      </c>
      <c r="B109" s="296" t="s">
        <v>81</v>
      </c>
      <c r="C109" s="158">
        <v>0.76</v>
      </c>
      <c r="D109" s="158">
        <v>1</v>
      </c>
      <c r="E109" s="297">
        <v>107.319</v>
      </c>
      <c r="F109" s="105">
        <f t="shared" si="4"/>
        <v>103.2</v>
      </c>
      <c r="G109" s="105">
        <f t="shared" si="5"/>
        <v>4.119</v>
      </c>
      <c r="H109" s="160">
        <f t="shared" si="6"/>
        <v>0.879993291029547</v>
      </c>
      <c r="J109" s="105"/>
      <c r="K109" s="105"/>
      <c r="L109" s="297">
        <v>94.44</v>
      </c>
      <c r="M109" s="297">
        <f t="shared" si="7"/>
        <v>11872.7</v>
      </c>
      <c r="N109" s="117"/>
      <c r="O109" s="117"/>
      <c r="P109" s="298" t="s">
        <v>1656</v>
      </c>
    </row>
    <row r="110" spans="1:16">
      <c r="A110" s="295">
        <v>46189</v>
      </c>
      <c r="B110" s="296" t="s">
        <v>63</v>
      </c>
      <c r="C110" s="158">
        <v>0.42</v>
      </c>
      <c r="D110" s="158">
        <v>1</v>
      </c>
      <c r="E110" s="297">
        <v>261.433</v>
      </c>
      <c r="F110" s="105">
        <f t="shared" si="4"/>
        <v>249.4</v>
      </c>
      <c r="G110" s="105">
        <f t="shared" si="5"/>
        <v>12.033</v>
      </c>
      <c r="H110" s="160">
        <f t="shared" si="6"/>
        <v>0.879957771207154</v>
      </c>
      <c r="J110" s="105"/>
      <c r="K110" s="105"/>
      <c r="L110" s="297">
        <v>230.05</v>
      </c>
      <c r="M110" s="297">
        <f t="shared" si="7"/>
        <v>11642.65</v>
      </c>
      <c r="N110" s="117"/>
      <c r="O110" s="117"/>
      <c r="P110" s="298" t="s">
        <v>1656</v>
      </c>
    </row>
    <row r="111" spans="1:16">
      <c r="A111" s="295">
        <v>46189</v>
      </c>
      <c r="B111" s="296" t="s">
        <v>339</v>
      </c>
      <c r="C111" s="158">
        <v>0.36</v>
      </c>
      <c r="D111" s="158">
        <v>1</v>
      </c>
      <c r="E111" s="297">
        <v>281.912</v>
      </c>
      <c r="F111" s="105">
        <f t="shared" si="4"/>
        <v>275.2</v>
      </c>
      <c r="G111" s="105">
        <f t="shared" si="5"/>
        <v>6.71199999999999</v>
      </c>
      <c r="H111" s="160">
        <f t="shared" si="6"/>
        <v>0.879955447089872</v>
      </c>
      <c r="J111" s="105"/>
      <c r="K111" s="105"/>
      <c r="L111" s="297">
        <v>248.07</v>
      </c>
      <c r="M111" s="297">
        <f t="shared" si="7"/>
        <v>11394.58</v>
      </c>
      <c r="N111" s="117"/>
      <c r="O111" s="117"/>
      <c r="P111" s="298" t="s">
        <v>1656</v>
      </c>
    </row>
    <row r="112" spans="1:16">
      <c r="A112" s="295">
        <v>46189</v>
      </c>
      <c r="B112" s="296" t="s">
        <v>207</v>
      </c>
      <c r="C112" s="158">
        <v>0.29</v>
      </c>
      <c r="D112" s="158">
        <v>1</v>
      </c>
      <c r="E112" s="297">
        <v>316.016</v>
      </c>
      <c r="F112" s="105">
        <f t="shared" si="4"/>
        <v>305.3</v>
      </c>
      <c r="G112" s="105">
        <f t="shared" si="5"/>
        <v>10.716</v>
      </c>
      <c r="H112" s="160">
        <f t="shared" si="6"/>
        <v>0.879987089261303</v>
      </c>
      <c r="J112" s="105"/>
      <c r="K112" s="105"/>
      <c r="L112" s="297">
        <v>278.09</v>
      </c>
      <c r="M112" s="297">
        <f t="shared" si="7"/>
        <v>11116.49</v>
      </c>
      <c r="N112" s="117"/>
      <c r="O112" s="117"/>
      <c r="P112" s="298" t="s">
        <v>1656</v>
      </c>
    </row>
    <row r="113" spans="1:16">
      <c r="A113" s="295">
        <v>46189</v>
      </c>
      <c r="B113" s="296" t="s">
        <v>225</v>
      </c>
      <c r="C113" s="158">
        <v>0.1</v>
      </c>
      <c r="D113" s="158">
        <v>0.95</v>
      </c>
      <c r="E113" s="297">
        <v>376.057</v>
      </c>
      <c r="F113" s="105">
        <f t="shared" si="4"/>
        <v>365.5</v>
      </c>
      <c r="G113" s="105">
        <f t="shared" si="5"/>
        <v>10.557</v>
      </c>
      <c r="H113" s="160">
        <f t="shared" si="6"/>
        <v>0.879972982819094</v>
      </c>
      <c r="J113" s="105"/>
      <c r="K113" s="105"/>
      <c r="L113" s="297">
        <v>330.92</v>
      </c>
      <c r="M113" s="297">
        <f t="shared" si="7"/>
        <v>10785.57</v>
      </c>
      <c r="N113" s="117"/>
      <c r="O113" s="117"/>
      <c r="P113" s="298" t="s">
        <v>1656</v>
      </c>
    </row>
    <row r="114" spans="1:16">
      <c r="A114" s="295">
        <v>46189</v>
      </c>
      <c r="B114" s="296" t="s">
        <v>105</v>
      </c>
      <c r="C114" s="158">
        <v>0.51</v>
      </c>
      <c r="D114" s="158">
        <v>1</v>
      </c>
      <c r="E114" s="297">
        <v>219.438</v>
      </c>
      <c r="F114" s="105">
        <f t="shared" si="4"/>
        <v>210.7</v>
      </c>
      <c r="G114" s="105">
        <f t="shared" si="5"/>
        <v>8.738</v>
      </c>
      <c r="H114" s="160">
        <f t="shared" si="6"/>
        <v>0.879975209398555</v>
      </c>
      <c r="J114" s="105"/>
      <c r="K114" s="105"/>
      <c r="L114" s="297">
        <v>193.1</v>
      </c>
      <c r="M114" s="297">
        <f t="shared" si="7"/>
        <v>10592.47</v>
      </c>
      <c r="N114" s="117"/>
      <c r="O114" s="117"/>
      <c r="P114" s="298" t="s">
        <v>1656</v>
      </c>
    </row>
    <row r="115" spans="1:16">
      <c r="A115" s="295">
        <v>46189</v>
      </c>
      <c r="B115" s="296" t="s">
        <v>192</v>
      </c>
      <c r="C115" s="158">
        <v>0.4</v>
      </c>
      <c r="D115" s="158">
        <v>0.49</v>
      </c>
      <c r="E115" s="297">
        <v>37.262</v>
      </c>
      <c r="F115" s="105">
        <f t="shared" si="4"/>
        <v>38.7</v>
      </c>
      <c r="G115" s="105">
        <f t="shared" si="5"/>
        <v>-1.43799999999999</v>
      </c>
      <c r="H115" s="160">
        <f t="shared" si="6"/>
        <v>0.879716601363319</v>
      </c>
      <c r="J115" s="105"/>
      <c r="K115" s="105"/>
      <c r="L115" s="297">
        <v>32.78</v>
      </c>
      <c r="M115" s="297">
        <f t="shared" si="7"/>
        <v>10559.69</v>
      </c>
      <c r="N115" s="117"/>
      <c r="O115" s="117"/>
      <c r="P115" s="298" t="s">
        <v>1656</v>
      </c>
    </row>
    <row r="116" spans="1:16">
      <c r="A116" s="295">
        <v>46189</v>
      </c>
      <c r="B116" s="296" t="s">
        <v>192</v>
      </c>
      <c r="C116" s="158">
        <v>0.46</v>
      </c>
      <c r="D116" s="158">
        <v>1</v>
      </c>
      <c r="E116" s="297">
        <v>236.013</v>
      </c>
      <c r="F116" s="105">
        <f t="shared" si="4"/>
        <v>232.2</v>
      </c>
      <c r="G116" s="105">
        <f t="shared" si="5"/>
        <v>3.81299999999999</v>
      </c>
      <c r="H116" s="160">
        <f t="shared" si="6"/>
        <v>0.879951528093791</v>
      </c>
      <c r="J116" s="105"/>
      <c r="K116" s="105"/>
      <c r="L116" s="297">
        <v>207.68</v>
      </c>
      <c r="M116" s="297">
        <f t="shared" si="7"/>
        <v>10352.01</v>
      </c>
      <c r="N116" s="117"/>
      <c r="O116" s="117"/>
      <c r="P116" s="298" t="s">
        <v>1656</v>
      </c>
    </row>
    <row r="117" spans="1:16">
      <c r="A117" s="295">
        <v>46190</v>
      </c>
      <c r="B117" s="296" t="s">
        <v>183</v>
      </c>
      <c r="C117" s="158">
        <v>0.19</v>
      </c>
      <c r="D117" s="158">
        <v>1</v>
      </c>
      <c r="E117" s="297">
        <v>355.391</v>
      </c>
      <c r="F117" s="105">
        <f t="shared" si="4"/>
        <v>348.3</v>
      </c>
      <c r="G117" s="105">
        <f t="shared" si="5"/>
        <v>7.09100000000001</v>
      </c>
      <c r="H117" s="160">
        <f t="shared" si="6"/>
        <v>0.879960381664139</v>
      </c>
      <c r="J117" s="105"/>
      <c r="K117" s="105"/>
      <c r="L117" s="297">
        <v>312.73</v>
      </c>
      <c r="M117" s="297">
        <f t="shared" si="7"/>
        <v>10039.28</v>
      </c>
      <c r="N117" s="117"/>
      <c r="O117" s="117"/>
      <c r="P117" s="298" t="s">
        <v>1656</v>
      </c>
    </row>
    <row r="118" spans="1:16">
      <c r="A118" s="295">
        <v>46190</v>
      </c>
      <c r="B118" s="296" t="s">
        <v>124</v>
      </c>
      <c r="C118" s="158">
        <v>0.44</v>
      </c>
      <c r="D118" s="158">
        <v>1</v>
      </c>
      <c r="E118" s="297">
        <v>236.197</v>
      </c>
      <c r="F118" s="105">
        <f t="shared" si="4"/>
        <v>240.8</v>
      </c>
      <c r="G118" s="105">
        <f t="shared" si="5"/>
        <v>-4.60300000000001</v>
      </c>
      <c r="H118" s="160">
        <f t="shared" si="6"/>
        <v>0.879943437046194</v>
      </c>
      <c r="J118" s="105"/>
      <c r="K118" s="105"/>
      <c r="L118" s="297">
        <v>207.84</v>
      </c>
      <c r="M118" s="297">
        <f t="shared" si="7"/>
        <v>9831.44</v>
      </c>
      <c r="N118" s="117"/>
      <c r="O118" s="117"/>
      <c r="P118" s="298" t="s">
        <v>1656</v>
      </c>
    </row>
    <row r="119" spans="1:16">
      <c r="A119" s="295">
        <v>46190</v>
      </c>
      <c r="B119" s="296" t="s">
        <v>75</v>
      </c>
      <c r="C119" s="158">
        <v>0.16</v>
      </c>
      <c r="D119" s="158">
        <v>1</v>
      </c>
      <c r="E119" s="297">
        <v>379.642</v>
      </c>
      <c r="F119" s="105">
        <f t="shared" si="4"/>
        <v>361.2</v>
      </c>
      <c r="G119" s="105">
        <f t="shared" si="5"/>
        <v>18.442</v>
      </c>
      <c r="H119" s="160">
        <f t="shared" si="6"/>
        <v>0.879960594454776</v>
      </c>
      <c r="J119" s="105"/>
      <c r="K119" s="105"/>
      <c r="L119" s="297">
        <v>334.07</v>
      </c>
      <c r="M119" s="297">
        <f t="shared" si="7"/>
        <v>9497.37</v>
      </c>
      <c r="N119" s="117"/>
      <c r="O119" s="117"/>
      <c r="P119" s="298" t="s">
        <v>1656</v>
      </c>
    </row>
    <row r="120" spans="1:16">
      <c r="A120" s="295">
        <v>46190</v>
      </c>
      <c r="B120" s="296" t="s">
        <v>81</v>
      </c>
      <c r="C120" s="158">
        <v>0.17</v>
      </c>
      <c r="D120" s="158">
        <v>1</v>
      </c>
      <c r="E120" s="297">
        <v>382.493</v>
      </c>
      <c r="F120" s="105">
        <f t="shared" si="4"/>
        <v>356.9</v>
      </c>
      <c r="G120" s="105">
        <f t="shared" si="5"/>
        <v>25.593</v>
      </c>
      <c r="H120" s="160">
        <f t="shared" si="6"/>
        <v>0.879963816331279</v>
      </c>
      <c r="J120" s="105"/>
      <c r="K120" s="105"/>
      <c r="L120" s="297">
        <v>336.58</v>
      </c>
      <c r="M120" s="297">
        <f t="shared" si="7"/>
        <v>9160.79</v>
      </c>
      <c r="N120" s="117"/>
      <c r="O120" s="117"/>
      <c r="P120" s="298" t="s">
        <v>1656</v>
      </c>
    </row>
    <row r="121" spans="1:16">
      <c r="A121" s="295">
        <v>46190</v>
      </c>
      <c r="B121" s="296" t="s">
        <v>84</v>
      </c>
      <c r="C121" s="158">
        <v>0.51</v>
      </c>
      <c r="D121" s="158">
        <v>1</v>
      </c>
      <c r="E121" s="297">
        <v>232.754</v>
      </c>
      <c r="F121" s="105">
        <f t="shared" si="4"/>
        <v>210.7</v>
      </c>
      <c r="G121" s="105">
        <f t="shared" si="5"/>
        <v>22.054</v>
      </c>
      <c r="H121" s="160">
        <f t="shared" si="6"/>
        <v>0.879984876736812</v>
      </c>
      <c r="J121" s="105"/>
      <c r="K121" s="105"/>
      <c r="L121" s="297">
        <v>204.82</v>
      </c>
      <c r="M121" s="297">
        <f t="shared" si="7"/>
        <v>8955.97</v>
      </c>
      <c r="N121" s="117"/>
      <c r="O121" s="117"/>
      <c r="P121" s="298" t="s">
        <v>1656</v>
      </c>
    </row>
    <row r="122" spans="1:16">
      <c r="A122" s="295">
        <v>46190</v>
      </c>
      <c r="B122" s="296" t="s">
        <v>189</v>
      </c>
      <c r="C122" s="158">
        <v>0.36</v>
      </c>
      <c r="D122" s="158">
        <v>0.96</v>
      </c>
      <c r="E122" s="297">
        <v>265.302</v>
      </c>
      <c r="F122" s="105">
        <f t="shared" si="4"/>
        <v>258</v>
      </c>
      <c r="G122" s="105">
        <f t="shared" si="5"/>
        <v>7.30200000000002</v>
      </c>
      <c r="H122" s="160">
        <f t="shared" si="6"/>
        <v>0.87994059600003</v>
      </c>
      <c r="J122" s="105"/>
      <c r="K122" s="105"/>
      <c r="L122" s="297">
        <v>233.45</v>
      </c>
      <c r="M122" s="297">
        <f t="shared" si="7"/>
        <v>8722.52</v>
      </c>
      <c r="N122" s="117"/>
      <c r="O122" s="117"/>
      <c r="P122" s="298" t="s">
        <v>1656</v>
      </c>
    </row>
    <row r="123" spans="1:16">
      <c r="A123" s="295">
        <v>46190</v>
      </c>
      <c r="B123" s="296" t="s">
        <v>195</v>
      </c>
      <c r="C123" s="158">
        <v>0.37</v>
      </c>
      <c r="D123" s="158">
        <v>1</v>
      </c>
      <c r="E123" s="297">
        <v>274.499</v>
      </c>
      <c r="F123" s="105">
        <f t="shared" si="4"/>
        <v>270.9</v>
      </c>
      <c r="G123" s="105">
        <f t="shared" si="5"/>
        <v>3.59900000000005</v>
      </c>
      <c r="H123" s="160">
        <f t="shared" si="6"/>
        <v>0.879930345830039</v>
      </c>
      <c r="J123" s="105"/>
      <c r="K123" s="105"/>
      <c r="L123" s="297">
        <v>241.54</v>
      </c>
      <c r="M123" s="297">
        <f t="shared" si="7"/>
        <v>8480.98</v>
      </c>
      <c r="N123" s="117"/>
      <c r="O123" s="117"/>
      <c r="P123" s="298" t="s">
        <v>1656</v>
      </c>
    </row>
    <row r="124" spans="1:16">
      <c r="A124" s="295">
        <v>46190</v>
      </c>
      <c r="B124" s="296" t="s">
        <v>154</v>
      </c>
      <c r="C124" s="158">
        <v>0.46</v>
      </c>
      <c r="D124" s="158">
        <v>1</v>
      </c>
      <c r="E124" s="297">
        <v>240.391</v>
      </c>
      <c r="F124" s="105">
        <f t="shared" si="4"/>
        <v>232.2</v>
      </c>
      <c r="G124" s="105">
        <f t="shared" si="5"/>
        <v>8.19099999999997</v>
      </c>
      <c r="H124" s="160">
        <f t="shared" si="6"/>
        <v>0.879941428755652</v>
      </c>
      <c r="J124" s="105"/>
      <c r="K124" s="105"/>
      <c r="L124" s="297">
        <v>211.53</v>
      </c>
      <c r="M124" s="297">
        <f t="shared" si="7"/>
        <v>8269.45</v>
      </c>
      <c r="N124" s="117"/>
      <c r="O124" s="117"/>
      <c r="P124" s="298" t="s">
        <v>1656</v>
      </c>
    </row>
    <row r="125" spans="1:16">
      <c r="A125" s="295">
        <v>46190</v>
      </c>
      <c r="B125" s="296" t="s">
        <v>93</v>
      </c>
      <c r="C125" s="158">
        <v>0.97</v>
      </c>
      <c r="D125" s="158">
        <v>1</v>
      </c>
      <c r="E125" s="297">
        <v>23.104</v>
      </c>
      <c r="F125" s="105">
        <f t="shared" si="4"/>
        <v>12.9</v>
      </c>
      <c r="G125" s="105">
        <f t="shared" si="5"/>
        <v>10.204</v>
      </c>
      <c r="H125" s="160">
        <f t="shared" si="6"/>
        <v>0.879501385041551</v>
      </c>
      <c r="J125" s="105"/>
      <c r="K125" s="105"/>
      <c r="L125" s="297">
        <v>20.32</v>
      </c>
      <c r="M125" s="297">
        <f t="shared" si="7"/>
        <v>8249.13</v>
      </c>
      <c r="N125" s="117"/>
      <c r="O125" s="117"/>
      <c r="P125" s="298" t="s">
        <v>1656</v>
      </c>
    </row>
    <row r="126" spans="1:16">
      <c r="A126" s="295">
        <v>46190</v>
      </c>
      <c r="B126" s="296" t="s">
        <v>117</v>
      </c>
      <c r="C126" s="158">
        <v>0.26</v>
      </c>
      <c r="D126" s="158">
        <v>0.99</v>
      </c>
      <c r="E126" s="297">
        <v>310.771</v>
      </c>
      <c r="F126" s="105">
        <f t="shared" si="4"/>
        <v>313.9</v>
      </c>
      <c r="G126" s="105">
        <f t="shared" si="5"/>
        <v>-3.12899999999996</v>
      </c>
      <c r="H126" s="160">
        <f t="shared" si="6"/>
        <v>0.879972713026634</v>
      </c>
      <c r="J126" s="105"/>
      <c r="K126" s="105"/>
      <c r="L126" s="297">
        <v>273.47</v>
      </c>
      <c r="M126" s="297">
        <f t="shared" si="7"/>
        <v>7975.66</v>
      </c>
      <c r="N126" s="117"/>
      <c r="O126" s="117"/>
      <c r="P126" s="298" t="s">
        <v>1656</v>
      </c>
    </row>
    <row r="127" spans="1:16">
      <c r="A127" s="295">
        <v>46190</v>
      </c>
      <c r="B127" s="296" t="s">
        <v>163</v>
      </c>
      <c r="C127" s="158">
        <v>0.4</v>
      </c>
      <c r="D127" s="158">
        <v>1</v>
      </c>
      <c r="E127" s="297">
        <v>258.526</v>
      </c>
      <c r="F127" s="105">
        <f t="shared" si="4"/>
        <v>258</v>
      </c>
      <c r="G127" s="105">
        <f t="shared" si="5"/>
        <v>0.52600000000001</v>
      </c>
      <c r="H127" s="160">
        <f t="shared" si="6"/>
        <v>0.879988859921246</v>
      </c>
      <c r="J127" s="105"/>
      <c r="K127" s="105"/>
      <c r="L127" s="297">
        <v>227.5</v>
      </c>
      <c r="M127" s="297">
        <f t="shared" si="7"/>
        <v>7748.16</v>
      </c>
      <c r="N127" s="117"/>
      <c r="O127" s="117"/>
      <c r="P127" s="298" t="s">
        <v>1656</v>
      </c>
    </row>
    <row r="128" spans="1:16">
      <c r="A128" s="295">
        <v>46190</v>
      </c>
      <c r="B128" s="296" t="s">
        <v>338</v>
      </c>
      <c r="C128" s="158">
        <v>0.3</v>
      </c>
      <c r="D128" s="158">
        <v>1</v>
      </c>
      <c r="E128" s="297">
        <v>286.292</v>
      </c>
      <c r="F128" s="105">
        <f t="shared" si="4"/>
        <v>301</v>
      </c>
      <c r="G128" s="105">
        <f t="shared" si="5"/>
        <v>-14.708</v>
      </c>
      <c r="H128" s="160">
        <f t="shared" si="6"/>
        <v>0.879975689156526</v>
      </c>
      <c r="J128" s="105"/>
      <c r="K128" s="105"/>
      <c r="L128" s="297">
        <v>251.93</v>
      </c>
      <c r="M128" s="297">
        <f t="shared" si="7"/>
        <v>7496.23</v>
      </c>
      <c r="N128" s="117"/>
      <c r="O128" s="117"/>
      <c r="P128" s="298" t="s">
        <v>1656</v>
      </c>
    </row>
    <row r="129" spans="1:16">
      <c r="A129" s="295">
        <v>46190</v>
      </c>
      <c r="B129" s="296" t="s">
        <v>210</v>
      </c>
      <c r="C129" s="158">
        <v>0.25</v>
      </c>
      <c r="D129" s="158">
        <v>0.99</v>
      </c>
      <c r="E129" s="297">
        <v>315.511</v>
      </c>
      <c r="F129" s="105">
        <f t="shared" si="4"/>
        <v>318.2</v>
      </c>
      <c r="G129" s="105">
        <f t="shared" si="5"/>
        <v>-2.68899999999996</v>
      </c>
      <c r="H129" s="160">
        <f t="shared" si="6"/>
        <v>0.879969319611677</v>
      </c>
      <c r="J129" s="105"/>
      <c r="K129" s="105"/>
      <c r="L129" s="297">
        <v>277.64</v>
      </c>
      <c r="M129" s="297">
        <f t="shared" si="7"/>
        <v>7218.59</v>
      </c>
      <c r="N129" s="117"/>
      <c r="O129" s="117"/>
      <c r="P129" s="298" t="s">
        <v>1656</v>
      </c>
    </row>
    <row r="130" spans="1:16">
      <c r="A130" s="295">
        <v>46190</v>
      </c>
      <c r="B130" s="296" t="s">
        <v>160</v>
      </c>
      <c r="C130" s="158">
        <v>0.39</v>
      </c>
      <c r="D130" s="158">
        <v>0.99</v>
      </c>
      <c r="E130" s="297">
        <v>269.946</v>
      </c>
      <c r="F130" s="105">
        <f t="shared" si="4"/>
        <v>258</v>
      </c>
      <c r="G130" s="105">
        <f t="shared" si="5"/>
        <v>11.946</v>
      </c>
      <c r="H130" s="160">
        <f t="shared" si="6"/>
        <v>0.879953768531484</v>
      </c>
      <c r="J130" s="105"/>
      <c r="K130" s="105"/>
      <c r="L130" s="297">
        <v>237.54</v>
      </c>
      <c r="M130" s="297">
        <f t="shared" si="7"/>
        <v>6981.05</v>
      </c>
      <c r="N130" s="117"/>
      <c r="O130" s="117"/>
      <c r="P130" s="298" t="s">
        <v>1656</v>
      </c>
    </row>
    <row r="131" spans="1:16">
      <c r="A131" s="295">
        <v>46190</v>
      </c>
      <c r="B131" s="296" t="s">
        <v>186</v>
      </c>
      <c r="C131" s="158">
        <v>0.2</v>
      </c>
      <c r="D131" s="158">
        <v>0.99</v>
      </c>
      <c r="E131" s="297">
        <v>354</v>
      </c>
      <c r="F131" s="105">
        <f t="shared" ref="F131:F169" si="8">(D131-C131)*430</f>
        <v>339.7</v>
      </c>
      <c r="G131" s="105">
        <f t="shared" ref="G131:G169" si="9">E131-F131</f>
        <v>14.3</v>
      </c>
      <c r="H131" s="160">
        <f t="shared" ref="H131:H159" si="10">L131/E131</f>
        <v>0.879971751412429</v>
      </c>
      <c r="J131" s="105"/>
      <c r="K131" s="105">
        <v>5000</v>
      </c>
      <c r="L131" s="297">
        <v>311.51</v>
      </c>
      <c r="M131" s="297">
        <f t="shared" ref="M131:M169" si="11">M130+K131-L131</f>
        <v>11669.54</v>
      </c>
      <c r="N131" s="117"/>
      <c r="O131" s="117"/>
      <c r="P131" s="298" t="s">
        <v>1656</v>
      </c>
    </row>
    <row r="132" spans="1:16">
      <c r="A132" s="295">
        <v>46191</v>
      </c>
      <c r="B132" s="308" t="s">
        <v>151</v>
      </c>
      <c r="C132" s="191">
        <v>0.3</v>
      </c>
      <c r="D132" s="191">
        <v>1</v>
      </c>
      <c r="E132" s="285">
        <v>307.163</v>
      </c>
      <c r="F132" s="105">
        <f t="shared" si="8"/>
        <v>301</v>
      </c>
      <c r="G132" s="105">
        <f t="shared" si="9"/>
        <v>6.16300000000001</v>
      </c>
      <c r="H132" s="160">
        <f t="shared" si="10"/>
        <v>0.879988800734464</v>
      </c>
      <c r="L132" s="285">
        <v>270.3</v>
      </c>
      <c r="M132" s="297">
        <f t="shared" si="11"/>
        <v>11399.24</v>
      </c>
      <c r="P132" s="298" t="s">
        <v>1656</v>
      </c>
    </row>
    <row r="133" spans="1:16">
      <c r="A133" s="295">
        <v>46191</v>
      </c>
      <c r="B133" s="308" t="s">
        <v>96</v>
      </c>
      <c r="C133" s="191">
        <v>0.95</v>
      </c>
      <c r="D133" s="191">
        <v>1</v>
      </c>
      <c r="E133" s="285">
        <v>25.759</v>
      </c>
      <c r="F133" s="105">
        <f t="shared" si="8"/>
        <v>21.5</v>
      </c>
      <c r="G133" s="105">
        <f t="shared" si="9"/>
        <v>4.259</v>
      </c>
      <c r="H133" s="160">
        <f t="shared" si="10"/>
        <v>0.879304320819908</v>
      </c>
      <c r="L133" s="285">
        <v>22.65</v>
      </c>
      <c r="M133" s="297">
        <f t="shared" si="11"/>
        <v>11376.59</v>
      </c>
      <c r="P133" s="298" t="s">
        <v>1656</v>
      </c>
    </row>
    <row r="134" spans="1:16">
      <c r="A134" s="295">
        <v>46191</v>
      </c>
      <c r="B134" s="308" t="s">
        <v>102</v>
      </c>
      <c r="C134" s="191">
        <v>0.94</v>
      </c>
      <c r="D134" s="191">
        <v>1</v>
      </c>
      <c r="E134" s="285">
        <v>30.35</v>
      </c>
      <c r="F134" s="105">
        <f t="shared" si="8"/>
        <v>25.8</v>
      </c>
      <c r="G134" s="105">
        <f t="shared" si="9"/>
        <v>4.55</v>
      </c>
      <c r="H134" s="160">
        <f t="shared" si="10"/>
        <v>0.879736408566722</v>
      </c>
      <c r="L134" s="285">
        <v>26.7</v>
      </c>
      <c r="M134" s="297">
        <f t="shared" si="11"/>
        <v>11349.89</v>
      </c>
      <c r="P134" s="298" t="s">
        <v>1656</v>
      </c>
    </row>
    <row r="135" spans="1:16">
      <c r="A135" s="295">
        <v>46191</v>
      </c>
      <c r="B135" s="308" t="s">
        <v>87</v>
      </c>
      <c r="C135" s="191">
        <v>0.44</v>
      </c>
      <c r="D135" s="191">
        <v>1</v>
      </c>
      <c r="E135" s="285">
        <v>260.963</v>
      </c>
      <c r="F135" s="105">
        <f t="shared" si="8"/>
        <v>240.8</v>
      </c>
      <c r="G135" s="105">
        <f t="shared" si="9"/>
        <v>20.163</v>
      </c>
      <c r="H135" s="160">
        <f t="shared" si="10"/>
        <v>0.879971490211256</v>
      </c>
      <c r="L135" s="285">
        <v>229.64</v>
      </c>
      <c r="M135" s="297">
        <f t="shared" si="11"/>
        <v>11120.25</v>
      </c>
      <c r="P135" s="298" t="s">
        <v>1656</v>
      </c>
    </row>
    <row r="136" spans="1:16">
      <c r="A136" s="295">
        <v>46191</v>
      </c>
      <c r="B136" s="308" t="s">
        <v>81</v>
      </c>
      <c r="C136" s="191">
        <v>0.88</v>
      </c>
      <c r="D136" s="191">
        <v>1</v>
      </c>
      <c r="E136" s="285">
        <v>48.352</v>
      </c>
      <c r="F136" s="105">
        <f t="shared" si="8"/>
        <v>51.6</v>
      </c>
      <c r="G136" s="105">
        <f t="shared" si="9"/>
        <v>-3.248</v>
      </c>
      <c r="H136" s="160">
        <f t="shared" si="10"/>
        <v>0.879798146922568</v>
      </c>
      <c r="L136" s="285">
        <v>42.54</v>
      </c>
      <c r="M136" s="297">
        <f t="shared" si="11"/>
        <v>11077.71</v>
      </c>
      <c r="P136" s="298" t="s">
        <v>1656</v>
      </c>
    </row>
    <row r="137" spans="1:16">
      <c r="A137" s="295">
        <v>46191</v>
      </c>
      <c r="B137" s="308" t="s">
        <v>189</v>
      </c>
      <c r="C137" s="191">
        <v>0.85</v>
      </c>
      <c r="D137" s="191">
        <v>0.99</v>
      </c>
      <c r="E137" s="285">
        <v>66.309</v>
      </c>
      <c r="F137" s="105">
        <f t="shared" si="8"/>
        <v>60.2</v>
      </c>
      <c r="G137" s="105">
        <f t="shared" si="9"/>
        <v>6.10899999999999</v>
      </c>
      <c r="H137" s="160">
        <f t="shared" si="10"/>
        <v>0.8798202355638</v>
      </c>
      <c r="L137" s="285">
        <v>58.34</v>
      </c>
      <c r="M137" s="297">
        <f t="shared" si="11"/>
        <v>11019.37</v>
      </c>
      <c r="P137" s="298" t="s">
        <v>1656</v>
      </c>
    </row>
    <row r="138" spans="1:16">
      <c r="A138" s="295">
        <v>46191</v>
      </c>
      <c r="B138" s="308" t="s">
        <v>57</v>
      </c>
      <c r="C138" s="191">
        <v>0.36</v>
      </c>
      <c r="D138" s="191">
        <v>1</v>
      </c>
      <c r="E138" s="285">
        <v>267.155</v>
      </c>
      <c r="F138" s="105">
        <f t="shared" si="8"/>
        <v>275.2</v>
      </c>
      <c r="G138" s="105">
        <f t="shared" si="9"/>
        <v>-8.04500000000002</v>
      </c>
      <c r="H138" s="160">
        <f t="shared" si="10"/>
        <v>0.879976043869664</v>
      </c>
      <c r="L138" s="285">
        <v>235.09</v>
      </c>
      <c r="M138" s="297">
        <f t="shared" si="11"/>
        <v>10784.28</v>
      </c>
      <c r="P138" s="298" t="s">
        <v>1656</v>
      </c>
    </row>
    <row r="139" spans="1:16">
      <c r="A139" s="295">
        <v>46191</v>
      </c>
      <c r="B139" s="308" t="s">
        <v>174</v>
      </c>
      <c r="C139" s="191">
        <v>0.27</v>
      </c>
      <c r="D139" s="191">
        <v>0.99</v>
      </c>
      <c r="E139" s="285">
        <v>320.98</v>
      </c>
      <c r="F139" s="105">
        <f t="shared" si="8"/>
        <v>309.6</v>
      </c>
      <c r="G139" s="105">
        <f t="shared" si="9"/>
        <v>11.38</v>
      </c>
      <c r="H139" s="160">
        <f t="shared" si="10"/>
        <v>0.879961368309552</v>
      </c>
      <c r="L139" s="285">
        <v>282.45</v>
      </c>
      <c r="M139" s="297">
        <f t="shared" si="11"/>
        <v>10501.83</v>
      </c>
      <c r="P139" s="298" t="s">
        <v>1656</v>
      </c>
    </row>
    <row r="140" spans="1:16">
      <c r="A140" s="295">
        <v>46191</v>
      </c>
      <c r="B140" s="308" t="s">
        <v>45</v>
      </c>
      <c r="C140" s="191">
        <v>0.07</v>
      </c>
      <c r="D140" s="191">
        <v>0.65</v>
      </c>
      <c r="E140" s="285">
        <v>233.973</v>
      </c>
      <c r="F140" s="105">
        <f t="shared" si="8"/>
        <v>249.4</v>
      </c>
      <c r="G140" s="105">
        <f t="shared" si="9"/>
        <v>-15.427</v>
      </c>
      <c r="H140" s="160">
        <f t="shared" si="10"/>
        <v>0.879973330256055</v>
      </c>
      <c r="L140" s="285">
        <v>205.89</v>
      </c>
      <c r="M140" s="297">
        <f t="shared" si="11"/>
        <v>10295.94</v>
      </c>
      <c r="P140" s="298" t="s">
        <v>1656</v>
      </c>
    </row>
    <row r="141" spans="1:16">
      <c r="A141" s="295">
        <v>46192</v>
      </c>
      <c r="B141" s="308" t="s">
        <v>339</v>
      </c>
      <c r="C141" s="191">
        <v>0.71</v>
      </c>
      <c r="D141" s="191">
        <v>0.95</v>
      </c>
      <c r="E141" s="285">
        <v>108.621</v>
      </c>
      <c r="F141" s="105">
        <f t="shared" si="8"/>
        <v>103.2</v>
      </c>
      <c r="G141" s="105">
        <f t="shared" si="9"/>
        <v>5.42099999999999</v>
      </c>
      <c r="H141" s="160">
        <f t="shared" si="10"/>
        <v>0.879848279798566</v>
      </c>
      <c r="L141" s="285">
        <v>95.57</v>
      </c>
      <c r="M141" s="297">
        <f t="shared" si="11"/>
        <v>10200.37</v>
      </c>
      <c r="P141" s="298" t="s">
        <v>1656</v>
      </c>
    </row>
    <row r="142" spans="1:16">
      <c r="A142" s="295">
        <v>46192</v>
      </c>
      <c r="B142" s="308" t="s">
        <v>63</v>
      </c>
      <c r="C142" s="191">
        <v>0.41</v>
      </c>
      <c r="D142" s="191">
        <v>0.85</v>
      </c>
      <c r="E142" s="285">
        <v>204.427</v>
      </c>
      <c r="F142" s="105">
        <f t="shared" si="8"/>
        <v>189.2</v>
      </c>
      <c r="G142" s="105">
        <f t="shared" si="9"/>
        <v>15.227</v>
      </c>
      <c r="H142" s="160">
        <f t="shared" si="10"/>
        <v>0.879922906465389</v>
      </c>
      <c r="L142" s="285">
        <v>179.88</v>
      </c>
      <c r="M142" s="297">
        <f t="shared" si="11"/>
        <v>10020.49</v>
      </c>
      <c r="P142" s="298" t="s">
        <v>1656</v>
      </c>
    </row>
    <row r="143" spans="1:16">
      <c r="A143" s="295">
        <v>46192</v>
      </c>
      <c r="B143" s="308" t="s">
        <v>225</v>
      </c>
      <c r="C143" s="191">
        <v>0.69</v>
      </c>
      <c r="D143" s="191">
        <v>0.96</v>
      </c>
      <c r="E143" s="285">
        <v>120.16</v>
      </c>
      <c r="F143" s="105">
        <f t="shared" si="8"/>
        <v>116.1</v>
      </c>
      <c r="G143" s="105">
        <f t="shared" si="9"/>
        <v>4.06</v>
      </c>
      <c r="H143" s="160">
        <f t="shared" si="10"/>
        <v>0.879910119840213</v>
      </c>
      <c r="L143" s="285">
        <v>105.73</v>
      </c>
      <c r="M143" s="297">
        <f t="shared" si="11"/>
        <v>9914.76</v>
      </c>
      <c r="P143" s="298" t="s">
        <v>1656</v>
      </c>
    </row>
    <row r="144" spans="1:16">
      <c r="A144" s="295">
        <v>46192</v>
      </c>
      <c r="B144" s="308" t="s">
        <v>213</v>
      </c>
      <c r="C144" s="191">
        <v>0.28</v>
      </c>
      <c r="D144" s="191">
        <v>1</v>
      </c>
      <c r="E144" s="285">
        <v>317.68</v>
      </c>
      <c r="F144" s="105">
        <f t="shared" si="8"/>
        <v>309.6</v>
      </c>
      <c r="G144" s="105">
        <f t="shared" si="9"/>
        <v>8.07999999999998</v>
      </c>
      <c r="H144" s="160">
        <f t="shared" si="10"/>
        <v>0.879973558297658</v>
      </c>
      <c r="L144" s="285">
        <v>279.55</v>
      </c>
      <c r="M144" s="297">
        <f t="shared" si="11"/>
        <v>9635.21</v>
      </c>
      <c r="P144" s="298" t="s">
        <v>1656</v>
      </c>
    </row>
    <row r="145" spans="1:16">
      <c r="A145" s="295">
        <v>46192</v>
      </c>
      <c r="B145" s="308" t="s">
        <v>670</v>
      </c>
      <c r="C145" s="191">
        <v>0.29</v>
      </c>
      <c r="D145" s="191">
        <v>1</v>
      </c>
      <c r="E145" s="285">
        <v>314.049</v>
      </c>
      <c r="F145" s="105">
        <f t="shared" si="8"/>
        <v>305.3</v>
      </c>
      <c r="G145" s="105">
        <f t="shared" si="9"/>
        <v>8.74899999999997</v>
      </c>
      <c r="H145" s="160">
        <f t="shared" si="10"/>
        <v>0.879990065244596</v>
      </c>
      <c r="L145" s="285">
        <v>276.36</v>
      </c>
      <c r="M145" s="297">
        <f t="shared" si="11"/>
        <v>9358.85</v>
      </c>
      <c r="P145" s="298" t="s">
        <v>1656</v>
      </c>
    </row>
    <row r="146" spans="1:16">
      <c r="A146" s="295">
        <v>46192</v>
      </c>
      <c r="B146" s="308" t="s">
        <v>69</v>
      </c>
      <c r="C146" s="191">
        <v>0.15</v>
      </c>
      <c r="D146" s="191">
        <v>1</v>
      </c>
      <c r="E146" s="285">
        <v>396.263</v>
      </c>
      <c r="F146" s="105">
        <f t="shared" si="8"/>
        <v>365.5</v>
      </c>
      <c r="G146" s="105">
        <f t="shared" si="9"/>
        <v>30.763</v>
      </c>
      <c r="H146" s="160">
        <f t="shared" si="10"/>
        <v>0.87999636604982</v>
      </c>
      <c r="L146" s="285">
        <v>348.71</v>
      </c>
      <c r="M146" s="297">
        <f t="shared" si="11"/>
        <v>9010.14</v>
      </c>
      <c r="P146" s="298" t="s">
        <v>1656</v>
      </c>
    </row>
    <row r="147" spans="1:16">
      <c r="A147" s="295">
        <v>46192</v>
      </c>
      <c r="B147" s="308" t="s">
        <v>207</v>
      </c>
      <c r="C147" s="191">
        <v>0.36</v>
      </c>
      <c r="D147" s="191">
        <v>0.99</v>
      </c>
      <c r="E147" s="285">
        <v>284.283</v>
      </c>
      <c r="F147" s="105">
        <f t="shared" si="8"/>
        <v>270.9</v>
      </c>
      <c r="G147" s="105">
        <f t="shared" si="9"/>
        <v>13.383</v>
      </c>
      <c r="H147" s="160">
        <f t="shared" si="10"/>
        <v>0.879968200701414</v>
      </c>
      <c r="L147" s="285">
        <v>250.16</v>
      </c>
      <c r="M147" s="297">
        <f t="shared" si="11"/>
        <v>8759.98</v>
      </c>
      <c r="P147" s="298" t="s">
        <v>1656</v>
      </c>
    </row>
    <row r="148" spans="1:16">
      <c r="A148" s="295">
        <v>46192</v>
      </c>
      <c r="B148" s="308" t="s">
        <v>45</v>
      </c>
      <c r="C148" s="191">
        <v>0.41</v>
      </c>
      <c r="D148" s="191">
        <v>0.82</v>
      </c>
      <c r="E148" s="285">
        <v>164.687</v>
      </c>
      <c r="F148" s="105">
        <f t="shared" si="8"/>
        <v>176.3</v>
      </c>
      <c r="G148" s="105">
        <f t="shared" si="9"/>
        <v>-11.613</v>
      </c>
      <c r="H148" s="160">
        <f t="shared" si="10"/>
        <v>0.879972311111381</v>
      </c>
      <c r="L148" s="285">
        <v>144.92</v>
      </c>
      <c r="M148" s="297">
        <f t="shared" si="11"/>
        <v>8615.06</v>
      </c>
      <c r="P148" s="298" t="s">
        <v>1656</v>
      </c>
    </row>
    <row r="149" spans="1:16">
      <c r="A149" s="295">
        <v>46192</v>
      </c>
      <c r="B149" s="308" t="s">
        <v>151</v>
      </c>
      <c r="C149" s="191">
        <v>0.21</v>
      </c>
      <c r="D149" s="191">
        <v>0.99</v>
      </c>
      <c r="E149" s="285">
        <v>348.722</v>
      </c>
      <c r="F149" s="105">
        <f t="shared" si="8"/>
        <v>335.4</v>
      </c>
      <c r="G149" s="105">
        <f t="shared" si="9"/>
        <v>13.322</v>
      </c>
      <c r="H149" s="160">
        <f t="shared" si="10"/>
        <v>0.879955953452894</v>
      </c>
      <c r="L149" s="285">
        <v>306.86</v>
      </c>
      <c r="M149" s="297">
        <f t="shared" si="11"/>
        <v>8308.2</v>
      </c>
      <c r="P149" s="298" t="s">
        <v>1656</v>
      </c>
    </row>
    <row r="150" spans="1:16">
      <c r="A150" s="295">
        <v>46192</v>
      </c>
      <c r="B150" s="308" t="s">
        <v>180</v>
      </c>
      <c r="C150" s="191">
        <v>0.42</v>
      </c>
      <c r="D150" s="191">
        <v>1</v>
      </c>
      <c r="E150" s="285">
        <v>257.931</v>
      </c>
      <c r="F150" s="105">
        <f t="shared" si="8"/>
        <v>249.4</v>
      </c>
      <c r="G150" s="105">
        <f t="shared" si="9"/>
        <v>8.53099999999998</v>
      </c>
      <c r="H150" s="160">
        <f t="shared" si="10"/>
        <v>0.879964021385564</v>
      </c>
      <c r="L150" s="285">
        <v>226.97</v>
      </c>
      <c r="M150" s="297">
        <f t="shared" si="11"/>
        <v>8081.23</v>
      </c>
      <c r="P150" s="298" t="s">
        <v>1656</v>
      </c>
    </row>
    <row r="151" spans="1:16">
      <c r="A151" s="295">
        <v>46192</v>
      </c>
      <c r="B151" s="308" t="s">
        <v>186</v>
      </c>
      <c r="C151" s="191">
        <v>0.38</v>
      </c>
      <c r="D151" s="191">
        <v>1</v>
      </c>
      <c r="E151" s="285">
        <v>275.916</v>
      </c>
      <c r="F151" s="105">
        <f t="shared" si="8"/>
        <v>266.6</v>
      </c>
      <c r="G151" s="105">
        <f t="shared" si="9"/>
        <v>9.31599999999997</v>
      </c>
      <c r="H151" s="160">
        <f t="shared" si="10"/>
        <v>0.879977964307978</v>
      </c>
      <c r="L151" s="285">
        <v>242.8</v>
      </c>
      <c r="M151" s="297">
        <f t="shared" si="11"/>
        <v>7838.43</v>
      </c>
      <c r="P151" s="298" t="s">
        <v>1656</v>
      </c>
    </row>
    <row r="152" spans="1:16">
      <c r="A152" s="295">
        <v>46192</v>
      </c>
      <c r="B152" s="308" t="s">
        <v>105</v>
      </c>
      <c r="C152" s="191">
        <v>0.58</v>
      </c>
      <c r="D152" s="191">
        <v>1</v>
      </c>
      <c r="E152" s="285">
        <v>195.445</v>
      </c>
      <c r="F152" s="105">
        <f t="shared" si="8"/>
        <v>180.6</v>
      </c>
      <c r="G152" s="105">
        <f t="shared" si="9"/>
        <v>14.845</v>
      </c>
      <c r="H152" s="160">
        <f t="shared" si="10"/>
        <v>0.879940648264218</v>
      </c>
      <c r="L152" s="285">
        <v>171.98</v>
      </c>
      <c r="M152" s="297">
        <f t="shared" si="11"/>
        <v>7666.45</v>
      </c>
      <c r="P152" s="298" t="s">
        <v>1656</v>
      </c>
    </row>
    <row r="153" spans="1:16">
      <c r="A153" s="295">
        <v>46192</v>
      </c>
      <c r="B153" s="308" t="s">
        <v>195</v>
      </c>
      <c r="C153" s="191">
        <v>0.21</v>
      </c>
      <c r="D153" s="191">
        <v>0.99</v>
      </c>
      <c r="E153" s="285">
        <v>341.01</v>
      </c>
      <c r="F153" s="105">
        <f t="shared" si="8"/>
        <v>335.4</v>
      </c>
      <c r="G153" s="105">
        <f t="shared" si="9"/>
        <v>5.61000000000001</v>
      </c>
      <c r="H153" s="160">
        <f t="shared" si="10"/>
        <v>0.879974194305152</v>
      </c>
      <c r="L153" s="285">
        <v>300.08</v>
      </c>
      <c r="M153" s="297">
        <f t="shared" si="11"/>
        <v>7366.37</v>
      </c>
      <c r="P153" s="298" t="s">
        <v>1656</v>
      </c>
    </row>
    <row r="154" spans="1:16">
      <c r="A154" s="295">
        <v>46193</v>
      </c>
      <c r="B154" s="308" t="s">
        <v>124</v>
      </c>
      <c r="C154" s="191">
        <v>0.14</v>
      </c>
      <c r="D154" s="191">
        <v>1</v>
      </c>
      <c r="E154" s="285">
        <v>362.873</v>
      </c>
      <c r="F154" s="105">
        <f t="shared" si="8"/>
        <v>369.8</v>
      </c>
      <c r="G154" s="105">
        <f t="shared" si="9"/>
        <v>-6.92700000000002</v>
      </c>
      <c r="H154" s="160">
        <f t="shared" si="10"/>
        <v>0.879977292330926</v>
      </c>
      <c r="L154" s="285">
        <v>319.32</v>
      </c>
      <c r="M154" s="297">
        <f t="shared" si="11"/>
        <v>7047.05</v>
      </c>
      <c r="P154" s="298" t="s">
        <v>1656</v>
      </c>
    </row>
    <row r="155" spans="1:16">
      <c r="A155" s="295">
        <v>46193</v>
      </c>
      <c r="B155" s="308" t="s">
        <v>163</v>
      </c>
      <c r="C155" s="191">
        <v>0.21</v>
      </c>
      <c r="D155" s="191">
        <v>1</v>
      </c>
      <c r="E155" s="285">
        <v>350.242</v>
      </c>
      <c r="F155" s="105">
        <f t="shared" si="8"/>
        <v>339.7</v>
      </c>
      <c r="G155" s="105">
        <f t="shared" si="9"/>
        <v>10.542</v>
      </c>
      <c r="H155" s="160">
        <f t="shared" si="10"/>
        <v>0.879962997013493</v>
      </c>
      <c r="L155" s="285">
        <v>308.2</v>
      </c>
      <c r="M155" s="297">
        <f t="shared" si="11"/>
        <v>6738.85</v>
      </c>
      <c r="P155" s="298" t="s">
        <v>1656</v>
      </c>
    </row>
    <row r="156" spans="1:16">
      <c r="A156" s="295">
        <v>46193</v>
      </c>
      <c r="B156" s="308" t="s">
        <v>221</v>
      </c>
      <c r="C156" s="191">
        <v>0.2</v>
      </c>
      <c r="D156" s="191">
        <v>1</v>
      </c>
      <c r="E156" s="285">
        <v>351.568</v>
      </c>
      <c r="F156" s="105">
        <f t="shared" si="8"/>
        <v>344</v>
      </c>
      <c r="G156" s="105">
        <f t="shared" si="9"/>
        <v>7.56799999999998</v>
      </c>
      <c r="H156" s="160">
        <f t="shared" si="10"/>
        <v>0.879972011104537</v>
      </c>
      <c r="L156" s="285">
        <v>309.37</v>
      </c>
      <c r="M156" s="297">
        <f t="shared" si="11"/>
        <v>6429.48</v>
      </c>
      <c r="P156" s="298" t="s">
        <v>1656</v>
      </c>
    </row>
    <row r="157" spans="1:16">
      <c r="A157" s="295">
        <v>46193</v>
      </c>
      <c r="B157" s="308" t="s">
        <v>154</v>
      </c>
      <c r="C157" s="191">
        <v>0.19</v>
      </c>
      <c r="D157" s="191">
        <v>0.99</v>
      </c>
      <c r="E157" s="285">
        <v>359.445</v>
      </c>
      <c r="F157" s="105">
        <f t="shared" si="8"/>
        <v>344</v>
      </c>
      <c r="G157" s="105">
        <f t="shared" si="9"/>
        <v>15.445</v>
      </c>
      <c r="H157" s="160">
        <f t="shared" si="10"/>
        <v>0.87996772802515</v>
      </c>
      <c r="L157" s="285">
        <v>316.3</v>
      </c>
      <c r="M157" s="297">
        <f t="shared" si="11"/>
        <v>6113.18</v>
      </c>
      <c r="P157" s="298" t="s">
        <v>1656</v>
      </c>
    </row>
    <row r="158" spans="1:16">
      <c r="A158" s="295">
        <v>46193</v>
      </c>
      <c r="B158" s="308" t="s">
        <v>338</v>
      </c>
      <c r="C158" s="191">
        <v>0.19</v>
      </c>
      <c r="D158" s="191">
        <v>0.99</v>
      </c>
      <c r="E158" s="285">
        <v>354.794</v>
      </c>
      <c r="F158" s="105">
        <f t="shared" si="8"/>
        <v>344</v>
      </c>
      <c r="G158" s="105">
        <f t="shared" si="9"/>
        <v>10.794</v>
      </c>
      <c r="H158" s="160">
        <f t="shared" si="10"/>
        <v>0.879975422357762</v>
      </c>
      <c r="L158" s="285">
        <v>312.21</v>
      </c>
      <c r="M158" s="297">
        <f t="shared" si="11"/>
        <v>5800.97</v>
      </c>
      <c r="P158" s="298" t="s">
        <v>1656</v>
      </c>
    </row>
    <row r="159" spans="1:16">
      <c r="A159" s="295">
        <v>46193</v>
      </c>
      <c r="B159" s="308" t="s">
        <v>160</v>
      </c>
      <c r="C159" s="191">
        <v>0</v>
      </c>
      <c r="D159" s="191">
        <v>0.18</v>
      </c>
      <c r="E159" s="285">
        <v>0.029</v>
      </c>
      <c r="F159" s="105">
        <f t="shared" si="8"/>
        <v>77.4</v>
      </c>
      <c r="G159" s="105">
        <f t="shared" si="9"/>
        <v>-77.371</v>
      </c>
      <c r="H159" s="160">
        <f t="shared" si="10"/>
        <v>0.344827586206897</v>
      </c>
      <c r="L159" s="285">
        <v>0.01</v>
      </c>
      <c r="M159" s="297">
        <f t="shared" si="11"/>
        <v>5800.96</v>
      </c>
      <c r="P159" s="298" t="s">
        <v>1656</v>
      </c>
    </row>
    <row r="160" spans="1:16">
      <c r="A160" s="295">
        <v>46193</v>
      </c>
      <c r="B160" s="308" t="s">
        <v>160</v>
      </c>
      <c r="C160" s="191">
        <v>0</v>
      </c>
      <c r="D160" s="191">
        <v>0</v>
      </c>
      <c r="E160" s="285">
        <v>0</v>
      </c>
      <c r="F160" s="105">
        <f t="shared" si="8"/>
        <v>0</v>
      </c>
      <c r="G160" s="105">
        <f t="shared" si="9"/>
        <v>0</v>
      </c>
      <c r="H160" s="160"/>
      <c r="L160" s="285">
        <v>0</v>
      </c>
      <c r="M160" s="297">
        <f t="shared" si="11"/>
        <v>5800.96</v>
      </c>
      <c r="P160" s="298" t="s">
        <v>1656</v>
      </c>
    </row>
    <row r="161" spans="1:16">
      <c r="A161" s="295">
        <v>46193</v>
      </c>
      <c r="B161" s="308" t="s">
        <v>160</v>
      </c>
      <c r="C161" s="191">
        <v>0.18</v>
      </c>
      <c r="D161" s="191">
        <v>0.99</v>
      </c>
      <c r="E161" s="285">
        <v>360.621</v>
      </c>
      <c r="F161" s="105">
        <f t="shared" si="8"/>
        <v>348.3</v>
      </c>
      <c r="G161" s="105">
        <f t="shared" si="9"/>
        <v>12.321</v>
      </c>
      <c r="H161" s="160">
        <f t="shared" ref="H161:H169" si="12">L161/E161</f>
        <v>0.879982030996531</v>
      </c>
      <c r="L161" s="285">
        <v>317.34</v>
      </c>
      <c r="M161" s="297">
        <f t="shared" si="11"/>
        <v>5483.62</v>
      </c>
      <c r="P161" s="298" t="s">
        <v>1656</v>
      </c>
    </row>
    <row r="162" spans="1:16">
      <c r="A162" s="295">
        <v>46193</v>
      </c>
      <c r="B162" s="308" t="s">
        <v>223</v>
      </c>
      <c r="C162" s="191">
        <v>0.1</v>
      </c>
      <c r="D162" s="191">
        <v>0.9</v>
      </c>
      <c r="E162" s="285">
        <v>351.298</v>
      </c>
      <c r="F162" s="105">
        <f t="shared" si="8"/>
        <v>344</v>
      </c>
      <c r="G162" s="105">
        <f t="shared" si="9"/>
        <v>7.298</v>
      </c>
      <c r="H162" s="160">
        <f t="shared" si="12"/>
        <v>0.87999362364716</v>
      </c>
      <c r="L162" s="285">
        <v>309.14</v>
      </c>
      <c r="M162" s="297">
        <f t="shared" si="11"/>
        <v>5174.48</v>
      </c>
      <c r="P162" s="298" t="s">
        <v>1656</v>
      </c>
    </row>
    <row r="163" spans="1:16">
      <c r="A163" s="295">
        <v>46193</v>
      </c>
      <c r="B163" s="308" t="s">
        <v>144</v>
      </c>
      <c r="C163" s="191">
        <v>0.4</v>
      </c>
      <c r="D163" s="191">
        <v>0.95</v>
      </c>
      <c r="E163" s="285">
        <v>244.247</v>
      </c>
      <c r="F163" s="105">
        <f t="shared" si="8"/>
        <v>236.5</v>
      </c>
      <c r="G163" s="105">
        <f t="shared" si="9"/>
        <v>7.74700000000001</v>
      </c>
      <c r="H163" s="160">
        <f t="shared" si="12"/>
        <v>0.879969866569497</v>
      </c>
      <c r="L163" s="285">
        <v>214.93</v>
      </c>
      <c r="M163" s="297">
        <f t="shared" si="11"/>
        <v>4959.55</v>
      </c>
      <c r="P163" s="298" t="s">
        <v>1656</v>
      </c>
    </row>
    <row r="164" spans="1:16">
      <c r="A164" s="295">
        <v>46193</v>
      </c>
      <c r="B164" s="308" t="s">
        <v>189</v>
      </c>
      <c r="C164" s="191">
        <v>0.39</v>
      </c>
      <c r="D164" s="191">
        <v>1</v>
      </c>
      <c r="E164" s="285">
        <v>267.255</v>
      </c>
      <c r="F164" s="105">
        <f t="shared" si="8"/>
        <v>262.3</v>
      </c>
      <c r="G164" s="105">
        <f t="shared" si="9"/>
        <v>4.95499999999998</v>
      </c>
      <c r="H164" s="160">
        <f t="shared" si="12"/>
        <v>0.879983536322987</v>
      </c>
      <c r="L164" s="285">
        <v>235.18</v>
      </c>
      <c r="M164" s="297">
        <f t="shared" si="11"/>
        <v>4724.37</v>
      </c>
      <c r="P164" s="298" t="s">
        <v>1656</v>
      </c>
    </row>
    <row r="165" spans="1:16">
      <c r="A165" s="295">
        <v>46193</v>
      </c>
      <c r="B165" s="308" t="s">
        <v>93</v>
      </c>
      <c r="C165" s="191">
        <v>0.97</v>
      </c>
      <c r="D165" s="191">
        <v>1</v>
      </c>
      <c r="E165" s="285">
        <v>18.459</v>
      </c>
      <c r="F165" s="105">
        <f t="shared" si="8"/>
        <v>12.9</v>
      </c>
      <c r="G165" s="105">
        <f t="shared" si="9"/>
        <v>5.559</v>
      </c>
      <c r="H165" s="160">
        <f t="shared" si="12"/>
        <v>0.879245896310743</v>
      </c>
      <c r="L165" s="285">
        <v>16.23</v>
      </c>
      <c r="M165" s="297">
        <f t="shared" si="11"/>
        <v>4708.14</v>
      </c>
      <c r="P165" s="298" t="s">
        <v>1656</v>
      </c>
    </row>
    <row r="166" spans="1:16">
      <c r="A166" s="295">
        <v>46193</v>
      </c>
      <c r="B166" s="308" t="s">
        <v>225</v>
      </c>
      <c r="C166" s="191">
        <v>0.86</v>
      </c>
      <c r="D166" s="191">
        <v>1</v>
      </c>
      <c r="E166" s="285">
        <v>62.726</v>
      </c>
      <c r="F166" s="105">
        <f t="shared" si="8"/>
        <v>60.2</v>
      </c>
      <c r="G166" s="105">
        <f t="shared" si="9"/>
        <v>2.526</v>
      </c>
      <c r="H166" s="160">
        <f t="shared" si="12"/>
        <v>0.879858431910213</v>
      </c>
      <c r="L166" s="285">
        <v>55.19</v>
      </c>
      <c r="M166" s="297">
        <f t="shared" si="11"/>
        <v>4652.95</v>
      </c>
      <c r="P166" s="298" t="s">
        <v>1656</v>
      </c>
    </row>
    <row r="167" spans="1:16">
      <c r="A167" s="295">
        <v>46193</v>
      </c>
      <c r="B167" s="308" t="s">
        <v>138</v>
      </c>
      <c r="C167" s="191">
        <v>0.37</v>
      </c>
      <c r="D167" s="191">
        <v>0.98</v>
      </c>
      <c r="E167" s="285">
        <v>267.862</v>
      </c>
      <c r="F167" s="105">
        <f t="shared" si="8"/>
        <v>262.3</v>
      </c>
      <c r="G167" s="105">
        <f t="shared" si="9"/>
        <v>5.56200000000001</v>
      </c>
      <c r="H167" s="160">
        <f t="shared" si="12"/>
        <v>0.879968043246149</v>
      </c>
      <c r="L167" s="285">
        <v>235.71</v>
      </c>
      <c r="M167" s="297">
        <f t="shared" si="11"/>
        <v>4417.24</v>
      </c>
      <c r="P167" s="298" t="s">
        <v>1656</v>
      </c>
    </row>
    <row r="168" spans="1:16">
      <c r="A168" s="295">
        <v>46193</v>
      </c>
      <c r="B168" s="308" t="s">
        <v>339</v>
      </c>
      <c r="C168" s="191">
        <v>0.38</v>
      </c>
      <c r="D168" s="191">
        <v>1</v>
      </c>
      <c r="E168" s="285">
        <v>272.189</v>
      </c>
      <c r="F168" s="105">
        <f t="shared" si="8"/>
        <v>266.6</v>
      </c>
      <c r="G168" s="105">
        <f t="shared" si="9"/>
        <v>5.589</v>
      </c>
      <c r="H168" s="160">
        <f t="shared" si="12"/>
        <v>0.879976780839784</v>
      </c>
      <c r="L168" s="285">
        <v>239.52</v>
      </c>
      <c r="M168" s="297">
        <f t="shared" si="11"/>
        <v>4177.72</v>
      </c>
      <c r="P168" s="298" t="s">
        <v>1656</v>
      </c>
    </row>
    <row r="169" spans="1:16">
      <c r="A169" s="295">
        <v>46193</v>
      </c>
      <c r="B169" s="308" t="s">
        <v>87</v>
      </c>
      <c r="C169" s="191">
        <v>0.45</v>
      </c>
      <c r="D169" s="191">
        <v>1</v>
      </c>
      <c r="E169" s="285">
        <v>246.858</v>
      </c>
      <c r="F169" s="105">
        <f t="shared" si="8"/>
        <v>236.5</v>
      </c>
      <c r="G169" s="105">
        <f t="shared" si="9"/>
        <v>10.358</v>
      </c>
      <c r="H169" s="160">
        <f t="shared" si="12"/>
        <v>0.879939074285622</v>
      </c>
      <c r="L169" s="285">
        <v>217.22</v>
      </c>
      <c r="M169" s="297">
        <f t="shared" si="11"/>
        <v>3960.5</v>
      </c>
      <c r="P169" s="298" t="s">
        <v>1656</v>
      </c>
    </row>
    <row r="170" spans="1:16">
      <c r="A170" s="310">
        <v>46194</v>
      </c>
      <c r="B170" s="144" t="s">
        <v>84</v>
      </c>
      <c r="C170" s="191">
        <v>0.22</v>
      </c>
      <c r="D170" s="191">
        <v>1</v>
      </c>
      <c r="E170" s="285">
        <v>362.207</v>
      </c>
      <c r="F170" s="105">
        <f t="shared" ref="F170:F210" si="13">(D170-C170)*430</f>
        <v>335.4</v>
      </c>
      <c r="G170" s="105">
        <f t="shared" ref="G170:G210" si="14">E170-F170</f>
        <v>26.807</v>
      </c>
      <c r="H170" s="160">
        <f t="shared" ref="H170:H210" si="15">L170/E170</f>
        <v>0.879966428037007</v>
      </c>
      <c r="L170" s="285">
        <v>318.73</v>
      </c>
      <c r="M170" s="297">
        <f t="shared" ref="M170:M210" si="16">M169+K170-L170</f>
        <v>3641.77</v>
      </c>
      <c r="P170" s="298" t="s">
        <v>1656</v>
      </c>
    </row>
    <row r="171" spans="1:16">
      <c r="A171" s="310">
        <v>46194</v>
      </c>
      <c r="B171" s="144" t="s">
        <v>183</v>
      </c>
      <c r="C171" s="191">
        <v>0.27</v>
      </c>
      <c r="D171" s="191">
        <v>1</v>
      </c>
      <c r="E171" s="285">
        <v>322.407</v>
      </c>
      <c r="F171" s="105">
        <f t="shared" si="13"/>
        <v>313.9</v>
      </c>
      <c r="G171" s="105">
        <f t="shared" si="14"/>
        <v>8.507</v>
      </c>
      <c r="H171" s="160">
        <f t="shared" si="15"/>
        <v>0.879974690375829</v>
      </c>
      <c r="L171" s="285">
        <v>283.71</v>
      </c>
      <c r="M171" s="297">
        <f t="shared" si="16"/>
        <v>3358.06</v>
      </c>
      <c r="P171" s="298" t="s">
        <v>1656</v>
      </c>
    </row>
    <row r="172" spans="1:16">
      <c r="A172" s="310">
        <v>46194</v>
      </c>
      <c r="B172" s="144" t="s">
        <v>213</v>
      </c>
      <c r="C172" s="191">
        <v>0.42</v>
      </c>
      <c r="D172" s="191">
        <v>1</v>
      </c>
      <c r="E172" s="285">
        <v>254.812</v>
      </c>
      <c r="F172" s="105">
        <f t="shared" si="13"/>
        <v>249.4</v>
      </c>
      <c r="G172" s="105">
        <f t="shared" si="14"/>
        <v>5.41200000000001</v>
      </c>
      <c r="H172" s="160">
        <f t="shared" si="15"/>
        <v>0.879982104453479</v>
      </c>
      <c r="L172" s="285">
        <v>224.23</v>
      </c>
      <c r="M172" s="297">
        <f t="shared" si="16"/>
        <v>3133.83</v>
      </c>
      <c r="P172" s="298" t="s">
        <v>1656</v>
      </c>
    </row>
    <row r="173" spans="1:16">
      <c r="A173" s="310">
        <v>46194</v>
      </c>
      <c r="B173" s="144" t="s">
        <v>670</v>
      </c>
      <c r="C173" s="191">
        <v>0.4</v>
      </c>
      <c r="D173" s="191">
        <v>0.99</v>
      </c>
      <c r="E173" s="285">
        <v>267.118</v>
      </c>
      <c r="F173" s="105">
        <f t="shared" si="13"/>
        <v>253.7</v>
      </c>
      <c r="G173" s="105">
        <f t="shared" si="14"/>
        <v>13.418</v>
      </c>
      <c r="H173" s="160">
        <f t="shared" si="15"/>
        <v>0.87998562433082</v>
      </c>
      <c r="L173" s="285">
        <v>235.06</v>
      </c>
      <c r="M173" s="297">
        <f t="shared" si="16"/>
        <v>2898.77</v>
      </c>
      <c r="P173" s="298" t="s">
        <v>1656</v>
      </c>
    </row>
    <row r="174" spans="1:16">
      <c r="A174" s="310">
        <v>46194</v>
      </c>
      <c r="B174" s="144" t="s">
        <v>151</v>
      </c>
      <c r="C174" s="191">
        <v>0.27</v>
      </c>
      <c r="D174" s="191">
        <v>1</v>
      </c>
      <c r="E174" s="285">
        <v>321.845</v>
      </c>
      <c r="F174" s="105">
        <f t="shared" si="13"/>
        <v>313.9</v>
      </c>
      <c r="G174" s="105">
        <f t="shared" si="14"/>
        <v>7.94500000000005</v>
      </c>
      <c r="H174" s="160">
        <f t="shared" si="15"/>
        <v>0.879957743634358</v>
      </c>
      <c r="L174" s="285">
        <v>283.21</v>
      </c>
      <c r="M174" s="297">
        <f t="shared" si="16"/>
        <v>2615.56</v>
      </c>
      <c r="P174" s="298" t="s">
        <v>1656</v>
      </c>
    </row>
    <row r="175" spans="1:16">
      <c r="A175" s="310">
        <v>46194</v>
      </c>
      <c r="B175" s="144" t="s">
        <v>210</v>
      </c>
      <c r="C175" s="191">
        <v>0.32</v>
      </c>
      <c r="D175" s="191">
        <v>1</v>
      </c>
      <c r="E175" s="285">
        <v>310.075</v>
      </c>
      <c r="F175" s="105">
        <f t="shared" si="13"/>
        <v>292.4</v>
      </c>
      <c r="G175" s="105">
        <f t="shared" si="14"/>
        <v>17.675</v>
      </c>
      <c r="H175" s="160">
        <f t="shared" si="15"/>
        <v>0.879948399580747</v>
      </c>
      <c r="L175" s="285">
        <v>272.85</v>
      </c>
      <c r="M175" s="297">
        <f t="shared" si="16"/>
        <v>2342.71</v>
      </c>
      <c r="P175" s="298" t="s">
        <v>1656</v>
      </c>
    </row>
    <row r="176" spans="1:16">
      <c r="A176" s="310">
        <v>46194</v>
      </c>
      <c r="B176" s="144" t="s">
        <v>60</v>
      </c>
      <c r="C176" s="191">
        <v>0.16</v>
      </c>
      <c r="D176" s="191">
        <v>0.93</v>
      </c>
      <c r="E176" s="285">
        <v>301.057</v>
      </c>
      <c r="F176" s="105">
        <f t="shared" si="13"/>
        <v>331.1</v>
      </c>
      <c r="G176" s="105">
        <f t="shared" si="14"/>
        <v>-30.043</v>
      </c>
      <c r="H176" s="160">
        <f t="shared" si="15"/>
        <v>0.879966252237948</v>
      </c>
      <c r="L176" s="285">
        <v>264.92</v>
      </c>
      <c r="M176" s="297">
        <f t="shared" si="16"/>
        <v>2077.79</v>
      </c>
      <c r="P176" s="298" t="s">
        <v>1656</v>
      </c>
    </row>
    <row r="177" spans="1:16">
      <c r="A177" s="310">
        <v>46194</v>
      </c>
      <c r="B177" s="144" t="s">
        <v>195</v>
      </c>
      <c r="C177" s="191">
        <v>0.41</v>
      </c>
      <c r="D177" s="191">
        <v>0.73</v>
      </c>
      <c r="E177" s="285">
        <v>140.372</v>
      </c>
      <c r="F177" s="105">
        <f t="shared" si="13"/>
        <v>137.6</v>
      </c>
      <c r="G177" s="105">
        <f t="shared" si="14"/>
        <v>2.77200000000002</v>
      </c>
      <c r="H177" s="160">
        <f t="shared" si="15"/>
        <v>0.879947567891032</v>
      </c>
      <c r="L177" s="285">
        <v>123.52</v>
      </c>
      <c r="M177" s="297">
        <f t="shared" si="16"/>
        <v>1954.27</v>
      </c>
      <c r="P177" s="298" t="s">
        <v>1656</v>
      </c>
    </row>
    <row r="178" spans="1:16">
      <c r="A178" s="310">
        <v>46195</v>
      </c>
      <c r="B178" s="144" t="s">
        <v>84</v>
      </c>
      <c r="C178" s="191">
        <v>0.9</v>
      </c>
      <c r="D178" s="191">
        <v>1</v>
      </c>
      <c r="E178" s="285">
        <v>60.914</v>
      </c>
      <c r="F178" s="105">
        <f t="shared" si="13"/>
        <v>43</v>
      </c>
      <c r="G178" s="105">
        <f t="shared" si="14"/>
        <v>17.914</v>
      </c>
      <c r="H178" s="160">
        <f t="shared" si="15"/>
        <v>0.879929080342778</v>
      </c>
      <c r="L178" s="285">
        <v>53.6</v>
      </c>
      <c r="M178" s="297">
        <f t="shared" si="16"/>
        <v>1900.67</v>
      </c>
      <c r="P178" s="298" t="s">
        <v>1656</v>
      </c>
    </row>
    <row r="179" spans="1:16">
      <c r="A179" s="310">
        <v>46195</v>
      </c>
      <c r="B179" s="144" t="s">
        <v>66</v>
      </c>
      <c r="C179" s="191">
        <v>0.84</v>
      </c>
      <c r="D179" s="191">
        <v>1</v>
      </c>
      <c r="E179" s="285">
        <v>65.017</v>
      </c>
      <c r="F179" s="105">
        <f t="shared" si="13"/>
        <v>68.8</v>
      </c>
      <c r="G179" s="105">
        <f t="shared" si="14"/>
        <v>-3.783</v>
      </c>
      <c r="H179" s="160">
        <f t="shared" si="15"/>
        <v>0.879923712259871</v>
      </c>
      <c r="L179" s="285">
        <v>57.21</v>
      </c>
      <c r="M179" s="297">
        <f t="shared" si="16"/>
        <v>1843.46</v>
      </c>
      <c r="P179" s="298" t="s">
        <v>1656</v>
      </c>
    </row>
    <row r="180" spans="1:16">
      <c r="A180" s="310">
        <v>46195</v>
      </c>
      <c r="B180" s="144" t="s">
        <v>195</v>
      </c>
      <c r="C180" s="191">
        <v>0.65</v>
      </c>
      <c r="D180" s="191">
        <v>0.99</v>
      </c>
      <c r="E180" s="285">
        <v>155.239</v>
      </c>
      <c r="F180" s="105">
        <f t="shared" si="13"/>
        <v>146.2</v>
      </c>
      <c r="G180" s="105">
        <f t="shared" si="14"/>
        <v>9.03900000000002</v>
      </c>
      <c r="H180" s="160">
        <f t="shared" si="15"/>
        <v>0.879933521859842</v>
      </c>
      <c r="L180" s="285">
        <v>136.6</v>
      </c>
      <c r="M180" s="297">
        <f t="shared" si="16"/>
        <v>1706.86</v>
      </c>
      <c r="P180" s="298" t="s">
        <v>1656</v>
      </c>
    </row>
    <row r="181" spans="1:16">
      <c r="A181" s="310">
        <v>46195</v>
      </c>
      <c r="B181" s="144" t="s">
        <v>90</v>
      </c>
      <c r="C181" s="191">
        <v>0.35</v>
      </c>
      <c r="D181" s="191">
        <v>0.7</v>
      </c>
      <c r="E181" s="285">
        <v>164.784</v>
      </c>
      <c r="F181" s="105">
        <f t="shared" si="13"/>
        <v>150.5</v>
      </c>
      <c r="G181" s="105">
        <f t="shared" si="14"/>
        <v>14.284</v>
      </c>
      <c r="H181" s="160">
        <f t="shared" si="15"/>
        <v>0.879939799980581</v>
      </c>
      <c r="L181" s="285">
        <v>145</v>
      </c>
      <c r="M181" s="297">
        <f t="shared" si="16"/>
        <v>1561.86</v>
      </c>
      <c r="P181" s="298" t="s">
        <v>1656</v>
      </c>
    </row>
    <row r="182" spans="1:16">
      <c r="A182" s="310">
        <v>46195</v>
      </c>
      <c r="B182" s="144" t="s">
        <v>90</v>
      </c>
      <c r="C182" s="191">
        <v>0.71</v>
      </c>
      <c r="D182" s="191">
        <v>1</v>
      </c>
      <c r="E182" s="285">
        <v>138.494</v>
      </c>
      <c r="F182" s="105">
        <f t="shared" si="13"/>
        <v>124.7</v>
      </c>
      <c r="G182" s="105">
        <f t="shared" si="14"/>
        <v>13.794</v>
      </c>
      <c r="H182" s="160">
        <f t="shared" si="15"/>
        <v>0.879893713807096</v>
      </c>
      <c r="L182" s="285">
        <v>121.86</v>
      </c>
      <c r="M182" s="297">
        <f t="shared" si="16"/>
        <v>1440</v>
      </c>
      <c r="P182" s="298" t="s">
        <v>1656</v>
      </c>
    </row>
    <row r="183" spans="1:16">
      <c r="A183" s="310">
        <v>46195</v>
      </c>
      <c r="B183" s="144" t="s">
        <v>180</v>
      </c>
      <c r="C183" s="191">
        <v>0.37</v>
      </c>
      <c r="D183" s="191">
        <v>1</v>
      </c>
      <c r="E183" s="285">
        <v>275.44</v>
      </c>
      <c r="F183" s="105">
        <f t="shared" si="13"/>
        <v>270.9</v>
      </c>
      <c r="G183" s="105">
        <f t="shared" si="14"/>
        <v>4.54000000000002</v>
      </c>
      <c r="H183" s="160">
        <f t="shared" si="15"/>
        <v>0.879973860005809</v>
      </c>
      <c r="L183" s="285">
        <v>242.38</v>
      </c>
      <c r="M183" s="297">
        <f t="shared" si="16"/>
        <v>1197.62</v>
      </c>
      <c r="P183" s="298" t="s">
        <v>1656</v>
      </c>
    </row>
    <row r="184" spans="1:16">
      <c r="A184" s="310">
        <v>46196</v>
      </c>
      <c r="B184" s="144" t="s">
        <v>135</v>
      </c>
      <c r="C184" s="191">
        <v>0.39</v>
      </c>
      <c r="D184" s="191">
        <v>0.99</v>
      </c>
      <c r="E184" s="285">
        <v>270.148</v>
      </c>
      <c r="F184" s="105">
        <f t="shared" si="13"/>
        <v>258</v>
      </c>
      <c r="G184" s="105">
        <f t="shared" si="14"/>
        <v>12.148</v>
      </c>
      <c r="H184" s="160">
        <f t="shared" si="15"/>
        <v>0.879962094851711</v>
      </c>
      <c r="L184" s="285">
        <v>237.72</v>
      </c>
      <c r="M184" s="297">
        <f t="shared" si="16"/>
        <v>959.9</v>
      </c>
      <c r="P184" s="298" t="s">
        <v>1656</v>
      </c>
    </row>
    <row r="185" spans="1:16">
      <c r="A185" s="310">
        <v>46196</v>
      </c>
      <c r="B185" s="144" t="s">
        <v>108</v>
      </c>
      <c r="C185" s="191">
        <v>0.31</v>
      </c>
      <c r="D185" s="191">
        <v>1</v>
      </c>
      <c r="E185" s="285">
        <v>321.097</v>
      </c>
      <c r="F185" s="105">
        <f t="shared" si="13"/>
        <v>296.7</v>
      </c>
      <c r="G185" s="105">
        <f t="shared" si="14"/>
        <v>24.397</v>
      </c>
      <c r="H185" s="160">
        <f t="shared" si="15"/>
        <v>0.879952163987829</v>
      </c>
      <c r="L185" s="285">
        <v>282.55</v>
      </c>
      <c r="M185" s="297">
        <f t="shared" si="16"/>
        <v>677.35</v>
      </c>
      <c r="P185" s="298" t="s">
        <v>1656</v>
      </c>
    </row>
    <row r="186" spans="1:16">
      <c r="A186" s="310">
        <v>46196</v>
      </c>
      <c r="B186" s="144" t="s">
        <v>102</v>
      </c>
      <c r="C186" s="191">
        <v>0.25</v>
      </c>
      <c r="D186" s="191">
        <v>1</v>
      </c>
      <c r="E186" s="285">
        <v>353.931</v>
      </c>
      <c r="F186" s="105">
        <f t="shared" si="13"/>
        <v>322.5</v>
      </c>
      <c r="G186" s="105">
        <f t="shared" si="14"/>
        <v>31.431</v>
      </c>
      <c r="H186" s="160">
        <f t="shared" si="15"/>
        <v>0.879973780200096</v>
      </c>
      <c r="L186" s="285">
        <v>311.45</v>
      </c>
      <c r="M186" s="297">
        <f t="shared" si="16"/>
        <v>365.9</v>
      </c>
      <c r="P186" s="298" t="s">
        <v>1656</v>
      </c>
    </row>
    <row r="187" spans="1:16">
      <c r="A187" s="310">
        <v>46196</v>
      </c>
      <c r="B187" s="144" t="s">
        <v>338</v>
      </c>
      <c r="C187" s="191">
        <v>0.29</v>
      </c>
      <c r="D187" s="191">
        <v>0.99</v>
      </c>
      <c r="E187" s="285">
        <v>313.2</v>
      </c>
      <c r="F187" s="105">
        <f t="shared" si="13"/>
        <v>301</v>
      </c>
      <c r="G187" s="105">
        <f t="shared" si="14"/>
        <v>12.2</v>
      </c>
      <c r="H187" s="160">
        <f t="shared" si="15"/>
        <v>0.879980842911878</v>
      </c>
      <c r="L187" s="285">
        <v>275.61</v>
      </c>
      <c r="M187" s="297">
        <f t="shared" si="16"/>
        <v>90.2900000000004</v>
      </c>
      <c r="P187" s="298" t="s">
        <v>1656</v>
      </c>
    </row>
    <row r="188" spans="1:16">
      <c r="A188" s="310">
        <v>46196</v>
      </c>
      <c r="B188" s="144" t="s">
        <v>195</v>
      </c>
      <c r="C188" s="191">
        <v>0.28</v>
      </c>
      <c r="D188" s="191">
        <v>0.99</v>
      </c>
      <c r="E188" s="285">
        <v>318.912</v>
      </c>
      <c r="F188" s="105">
        <f t="shared" si="13"/>
        <v>305.3</v>
      </c>
      <c r="G188" s="105">
        <f t="shared" si="14"/>
        <v>13.612</v>
      </c>
      <c r="H188" s="160">
        <f t="shared" si="15"/>
        <v>0.879991972707205</v>
      </c>
      <c r="L188" s="285">
        <v>280.64</v>
      </c>
      <c r="M188" s="297">
        <f t="shared" si="16"/>
        <v>-190.35</v>
      </c>
      <c r="P188" s="298" t="s">
        <v>1656</v>
      </c>
    </row>
    <row r="189" spans="1:16">
      <c r="A189" s="310">
        <v>46196</v>
      </c>
      <c r="B189" s="144" t="s">
        <v>154</v>
      </c>
      <c r="C189" s="191">
        <v>0.3</v>
      </c>
      <c r="D189" s="191">
        <v>0.99</v>
      </c>
      <c r="E189" s="285">
        <v>307.524</v>
      </c>
      <c r="F189" s="105">
        <f t="shared" si="13"/>
        <v>296.7</v>
      </c>
      <c r="G189" s="105">
        <f t="shared" si="14"/>
        <v>10.824</v>
      </c>
      <c r="H189" s="160">
        <f t="shared" si="15"/>
        <v>0.879963840220601</v>
      </c>
      <c r="L189" s="285">
        <v>270.61</v>
      </c>
      <c r="M189" s="297">
        <f t="shared" si="16"/>
        <v>-460.96</v>
      </c>
      <c r="P189" s="298" t="s">
        <v>1656</v>
      </c>
    </row>
    <row r="190" spans="1:16">
      <c r="A190" s="310">
        <v>46196</v>
      </c>
      <c r="B190" s="144" t="s">
        <v>204</v>
      </c>
      <c r="C190" s="191">
        <v>0.29</v>
      </c>
      <c r="D190" s="191">
        <v>1</v>
      </c>
      <c r="E190" s="285">
        <v>315.255</v>
      </c>
      <c r="F190" s="105">
        <f t="shared" si="13"/>
        <v>305.3</v>
      </c>
      <c r="G190" s="105">
        <f t="shared" si="14"/>
        <v>9.95499999999998</v>
      </c>
      <c r="H190" s="160">
        <f t="shared" si="15"/>
        <v>0.879954322691155</v>
      </c>
      <c r="L190" s="285">
        <v>277.41</v>
      </c>
      <c r="M190" s="297">
        <f t="shared" si="16"/>
        <v>-738.37</v>
      </c>
      <c r="P190" s="298" t="s">
        <v>1656</v>
      </c>
    </row>
    <row r="191" spans="1:16">
      <c r="A191" s="310">
        <v>46196</v>
      </c>
      <c r="B191" s="144" t="s">
        <v>160</v>
      </c>
      <c r="C191" s="191">
        <v>0.26</v>
      </c>
      <c r="D191" s="191">
        <v>0.99</v>
      </c>
      <c r="E191" s="285">
        <v>326.201</v>
      </c>
      <c r="F191" s="105">
        <f t="shared" si="13"/>
        <v>313.9</v>
      </c>
      <c r="G191" s="105">
        <f t="shared" si="14"/>
        <v>12.301</v>
      </c>
      <c r="H191" s="160">
        <f t="shared" si="15"/>
        <v>0.879978908709661</v>
      </c>
      <c r="L191" s="285">
        <v>287.05</v>
      </c>
      <c r="M191" s="297">
        <f t="shared" si="16"/>
        <v>-1025.42</v>
      </c>
      <c r="P191" s="298" t="s">
        <v>1656</v>
      </c>
    </row>
    <row r="192" spans="1:16">
      <c r="A192" s="310">
        <v>46196</v>
      </c>
      <c r="B192" s="144" t="s">
        <v>189</v>
      </c>
      <c r="C192" s="191">
        <v>0.38</v>
      </c>
      <c r="D192" s="191">
        <v>0.99</v>
      </c>
      <c r="E192" s="285">
        <v>271.344</v>
      </c>
      <c r="F192" s="105">
        <f t="shared" si="13"/>
        <v>262.3</v>
      </c>
      <c r="G192" s="105">
        <f t="shared" si="14"/>
        <v>9.04399999999998</v>
      </c>
      <c r="H192" s="160">
        <f t="shared" si="15"/>
        <v>0.879953122235981</v>
      </c>
      <c r="L192" s="285">
        <v>238.77</v>
      </c>
      <c r="M192" s="297">
        <f t="shared" si="16"/>
        <v>-1264.19</v>
      </c>
      <c r="P192" s="298" t="s">
        <v>1656</v>
      </c>
    </row>
    <row r="193" spans="1:16">
      <c r="A193" s="310">
        <v>46196</v>
      </c>
      <c r="B193" s="144" t="s">
        <v>223</v>
      </c>
      <c r="C193" s="191">
        <v>0.28</v>
      </c>
      <c r="D193" s="191">
        <v>0.99</v>
      </c>
      <c r="E193" s="285">
        <v>318.42</v>
      </c>
      <c r="F193" s="105">
        <f t="shared" si="13"/>
        <v>305.3</v>
      </c>
      <c r="G193" s="105">
        <f t="shared" si="14"/>
        <v>13.12</v>
      </c>
      <c r="H193" s="160">
        <f t="shared" si="15"/>
        <v>0.879969851140004</v>
      </c>
      <c r="L193" s="285">
        <v>280.2</v>
      </c>
      <c r="M193" s="297">
        <f t="shared" si="16"/>
        <v>-1544.39</v>
      </c>
      <c r="P193" s="298" t="s">
        <v>1656</v>
      </c>
    </row>
    <row r="194" spans="1:16">
      <c r="A194" s="310">
        <v>46196</v>
      </c>
      <c r="B194" s="144" t="s">
        <v>221</v>
      </c>
      <c r="C194" s="191">
        <v>0.24</v>
      </c>
      <c r="D194" s="191">
        <v>0.99</v>
      </c>
      <c r="E194" s="285">
        <v>335.146</v>
      </c>
      <c r="F194" s="105">
        <f t="shared" si="13"/>
        <v>322.5</v>
      </c>
      <c r="G194" s="105">
        <f t="shared" si="14"/>
        <v>12.646</v>
      </c>
      <c r="H194" s="160">
        <f t="shared" si="15"/>
        <v>0.879944859852124</v>
      </c>
      <c r="L194" s="285">
        <v>294.91</v>
      </c>
      <c r="M194" s="297">
        <f t="shared" si="16"/>
        <v>-1839.3</v>
      </c>
      <c r="P194" s="298" t="s">
        <v>1656</v>
      </c>
    </row>
    <row r="195" spans="1:16">
      <c r="A195" s="310">
        <v>46196</v>
      </c>
      <c r="B195" s="144" t="s">
        <v>163</v>
      </c>
      <c r="C195" s="191">
        <v>0.25</v>
      </c>
      <c r="D195" s="191">
        <v>0.99</v>
      </c>
      <c r="E195" s="285">
        <v>331.928</v>
      </c>
      <c r="F195" s="105">
        <f t="shared" si="13"/>
        <v>318.2</v>
      </c>
      <c r="G195" s="105">
        <f t="shared" si="14"/>
        <v>13.728</v>
      </c>
      <c r="H195" s="160">
        <f t="shared" si="15"/>
        <v>0.879949868646212</v>
      </c>
      <c r="L195" s="285">
        <v>292.08</v>
      </c>
      <c r="M195" s="297">
        <f t="shared" si="16"/>
        <v>-2131.38</v>
      </c>
      <c r="P195" s="298" t="s">
        <v>1656</v>
      </c>
    </row>
    <row r="196" spans="1:16">
      <c r="A196" s="310">
        <v>46196</v>
      </c>
      <c r="B196" s="144" t="s">
        <v>51</v>
      </c>
      <c r="C196" s="191">
        <v>0.32</v>
      </c>
      <c r="D196" s="191">
        <v>1</v>
      </c>
      <c r="E196" s="285">
        <v>279.49</v>
      </c>
      <c r="F196" s="105">
        <f t="shared" si="13"/>
        <v>292.4</v>
      </c>
      <c r="G196" s="105">
        <f t="shared" si="14"/>
        <v>-12.91</v>
      </c>
      <c r="H196" s="160">
        <f t="shared" si="15"/>
        <v>0.879995706465348</v>
      </c>
      <c r="L196" s="285">
        <v>245.95</v>
      </c>
      <c r="M196" s="297">
        <f t="shared" si="16"/>
        <v>-2377.33</v>
      </c>
      <c r="P196" s="298" t="s">
        <v>1656</v>
      </c>
    </row>
    <row r="197" spans="1:16">
      <c r="A197" s="310">
        <v>46196</v>
      </c>
      <c r="B197" s="144" t="s">
        <v>144</v>
      </c>
      <c r="C197" s="191">
        <v>0.33</v>
      </c>
      <c r="D197" s="191">
        <v>1</v>
      </c>
      <c r="E197" s="285">
        <v>297.963</v>
      </c>
      <c r="F197" s="105">
        <f t="shared" si="13"/>
        <v>288.1</v>
      </c>
      <c r="G197" s="105">
        <f t="shared" si="14"/>
        <v>9.863</v>
      </c>
      <c r="H197" s="160">
        <f t="shared" si="15"/>
        <v>0.879941469242825</v>
      </c>
      <c r="L197" s="285">
        <v>262.19</v>
      </c>
      <c r="M197" s="297">
        <f t="shared" si="16"/>
        <v>-2639.52</v>
      </c>
      <c r="P197" s="298" t="s">
        <v>1656</v>
      </c>
    </row>
    <row r="198" spans="1:16">
      <c r="A198" s="310">
        <v>46196</v>
      </c>
      <c r="B198" s="144" t="s">
        <v>114</v>
      </c>
      <c r="C198" s="191">
        <v>0.26</v>
      </c>
      <c r="D198" s="191">
        <v>0.66</v>
      </c>
      <c r="E198" s="285">
        <v>162.987</v>
      </c>
      <c r="F198" s="105">
        <f t="shared" si="13"/>
        <v>172</v>
      </c>
      <c r="G198" s="105">
        <f t="shared" si="14"/>
        <v>-9.01300000000001</v>
      </c>
      <c r="H198" s="160">
        <f t="shared" si="15"/>
        <v>0.879947480473903</v>
      </c>
      <c r="L198" s="285">
        <v>143.42</v>
      </c>
      <c r="M198" s="297">
        <f t="shared" si="16"/>
        <v>-2782.94</v>
      </c>
      <c r="P198" s="298" t="s">
        <v>1656</v>
      </c>
    </row>
    <row r="199" spans="1:16">
      <c r="A199" s="310">
        <v>46196</v>
      </c>
      <c r="B199" s="144" t="s">
        <v>93</v>
      </c>
      <c r="C199" s="191">
        <v>0.4</v>
      </c>
      <c r="D199" s="191">
        <v>1</v>
      </c>
      <c r="E199" s="285">
        <v>285.496</v>
      </c>
      <c r="F199" s="105">
        <f t="shared" si="13"/>
        <v>258</v>
      </c>
      <c r="G199" s="105">
        <f t="shared" si="14"/>
        <v>27.496</v>
      </c>
      <c r="H199" s="160">
        <f t="shared" si="15"/>
        <v>0.879977302659232</v>
      </c>
      <c r="L199" s="285">
        <v>251.23</v>
      </c>
      <c r="M199" s="297">
        <f t="shared" si="16"/>
        <v>-3034.17</v>
      </c>
      <c r="P199" s="298" t="s">
        <v>1656</v>
      </c>
    </row>
    <row r="200" spans="1:16">
      <c r="A200" s="310">
        <v>46196</v>
      </c>
      <c r="B200" s="144" t="s">
        <v>186</v>
      </c>
      <c r="C200" s="191">
        <v>0.34</v>
      </c>
      <c r="D200" s="191">
        <v>1</v>
      </c>
      <c r="E200" s="285">
        <v>289.961</v>
      </c>
      <c r="F200" s="105">
        <f t="shared" si="13"/>
        <v>283.8</v>
      </c>
      <c r="G200" s="105">
        <f t="shared" si="14"/>
        <v>6.161</v>
      </c>
      <c r="H200" s="160">
        <f t="shared" si="15"/>
        <v>0.879980411158742</v>
      </c>
      <c r="L200" s="285">
        <v>255.16</v>
      </c>
      <c r="M200" s="297">
        <f t="shared" si="16"/>
        <v>-3289.33</v>
      </c>
      <c r="P200" s="298" t="s">
        <v>1656</v>
      </c>
    </row>
    <row r="201" spans="1:16">
      <c r="A201" s="310">
        <v>46196</v>
      </c>
      <c r="B201" s="144" t="s">
        <v>96</v>
      </c>
      <c r="C201" s="191">
        <v>0.42</v>
      </c>
      <c r="D201" s="191">
        <v>1</v>
      </c>
      <c r="E201" s="285">
        <v>272.223</v>
      </c>
      <c r="F201" s="105">
        <f t="shared" si="13"/>
        <v>249.4</v>
      </c>
      <c r="G201" s="105">
        <f t="shared" si="14"/>
        <v>22.823</v>
      </c>
      <c r="H201" s="160">
        <f t="shared" si="15"/>
        <v>0.879940343027591</v>
      </c>
      <c r="L201" s="285">
        <v>239.54</v>
      </c>
      <c r="M201" s="297">
        <f t="shared" si="16"/>
        <v>-3528.87</v>
      </c>
      <c r="P201" s="298" t="s">
        <v>1656</v>
      </c>
    </row>
    <row r="202" spans="1:16">
      <c r="A202" s="310">
        <v>46197</v>
      </c>
      <c r="B202" s="144" t="s">
        <v>111</v>
      </c>
      <c r="C202" s="191">
        <v>0.26</v>
      </c>
      <c r="D202" s="191">
        <v>1</v>
      </c>
      <c r="E202" s="285">
        <v>298.493</v>
      </c>
      <c r="F202" s="105">
        <f t="shared" si="13"/>
        <v>318.2</v>
      </c>
      <c r="G202" s="105">
        <f t="shared" si="14"/>
        <v>-19.707</v>
      </c>
      <c r="H202" s="160">
        <f t="shared" si="15"/>
        <v>0.879987135376709</v>
      </c>
      <c r="L202" s="285">
        <v>262.67</v>
      </c>
      <c r="M202" s="297">
        <f t="shared" si="16"/>
        <v>-3791.54</v>
      </c>
      <c r="P202" s="298" t="s">
        <v>1656</v>
      </c>
    </row>
    <row r="203" spans="1:16">
      <c r="A203" s="310">
        <v>46197</v>
      </c>
      <c r="B203" s="144" t="s">
        <v>69</v>
      </c>
      <c r="C203" s="191">
        <v>0.13</v>
      </c>
      <c r="D203" s="191">
        <v>0.91</v>
      </c>
      <c r="E203" s="285">
        <v>363.729</v>
      </c>
      <c r="F203" s="105">
        <f t="shared" si="13"/>
        <v>335.4</v>
      </c>
      <c r="G203" s="105">
        <f t="shared" si="14"/>
        <v>28.329</v>
      </c>
      <c r="H203" s="160">
        <f t="shared" si="15"/>
        <v>0.879968328068425</v>
      </c>
      <c r="L203" s="285">
        <v>320.07</v>
      </c>
      <c r="M203" s="297">
        <f t="shared" si="16"/>
        <v>-4111.61</v>
      </c>
      <c r="P203" s="298" t="s">
        <v>1656</v>
      </c>
    </row>
    <row r="204" spans="1:16">
      <c r="A204" s="310">
        <v>46197</v>
      </c>
      <c r="B204" s="144" t="s">
        <v>144</v>
      </c>
      <c r="C204" s="191">
        <v>0.28</v>
      </c>
      <c r="D204" s="191">
        <v>0.99</v>
      </c>
      <c r="E204" s="285">
        <v>316.457</v>
      </c>
      <c r="F204" s="105">
        <f t="shared" si="13"/>
        <v>305.3</v>
      </c>
      <c r="G204" s="105">
        <f t="shared" si="14"/>
        <v>11.157</v>
      </c>
      <c r="H204" s="160">
        <f t="shared" si="15"/>
        <v>0.879961574558313</v>
      </c>
      <c r="L204" s="285">
        <v>278.47</v>
      </c>
      <c r="M204" s="297">
        <f t="shared" si="16"/>
        <v>-4390.08</v>
      </c>
      <c r="P204" s="298" t="s">
        <v>1656</v>
      </c>
    </row>
    <row r="205" spans="1:16">
      <c r="A205" s="310">
        <v>46197</v>
      </c>
      <c r="B205" s="144" t="s">
        <v>192</v>
      </c>
      <c r="C205" s="191">
        <v>0.26</v>
      </c>
      <c r="D205" s="191">
        <v>0.98</v>
      </c>
      <c r="E205" s="285">
        <v>316.602</v>
      </c>
      <c r="F205" s="105">
        <f t="shared" si="13"/>
        <v>309.6</v>
      </c>
      <c r="G205" s="105">
        <f t="shared" si="14"/>
        <v>7.00199999999995</v>
      </c>
      <c r="H205" s="160">
        <f t="shared" si="15"/>
        <v>0.8799691726521</v>
      </c>
      <c r="L205" s="285">
        <v>278.6</v>
      </c>
      <c r="M205" s="297">
        <f t="shared" si="16"/>
        <v>-4668.68</v>
      </c>
      <c r="P205" s="298" t="s">
        <v>1656</v>
      </c>
    </row>
    <row r="206" spans="1:16">
      <c r="A206" s="310">
        <v>46197</v>
      </c>
      <c r="B206" s="144" t="s">
        <v>189</v>
      </c>
      <c r="C206" s="191">
        <v>0.25</v>
      </c>
      <c r="D206" s="191">
        <v>0.88</v>
      </c>
      <c r="E206" s="285">
        <v>278.562</v>
      </c>
      <c r="F206" s="105">
        <f t="shared" si="13"/>
        <v>270.9</v>
      </c>
      <c r="G206" s="105">
        <f t="shared" si="14"/>
        <v>7.66200000000003</v>
      </c>
      <c r="H206" s="160">
        <f t="shared" si="15"/>
        <v>0.879947731564248</v>
      </c>
      <c r="L206" s="285">
        <v>245.12</v>
      </c>
      <c r="M206" s="297">
        <f t="shared" si="16"/>
        <v>-4913.8</v>
      </c>
      <c r="P206" s="298" t="s">
        <v>1656</v>
      </c>
    </row>
    <row r="207" spans="1:16">
      <c r="A207" s="310">
        <v>46197</v>
      </c>
      <c r="B207" s="144" t="s">
        <v>75</v>
      </c>
      <c r="C207" s="191">
        <v>0.23</v>
      </c>
      <c r="D207" s="191">
        <v>0.3</v>
      </c>
      <c r="E207" s="285">
        <v>31.256</v>
      </c>
      <c r="F207" s="105">
        <f t="shared" si="13"/>
        <v>30.1</v>
      </c>
      <c r="G207" s="105">
        <f t="shared" si="14"/>
        <v>1.156</v>
      </c>
      <c r="H207" s="160">
        <f t="shared" si="15"/>
        <v>0.879831072434093</v>
      </c>
      <c r="L207" s="285">
        <v>27.5</v>
      </c>
      <c r="M207" s="297">
        <f t="shared" si="16"/>
        <v>-4941.3</v>
      </c>
      <c r="P207" s="298" t="s">
        <v>1656</v>
      </c>
    </row>
    <row r="208" spans="1:16">
      <c r="A208" s="310">
        <v>46197</v>
      </c>
      <c r="B208" s="144" t="s">
        <v>213</v>
      </c>
      <c r="C208" s="191">
        <v>0.71</v>
      </c>
      <c r="D208" s="191">
        <v>0.99</v>
      </c>
      <c r="E208" s="285">
        <v>129.11</v>
      </c>
      <c r="F208" s="105">
        <f t="shared" si="13"/>
        <v>120.4</v>
      </c>
      <c r="G208" s="105">
        <f t="shared" si="14"/>
        <v>8.71000000000001</v>
      </c>
      <c r="H208" s="160">
        <f t="shared" si="15"/>
        <v>0.879869878398265</v>
      </c>
      <c r="L208" s="285">
        <v>113.6</v>
      </c>
      <c r="M208" s="297">
        <f t="shared" si="16"/>
        <v>-5054.9</v>
      </c>
      <c r="P208" s="298" t="s">
        <v>1656</v>
      </c>
    </row>
    <row r="209" spans="1:16">
      <c r="A209" s="310">
        <v>46197</v>
      </c>
      <c r="B209" s="144" t="s">
        <v>670</v>
      </c>
      <c r="C209" s="191">
        <v>0.69</v>
      </c>
      <c r="D209" s="191">
        <v>0.97</v>
      </c>
      <c r="E209" s="285">
        <v>130.014</v>
      </c>
      <c r="F209" s="105">
        <f t="shared" si="13"/>
        <v>120.4</v>
      </c>
      <c r="G209" s="105">
        <f t="shared" si="14"/>
        <v>9.614</v>
      </c>
      <c r="H209" s="160">
        <f t="shared" si="15"/>
        <v>0.879905240974049</v>
      </c>
      <c r="L209" s="285">
        <v>114.4</v>
      </c>
      <c r="M209" s="297">
        <f t="shared" si="16"/>
        <v>-5169.3</v>
      </c>
      <c r="P209" s="298" t="s">
        <v>1656</v>
      </c>
    </row>
    <row r="210" spans="1:16">
      <c r="A210" s="310">
        <v>46197</v>
      </c>
      <c r="B210" s="144" t="s">
        <v>135</v>
      </c>
      <c r="C210" s="191">
        <v>0.17</v>
      </c>
      <c r="D210" s="191">
        <v>0.92</v>
      </c>
      <c r="E210" s="285">
        <v>330.009</v>
      </c>
      <c r="F210" s="105">
        <f t="shared" si="13"/>
        <v>322.5</v>
      </c>
      <c r="G210" s="105">
        <f t="shared" si="14"/>
        <v>7.50900000000001</v>
      </c>
      <c r="H210" s="160">
        <f t="shared" si="15"/>
        <v>0.879976000654528</v>
      </c>
      <c r="K210" s="144">
        <v>10000</v>
      </c>
      <c r="L210" s="285">
        <v>290.4</v>
      </c>
      <c r="M210" s="297">
        <f t="shared" si="16"/>
        <v>4540.3</v>
      </c>
      <c r="P210" s="298" t="s">
        <v>1656</v>
      </c>
    </row>
    <row r="211" spans="1:16">
      <c r="A211" s="311">
        <v>46198</v>
      </c>
      <c r="B211" s="144" t="s">
        <v>339</v>
      </c>
      <c r="C211" s="191">
        <v>0</v>
      </c>
      <c r="D211" s="191">
        <v>1</v>
      </c>
      <c r="E211" s="285">
        <v>259.786</v>
      </c>
      <c r="F211" s="105">
        <f t="shared" ref="F211:F247" si="17">(D211-C211)*430</f>
        <v>430</v>
      </c>
      <c r="G211" s="105">
        <f t="shared" ref="G211:G247" si="18">E211-F211</f>
        <v>-170.214</v>
      </c>
      <c r="H211" s="160">
        <f t="shared" ref="H211:H247" si="19">L211/E211</f>
        <v>0.87995503991747</v>
      </c>
      <c r="L211" s="285">
        <v>228.6</v>
      </c>
      <c r="M211" s="297">
        <f t="shared" ref="M211:M247" si="20">M210+K211-L211</f>
        <v>4311.7</v>
      </c>
      <c r="P211" s="298" t="s">
        <v>1656</v>
      </c>
    </row>
    <row r="212" spans="1:16">
      <c r="A212" s="311">
        <v>46198</v>
      </c>
      <c r="B212" s="144" t="s">
        <v>75</v>
      </c>
      <c r="C212" s="191">
        <v>0.26</v>
      </c>
      <c r="D212" s="191">
        <v>1</v>
      </c>
      <c r="E212" s="285">
        <v>345.549</v>
      </c>
      <c r="F212" s="105">
        <f t="shared" si="17"/>
        <v>318.2</v>
      </c>
      <c r="G212" s="105">
        <f t="shared" si="18"/>
        <v>27.349</v>
      </c>
      <c r="H212" s="160">
        <f t="shared" si="19"/>
        <v>0.879962031434037</v>
      </c>
      <c r="L212" s="285">
        <v>304.07</v>
      </c>
      <c r="M212" s="297">
        <f t="shared" si="20"/>
        <v>4007.63</v>
      </c>
      <c r="P212" s="298" t="s">
        <v>1656</v>
      </c>
    </row>
    <row r="213" spans="1:16">
      <c r="A213" s="311">
        <v>46198</v>
      </c>
      <c r="B213" s="144" t="s">
        <v>207</v>
      </c>
      <c r="C213" s="191">
        <v>0.26</v>
      </c>
      <c r="D213" s="191">
        <v>0.99</v>
      </c>
      <c r="E213" s="285">
        <v>320.555</v>
      </c>
      <c r="F213" s="105">
        <f t="shared" si="17"/>
        <v>313.9</v>
      </c>
      <c r="G213" s="105">
        <f t="shared" si="18"/>
        <v>6.65500000000003</v>
      </c>
      <c r="H213" s="160">
        <f t="shared" si="19"/>
        <v>0.879973795448519</v>
      </c>
      <c r="L213" s="285">
        <v>282.08</v>
      </c>
      <c r="M213" s="297">
        <f t="shared" si="20"/>
        <v>3725.55</v>
      </c>
      <c r="P213" s="298" t="s">
        <v>1656</v>
      </c>
    </row>
    <row r="214" spans="1:16">
      <c r="A214" s="311">
        <v>46198</v>
      </c>
      <c r="B214" s="144" t="s">
        <v>154</v>
      </c>
      <c r="C214" s="191">
        <v>0.09</v>
      </c>
      <c r="D214" s="191">
        <v>1</v>
      </c>
      <c r="E214" s="285">
        <v>397.841</v>
      </c>
      <c r="F214" s="105">
        <f t="shared" si="17"/>
        <v>391.3</v>
      </c>
      <c r="G214" s="105">
        <f t="shared" si="18"/>
        <v>6.541</v>
      </c>
      <c r="H214" s="160">
        <f t="shared" si="19"/>
        <v>0.879974663244864</v>
      </c>
      <c r="L214" s="285">
        <v>350.09</v>
      </c>
      <c r="M214" s="297">
        <f t="shared" si="20"/>
        <v>3375.46</v>
      </c>
      <c r="P214" s="298" t="s">
        <v>1656</v>
      </c>
    </row>
    <row r="215" spans="1:16">
      <c r="A215" s="311">
        <v>46198</v>
      </c>
      <c r="B215" s="144" t="s">
        <v>174</v>
      </c>
      <c r="C215" s="191">
        <v>0.41</v>
      </c>
      <c r="D215" s="191">
        <v>0.99</v>
      </c>
      <c r="E215" s="285">
        <v>258.376</v>
      </c>
      <c r="F215" s="105">
        <f t="shared" si="17"/>
        <v>249.4</v>
      </c>
      <c r="G215" s="105">
        <f t="shared" si="18"/>
        <v>8.97599999999994</v>
      </c>
      <c r="H215" s="160">
        <f t="shared" si="19"/>
        <v>0.879957890825773</v>
      </c>
      <c r="L215" s="285">
        <v>227.36</v>
      </c>
      <c r="M215" s="297">
        <f t="shared" si="20"/>
        <v>3148.1</v>
      </c>
      <c r="P215" s="298" t="s">
        <v>1656</v>
      </c>
    </row>
    <row r="216" spans="1:16">
      <c r="A216" s="311">
        <v>46198</v>
      </c>
      <c r="B216" s="144" t="s">
        <v>225</v>
      </c>
      <c r="C216" s="191">
        <v>0.19</v>
      </c>
      <c r="D216" s="191">
        <v>0.98</v>
      </c>
      <c r="E216" s="285">
        <v>349.636</v>
      </c>
      <c r="F216" s="105">
        <f t="shared" si="17"/>
        <v>339.7</v>
      </c>
      <c r="G216" s="105">
        <f t="shared" si="18"/>
        <v>9.93600000000004</v>
      </c>
      <c r="H216" s="160">
        <f t="shared" si="19"/>
        <v>0.879972314063769</v>
      </c>
      <c r="L216" s="285">
        <v>307.67</v>
      </c>
      <c r="M216" s="297">
        <f t="shared" si="20"/>
        <v>2840.43</v>
      </c>
      <c r="P216" s="298" t="s">
        <v>1656</v>
      </c>
    </row>
    <row r="217" spans="1:16">
      <c r="A217" s="311">
        <v>46198</v>
      </c>
      <c r="B217" s="144" t="s">
        <v>223</v>
      </c>
      <c r="C217" s="191">
        <v>0.27</v>
      </c>
      <c r="D217" s="191">
        <v>0.97</v>
      </c>
      <c r="E217" s="285">
        <v>327.011</v>
      </c>
      <c r="F217" s="105">
        <f t="shared" si="17"/>
        <v>301</v>
      </c>
      <c r="G217" s="105">
        <f t="shared" si="18"/>
        <v>26.011</v>
      </c>
      <c r="H217" s="160">
        <f t="shared" si="19"/>
        <v>0.879970398549284</v>
      </c>
      <c r="L217" s="285">
        <v>287.76</v>
      </c>
      <c r="M217" s="297">
        <f t="shared" si="20"/>
        <v>2552.67</v>
      </c>
      <c r="P217" s="298" t="s">
        <v>1656</v>
      </c>
    </row>
    <row r="218" spans="1:16">
      <c r="A218" s="311">
        <v>46198</v>
      </c>
      <c r="B218" s="144" t="s">
        <v>163</v>
      </c>
      <c r="C218" s="191">
        <v>0.62</v>
      </c>
      <c r="D218" s="191">
        <v>1</v>
      </c>
      <c r="E218" s="285">
        <v>168.892</v>
      </c>
      <c r="F218" s="105">
        <f t="shared" si="17"/>
        <v>163.4</v>
      </c>
      <c r="G218" s="105">
        <f t="shared" si="18"/>
        <v>5.49199999999999</v>
      </c>
      <c r="H218" s="160">
        <f t="shared" si="19"/>
        <v>0.879970632119935</v>
      </c>
      <c r="L218" s="285">
        <v>148.62</v>
      </c>
      <c r="M218" s="297">
        <f t="shared" si="20"/>
        <v>2404.05</v>
      </c>
      <c r="P218" s="298" t="s">
        <v>1656</v>
      </c>
    </row>
    <row r="219" spans="1:16">
      <c r="A219" s="311">
        <v>46198</v>
      </c>
      <c r="B219" s="144" t="s">
        <v>219</v>
      </c>
      <c r="C219" s="191">
        <v>0.08</v>
      </c>
      <c r="D219" s="191">
        <v>0.99</v>
      </c>
      <c r="E219" s="285">
        <v>402.478</v>
      </c>
      <c r="F219" s="105">
        <f t="shared" si="17"/>
        <v>391.3</v>
      </c>
      <c r="G219" s="105">
        <f t="shared" si="18"/>
        <v>11.178</v>
      </c>
      <c r="H219" s="160">
        <f t="shared" si="19"/>
        <v>0.87997356377243</v>
      </c>
      <c r="L219" s="285">
        <v>354.17</v>
      </c>
      <c r="M219" s="297">
        <f t="shared" si="20"/>
        <v>2049.88</v>
      </c>
      <c r="P219" s="298" t="s">
        <v>1656</v>
      </c>
    </row>
    <row r="220" spans="1:16">
      <c r="A220" s="311">
        <v>46198</v>
      </c>
      <c r="B220" s="144" t="s">
        <v>96</v>
      </c>
      <c r="C220" s="191">
        <v>0.21</v>
      </c>
      <c r="D220" s="191">
        <v>1</v>
      </c>
      <c r="E220" s="285">
        <v>380.599</v>
      </c>
      <c r="F220" s="105">
        <f t="shared" si="17"/>
        <v>339.7</v>
      </c>
      <c r="G220" s="105">
        <f t="shared" si="18"/>
        <v>40.899</v>
      </c>
      <c r="H220" s="160">
        <f t="shared" si="19"/>
        <v>0.879955018273826</v>
      </c>
      <c r="L220" s="285">
        <v>334.91</v>
      </c>
      <c r="M220" s="297">
        <f t="shared" si="20"/>
        <v>1714.97</v>
      </c>
      <c r="P220" s="298" t="s">
        <v>1656</v>
      </c>
    </row>
    <row r="221" spans="1:16">
      <c r="A221" s="311">
        <v>46198</v>
      </c>
      <c r="B221" s="144" t="s">
        <v>221</v>
      </c>
      <c r="C221" s="191">
        <v>0.87</v>
      </c>
      <c r="D221" s="191">
        <v>0.99</v>
      </c>
      <c r="E221" s="285">
        <v>58.19</v>
      </c>
      <c r="F221" s="105">
        <f t="shared" si="17"/>
        <v>51.6</v>
      </c>
      <c r="G221" s="105">
        <f t="shared" si="18"/>
        <v>6.59</v>
      </c>
      <c r="H221" s="160">
        <f t="shared" si="19"/>
        <v>0.879876267399897</v>
      </c>
      <c r="L221" s="285">
        <v>51.2</v>
      </c>
      <c r="M221" s="297">
        <f t="shared" si="20"/>
        <v>1663.77</v>
      </c>
      <c r="P221" s="298" t="s">
        <v>1656</v>
      </c>
    </row>
    <row r="222" spans="1:16">
      <c r="A222" s="311">
        <v>46198</v>
      </c>
      <c r="B222" s="144" t="s">
        <v>114</v>
      </c>
      <c r="C222" s="191">
        <v>0.32</v>
      </c>
      <c r="D222" s="191">
        <v>0.87</v>
      </c>
      <c r="E222" s="285">
        <v>223.138</v>
      </c>
      <c r="F222" s="105">
        <f t="shared" si="17"/>
        <v>236.5</v>
      </c>
      <c r="G222" s="105">
        <f t="shared" si="18"/>
        <v>-13.362</v>
      </c>
      <c r="H222" s="160">
        <f t="shared" si="19"/>
        <v>0.879993546594484</v>
      </c>
      <c r="L222" s="285">
        <v>196.36</v>
      </c>
      <c r="M222" s="297">
        <f t="shared" si="20"/>
        <v>1467.41</v>
      </c>
      <c r="P222" s="298" t="s">
        <v>1656</v>
      </c>
    </row>
    <row r="223" spans="1:16">
      <c r="A223" s="311">
        <v>46198</v>
      </c>
      <c r="B223" s="144" t="s">
        <v>93</v>
      </c>
      <c r="C223" s="191">
        <v>0.65</v>
      </c>
      <c r="D223" s="191">
        <v>1</v>
      </c>
      <c r="E223" s="285">
        <v>163.84</v>
      </c>
      <c r="F223" s="105">
        <f t="shared" si="17"/>
        <v>150.5</v>
      </c>
      <c r="G223" s="105">
        <f t="shared" si="18"/>
        <v>13.34</v>
      </c>
      <c r="H223" s="160">
        <f t="shared" si="19"/>
        <v>0.87994384765625</v>
      </c>
      <c r="L223" s="285">
        <v>144.17</v>
      </c>
      <c r="M223" s="297">
        <f t="shared" si="20"/>
        <v>1323.24</v>
      </c>
      <c r="P223" s="298" t="s">
        <v>1656</v>
      </c>
    </row>
    <row r="224" spans="1:16">
      <c r="A224" s="311">
        <v>46198</v>
      </c>
      <c r="B224" s="144" t="s">
        <v>186</v>
      </c>
      <c r="C224" s="191">
        <v>0.66</v>
      </c>
      <c r="D224" s="191">
        <v>0.99</v>
      </c>
      <c r="E224" s="285">
        <v>150.22</v>
      </c>
      <c r="F224" s="105">
        <f t="shared" si="17"/>
        <v>141.9</v>
      </c>
      <c r="G224" s="105">
        <f t="shared" si="18"/>
        <v>8.32000000000002</v>
      </c>
      <c r="H224" s="160">
        <f t="shared" si="19"/>
        <v>0.879976035148449</v>
      </c>
      <c r="L224" s="285">
        <v>132.19</v>
      </c>
      <c r="M224" s="297">
        <f t="shared" si="20"/>
        <v>1191.05</v>
      </c>
      <c r="P224" s="298" t="s">
        <v>1656</v>
      </c>
    </row>
    <row r="225" spans="1:16">
      <c r="A225" s="311">
        <v>46198</v>
      </c>
      <c r="B225" s="144" t="s">
        <v>72</v>
      </c>
      <c r="C225" s="191">
        <v>0.45</v>
      </c>
      <c r="D225" s="191">
        <v>0.81</v>
      </c>
      <c r="E225" s="285">
        <v>168.28</v>
      </c>
      <c r="F225" s="105">
        <f t="shared" si="17"/>
        <v>154.8</v>
      </c>
      <c r="G225" s="105">
        <f t="shared" si="18"/>
        <v>13.48</v>
      </c>
      <c r="H225" s="160">
        <f t="shared" si="19"/>
        <v>0.879961968148324</v>
      </c>
      <c r="L225" s="285">
        <v>148.08</v>
      </c>
      <c r="M225" s="297">
        <f t="shared" si="20"/>
        <v>1042.97</v>
      </c>
      <c r="P225" s="298" t="s">
        <v>1656</v>
      </c>
    </row>
    <row r="226" spans="1:16">
      <c r="A226" s="311">
        <v>46199</v>
      </c>
      <c r="B226" s="144" t="s">
        <v>63</v>
      </c>
      <c r="C226" s="191">
        <v>0.32</v>
      </c>
      <c r="D226" s="191">
        <v>1</v>
      </c>
      <c r="E226" s="285">
        <v>318.421</v>
      </c>
      <c r="F226" s="105">
        <f t="shared" si="17"/>
        <v>292.4</v>
      </c>
      <c r="G226" s="105">
        <f t="shared" si="18"/>
        <v>26.021</v>
      </c>
      <c r="H226" s="160">
        <f t="shared" si="19"/>
        <v>0.879967087597866</v>
      </c>
      <c r="L226" s="285">
        <v>280.2</v>
      </c>
      <c r="M226" s="297">
        <f t="shared" si="20"/>
        <v>762.769999999999</v>
      </c>
      <c r="P226" s="298" t="s">
        <v>1656</v>
      </c>
    </row>
    <row r="227" spans="1:16">
      <c r="A227" s="311">
        <v>46199</v>
      </c>
      <c r="B227" s="144" t="s">
        <v>204</v>
      </c>
      <c r="C227" s="191">
        <v>0.26</v>
      </c>
      <c r="D227" s="191">
        <v>1</v>
      </c>
      <c r="E227" s="285">
        <v>327.239</v>
      </c>
      <c r="F227" s="105">
        <f t="shared" si="17"/>
        <v>318.2</v>
      </c>
      <c r="G227" s="105">
        <f t="shared" si="18"/>
        <v>9.03899999999999</v>
      </c>
      <c r="H227" s="160">
        <f t="shared" si="19"/>
        <v>0.879968463416647</v>
      </c>
      <c r="L227" s="285">
        <v>287.96</v>
      </c>
      <c r="M227" s="297">
        <f t="shared" si="20"/>
        <v>474.809999999999</v>
      </c>
      <c r="P227" s="298" t="s">
        <v>1656</v>
      </c>
    </row>
    <row r="228" spans="1:16">
      <c r="A228" s="311">
        <v>46199</v>
      </c>
      <c r="B228" s="144" t="s">
        <v>141</v>
      </c>
      <c r="C228" s="191">
        <v>0.13</v>
      </c>
      <c r="D228" s="191">
        <v>0.99</v>
      </c>
      <c r="E228" s="285">
        <v>382.756</v>
      </c>
      <c r="F228" s="105">
        <f t="shared" si="17"/>
        <v>369.8</v>
      </c>
      <c r="G228" s="105">
        <f t="shared" si="18"/>
        <v>12.956</v>
      </c>
      <c r="H228" s="160">
        <f t="shared" si="19"/>
        <v>0.879960079005946</v>
      </c>
      <c r="L228" s="285">
        <v>336.81</v>
      </c>
      <c r="M228" s="297">
        <f t="shared" si="20"/>
        <v>137.999999999999</v>
      </c>
      <c r="P228" s="298" t="s">
        <v>1656</v>
      </c>
    </row>
    <row r="229" spans="1:16">
      <c r="A229" s="311">
        <v>46199</v>
      </c>
      <c r="B229" s="144" t="s">
        <v>144</v>
      </c>
      <c r="C229" s="191">
        <v>0.51</v>
      </c>
      <c r="D229" s="191">
        <v>0.99</v>
      </c>
      <c r="E229" s="285">
        <v>214.291</v>
      </c>
      <c r="F229" s="105">
        <f t="shared" si="17"/>
        <v>206.4</v>
      </c>
      <c r="G229" s="105">
        <f t="shared" si="18"/>
        <v>7.89099999999999</v>
      </c>
      <c r="H229" s="160">
        <f t="shared" si="19"/>
        <v>0.879971627366525</v>
      </c>
      <c r="L229" s="285">
        <v>188.57</v>
      </c>
      <c r="M229" s="297">
        <f t="shared" si="20"/>
        <v>-50.5700000000011</v>
      </c>
      <c r="P229" s="298" t="s">
        <v>1656</v>
      </c>
    </row>
    <row r="230" spans="1:16">
      <c r="A230" s="311">
        <v>46199</v>
      </c>
      <c r="B230" s="144" t="s">
        <v>195</v>
      </c>
      <c r="C230" s="191">
        <v>0.26</v>
      </c>
      <c r="D230" s="191">
        <v>0.87</v>
      </c>
      <c r="E230" s="285">
        <v>268.437</v>
      </c>
      <c r="F230" s="105">
        <f t="shared" si="17"/>
        <v>262.3</v>
      </c>
      <c r="G230" s="105">
        <f t="shared" si="18"/>
        <v>6.137</v>
      </c>
      <c r="H230" s="160">
        <f t="shared" si="19"/>
        <v>0.879983012773947</v>
      </c>
      <c r="L230" s="285">
        <v>236.22</v>
      </c>
      <c r="M230" s="297">
        <f t="shared" si="20"/>
        <v>-286.790000000001</v>
      </c>
      <c r="P230" s="298" t="s">
        <v>1656</v>
      </c>
    </row>
    <row r="231" spans="1:16">
      <c r="A231" s="311">
        <v>46199</v>
      </c>
      <c r="B231" s="144" t="s">
        <v>75</v>
      </c>
      <c r="C231" s="191">
        <v>0.13</v>
      </c>
      <c r="D231" s="191">
        <v>0.64</v>
      </c>
      <c r="E231" s="285">
        <v>236.492</v>
      </c>
      <c r="F231" s="105">
        <f t="shared" si="17"/>
        <v>219.3</v>
      </c>
      <c r="G231" s="105">
        <f t="shared" si="18"/>
        <v>17.192</v>
      </c>
      <c r="H231" s="160">
        <f t="shared" si="19"/>
        <v>0.879945198991932</v>
      </c>
      <c r="L231" s="285">
        <v>208.1</v>
      </c>
      <c r="M231" s="297">
        <f t="shared" si="20"/>
        <v>-494.890000000001</v>
      </c>
      <c r="P231" s="298" t="s">
        <v>1656</v>
      </c>
    </row>
    <row r="232" spans="1:16">
      <c r="A232" s="311">
        <v>46199</v>
      </c>
      <c r="B232" s="144" t="s">
        <v>102</v>
      </c>
      <c r="C232" s="191">
        <v>0.65</v>
      </c>
      <c r="D232" s="191">
        <v>0.75</v>
      </c>
      <c r="E232" s="285">
        <v>47.291</v>
      </c>
      <c r="F232" s="105">
        <f t="shared" si="17"/>
        <v>43</v>
      </c>
      <c r="G232" s="105">
        <f t="shared" si="18"/>
        <v>4.291</v>
      </c>
      <c r="H232" s="160">
        <f t="shared" si="19"/>
        <v>0.879659977585587</v>
      </c>
      <c r="L232" s="285">
        <v>41.6</v>
      </c>
      <c r="M232" s="297">
        <f t="shared" si="20"/>
        <v>-536.490000000001</v>
      </c>
      <c r="P232" s="298" t="s">
        <v>1656</v>
      </c>
    </row>
    <row r="233" spans="1:16">
      <c r="A233" s="311">
        <v>46199</v>
      </c>
      <c r="B233" s="144" t="s">
        <v>138</v>
      </c>
      <c r="C233" s="191">
        <v>0.37</v>
      </c>
      <c r="D233" s="191">
        <v>1</v>
      </c>
      <c r="E233" s="285">
        <v>279.537</v>
      </c>
      <c r="F233" s="105">
        <f t="shared" si="17"/>
        <v>270.9</v>
      </c>
      <c r="G233" s="105">
        <f t="shared" si="18"/>
        <v>8.637</v>
      </c>
      <c r="H233" s="160">
        <f t="shared" si="19"/>
        <v>0.879955068559797</v>
      </c>
      <c r="L233" s="285">
        <v>245.98</v>
      </c>
      <c r="M233" s="297">
        <f t="shared" si="20"/>
        <v>-782.470000000001</v>
      </c>
      <c r="P233" s="298" t="s">
        <v>1656</v>
      </c>
    </row>
    <row r="234" spans="1:16">
      <c r="A234" s="311">
        <v>46199</v>
      </c>
      <c r="B234" s="144" t="s">
        <v>75</v>
      </c>
      <c r="C234" s="191">
        <v>0.6</v>
      </c>
      <c r="D234" s="191">
        <v>1</v>
      </c>
      <c r="E234" s="285">
        <v>176.905</v>
      </c>
      <c r="F234" s="105">
        <f t="shared" si="17"/>
        <v>172</v>
      </c>
      <c r="G234" s="105">
        <f t="shared" si="18"/>
        <v>4.905</v>
      </c>
      <c r="H234" s="160">
        <f t="shared" si="19"/>
        <v>0.879963822390548</v>
      </c>
      <c r="L234" s="285">
        <v>155.67</v>
      </c>
      <c r="M234" s="297">
        <f t="shared" si="20"/>
        <v>-938.140000000001</v>
      </c>
      <c r="P234" s="298" t="s">
        <v>1656</v>
      </c>
    </row>
    <row r="235" spans="1:16">
      <c r="A235" s="311">
        <v>46199</v>
      </c>
      <c r="B235" s="144" t="s">
        <v>135</v>
      </c>
      <c r="C235" s="191">
        <v>0.34</v>
      </c>
      <c r="D235" s="191">
        <v>0.99</v>
      </c>
      <c r="E235" s="285">
        <v>290.731</v>
      </c>
      <c r="F235" s="105">
        <f t="shared" si="17"/>
        <v>279.5</v>
      </c>
      <c r="G235" s="105">
        <f t="shared" si="18"/>
        <v>11.2310000000001</v>
      </c>
      <c r="H235" s="160">
        <f t="shared" si="19"/>
        <v>0.879954322036522</v>
      </c>
      <c r="L235" s="285">
        <v>255.83</v>
      </c>
      <c r="M235" s="297">
        <f t="shared" si="20"/>
        <v>-1193.97</v>
      </c>
      <c r="P235" s="298" t="s">
        <v>1656</v>
      </c>
    </row>
    <row r="236" spans="1:16">
      <c r="A236" s="311">
        <v>46200</v>
      </c>
      <c r="B236" s="144" t="s">
        <v>66</v>
      </c>
      <c r="C236" s="191">
        <v>0.94</v>
      </c>
      <c r="D236" s="191">
        <v>1</v>
      </c>
      <c r="E236" s="285">
        <v>21.218</v>
      </c>
      <c r="F236" s="105">
        <f t="shared" si="17"/>
        <v>25.8</v>
      </c>
      <c r="G236" s="105">
        <f t="shared" si="18"/>
        <v>-4.58200000000002</v>
      </c>
      <c r="H236" s="160">
        <f t="shared" si="19"/>
        <v>0.879441983221793</v>
      </c>
      <c r="L236" s="285">
        <v>18.66</v>
      </c>
      <c r="M236" s="297">
        <f t="shared" si="20"/>
        <v>-1212.63</v>
      </c>
      <c r="P236" s="298" t="s">
        <v>1656</v>
      </c>
    </row>
    <row r="237" spans="1:16">
      <c r="A237" s="311">
        <v>46200</v>
      </c>
      <c r="B237" s="144" t="s">
        <v>338</v>
      </c>
      <c r="C237" s="191">
        <v>0.3</v>
      </c>
      <c r="D237" s="191">
        <v>1</v>
      </c>
      <c r="E237" s="285">
        <v>305.594</v>
      </c>
      <c r="F237" s="105">
        <f t="shared" si="17"/>
        <v>301</v>
      </c>
      <c r="G237" s="105">
        <f t="shared" si="18"/>
        <v>4.59399999999999</v>
      </c>
      <c r="H237" s="160">
        <f t="shared" si="19"/>
        <v>0.879958376146129</v>
      </c>
      <c r="L237" s="285">
        <v>268.91</v>
      </c>
      <c r="M237" s="297">
        <f t="shared" si="20"/>
        <v>-1481.54</v>
      </c>
      <c r="P237" s="298" t="s">
        <v>1656</v>
      </c>
    </row>
    <row r="238" spans="1:16">
      <c r="A238" s="311">
        <v>46200</v>
      </c>
      <c r="B238" s="144" t="s">
        <v>54</v>
      </c>
      <c r="C238" s="191">
        <v>0.17</v>
      </c>
      <c r="D238" s="191">
        <v>0.95</v>
      </c>
      <c r="E238" s="285">
        <v>315.99</v>
      </c>
      <c r="F238" s="105">
        <f t="shared" si="17"/>
        <v>335.4</v>
      </c>
      <c r="G238" s="105">
        <f t="shared" si="18"/>
        <v>-19.41</v>
      </c>
      <c r="H238" s="160">
        <f t="shared" si="19"/>
        <v>0.879964555840375</v>
      </c>
      <c r="L238" s="285">
        <v>278.06</v>
      </c>
      <c r="M238" s="297">
        <f t="shared" si="20"/>
        <v>-1759.6</v>
      </c>
      <c r="P238" s="298" t="s">
        <v>1656</v>
      </c>
    </row>
    <row r="239" spans="1:16">
      <c r="A239" s="311">
        <v>46200</v>
      </c>
      <c r="B239" s="144" t="s">
        <v>81</v>
      </c>
      <c r="C239" s="191">
        <v>0.33</v>
      </c>
      <c r="D239" s="191">
        <v>1</v>
      </c>
      <c r="E239" s="285">
        <v>301.472</v>
      </c>
      <c r="F239" s="105">
        <f t="shared" si="17"/>
        <v>288.1</v>
      </c>
      <c r="G239" s="105">
        <f t="shared" si="18"/>
        <v>13.372</v>
      </c>
      <c r="H239" s="160">
        <f t="shared" si="19"/>
        <v>0.879949049994693</v>
      </c>
      <c r="L239" s="285">
        <v>265.28</v>
      </c>
      <c r="M239" s="297">
        <f t="shared" si="20"/>
        <v>-2024.88</v>
      </c>
      <c r="P239" s="298" t="s">
        <v>1656</v>
      </c>
    </row>
    <row r="240" spans="1:16">
      <c r="A240" s="311">
        <v>46200</v>
      </c>
      <c r="B240" s="144" t="s">
        <v>111</v>
      </c>
      <c r="C240" s="191">
        <v>0.53</v>
      </c>
      <c r="D240" s="191">
        <v>1</v>
      </c>
      <c r="E240" s="285">
        <v>193.169</v>
      </c>
      <c r="F240" s="105">
        <f t="shared" si="17"/>
        <v>202.1</v>
      </c>
      <c r="G240" s="105">
        <f t="shared" si="18"/>
        <v>-8.93099999999998</v>
      </c>
      <c r="H240" s="160">
        <f t="shared" si="19"/>
        <v>0.879954858181178</v>
      </c>
      <c r="L240" s="285">
        <v>169.98</v>
      </c>
      <c r="M240" s="297">
        <f t="shared" si="20"/>
        <v>-2194.86</v>
      </c>
      <c r="P240" s="298" t="s">
        <v>1656</v>
      </c>
    </row>
    <row r="241" spans="1:18">
      <c r="A241" s="311">
        <v>46200</v>
      </c>
      <c r="B241" s="144" t="s">
        <v>87</v>
      </c>
      <c r="C241" s="191">
        <v>0.69</v>
      </c>
      <c r="D241" s="191">
        <v>1</v>
      </c>
      <c r="E241" s="285">
        <v>144.602</v>
      </c>
      <c r="F241" s="105">
        <f t="shared" si="17"/>
        <v>133.3</v>
      </c>
      <c r="G241" s="105">
        <f t="shared" si="18"/>
        <v>11.302</v>
      </c>
      <c r="H241" s="160">
        <f t="shared" si="19"/>
        <v>0.879932504391364</v>
      </c>
      <c r="L241" s="285">
        <v>127.24</v>
      </c>
      <c r="M241" s="297">
        <f t="shared" si="20"/>
        <v>-2322.1</v>
      </c>
      <c r="P241" s="298" t="s">
        <v>1656</v>
      </c>
    </row>
    <row r="242" spans="1:18">
      <c r="A242" s="311">
        <v>46200</v>
      </c>
      <c r="B242" s="144" t="s">
        <v>60</v>
      </c>
      <c r="C242" s="191">
        <v>0.38</v>
      </c>
      <c r="D242" s="191">
        <v>0.51</v>
      </c>
      <c r="E242" s="285">
        <v>52.167</v>
      </c>
      <c r="F242" s="105">
        <f t="shared" si="17"/>
        <v>55.9</v>
      </c>
      <c r="G242" s="105">
        <f t="shared" si="18"/>
        <v>-3.733</v>
      </c>
      <c r="H242" s="160">
        <f t="shared" si="19"/>
        <v>0.879866582322158</v>
      </c>
      <c r="L242" s="285">
        <v>45.9</v>
      </c>
      <c r="M242" s="297">
        <f t="shared" si="20"/>
        <v>-2368</v>
      </c>
      <c r="P242" s="298" t="s">
        <v>1656</v>
      </c>
    </row>
    <row r="243" spans="1:18">
      <c r="A243" s="311">
        <v>46200</v>
      </c>
      <c r="B243" s="144" t="s">
        <v>154</v>
      </c>
      <c r="C243" s="191">
        <v>0.38</v>
      </c>
      <c r="D243" s="191">
        <v>0.99</v>
      </c>
      <c r="E243" s="285">
        <v>274.176</v>
      </c>
      <c r="F243" s="105">
        <f t="shared" si="17"/>
        <v>262.3</v>
      </c>
      <c r="G243" s="105">
        <f t="shared" si="18"/>
        <v>11.876</v>
      </c>
      <c r="H243" s="160">
        <f t="shared" si="19"/>
        <v>0.879982201213819</v>
      </c>
      <c r="L243" s="285">
        <v>241.27</v>
      </c>
      <c r="M243" s="297">
        <f t="shared" si="20"/>
        <v>-2609.27</v>
      </c>
      <c r="P243" s="298" t="s">
        <v>1656</v>
      </c>
    </row>
    <row r="244" spans="1:18">
      <c r="A244" s="311">
        <v>46201</v>
      </c>
      <c r="B244" s="144" t="s">
        <v>151</v>
      </c>
      <c r="C244" s="191">
        <v>0.54</v>
      </c>
      <c r="D244" s="191">
        <v>1</v>
      </c>
      <c r="E244" s="285">
        <v>196.944</v>
      </c>
      <c r="F244" s="105">
        <f t="shared" si="17"/>
        <v>197.8</v>
      </c>
      <c r="G244" s="105">
        <f t="shared" si="18"/>
        <v>-0.855999999999995</v>
      </c>
      <c r="H244" s="160">
        <f t="shared" si="19"/>
        <v>0.87994556828337</v>
      </c>
      <c r="L244" s="285">
        <v>173.3</v>
      </c>
      <c r="M244" s="297">
        <f t="shared" si="20"/>
        <v>-2782.57</v>
      </c>
      <c r="P244" s="298" t="s">
        <v>1656</v>
      </c>
    </row>
    <row r="245" spans="1:18">
      <c r="A245" s="311">
        <v>46201</v>
      </c>
      <c r="B245" s="144" t="s">
        <v>210</v>
      </c>
      <c r="C245" s="191">
        <v>0.57</v>
      </c>
      <c r="D245" s="191">
        <v>0.98</v>
      </c>
      <c r="E245" s="285">
        <v>190.733</v>
      </c>
      <c r="F245" s="105">
        <f t="shared" si="17"/>
        <v>176.3</v>
      </c>
      <c r="G245" s="105">
        <f t="shared" si="18"/>
        <v>14.433</v>
      </c>
      <c r="H245" s="160">
        <f t="shared" si="19"/>
        <v>0.879921146314482</v>
      </c>
      <c r="L245" s="285">
        <v>167.83</v>
      </c>
      <c r="M245" s="297">
        <f t="shared" si="20"/>
        <v>-2950.4</v>
      </c>
      <c r="P245" s="298" t="s">
        <v>1656</v>
      </c>
    </row>
    <row r="246" spans="1:18">
      <c r="A246" s="311">
        <v>46201</v>
      </c>
      <c r="B246" s="144" t="s">
        <v>138</v>
      </c>
      <c r="C246" s="191">
        <v>0.44</v>
      </c>
      <c r="D246" s="191">
        <v>0.99</v>
      </c>
      <c r="E246" s="285">
        <v>249.039</v>
      </c>
      <c r="F246" s="105">
        <f t="shared" si="17"/>
        <v>236.5</v>
      </c>
      <c r="G246" s="105">
        <f t="shared" si="18"/>
        <v>12.539</v>
      </c>
      <c r="H246" s="160">
        <f t="shared" si="19"/>
        <v>0.87998265331936</v>
      </c>
      <c r="L246" s="285">
        <v>219.15</v>
      </c>
      <c r="M246" s="297">
        <f t="shared" si="20"/>
        <v>-3169.55</v>
      </c>
      <c r="P246" s="298" t="s">
        <v>1656</v>
      </c>
    </row>
    <row r="247" spans="1:18">
      <c r="A247" s="311">
        <v>46201</v>
      </c>
      <c r="B247" s="144" t="s">
        <v>144</v>
      </c>
      <c r="C247" s="191">
        <v>0.64</v>
      </c>
      <c r="D247" s="191">
        <v>1</v>
      </c>
      <c r="E247" s="285">
        <v>159.7</v>
      </c>
      <c r="F247" s="105">
        <f t="shared" si="17"/>
        <v>154.8</v>
      </c>
      <c r="G247" s="105">
        <f t="shared" si="18"/>
        <v>4.90000000000001</v>
      </c>
      <c r="H247" s="160">
        <f t="shared" si="19"/>
        <v>0.879962429555416</v>
      </c>
      <c r="L247" s="285">
        <v>140.53</v>
      </c>
      <c r="M247" s="297">
        <f t="shared" si="20"/>
        <v>-3310.08</v>
      </c>
      <c r="P247" s="298" t="s">
        <v>1656</v>
      </c>
      <c r="Q247" s="144" t="str">
        <f>MIN(MAX(C247,0),100)&amp;"%"</f>
        <v>0.64%</v>
      </c>
      <c r="R247" s="144" t="str">
        <f>MIN(MAX(D247,0),100)&amp;"%"</f>
        <v>1%</v>
      </c>
    </row>
  </sheetData>
  <autoFilter xmlns:etc="http://www.wps.cn/officeDocument/2017/etCustomData" ref="A1:P210" etc:filterBottomFollowUsedRange="0">
    <sortState ref="A1:P210">
      <sortCondition ref="A1"/>
    </sortState>
    <extLst/>
  </autoFilter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12"/>
  <sheetViews>
    <sheetView topLeftCell="A349" workbookViewId="0">
      <selection activeCell="K357" sqref="K357"/>
    </sheetView>
  </sheetViews>
  <sheetFormatPr defaultColWidth="9" defaultRowHeight="13.5"/>
  <cols>
    <col min="1" max="1" width="8.875" style="144" customWidth="1"/>
    <col min="2" max="2" width="13.875" style="144" customWidth="1"/>
    <col min="3" max="3" width="9" style="144"/>
    <col min="4" max="4" width="14" style="144" customWidth="1"/>
    <col min="5" max="7" width="9" style="144"/>
    <col min="8" max="8" width="12.625" style="144"/>
    <col min="9" max="9" width="9" style="144"/>
    <col min="10" max="10" width="9.375" style="144"/>
    <col min="11" max="12" width="13.75" style="144" customWidth="1"/>
    <col min="13" max="13" width="11.75" style="144" customWidth="1"/>
    <col min="14" max="14" width="9" style="144"/>
    <col min="15" max="15" width="42.25" style="144" customWidth="1"/>
    <col min="16" max="16" width="17.75" style="144" customWidth="1"/>
    <col min="17" max="16384" width="9" style="144"/>
  </cols>
  <sheetData>
    <row r="1" s="144" customFormat="1" spans="1:17">
      <c r="A1" s="139" t="s">
        <v>335</v>
      </c>
      <c r="B1" s="139" t="s">
        <v>3</v>
      </c>
      <c r="C1" s="140" t="s">
        <v>1581</v>
      </c>
      <c r="D1" s="140" t="s">
        <v>1582</v>
      </c>
      <c r="E1" s="141" t="s">
        <v>1583</v>
      </c>
      <c r="F1" s="139" t="s">
        <v>1584</v>
      </c>
      <c r="G1" s="139" t="s">
        <v>1585</v>
      </c>
      <c r="H1" s="141" t="s">
        <v>1588</v>
      </c>
      <c r="I1" s="141" t="s">
        <v>1604</v>
      </c>
      <c r="J1" s="141" t="s">
        <v>1605</v>
      </c>
      <c r="K1" s="141" t="s">
        <v>1589</v>
      </c>
      <c r="L1" s="141" t="s">
        <v>1606</v>
      </c>
      <c r="M1" s="141" t="s">
        <v>1657</v>
      </c>
      <c r="N1" s="139" t="s">
        <v>1607</v>
      </c>
      <c r="O1" s="139" t="s">
        <v>1590</v>
      </c>
      <c r="P1" s="139" t="s">
        <v>352</v>
      </c>
    </row>
    <row r="2" s="22" customFormat="1" spans="1:17">
      <c r="A2" s="139"/>
      <c r="B2" s="139"/>
      <c r="C2" s="140"/>
      <c r="D2" s="140"/>
      <c r="E2" s="141"/>
      <c r="F2" s="139"/>
      <c r="G2" s="139"/>
      <c r="H2" s="141"/>
      <c r="I2" s="141"/>
      <c r="J2" s="141"/>
      <c r="K2" s="141"/>
      <c r="L2" s="141">
        <v>26455.21</v>
      </c>
      <c r="M2" s="141"/>
      <c r="N2" s="139"/>
      <c r="O2" s="139"/>
    </row>
    <row r="3" ht="16.5" spans="1:17">
      <c r="A3" s="262">
        <v>46174</v>
      </c>
      <c r="B3" s="263" t="s">
        <v>54</v>
      </c>
      <c r="C3" s="105"/>
      <c r="D3" s="105"/>
      <c r="E3" s="263">
        <v>134.21</v>
      </c>
      <c r="F3" s="105"/>
      <c r="G3" s="105"/>
      <c r="H3" s="211">
        <f t="shared" ref="H3:H16" si="0">K3/E3</f>
        <v>0.800014902019224</v>
      </c>
      <c r="I3" s="160"/>
      <c r="J3" s="264"/>
      <c r="K3" s="265">
        <v>107.37</v>
      </c>
      <c r="L3" s="105">
        <f t="shared" ref="L3:L66" si="1">L2+J3-K3</f>
        <v>26347.84</v>
      </c>
      <c r="M3" s="263"/>
      <c r="N3" s="117"/>
      <c r="O3" s="266" t="s">
        <v>1658</v>
      </c>
    </row>
    <row r="4" ht="16.5" spans="1:17">
      <c r="A4" s="267">
        <v>46174</v>
      </c>
      <c r="B4" s="264" t="s">
        <v>127</v>
      </c>
      <c r="C4" s="105"/>
      <c r="D4" s="105"/>
      <c r="E4" s="264">
        <v>276.48</v>
      </c>
      <c r="F4" s="105"/>
      <c r="G4" s="105"/>
      <c r="H4" s="211">
        <f t="shared" si="0"/>
        <v>0.799985532407407</v>
      </c>
      <c r="I4" s="160"/>
      <c r="J4" s="264"/>
      <c r="K4" s="268">
        <v>221.18</v>
      </c>
      <c r="L4" s="105">
        <f t="shared" si="1"/>
        <v>26126.66</v>
      </c>
      <c r="M4" s="264"/>
      <c r="N4" s="117"/>
      <c r="O4" s="266" t="s">
        <v>1658</v>
      </c>
    </row>
    <row r="5" ht="16.5" spans="1:17">
      <c r="A5" s="267">
        <v>46174</v>
      </c>
      <c r="B5" s="264" t="s">
        <v>93</v>
      </c>
      <c r="C5" s="105"/>
      <c r="D5" s="105"/>
      <c r="E5" s="264">
        <v>117.69</v>
      </c>
      <c r="F5" s="105"/>
      <c r="G5" s="105"/>
      <c r="H5" s="211">
        <f t="shared" si="0"/>
        <v>0.799983006202736</v>
      </c>
      <c r="I5" s="160"/>
      <c r="J5" s="264"/>
      <c r="K5" s="268">
        <v>94.15</v>
      </c>
      <c r="L5" s="105">
        <f t="shared" si="1"/>
        <v>26032.51</v>
      </c>
      <c r="M5" s="264"/>
      <c r="N5" s="117"/>
      <c r="O5" s="266" t="s">
        <v>1658</v>
      </c>
    </row>
    <row r="6" ht="16.5" spans="1:17">
      <c r="A6" s="267">
        <v>46174</v>
      </c>
      <c r="B6" s="264" t="s">
        <v>75</v>
      </c>
      <c r="C6" s="105"/>
      <c r="D6" s="105"/>
      <c r="E6" s="264">
        <v>325.76</v>
      </c>
      <c r="F6" s="105"/>
      <c r="G6" s="105"/>
      <c r="H6" s="211">
        <f t="shared" si="0"/>
        <v>0.850012278978389</v>
      </c>
      <c r="I6" s="160"/>
      <c r="J6" s="264"/>
      <c r="K6" s="268">
        <v>276.9</v>
      </c>
      <c r="L6" s="105">
        <f t="shared" si="1"/>
        <v>25755.61</v>
      </c>
      <c r="M6" s="264"/>
      <c r="N6" s="117"/>
      <c r="O6" s="266" t="s">
        <v>1658</v>
      </c>
    </row>
    <row r="7" ht="16.5" spans="1:17">
      <c r="A7" s="267">
        <v>46174</v>
      </c>
      <c r="B7" s="264" t="s">
        <v>75</v>
      </c>
      <c r="C7" s="105"/>
      <c r="D7" s="105"/>
      <c r="E7" s="264">
        <v>246.11</v>
      </c>
      <c r="F7" s="105"/>
      <c r="G7" s="105"/>
      <c r="H7" s="211">
        <f t="shared" si="0"/>
        <v>0.969972776400796</v>
      </c>
      <c r="I7" s="160"/>
      <c r="J7" s="264"/>
      <c r="K7" s="268">
        <v>238.72</v>
      </c>
      <c r="L7" s="105">
        <f t="shared" si="1"/>
        <v>25516.89</v>
      </c>
      <c r="M7" s="264"/>
      <c r="N7" s="117"/>
      <c r="O7" s="266" t="s">
        <v>1658</v>
      </c>
    </row>
    <row r="8" ht="16.5" spans="1:17">
      <c r="A8" s="267">
        <v>46174</v>
      </c>
      <c r="B8" s="264" t="s">
        <v>130</v>
      </c>
      <c r="C8" s="105"/>
      <c r="D8" s="105"/>
      <c r="E8" s="264">
        <v>326.43</v>
      </c>
      <c r="F8" s="105"/>
      <c r="G8" s="105"/>
      <c r="H8" s="211">
        <f t="shared" si="0"/>
        <v>0.919982844714027</v>
      </c>
      <c r="I8" s="160"/>
      <c r="J8" s="264"/>
      <c r="K8" s="268">
        <v>300.31</v>
      </c>
      <c r="L8" s="105">
        <f t="shared" si="1"/>
        <v>25216.58</v>
      </c>
      <c r="M8" s="264"/>
      <c r="N8" s="117"/>
      <c r="O8" s="266" t="s">
        <v>1658</v>
      </c>
    </row>
    <row r="9" ht="16.5" spans="1:17">
      <c r="A9" s="267">
        <v>46174</v>
      </c>
      <c r="B9" s="264" t="s">
        <v>108</v>
      </c>
      <c r="C9" s="105"/>
      <c r="D9" s="105"/>
      <c r="E9" s="264">
        <v>101.73</v>
      </c>
      <c r="F9" s="105"/>
      <c r="G9" s="105"/>
      <c r="H9" s="211">
        <f t="shared" si="0"/>
        <v>0.970018676889806</v>
      </c>
      <c r="I9" s="160"/>
      <c r="J9" s="264"/>
      <c r="K9" s="268">
        <v>98.68</v>
      </c>
      <c r="L9" s="105">
        <f t="shared" si="1"/>
        <v>25117.9</v>
      </c>
      <c r="M9" s="264"/>
      <c r="N9" s="117"/>
      <c r="O9" s="266" t="s">
        <v>1658</v>
      </c>
    </row>
    <row r="10" ht="16.5" spans="1:17">
      <c r="A10" s="269">
        <v>46175</v>
      </c>
      <c r="B10" s="270" t="s">
        <v>124</v>
      </c>
      <c r="C10" s="105"/>
      <c r="D10" s="105"/>
      <c r="E10" s="270">
        <v>97.44</v>
      </c>
      <c r="F10" s="105"/>
      <c r="G10" s="105"/>
      <c r="H10" s="211">
        <f t="shared" si="0"/>
        <v>0.70002052545156</v>
      </c>
      <c r="I10" s="270">
        <v>36.12</v>
      </c>
      <c r="J10" s="270"/>
      <c r="K10" s="270">
        <v>68.21</v>
      </c>
      <c r="L10" s="105">
        <f t="shared" si="1"/>
        <v>25049.69</v>
      </c>
      <c r="M10" s="270"/>
      <c r="N10" s="117"/>
      <c r="O10" s="266" t="s">
        <v>1658</v>
      </c>
      <c r="P10" s="266"/>
    </row>
    <row r="11" ht="16.5" spans="1:17">
      <c r="A11" s="271">
        <v>46175</v>
      </c>
      <c r="B11" s="272" t="s">
        <v>51</v>
      </c>
      <c r="C11" s="105"/>
      <c r="D11" s="105"/>
      <c r="E11" s="272">
        <v>90.21</v>
      </c>
      <c r="F11" s="105"/>
      <c r="G11" s="105"/>
      <c r="H11" s="211">
        <f t="shared" si="0"/>
        <v>0.700033255736615</v>
      </c>
      <c r="I11" s="272">
        <v>33.44</v>
      </c>
      <c r="J11" s="272"/>
      <c r="K11" s="272">
        <v>63.15</v>
      </c>
      <c r="L11" s="105">
        <f t="shared" si="1"/>
        <v>24986.54</v>
      </c>
      <c r="M11" s="272"/>
      <c r="N11" s="117"/>
      <c r="O11" s="266" t="s">
        <v>1658</v>
      </c>
      <c r="P11" s="266"/>
    </row>
    <row r="12" ht="16.5" spans="1:17">
      <c r="A12" s="271">
        <v>46175</v>
      </c>
      <c r="B12" s="272" t="s">
        <v>81</v>
      </c>
      <c r="C12" s="105"/>
      <c r="D12" s="105"/>
      <c r="E12" s="272">
        <v>319.58</v>
      </c>
      <c r="F12" s="105"/>
      <c r="G12" s="105"/>
      <c r="H12" s="211">
        <f t="shared" si="0"/>
        <v>0.73402590900557</v>
      </c>
      <c r="I12" s="272">
        <v>115.83</v>
      </c>
      <c r="J12" s="272"/>
      <c r="K12" s="272">
        <v>234.58</v>
      </c>
      <c r="L12" s="105">
        <f t="shared" si="1"/>
        <v>24751.96</v>
      </c>
      <c r="M12" s="272"/>
      <c r="N12" s="117"/>
      <c r="O12" s="266" t="s">
        <v>1658</v>
      </c>
      <c r="P12" s="266"/>
    </row>
    <row r="13" ht="16.5" spans="1:17">
      <c r="A13" s="262">
        <v>46176</v>
      </c>
      <c r="B13" s="263" t="s">
        <v>127</v>
      </c>
      <c r="C13" s="105"/>
      <c r="D13" s="105"/>
      <c r="E13" s="263">
        <v>356.7</v>
      </c>
      <c r="F13" s="105"/>
      <c r="G13" s="105"/>
      <c r="H13" s="211">
        <f t="shared" si="0"/>
        <v>0.329296327446033</v>
      </c>
      <c r="I13" s="273">
        <v>132.23</v>
      </c>
      <c r="J13" s="263">
        <v>249.69</v>
      </c>
      <c r="K13" s="274">
        <v>117.46</v>
      </c>
      <c r="L13" s="105">
        <f t="shared" si="1"/>
        <v>24884.19</v>
      </c>
      <c r="M13" s="263"/>
      <c r="N13" s="117"/>
      <c r="O13" s="266" t="s">
        <v>1658</v>
      </c>
      <c r="P13" s="275">
        <v>249.69</v>
      </c>
      <c r="Q13" s="144">
        <f t="shared" ref="Q13:Q49" si="2">K13-P13</f>
        <v>-132.23</v>
      </c>
    </row>
    <row r="14" ht="16.5" spans="1:17">
      <c r="A14" s="267">
        <v>46176</v>
      </c>
      <c r="B14" s="264" t="s">
        <v>54</v>
      </c>
      <c r="C14" s="105"/>
      <c r="D14" s="105"/>
      <c r="E14" s="264">
        <v>187.53</v>
      </c>
      <c r="F14" s="105"/>
      <c r="G14" s="105"/>
      <c r="H14" s="211">
        <f t="shared" si="0"/>
        <v>0.453580760411667</v>
      </c>
      <c r="I14" s="273">
        <v>64.96</v>
      </c>
      <c r="J14" s="264">
        <v>150.02</v>
      </c>
      <c r="K14" s="274">
        <v>85.06</v>
      </c>
      <c r="L14" s="105">
        <f t="shared" si="1"/>
        <v>24949.15</v>
      </c>
      <c r="M14" s="264"/>
      <c r="N14" s="117"/>
      <c r="O14" s="266" t="s">
        <v>1658</v>
      </c>
      <c r="P14" s="275">
        <v>150.02</v>
      </c>
      <c r="Q14" s="144">
        <f t="shared" si="2"/>
        <v>-64.96</v>
      </c>
    </row>
    <row r="15" ht="16.5" spans="1:17">
      <c r="A15" s="269">
        <v>46177</v>
      </c>
      <c r="B15" s="270" t="s">
        <v>63</v>
      </c>
      <c r="C15" s="105"/>
      <c r="D15" s="105"/>
      <c r="E15" s="270">
        <v>14.05</v>
      </c>
      <c r="F15" s="105"/>
      <c r="G15" s="105"/>
      <c r="H15" s="211">
        <f t="shared" si="0"/>
        <v>0.429893238434164</v>
      </c>
      <c r="I15" s="273">
        <v>5.9</v>
      </c>
      <c r="J15" s="270"/>
      <c r="K15" s="276">
        <v>6.04</v>
      </c>
      <c r="L15" s="105">
        <f t="shared" si="1"/>
        <v>24943.11</v>
      </c>
      <c r="M15" s="270"/>
      <c r="N15" s="117"/>
      <c r="O15" s="266" t="s">
        <v>1658</v>
      </c>
      <c r="P15" s="275">
        <v>11.94</v>
      </c>
      <c r="Q15" s="144">
        <f t="shared" si="2"/>
        <v>-5.9</v>
      </c>
    </row>
    <row r="16" ht="16.5" spans="1:17">
      <c r="A16" s="271">
        <v>46177</v>
      </c>
      <c r="B16" s="272" t="s">
        <v>63</v>
      </c>
      <c r="C16" s="105"/>
      <c r="D16" s="105"/>
      <c r="E16" s="272">
        <v>1.49</v>
      </c>
      <c r="F16" s="105"/>
      <c r="G16" s="105"/>
      <c r="H16" s="211">
        <f t="shared" si="0"/>
        <v>0.429530201342282</v>
      </c>
      <c r="I16" s="273">
        <v>0.63</v>
      </c>
      <c r="J16" s="272"/>
      <c r="K16" s="276">
        <v>0.64</v>
      </c>
      <c r="L16" s="105">
        <f t="shared" si="1"/>
        <v>24942.47</v>
      </c>
      <c r="M16" s="272"/>
      <c r="N16" s="117"/>
      <c r="O16" s="266" t="s">
        <v>1658</v>
      </c>
      <c r="P16" s="275">
        <v>1.27</v>
      </c>
      <c r="Q16" s="144">
        <f t="shared" si="2"/>
        <v>-0.63</v>
      </c>
    </row>
    <row r="17" ht="16.5" spans="1:17">
      <c r="A17" s="271">
        <v>46177</v>
      </c>
      <c r="B17" s="272" t="s">
        <v>63</v>
      </c>
      <c r="C17" s="105"/>
      <c r="D17" s="105"/>
      <c r="E17" s="272">
        <v>0</v>
      </c>
      <c r="F17" s="105"/>
      <c r="G17" s="105"/>
      <c r="H17" s="211"/>
      <c r="I17" s="273">
        <v>0</v>
      </c>
      <c r="J17" s="272"/>
      <c r="K17" s="276">
        <v>0</v>
      </c>
      <c r="L17" s="105">
        <f t="shared" si="1"/>
        <v>24942.47</v>
      </c>
      <c r="M17" s="272"/>
      <c r="N17" s="117"/>
      <c r="O17" s="266" t="s">
        <v>1658</v>
      </c>
      <c r="P17" s="275">
        <v>0</v>
      </c>
      <c r="Q17" s="144">
        <f t="shared" si="2"/>
        <v>0</v>
      </c>
    </row>
    <row r="18" ht="16.5" spans="1:17">
      <c r="A18" s="271">
        <v>46177</v>
      </c>
      <c r="B18" s="272" t="s">
        <v>63</v>
      </c>
      <c r="C18" s="105"/>
      <c r="D18" s="105"/>
      <c r="E18" s="272">
        <v>227.31</v>
      </c>
      <c r="F18" s="105"/>
      <c r="G18" s="105"/>
      <c r="H18" s="211">
        <f t="shared" ref="H18:H34" si="3">K18/E18</f>
        <v>0.42998548238089</v>
      </c>
      <c r="I18" s="273">
        <v>95.47</v>
      </c>
      <c r="J18" s="272"/>
      <c r="K18" s="276">
        <v>97.74</v>
      </c>
      <c r="L18" s="105">
        <f t="shared" si="1"/>
        <v>24844.73</v>
      </c>
      <c r="M18" s="272"/>
      <c r="N18" s="117"/>
      <c r="O18" s="266" t="s">
        <v>1658</v>
      </c>
      <c r="P18" s="275">
        <v>193.21</v>
      </c>
      <c r="Q18" s="144">
        <f t="shared" si="2"/>
        <v>-95.47</v>
      </c>
    </row>
    <row r="19" ht="16.5" spans="1:17">
      <c r="A19" s="271">
        <v>46177</v>
      </c>
      <c r="B19" s="272" t="s">
        <v>144</v>
      </c>
      <c r="C19" s="105"/>
      <c r="D19" s="105"/>
      <c r="E19" s="272">
        <v>234.5</v>
      </c>
      <c r="F19" s="105"/>
      <c r="G19" s="105"/>
      <c r="H19" s="211">
        <f t="shared" si="3"/>
        <v>0.329296375266524</v>
      </c>
      <c r="I19" s="273">
        <v>86.93</v>
      </c>
      <c r="J19" s="272"/>
      <c r="K19" s="276">
        <v>77.22</v>
      </c>
      <c r="L19" s="105">
        <f t="shared" si="1"/>
        <v>24767.51</v>
      </c>
      <c r="M19" s="272"/>
      <c r="N19" s="117"/>
      <c r="O19" s="266" t="s">
        <v>1658</v>
      </c>
      <c r="P19" s="275">
        <v>164.15</v>
      </c>
      <c r="Q19" s="144">
        <f t="shared" si="2"/>
        <v>-86.93</v>
      </c>
    </row>
    <row r="20" ht="16.5" spans="1:17">
      <c r="A20" s="271">
        <v>46177</v>
      </c>
      <c r="B20" s="272" t="s">
        <v>108</v>
      </c>
      <c r="C20" s="105"/>
      <c r="D20" s="105"/>
      <c r="E20" s="272">
        <v>71.75</v>
      </c>
      <c r="F20" s="105"/>
      <c r="G20" s="105"/>
      <c r="H20" s="211">
        <f t="shared" si="3"/>
        <v>0.329337979094077</v>
      </c>
      <c r="I20" s="273">
        <v>26.6</v>
      </c>
      <c r="J20" s="272"/>
      <c r="K20" s="276">
        <v>23.63</v>
      </c>
      <c r="L20" s="105">
        <f t="shared" si="1"/>
        <v>24743.88</v>
      </c>
      <c r="M20" s="272"/>
      <c r="N20" s="117"/>
      <c r="O20" s="266" t="s">
        <v>1658</v>
      </c>
      <c r="P20" s="275">
        <v>50.23</v>
      </c>
      <c r="Q20" s="144">
        <f t="shared" si="2"/>
        <v>-26.6</v>
      </c>
    </row>
    <row r="21" ht="16.5" spans="1:17">
      <c r="A21" s="271">
        <v>46177</v>
      </c>
      <c r="B21" s="272" t="s">
        <v>121</v>
      </c>
      <c r="C21" s="105"/>
      <c r="D21" s="105"/>
      <c r="E21" s="272">
        <v>180</v>
      </c>
      <c r="F21" s="105"/>
      <c r="G21" s="105"/>
      <c r="H21" s="211">
        <f t="shared" si="3"/>
        <v>0.468277777777778</v>
      </c>
      <c r="I21" s="273">
        <v>63.33</v>
      </c>
      <c r="J21" s="272"/>
      <c r="K21" s="276">
        <v>84.29</v>
      </c>
      <c r="L21" s="105">
        <f t="shared" si="1"/>
        <v>24659.59</v>
      </c>
      <c r="M21" s="272"/>
      <c r="N21" s="117"/>
      <c r="O21" s="266" t="s">
        <v>1658</v>
      </c>
      <c r="P21" s="275">
        <v>147.62</v>
      </c>
      <c r="Q21" s="144">
        <f t="shared" si="2"/>
        <v>-63.33</v>
      </c>
    </row>
    <row r="22" ht="16.5" spans="1:17">
      <c r="A22" s="271">
        <v>46177</v>
      </c>
      <c r="B22" s="272" t="s">
        <v>93</v>
      </c>
      <c r="C22" s="105"/>
      <c r="D22" s="105"/>
      <c r="E22" s="272">
        <v>273.55</v>
      </c>
      <c r="F22" s="105"/>
      <c r="G22" s="105"/>
      <c r="H22" s="211">
        <f t="shared" si="3"/>
        <v>0.563114604277097</v>
      </c>
      <c r="I22" s="273">
        <v>105.8</v>
      </c>
      <c r="J22" s="272"/>
      <c r="K22" s="276">
        <v>154.04</v>
      </c>
      <c r="L22" s="105">
        <f t="shared" si="1"/>
        <v>24505.55</v>
      </c>
      <c r="M22" s="272"/>
      <c r="N22" s="117"/>
      <c r="O22" s="266" t="s">
        <v>1658</v>
      </c>
      <c r="P22" s="275">
        <v>259.84</v>
      </c>
      <c r="Q22" s="144">
        <f t="shared" si="2"/>
        <v>-105.8</v>
      </c>
    </row>
    <row r="23" ht="16.5" spans="1:17">
      <c r="A23" s="271">
        <v>46177</v>
      </c>
      <c r="B23" s="272" t="s">
        <v>124</v>
      </c>
      <c r="C23" s="105"/>
      <c r="D23" s="105"/>
      <c r="E23" s="272">
        <v>77.71</v>
      </c>
      <c r="F23" s="105"/>
      <c r="G23" s="105"/>
      <c r="H23" s="211">
        <f t="shared" si="3"/>
        <v>0.577789216317076</v>
      </c>
      <c r="I23" s="273">
        <v>30.48</v>
      </c>
      <c r="J23" s="272"/>
      <c r="K23" s="276">
        <v>44.9</v>
      </c>
      <c r="L23" s="105">
        <f t="shared" si="1"/>
        <v>24460.65</v>
      </c>
      <c r="M23" s="272"/>
      <c r="N23" s="117"/>
      <c r="O23" s="266" t="s">
        <v>1658</v>
      </c>
      <c r="P23" s="275">
        <v>75.38</v>
      </c>
      <c r="Q23" s="144">
        <f t="shared" si="2"/>
        <v>-30.48</v>
      </c>
    </row>
    <row r="24" ht="16.5" spans="1:17">
      <c r="A24" s="271">
        <v>46177</v>
      </c>
      <c r="B24" s="272" t="s">
        <v>141</v>
      </c>
      <c r="C24" s="105"/>
      <c r="D24" s="105"/>
      <c r="E24" s="272">
        <v>186.62</v>
      </c>
      <c r="F24" s="105"/>
      <c r="G24" s="105"/>
      <c r="H24" s="211">
        <f t="shared" si="3"/>
        <v>0.577805165577109</v>
      </c>
      <c r="I24" s="273">
        <v>73.19</v>
      </c>
      <c r="J24" s="272"/>
      <c r="K24" s="276">
        <v>107.83</v>
      </c>
      <c r="L24" s="105">
        <f t="shared" si="1"/>
        <v>24352.82</v>
      </c>
      <c r="M24" s="272"/>
      <c r="N24" s="117"/>
      <c r="O24" s="266" t="s">
        <v>1658</v>
      </c>
      <c r="P24" s="275">
        <v>181.02</v>
      </c>
      <c r="Q24" s="144">
        <f t="shared" si="2"/>
        <v>-73.19</v>
      </c>
    </row>
    <row r="25" ht="16.5" spans="1:17">
      <c r="A25" s="271">
        <v>46177</v>
      </c>
      <c r="B25" s="272" t="s">
        <v>135</v>
      </c>
      <c r="C25" s="105"/>
      <c r="D25" s="105"/>
      <c r="E25" s="272">
        <v>202.59</v>
      </c>
      <c r="F25" s="105"/>
      <c r="G25" s="105"/>
      <c r="H25" s="211">
        <f t="shared" si="3"/>
        <v>0.577817266400118</v>
      </c>
      <c r="I25" s="273">
        <v>79.46</v>
      </c>
      <c r="J25" s="272"/>
      <c r="K25" s="276">
        <v>117.06</v>
      </c>
      <c r="L25" s="105">
        <f t="shared" si="1"/>
        <v>24235.76</v>
      </c>
      <c r="M25" s="272"/>
      <c r="N25" s="117"/>
      <c r="O25" s="266" t="s">
        <v>1658</v>
      </c>
      <c r="P25" s="275">
        <v>196.52</v>
      </c>
      <c r="Q25" s="144">
        <f t="shared" si="2"/>
        <v>-79.46</v>
      </c>
    </row>
    <row r="26" ht="16.5" spans="1:17">
      <c r="A26" s="269">
        <v>46178</v>
      </c>
      <c r="B26" s="270" t="s">
        <v>132</v>
      </c>
      <c r="C26" s="105"/>
      <c r="D26" s="105"/>
      <c r="E26" s="270">
        <v>81.04</v>
      </c>
      <c r="F26" s="105"/>
      <c r="G26" s="105"/>
      <c r="H26" s="211">
        <f t="shared" si="3"/>
        <v>0.45360315893386</v>
      </c>
      <c r="I26" s="273">
        <v>28.07</v>
      </c>
      <c r="J26" s="270"/>
      <c r="K26" s="276">
        <v>36.76</v>
      </c>
      <c r="L26" s="105">
        <f t="shared" si="1"/>
        <v>24199</v>
      </c>
      <c r="M26" s="117"/>
      <c r="N26" s="266"/>
      <c r="O26" s="266" t="s">
        <v>1658</v>
      </c>
      <c r="P26" s="275">
        <v>64.83</v>
      </c>
      <c r="Q26" s="144">
        <f t="shared" si="2"/>
        <v>-28.07</v>
      </c>
    </row>
    <row r="27" ht="16.5" spans="1:17">
      <c r="A27" s="271">
        <v>46178</v>
      </c>
      <c r="B27" s="272" t="s">
        <v>69</v>
      </c>
      <c r="C27" s="105"/>
      <c r="D27" s="105"/>
      <c r="E27" s="272">
        <v>30.68</v>
      </c>
      <c r="F27" s="105"/>
      <c r="G27" s="105"/>
      <c r="H27" s="211">
        <f t="shared" si="3"/>
        <v>0.329204693611473</v>
      </c>
      <c r="I27" s="273">
        <v>11.37</v>
      </c>
      <c r="J27" s="272"/>
      <c r="K27" s="276">
        <v>10.1</v>
      </c>
      <c r="L27" s="105">
        <f t="shared" si="1"/>
        <v>24188.9</v>
      </c>
      <c r="M27" s="117"/>
      <c r="N27" s="266"/>
      <c r="O27" s="266" t="s">
        <v>1658</v>
      </c>
      <c r="P27" s="275">
        <v>21.47</v>
      </c>
      <c r="Q27" s="144">
        <f t="shared" si="2"/>
        <v>-11.37</v>
      </c>
    </row>
    <row r="28" ht="16.5" spans="1:17">
      <c r="A28" s="271">
        <v>46178</v>
      </c>
      <c r="B28" s="272" t="s">
        <v>108</v>
      </c>
      <c r="C28" s="105"/>
      <c r="D28" s="105"/>
      <c r="E28" s="272">
        <v>312.32</v>
      </c>
      <c r="F28" s="105"/>
      <c r="G28" s="105"/>
      <c r="H28" s="211">
        <f t="shared" si="3"/>
        <v>0.417456454918033</v>
      </c>
      <c r="I28" s="273">
        <v>110.39</v>
      </c>
      <c r="J28" s="272"/>
      <c r="K28" s="276">
        <v>130.38</v>
      </c>
      <c r="L28" s="105">
        <f t="shared" si="1"/>
        <v>24058.52</v>
      </c>
      <c r="M28" s="117"/>
      <c r="N28" s="266"/>
      <c r="O28" s="266" t="s">
        <v>1658</v>
      </c>
      <c r="P28" s="275">
        <v>240.77</v>
      </c>
      <c r="Q28" s="144">
        <f t="shared" si="2"/>
        <v>-110.39</v>
      </c>
    </row>
    <row r="29" ht="16.5" spans="1:17">
      <c r="A29" s="271">
        <v>46178</v>
      </c>
      <c r="B29" s="272" t="s">
        <v>69</v>
      </c>
      <c r="C29" s="105"/>
      <c r="D29" s="105"/>
      <c r="E29" s="272">
        <v>275.39</v>
      </c>
      <c r="F29" s="105"/>
      <c r="G29" s="105"/>
      <c r="H29" s="211">
        <f t="shared" si="3"/>
        <v>0.445622571625694</v>
      </c>
      <c r="I29" s="273">
        <v>95.83</v>
      </c>
      <c r="J29" s="272"/>
      <c r="K29" s="276">
        <v>122.72</v>
      </c>
      <c r="L29" s="105">
        <f t="shared" si="1"/>
        <v>23935.8</v>
      </c>
      <c r="M29" s="117"/>
      <c r="N29" s="266"/>
      <c r="O29" s="266" t="s">
        <v>1658</v>
      </c>
      <c r="P29" s="275">
        <v>218.55</v>
      </c>
      <c r="Q29" s="144">
        <f t="shared" si="2"/>
        <v>-95.83</v>
      </c>
    </row>
    <row r="30" ht="16.5" spans="1:17">
      <c r="A30" s="271">
        <v>46178</v>
      </c>
      <c r="B30" s="272" t="s">
        <v>151</v>
      </c>
      <c r="C30" s="105"/>
      <c r="D30" s="105"/>
      <c r="E30" s="272">
        <v>209.54</v>
      </c>
      <c r="F30" s="105"/>
      <c r="G30" s="105"/>
      <c r="H30" s="211">
        <f t="shared" si="3"/>
        <v>0.453612675384175</v>
      </c>
      <c r="I30" s="273">
        <v>72.58</v>
      </c>
      <c r="J30" s="272"/>
      <c r="K30" s="276">
        <v>95.05</v>
      </c>
      <c r="L30" s="105">
        <f t="shared" si="1"/>
        <v>23840.75</v>
      </c>
      <c r="M30" s="117"/>
      <c r="N30" s="266"/>
      <c r="O30" s="266" t="s">
        <v>1658</v>
      </c>
      <c r="P30" s="275">
        <v>167.63</v>
      </c>
      <c r="Q30" s="144">
        <f t="shared" si="2"/>
        <v>-72.58</v>
      </c>
    </row>
    <row r="31" ht="16.5" spans="1:17">
      <c r="A31" s="271">
        <v>46178</v>
      </c>
      <c r="B31" s="272" t="s">
        <v>127</v>
      </c>
      <c r="C31" s="105"/>
      <c r="D31" s="105"/>
      <c r="E31" s="272">
        <v>323.23</v>
      </c>
      <c r="F31" s="105"/>
      <c r="G31" s="105"/>
      <c r="H31" s="211">
        <f t="shared" si="3"/>
        <v>0.548587692974043</v>
      </c>
      <c r="I31" s="273">
        <v>123.29</v>
      </c>
      <c r="J31" s="272"/>
      <c r="K31" s="276">
        <v>177.32</v>
      </c>
      <c r="L31" s="105">
        <f t="shared" si="1"/>
        <v>23663.43</v>
      </c>
      <c r="M31" s="117"/>
      <c r="N31" s="266"/>
      <c r="O31" s="266" t="s">
        <v>1658</v>
      </c>
      <c r="P31" s="275">
        <v>300.61</v>
      </c>
      <c r="Q31" s="144">
        <f t="shared" si="2"/>
        <v>-123.29</v>
      </c>
    </row>
    <row r="32" ht="16.5" spans="1:17">
      <c r="A32" s="271">
        <v>46178</v>
      </c>
      <c r="B32" s="272" t="s">
        <v>127</v>
      </c>
      <c r="C32" s="105"/>
      <c r="D32" s="105"/>
      <c r="E32" s="272">
        <v>34.62</v>
      </c>
      <c r="F32" s="105"/>
      <c r="G32" s="105"/>
      <c r="H32" s="211">
        <f t="shared" si="3"/>
        <v>0.577700751010976</v>
      </c>
      <c r="I32" s="273">
        <v>13.58</v>
      </c>
      <c r="J32" s="272"/>
      <c r="K32" s="276">
        <v>20</v>
      </c>
      <c r="L32" s="105">
        <f t="shared" si="1"/>
        <v>23643.43</v>
      </c>
      <c r="M32" s="117"/>
      <c r="N32" s="266"/>
      <c r="O32" s="266" t="s">
        <v>1658</v>
      </c>
      <c r="P32" s="275">
        <v>33.58</v>
      </c>
      <c r="Q32" s="144">
        <f t="shared" si="2"/>
        <v>-13.58</v>
      </c>
    </row>
    <row r="33" ht="16.5" spans="1:17">
      <c r="A33" s="271">
        <v>46178</v>
      </c>
      <c r="B33" s="272" t="s">
        <v>54</v>
      </c>
      <c r="C33" s="105"/>
      <c r="D33" s="105"/>
      <c r="E33" s="272">
        <v>193.12</v>
      </c>
      <c r="F33" s="105"/>
      <c r="G33" s="105"/>
      <c r="H33" s="211">
        <f t="shared" si="3"/>
        <v>0.577775476387738</v>
      </c>
      <c r="I33" s="273">
        <v>75.74</v>
      </c>
      <c r="J33" s="272"/>
      <c r="K33" s="276">
        <v>111.58</v>
      </c>
      <c r="L33" s="105">
        <f t="shared" si="1"/>
        <v>23531.85</v>
      </c>
      <c r="M33" s="117"/>
      <c r="N33" s="266"/>
      <c r="O33" s="266" t="s">
        <v>1658</v>
      </c>
      <c r="P33" s="275">
        <v>187.32</v>
      </c>
      <c r="Q33" s="144">
        <f t="shared" si="2"/>
        <v>-75.74</v>
      </c>
    </row>
    <row r="34" ht="16.5" spans="1:17">
      <c r="A34" s="271">
        <v>46178</v>
      </c>
      <c r="B34" s="272" t="s">
        <v>160</v>
      </c>
      <c r="C34" s="105"/>
      <c r="D34" s="105"/>
      <c r="E34" s="272">
        <v>2</v>
      </c>
      <c r="F34" s="105"/>
      <c r="G34" s="105"/>
      <c r="H34" s="211">
        <f t="shared" si="3"/>
        <v>0.58</v>
      </c>
      <c r="I34" s="273">
        <v>0.78</v>
      </c>
      <c r="J34" s="272"/>
      <c r="K34" s="276">
        <v>1.16</v>
      </c>
      <c r="L34" s="105">
        <f t="shared" si="1"/>
        <v>23530.69</v>
      </c>
      <c r="M34" s="117"/>
      <c r="N34" s="266"/>
      <c r="O34" s="266" t="s">
        <v>1658</v>
      </c>
      <c r="P34" s="275">
        <v>1.94</v>
      </c>
      <c r="Q34" s="144">
        <f t="shared" si="2"/>
        <v>-0.78</v>
      </c>
    </row>
    <row r="35" ht="16.5" spans="1:17">
      <c r="A35" s="271">
        <v>46178</v>
      </c>
      <c r="B35" s="272" t="s">
        <v>160</v>
      </c>
      <c r="C35" s="105"/>
      <c r="D35" s="105"/>
      <c r="E35" s="272">
        <v>0</v>
      </c>
      <c r="F35" s="105"/>
      <c r="G35" s="105"/>
      <c r="H35" s="211"/>
      <c r="I35" s="273">
        <v>0</v>
      </c>
      <c r="J35" s="272"/>
      <c r="K35" s="276">
        <v>0</v>
      </c>
      <c r="L35" s="105">
        <f t="shared" si="1"/>
        <v>23530.69</v>
      </c>
      <c r="M35" s="117"/>
      <c r="N35" s="266"/>
      <c r="O35" s="266" t="s">
        <v>1658</v>
      </c>
      <c r="P35" s="275">
        <v>0</v>
      </c>
      <c r="Q35" s="144">
        <f t="shared" si="2"/>
        <v>0</v>
      </c>
    </row>
    <row r="36" ht="16.5" spans="1:17">
      <c r="A36" s="271">
        <v>46178</v>
      </c>
      <c r="B36" s="272" t="s">
        <v>160</v>
      </c>
      <c r="C36" s="105"/>
      <c r="D36" s="105"/>
      <c r="E36" s="272">
        <v>0</v>
      </c>
      <c r="F36" s="105"/>
      <c r="G36" s="105"/>
      <c r="H36" s="211"/>
      <c r="I36" s="273">
        <v>0</v>
      </c>
      <c r="J36" s="272"/>
      <c r="K36" s="276">
        <v>0</v>
      </c>
      <c r="L36" s="105">
        <f t="shared" si="1"/>
        <v>23530.69</v>
      </c>
      <c r="M36" s="117"/>
      <c r="N36" s="266"/>
      <c r="O36" s="266" t="s">
        <v>1658</v>
      </c>
      <c r="P36" s="275">
        <v>0</v>
      </c>
      <c r="Q36" s="144">
        <f t="shared" si="2"/>
        <v>0</v>
      </c>
    </row>
    <row r="37" ht="16.5" spans="1:17">
      <c r="A37" s="271">
        <v>46178</v>
      </c>
      <c r="B37" s="272" t="s">
        <v>154</v>
      </c>
      <c r="C37" s="105"/>
      <c r="D37" s="105"/>
      <c r="E37" s="272">
        <v>2.08</v>
      </c>
      <c r="F37" s="105"/>
      <c r="G37" s="105"/>
      <c r="H37" s="211">
        <f t="shared" ref="H37:H70" si="4">K37/E37</f>
        <v>0.576923076923077</v>
      </c>
      <c r="I37" s="273">
        <v>0.82</v>
      </c>
      <c r="J37" s="272"/>
      <c r="K37" s="276">
        <v>1.2</v>
      </c>
      <c r="L37" s="105">
        <f t="shared" si="1"/>
        <v>23529.49</v>
      </c>
      <c r="M37" s="117"/>
      <c r="N37" s="266"/>
      <c r="O37" s="266" t="s">
        <v>1658</v>
      </c>
      <c r="P37" s="275">
        <v>2.02</v>
      </c>
      <c r="Q37" s="144">
        <f t="shared" si="2"/>
        <v>-0.82</v>
      </c>
    </row>
    <row r="38" ht="16.5" spans="1:17">
      <c r="A38" s="271">
        <v>46178</v>
      </c>
      <c r="B38" s="272" t="s">
        <v>154</v>
      </c>
      <c r="C38" s="105"/>
      <c r="D38" s="105"/>
      <c r="E38" s="272">
        <v>0.69</v>
      </c>
      <c r="F38" s="105"/>
      <c r="G38" s="105"/>
      <c r="H38" s="211">
        <f t="shared" si="4"/>
        <v>0.579710144927536</v>
      </c>
      <c r="I38" s="273">
        <v>0.27</v>
      </c>
      <c r="J38" s="272"/>
      <c r="K38" s="276">
        <v>0.4</v>
      </c>
      <c r="L38" s="105">
        <f t="shared" si="1"/>
        <v>23529.09</v>
      </c>
      <c r="M38" s="117"/>
      <c r="N38" s="266"/>
      <c r="O38" s="266" t="s">
        <v>1658</v>
      </c>
      <c r="P38" s="275">
        <v>0.67</v>
      </c>
      <c r="Q38" s="144">
        <f t="shared" si="2"/>
        <v>-0.27</v>
      </c>
    </row>
    <row r="39" ht="16.5" spans="1:17">
      <c r="A39" s="271">
        <v>46178</v>
      </c>
      <c r="B39" s="272" t="s">
        <v>338</v>
      </c>
      <c r="C39" s="105"/>
      <c r="D39" s="105"/>
      <c r="E39" s="272">
        <v>0.26</v>
      </c>
      <c r="F39" s="105"/>
      <c r="G39" s="105"/>
      <c r="H39" s="211">
        <f t="shared" si="4"/>
        <v>0.576923076923077</v>
      </c>
      <c r="I39" s="273">
        <v>0.1</v>
      </c>
      <c r="J39" s="272"/>
      <c r="K39" s="273">
        <v>0.15</v>
      </c>
      <c r="L39" s="105">
        <f t="shared" si="1"/>
        <v>23528.94</v>
      </c>
      <c r="M39" s="117"/>
      <c r="N39" s="266"/>
      <c r="O39" s="266" t="s">
        <v>1658</v>
      </c>
      <c r="P39" s="275">
        <v>0.25</v>
      </c>
      <c r="Q39" s="144">
        <f t="shared" si="2"/>
        <v>-0.1</v>
      </c>
    </row>
    <row r="40" ht="16.5" spans="1:17">
      <c r="A40" s="271">
        <v>46178</v>
      </c>
      <c r="B40" s="272" t="s">
        <v>163</v>
      </c>
      <c r="C40" s="105"/>
      <c r="D40" s="105"/>
      <c r="E40" s="272">
        <v>2.03</v>
      </c>
      <c r="F40" s="105"/>
      <c r="G40" s="105"/>
      <c r="H40" s="211">
        <f t="shared" si="4"/>
        <v>0.576354679802956</v>
      </c>
      <c r="I40" s="273">
        <v>0.8</v>
      </c>
      <c r="J40" s="272"/>
      <c r="K40" s="273">
        <v>1.17</v>
      </c>
      <c r="L40" s="105">
        <f t="shared" si="1"/>
        <v>23527.77</v>
      </c>
      <c r="M40" s="117"/>
      <c r="N40" s="266"/>
      <c r="O40" s="266" t="s">
        <v>1658</v>
      </c>
      <c r="P40" s="275">
        <v>1.97</v>
      </c>
      <c r="Q40" s="144">
        <f t="shared" si="2"/>
        <v>-0.8</v>
      </c>
    </row>
    <row r="41" ht="16.5" spans="1:17">
      <c r="A41" s="271">
        <v>46178</v>
      </c>
      <c r="B41" s="272" t="s">
        <v>338</v>
      </c>
      <c r="C41" s="105"/>
      <c r="D41" s="105"/>
      <c r="E41" s="272">
        <v>19.19</v>
      </c>
      <c r="F41" s="105"/>
      <c r="G41" s="105"/>
      <c r="H41" s="211">
        <f t="shared" si="4"/>
        <v>0.577905158936946</v>
      </c>
      <c r="I41" s="273">
        <v>7.53</v>
      </c>
      <c r="J41" s="272"/>
      <c r="K41" s="273">
        <v>11.09</v>
      </c>
      <c r="L41" s="105">
        <f t="shared" si="1"/>
        <v>23516.68</v>
      </c>
      <c r="M41" s="117"/>
      <c r="N41" s="266"/>
      <c r="O41" s="266" t="s">
        <v>1658</v>
      </c>
      <c r="P41" s="275">
        <v>18.62</v>
      </c>
      <c r="Q41" s="144">
        <f t="shared" si="2"/>
        <v>-7.53</v>
      </c>
    </row>
    <row r="42" ht="16.5" spans="1:17">
      <c r="A42" s="271">
        <v>46178</v>
      </c>
      <c r="B42" s="272" t="s">
        <v>338</v>
      </c>
      <c r="C42" s="105"/>
      <c r="D42" s="105"/>
      <c r="E42" s="272">
        <v>23.35</v>
      </c>
      <c r="F42" s="105"/>
      <c r="G42" s="105"/>
      <c r="H42" s="211">
        <f t="shared" si="4"/>
        <v>0.577730192719486</v>
      </c>
      <c r="I42" s="273">
        <v>9.16</v>
      </c>
      <c r="J42" s="272"/>
      <c r="K42" s="273">
        <v>13.49</v>
      </c>
      <c r="L42" s="105">
        <f t="shared" si="1"/>
        <v>23503.19</v>
      </c>
      <c r="M42" s="117"/>
      <c r="N42" s="266"/>
      <c r="O42" s="266" t="s">
        <v>1658</v>
      </c>
      <c r="P42" s="275">
        <v>22.65</v>
      </c>
      <c r="Q42" s="144">
        <f t="shared" si="2"/>
        <v>-9.16</v>
      </c>
    </row>
    <row r="43" ht="16.5" spans="1:17">
      <c r="A43" s="271">
        <v>46178</v>
      </c>
      <c r="B43" s="272" t="s">
        <v>338</v>
      </c>
      <c r="C43" s="105"/>
      <c r="D43" s="105"/>
      <c r="E43" s="272">
        <v>0.48</v>
      </c>
      <c r="F43" s="105"/>
      <c r="G43" s="105"/>
      <c r="H43" s="211">
        <f t="shared" si="4"/>
        <v>0.583333333333333</v>
      </c>
      <c r="I43" s="273">
        <v>0.19</v>
      </c>
      <c r="J43" s="272"/>
      <c r="K43" s="273">
        <v>0.28</v>
      </c>
      <c r="L43" s="105">
        <f t="shared" si="1"/>
        <v>23502.91</v>
      </c>
      <c r="M43" s="117"/>
      <c r="N43" s="266"/>
      <c r="O43" s="266" t="s">
        <v>1658</v>
      </c>
      <c r="P43" s="275">
        <v>0.47</v>
      </c>
      <c r="Q43" s="144">
        <f t="shared" si="2"/>
        <v>-0.19</v>
      </c>
    </row>
    <row r="44" ht="16.5" spans="1:17">
      <c r="A44" s="271">
        <v>46178</v>
      </c>
      <c r="B44" s="272" t="s">
        <v>338</v>
      </c>
      <c r="C44" s="105"/>
      <c r="D44" s="105"/>
      <c r="E44" s="272">
        <v>0.19</v>
      </c>
      <c r="F44" s="105"/>
      <c r="G44" s="105"/>
      <c r="H44" s="211">
        <f t="shared" si="4"/>
        <v>0.578947368421053</v>
      </c>
      <c r="I44" s="273">
        <v>0.07</v>
      </c>
      <c r="J44" s="272"/>
      <c r="K44" s="273">
        <v>0.11</v>
      </c>
      <c r="L44" s="105">
        <f t="shared" si="1"/>
        <v>23502.8</v>
      </c>
      <c r="M44" s="117"/>
      <c r="N44" s="266"/>
      <c r="O44" s="266" t="s">
        <v>1658</v>
      </c>
      <c r="P44" s="275">
        <v>0.18</v>
      </c>
      <c r="Q44" s="144">
        <f t="shared" si="2"/>
        <v>-0.07</v>
      </c>
    </row>
    <row r="45" ht="16.5" spans="1:17">
      <c r="A45" s="271">
        <v>46178</v>
      </c>
      <c r="B45" s="272" t="s">
        <v>338</v>
      </c>
      <c r="C45" s="105"/>
      <c r="D45" s="105"/>
      <c r="E45" s="272">
        <v>8.76</v>
      </c>
      <c r="F45" s="105"/>
      <c r="G45" s="105"/>
      <c r="H45" s="211">
        <f t="shared" si="4"/>
        <v>0.577625570776256</v>
      </c>
      <c r="I45" s="273">
        <v>3.44</v>
      </c>
      <c r="J45" s="272"/>
      <c r="K45" s="273">
        <v>5.06</v>
      </c>
      <c r="L45" s="105">
        <f t="shared" si="1"/>
        <v>23497.74</v>
      </c>
      <c r="M45" s="117"/>
      <c r="N45" s="266"/>
      <c r="O45" s="266" t="s">
        <v>1658</v>
      </c>
      <c r="P45" s="275">
        <v>8.5</v>
      </c>
      <c r="Q45" s="144">
        <f t="shared" si="2"/>
        <v>-3.44</v>
      </c>
    </row>
    <row r="46" ht="16.5" spans="1:17">
      <c r="A46" s="271">
        <v>46178</v>
      </c>
      <c r="B46" s="272" t="s">
        <v>163</v>
      </c>
      <c r="C46" s="105"/>
      <c r="D46" s="105"/>
      <c r="E46" s="272">
        <v>192.54</v>
      </c>
      <c r="F46" s="105"/>
      <c r="G46" s="105"/>
      <c r="H46" s="211">
        <f t="shared" si="4"/>
        <v>0.57780201516568</v>
      </c>
      <c r="I46" s="273">
        <v>75.51</v>
      </c>
      <c r="J46" s="272"/>
      <c r="K46" s="273">
        <v>111.25</v>
      </c>
      <c r="L46" s="105">
        <f t="shared" si="1"/>
        <v>23386.49</v>
      </c>
      <c r="M46" s="117"/>
      <c r="N46" s="266"/>
      <c r="O46" s="266" t="s">
        <v>1658</v>
      </c>
      <c r="P46" s="275">
        <v>186.76</v>
      </c>
      <c r="Q46" s="144">
        <f t="shared" si="2"/>
        <v>-75.51</v>
      </c>
    </row>
    <row r="47" ht="16.5" spans="1:17">
      <c r="A47" s="271">
        <v>46178</v>
      </c>
      <c r="B47" s="272" t="s">
        <v>160</v>
      </c>
      <c r="C47" s="105"/>
      <c r="D47" s="105"/>
      <c r="E47" s="272">
        <v>200.99</v>
      </c>
      <c r="F47" s="105"/>
      <c r="G47" s="105"/>
      <c r="H47" s="211">
        <f t="shared" si="4"/>
        <v>0.577789939798</v>
      </c>
      <c r="I47" s="273">
        <v>78.83</v>
      </c>
      <c r="J47" s="272"/>
      <c r="K47" s="273">
        <v>116.13</v>
      </c>
      <c r="L47" s="105">
        <f t="shared" si="1"/>
        <v>23270.36</v>
      </c>
      <c r="M47" s="117"/>
      <c r="N47" s="266"/>
      <c r="O47" s="266" t="s">
        <v>1658</v>
      </c>
      <c r="P47" s="275">
        <v>194.96</v>
      </c>
      <c r="Q47" s="144">
        <f t="shared" si="2"/>
        <v>-78.83</v>
      </c>
    </row>
    <row r="48" ht="16.5" spans="1:17">
      <c r="A48" s="271">
        <v>46178</v>
      </c>
      <c r="B48" s="272" t="s">
        <v>154</v>
      </c>
      <c r="C48" s="105"/>
      <c r="D48" s="105"/>
      <c r="E48" s="272">
        <v>137.31</v>
      </c>
      <c r="F48" s="105"/>
      <c r="G48" s="105"/>
      <c r="H48" s="211">
        <f t="shared" si="4"/>
        <v>0.577816619328527</v>
      </c>
      <c r="I48" s="273">
        <v>53.85</v>
      </c>
      <c r="J48" s="272"/>
      <c r="K48" s="273">
        <v>79.34</v>
      </c>
      <c r="L48" s="105">
        <f t="shared" si="1"/>
        <v>23191.02</v>
      </c>
      <c r="M48" s="117"/>
      <c r="N48" s="266"/>
      <c r="O48" s="266" t="s">
        <v>1658</v>
      </c>
      <c r="P48" s="275">
        <v>133.19</v>
      </c>
      <c r="Q48" s="144">
        <f t="shared" si="2"/>
        <v>-53.85</v>
      </c>
    </row>
    <row r="49" ht="16.5" spans="1:17">
      <c r="A49" s="271">
        <v>46178</v>
      </c>
      <c r="B49" s="272" t="s">
        <v>338</v>
      </c>
      <c r="C49" s="105"/>
      <c r="D49" s="105"/>
      <c r="E49" s="272">
        <v>53.2</v>
      </c>
      <c r="F49" s="105"/>
      <c r="G49" s="105"/>
      <c r="H49" s="211">
        <f t="shared" si="4"/>
        <v>1.48101503759398</v>
      </c>
      <c r="I49" s="273">
        <v>20.87</v>
      </c>
      <c r="J49" s="272">
        <v>10000</v>
      </c>
      <c r="K49" s="273">
        <f>30.74+48.05</f>
        <v>78.79</v>
      </c>
      <c r="L49" s="105">
        <f t="shared" si="1"/>
        <v>33112.23</v>
      </c>
      <c r="M49" s="117"/>
      <c r="N49" s="266"/>
      <c r="O49" s="266" t="s">
        <v>1658</v>
      </c>
      <c r="P49" s="275">
        <v>51.61</v>
      </c>
      <c r="Q49" s="144">
        <f t="shared" si="2"/>
        <v>27.18</v>
      </c>
    </row>
    <row r="50" ht="16.5" spans="1:17">
      <c r="A50" s="262">
        <v>46179</v>
      </c>
      <c r="B50" s="263" t="s">
        <v>60</v>
      </c>
      <c r="C50" s="105"/>
      <c r="D50" s="105"/>
      <c r="E50" s="263">
        <v>338.96</v>
      </c>
      <c r="F50" s="105"/>
      <c r="G50" s="105"/>
      <c r="H50" s="211">
        <f t="shared" si="4"/>
        <v>0.887302336558886</v>
      </c>
      <c r="I50" s="263">
        <v>155.01</v>
      </c>
      <c r="J50" s="263"/>
      <c r="K50" s="263">
        <v>300.76</v>
      </c>
      <c r="L50" s="105">
        <f t="shared" si="1"/>
        <v>32811.47</v>
      </c>
      <c r="M50" s="263"/>
      <c r="N50" s="117"/>
      <c r="O50" s="266" t="s">
        <v>1658</v>
      </c>
      <c r="P50" s="266"/>
    </row>
    <row r="51" ht="16.5" spans="1:17">
      <c r="A51" s="267">
        <v>46179</v>
      </c>
      <c r="B51" s="264" t="s">
        <v>87</v>
      </c>
      <c r="C51" s="105"/>
      <c r="D51" s="105"/>
      <c r="E51" s="264">
        <v>163.14</v>
      </c>
      <c r="F51" s="105"/>
      <c r="G51" s="105"/>
      <c r="H51" s="211">
        <f t="shared" si="4"/>
        <v>0.96996444771362</v>
      </c>
      <c r="I51" s="264">
        <v>63.98</v>
      </c>
      <c r="J51" s="264"/>
      <c r="K51" s="264">
        <v>158.24</v>
      </c>
      <c r="L51" s="105">
        <f t="shared" si="1"/>
        <v>32653.23</v>
      </c>
      <c r="M51" s="264"/>
      <c r="N51" s="117"/>
      <c r="O51" s="266" t="s">
        <v>1658</v>
      </c>
      <c r="P51" s="266"/>
    </row>
    <row r="52" ht="16.5" spans="1:17">
      <c r="A52" s="267">
        <v>46179</v>
      </c>
      <c r="B52" s="264" t="s">
        <v>339</v>
      </c>
      <c r="C52" s="105"/>
      <c r="D52" s="105"/>
      <c r="E52" s="264">
        <v>199.26</v>
      </c>
      <c r="F52" s="105"/>
      <c r="G52" s="105"/>
      <c r="H52" s="211">
        <f t="shared" si="4"/>
        <v>0.969988959148851</v>
      </c>
      <c r="I52" s="264">
        <v>78.15</v>
      </c>
      <c r="J52" s="264"/>
      <c r="K52" s="264">
        <v>193.28</v>
      </c>
      <c r="L52" s="105">
        <f t="shared" si="1"/>
        <v>32459.95</v>
      </c>
      <c r="M52" s="264"/>
      <c r="N52" s="117"/>
      <c r="O52" s="266" t="s">
        <v>1658</v>
      </c>
      <c r="P52" s="266"/>
    </row>
    <row r="53" ht="16.5" spans="1:17">
      <c r="A53" s="267">
        <v>46179</v>
      </c>
      <c r="B53" s="264" t="s">
        <v>177</v>
      </c>
      <c r="C53" s="105"/>
      <c r="D53" s="105"/>
      <c r="E53" s="264">
        <v>198.38</v>
      </c>
      <c r="F53" s="105"/>
      <c r="G53" s="105"/>
      <c r="H53" s="211">
        <f t="shared" si="4"/>
        <v>0.84650670430487</v>
      </c>
      <c r="I53" s="264">
        <v>71.2</v>
      </c>
      <c r="J53" s="264"/>
      <c r="K53" s="264">
        <v>167.93</v>
      </c>
      <c r="L53" s="105">
        <f t="shared" si="1"/>
        <v>32292.02</v>
      </c>
      <c r="M53" s="264"/>
      <c r="N53" s="117"/>
      <c r="O53" s="266" t="s">
        <v>1658</v>
      </c>
      <c r="P53" s="266"/>
    </row>
    <row r="54" ht="16.5" spans="1:17">
      <c r="A54" s="267">
        <v>46179</v>
      </c>
      <c r="B54" s="264" t="s">
        <v>174</v>
      </c>
      <c r="C54" s="105"/>
      <c r="D54" s="105"/>
      <c r="E54" s="264">
        <v>0.6</v>
      </c>
      <c r="F54" s="105"/>
      <c r="G54" s="105"/>
      <c r="H54" s="211">
        <f t="shared" si="4"/>
        <v>0.983333333333333</v>
      </c>
      <c r="I54" s="264">
        <v>0.24</v>
      </c>
      <c r="J54" s="264"/>
      <c r="K54" s="264">
        <v>0.59</v>
      </c>
      <c r="L54" s="105">
        <f t="shared" si="1"/>
        <v>32291.43</v>
      </c>
      <c r="M54" s="264"/>
      <c r="N54" s="117"/>
      <c r="O54" s="266" t="s">
        <v>1658</v>
      </c>
      <c r="P54" s="266"/>
    </row>
    <row r="55" ht="16.5" spans="1:17">
      <c r="A55" s="267">
        <v>46179</v>
      </c>
      <c r="B55" s="264" t="s">
        <v>174</v>
      </c>
      <c r="C55" s="105"/>
      <c r="D55" s="105"/>
      <c r="E55" s="264">
        <v>210.37</v>
      </c>
      <c r="F55" s="105"/>
      <c r="G55" s="105"/>
      <c r="H55" s="211">
        <f t="shared" si="4"/>
        <v>0.832390549983363</v>
      </c>
      <c r="I55" s="264">
        <v>74.71</v>
      </c>
      <c r="J55" s="264"/>
      <c r="K55" s="264">
        <v>175.11</v>
      </c>
      <c r="L55" s="105">
        <f t="shared" si="1"/>
        <v>32116.32</v>
      </c>
      <c r="M55" s="264"/>
      <c r="N55" s="117"/>
      <c r="O55" s="266" t="s">
        <v>1658</v>
      </c>
      <c r="P55" s="266"/>
    </row>
    <row r="56" ht="16.5" spans="1:17">
      <c r="A56" s="267">
        <v>46180</v>
      </c>
      <c r="B56" s="264" t="s">
        <v>130</v>
      </c>
      <c r="C56" s="105"/>
      <c r="D56" s="105"/>
      <c r="E56" s="264">
        <v>279.42</v>
      </c>
      <c r="F56" s="105"/>
      <c r="G56" s="105"/>
      <c r="H56" s="211">
        <f t="shared" si="4"/>
        <v>0.85001073652566</v>
      </c>
      <c r="I56" s="264">
        <v>117.36</v>
      </c>
      <c r="J56" s="264"/>
      <c r="K56" s="264">
        <v>237.51</v>
      </c>
      <c r="L56" s="105">
        <f t="shared" si="1"/>
        <v>31878.81</v>
      </c>
      <c r="M56" s="264"/>
      <c r="N56" s="117"/>
      <c r="O56" s="266" t="s">
        <v>1658</v>
      </c>
      <c r="P56" s="266"/>
    </row>
    <row r="57" ht="16.5" spans="1:17">
      <c r="A57" s="267">
        <v>46180</v>
      </c>
      <c r="B57" s="264" t="s">
        <v>138</v>
      </c>
      <c r="C57" s="105"/>
      <c r="D57" s="105"/>
      <c r="E57" s="264">
        <v>103.47</v>
      </c>
      <c r="F57" s="105"/>
      <c r="G57" s="105"/>
      <c r="H57" s="211">
        <f t="shared" si="4"/>
        <v>0.850004832318547</v>
      </c>
      <c r="I57" s="264">
        <v>43.46</v>
      </c>
      <c r="J57" s="264"/>
      <c r="K57" s="264">
        <v>87.95</v>
      </c>
      <c r="L57" s="105">
        <f t="shared" si="1"/>
        <v>31790.86</v>
      </c>
      <c r="M57" s="264"/>
      <c r="N57" s="117"/>
      <c r="O57" s="266" t="s">
        <v>1658</v>
      </c>
      <c r="P57" s="266"/>
    </row>
    <row r="58" ht="16.5" spans="1:17">
      <c r="A58" s="267">
        <v>46180</v>
      </c>
      <c r="B58" s="264" t="s">
        <v>96</v>
      </c>
      <c r="C58" s="105"/>
      <c r="D58" s="105"/>
      <c r="E58" s="264">
        <v>0.57</v>
      </c>
      <c r="F58" s="105"/>
      <c r="G58" s="105"/>
      <c r="H58" s="211">
        <f t="shared" si="4"/>
        <v>0.807017543859649</v>
      </c>
      <c r="I58" s="264">
        <v>0.2</v>
      </c>
      <c r="J58" s="264"/>
      <c r="K58" s="264">
        <v>0.46</v>
      </c>
      <c r="L58" s="105">
        <f t="shared" si="1"/>
        <v>31790.4</v>
      </c>
      <c r="M58" s="264"/>
      <c r="N58" s="117"/>
      <c r="O58" s="266" t="s">
        <v>1658</v>
      </c>
      <c r="P58" s="266"/>
    </row>
    <row r="59" ht="16.5" spans="1:17">
      <c r="A59" s="267">
        <v>46180</v>
      </c>
      <c r="B59" s="264" t="s">
        <v>96</v>
      </c>
      <c r="C59" s="105"/>
      <c r="D59" s="105"/>
      <c r="E59" s="264">
        <v>0.04</v>
      </c>
      <c r="F59" s="105"/>
      <c r="G59" s="105"/>
      <c r="H59" s="211">
        <f t="shared" si="4"/>
        <v>0.75</v>
      </c>
      <c r="I59" s="264">
        <v>0.01</v>
      </c>
      <c r="J59" s="264"/>
      <c r="K59" s="264">
        <v>0.03</v>
      </c>
      <c r="L59" s="105">
        <f t="shared" si="1"/>
        <v>31790.37</v>
      </c>
      <c r="M59" s="264"/>
      <c r="N59" s="117"/>
      <c r="O59" s="266" t="s">
        <v>1658</v>
      </c>
      <c r="P59" s="266"/>
    </row>
    <row r="60" ht="16.5" spans="1:17">
      <c r="A60" s="267">
        <v>46180</v>
      </c>
      <c r="B60" s="264" t="s">
        <v>96</v>
      </c>
      <c r="C60" s="105"/>
      <c r="D60" s="105"/>
      <c r="E60" s="264">
        <v>93.49</v>
      </c>
      <c r="F60" s="105"/>
      <c r="G60" s="105"/>
      <c r="H60" s="211">
        <f t="shared" si="4"/>
        <v>0.787249973259172</v>
      </c>
      <c r="I60" s="264">
        <v>32.68</v>
      </c>
      <c r="J60" s="264"/>
      <c r="K60" s="264">
        <v>73.6</v>
      </c>
      <c r="L60" s="105">
        <f t="shared" si="1"/>
        <v>31716.77</v>
      </c>
      <c r="M60" s="264"/>
      <c r="N60" s="117"/>
      <c r="O60" s="266" t="s">
        <v>1658</v>
      </c>
      <c r="P60" s="266"/>
    </row>
    <row r="61" ht="16.5" spans="1:17">
      <c r="A61" s="267">
        <v>46180</v>
      </c>
      <c r="B61" s="264" t="s">
        <v>75</v>
      </c>
      <c r="C61" s="105"/>
      <c r="D61" s="105"/>
      <c r="E61" s="264">
        <v>349.28</v>
      </c>
      <c r="F61" s="105"/>
      <c r="G61" s="105"/>
      <c r="H61" s="211">
        <f t="shared" si="4"/>
        <v>0.863719651855245</v>
      </c>
      <c r="I61" s="264">
        <v>126.99</v>
      </c>
      <c r="J61" s="264"/>
      <c r="K61" s="264">
        <v>301.68</v>
      </c>
      <c r="L61" s="105">
        <f t="shared" si="1"/>
        <v>31415.09</v>
      </c>
      <c r="M61" s="264"/>
      <c r="N61" s="117"/>
      <c r="O61" s="266" t="s">
        <v>1658</v>
      </c>
      <c r="P61" s="266"/>
    </row>
    <row r="62" ht="16.5" spans="1:17">
      <c r="A62" s="262">
        <v>46181</v>
      </c>
      <c r="B62" s="263" t="s">
        <v>54</v>
      </c>
      <c r="C62" s="105"/>
      <c r="D62" s="105"/>
      <c r="E62" s="263">
        <v>191.17</v>
      </c>
      <c r="F62" s="105"/>
      <c r="G62" s="105"/>
      <c r="H62" s="211">
        <f t="shared" si="4"/>
        <v>0.970026677826019</v>
      </c>
      <c r="I62" s="263">
        <v>74.98</v>
      </c>
      <c r="J62" s="263"/>
      <c r="K62" s="263">
        <v>185.44</v>
      </c>
      <c r="L62" s="105">
        <f t="shared" si="1"/>
        <v>31229.65</v>
      </c>
      <c r="M62" s="263"/>
      <c r="N62" s="117"/>
      <c r="O62" s="266" t="s">
        <v>1658</v>
      </c>
      <c r="P62" s="266"/>
    </row>
    <row r="63" ht="16.5" spans="1:17">
      <c r="A63" s="267">
        <v>46181</v>
      </c>
      <c r="B63" s="264" t="s">
        <v>124</v>
      </c>
      <c r="C63" s="105"/>
      <c r="D63" s="105"/>
      <c r="E63" s="264">
        <v>65.5</v>
      </c>
      <c r="F63" s="105"/>
      <c r="G63" s="105"/>
      <c r="H63" s="211">
        <f t="shared" si="4"/>
        <v>0.970076335877863</v>
      </c>
      <c r="I63" s="264">
        <v>25.69</v>
      </c>
      <c r="J63" s="264"/>
      <c r="K63" s="264">
        <v>63.54</v>
      </c>
      <c r="L63" s="105">
        <f t="shared" si="1"/>
        <v>31166.11</v>
      </c>
      <c r="M63" s="264"/>
      <c r="N63" s="117"/>
      <c r="O63" s="266" t="s">
        <v>1658</v>
      </c>
      <c r="P63" s="266"/>
    </row>
    <row r="64" ht="16.5" spans="1:17">
      <c r="A64" s="267">
        <v>46181</v>
      </c>
      <c r="B64" s="264" t="s">
        <v>141</v>
      </c>
      <c r="C64" s="105"/>
      <c r="D64" s="105"/>
      <c r="E64" s="264">
        <v>86.29</v>
      </c>
      <c r="F64" s="105"/>
      <c r="G64" s="105"/>
      <c r="H64" s="211">
        <f t="shared" si="4"/>
        <v>0.799976822343261</v>
      </c>
      <c r="I64" s="264">
        <v>29.89</v>
      </c>
      <c r="J64" s="264"/>
      <c r="K64" s="264">
        <v>69.03</v>
      </c>
      <c r="L64" s="105">
        <f t="shared" si="1"/>
        <v>31097.08</v>
      </c>
      <c r="M64" s="264"/>
      <c r="N64" s="117"/>
      <c r="O64" s="266" t="s">
        <v>1658</v>
      </c>
      <c r="P64" s="266"/>
    </row>
    <row r="65" ht="16.5" spans="1:16">
      <c r="A65" s="267">
        <v>46181</v>
      </c>
      <c r="B65" s="264" t="s">
        <v>127</v>
      </c>
      <c r="C65" s="105"/>
      <c r="D65" s="105"/>
      <c r="E65" s="264">
        <v>364.99</v>
      </c>
      <c r="F65" s="105"/>
      <c r="G65" s="105"/>
      <c r="H65" s="211">
        <f t="shared" si="4"/>
        <v>0.699991780596729</v>
      </c>
      <c r="I65" s="264">
        <v>135.3</v>
      </c>
      <c r="J65" s="264"/>
      <c r="K65" s="264">
        <v>255.49</v>
      </c>
      <c r="L65" s="105">
        <f t="shared" si="1"/>
        <v>30841.59</v>
      </c>
      <c r="M65" s="264"/>
      <c r="N65" s="117"/>
      <c r="O65" s="266" t="s">
        <v>1658</v>
      </c>
      <c r="P65" s="266"/>
    </row>
    <row r="66" ht="16.5" spans="1:16">
      <c r="A66" s="267">
        <v>46181</v>
      </c>
      <c r="B66" s="264" t="s">
        <v>135</v>
      </c>
      <c r="C66" s="105"/>
      <c r="D66" s="105"/>
      <c r="E66" s="264">
        <v>352.63</v>
      </c>
      <c r="F66" s="105"/>
      <c r="G66" s="105"/>
      <c r="H66" s="211">
        <f t="shared" si="4"/>
        <v>0.769985537248674</v>
      </c>
      <c r="I66" s="264">
        <v>119.89</v>
      </c>
      <c r="J66" s="264"/>
      <c r="K66" s="264">
        <v>271.52</v>
      </c>
      <c r="L66" s="105">
        <f t="shared" si="1"/>
        <v>30570.07</v>
      </c>
      <c r="M66" s="264"/>
      <c r="N66" s="117"/>
      <c r="O66" s="266" t="s">
        <v>1658</v>
      </c>
      <c r="P66" s="266"/>
    </row>
    <row r="67" ht="16.5" spans="1:16">
      <c r="A67" s="267">
        <v>46181</v>
      </c>
      <c r="B67" s="264" t="s">
        <v>105</v>
      </c>
      <c r="C67" s="105"/>
      <c r="D67" s="105"/>
      <c r="E67" s="264">
        <v>336.06</v>
      </c>
      <c r="F67" s="105"/>
      <c r="G67" s="105"/>
      <c r="H67" s="211">
        <f t="shared" si="4"/>
        <v>0.706480985538297</v>
      </c>
      <c r="I67" s="264">
        <v>124.05</v>
      </c>
      <c r="J67" s="264"/>
      <c r="K67" s="264">
        <v>237.42</v>
      </c>
      <c r="L67" s="105">
        <f t="shared" ref="L67:L80" si="5">L66+J67-K67</f>
        <v>30332.65</v>
      </c>
      <c r="M67" s="264"/>
      <c r="N67" s="117"/>
      <c r="O67" s="266" t="s">
        <v>1658</v>
      </c>
      <c r="P67" s="266"/>
    </row>
    <row r="68" ht="16.5" spans="1:16">
      <c r="A68" s="267">
        <v>46181</v>
      </c>
      <c r="B68" s="264" t="s">
        <v>87</v>
      </c>
      <c r="C68" s="105"/>
      <c r="D68" s="105"/>
      <c r="E68" s="264">
        <v>181.86</v>
      </c>
      <c r="F68" s="105"/>
      <c r="G68" s="105"/>
      <c r="H68" s="211">
        <f t="shared" si="4"/>
        <v>0.970031892664687</v>
      </c>
      <c r="I68" s="264">
        <v>71.33</v>
      </c>
      <c r="J68" s="264"/>
      <c r="K68" s="264">
        <v>176.41</v>
      </c>
      <c r="L68" s="105">
        <f t="shared" si="5"/>
        <v>30156.24</v>
      </c>
      <c r="M68" s="264"/>
      <c r="N68" s="117"/>
      <c r="O68" s="266" t="s">
        <v>1658</v>
      </c>
      <c r="P68" s="266"/>
    </row>
    <row r="69" ht="16.5" spans="1:16">
      <c r="A69" s="267">
        <v>46181</v>
      </c>
      <c r="B69" s="264" t="s">
        <v>180</v>
      </c>
      <c r="C69" s="105"/>
      <c r="D69" s="105"/>
      <c r="E69" s="264">
        <v>3.43</v>
      </c>
      <c r="F69" s="105"/>
      <c r="G69" s="105"/>
      <c r="H69" s="211">
        <f t="shared" si="4"/>
        <v>0.970845481049563</v>
      </c>
      <c r="I69" s="264">
        <v>1.35</v>
      </c>
      <c r="J69" s="264"/>
      <c r="K69" s="264">
        <v>3.33</v>
      </c>
      <c r="L69" s="105">
        <f t="shared" si="5"/>
        <v>30152.91</v>
      </c>
      <c r="M69" s="264"/>
      <c r="N69" s="117"/>
      <c r="O69" s="266" t="s">
        <v>1658</v>
      </c>
      <c r="P69" s="266"/>
    </row>
    <row r="70" ht="16.5" spans="1:16">
      <c r="A70" s="267">
        <v>46181</v>
      </c>
      <c r="B70" s="264" t="s">
        <v>180</v>
      </c>
      <c r="C70" s="105"/>
      <c r="D70" s="105"/>
      <c r="E70" s="264">
        <v>126.05</v>
      </c>
      <c r="F70" s="105"/>
      <c r="G70" s="105"/>
      <c r="H70" s="211">
        <f t="shared" si="4"/>
        <v>0.970011900039667</v>
      </c>
      <c r="I70" s="264">
        <v>49.44</v>
      </c>
      <c r="J70" s="264"/>
      <c r="K70" s="264">
        <v>122.27</v>
      </c>
      <c r="L70" s="105">
        <f t="shared" si="5"/>
        <v>30030.64</v>
      </c>
      <c r="M70" s="264"/>
      <c r="N70" s="117"/>
      <c r="O70" s="266" t="s">
        <v>1658</v>
      </c>
      <c r="P70" s="266"/>
    </row>
    <row r="71" ht="16.5" spans="1:16">
      <c r="A71" s="269">
        <v>46182</v>
      </c>
      <c r="B71" s="270" t="s">
        <v>127</v>
      </c>
      <c r="C71" s="105"/>
      <c r="D71" s="105"/>
      <c r="E71" s="270">
        <v>333.15</v>
      </c>
      <c r="F71" s="105"/>
      <c r="G71" s="105"/>
      <c r="H71" s="160">
        <v>0.833018159987993</v>
      </c>
      <c r="I71" s="270">
        <v>134.27</v>
      </c>
      <c r="J71" s="105"/>
      <c r="K71" s="270">
        <v>277.52</v>
      </c>
      <c r="L71" s="105">
        <f t="shared" si="5"/>
        <v>29753.12</v>
      </c>
      <c r="M71" s="117"/>
      <c r="N71" s="117"/>
      <c r="O71" s="266" t="s">
        <v>1658</v>
      </c>
    </row>
    <row r="72" ht="16.5" spans="1:16">
      <c r="A72" s="271">
        <v>46182</v>
      </c>
      <c r="B72" s="272" t="s">
        <v>81</v>
      </c>
      <c r="C72" s="105"/>
      <c r="D72" s="105"/>
      <c r="E72" s="272">
        <v>350.88</v>
      </c>
      <c r="F72" s="105"/>
      <c r="G72" s="105"/>
      <c r="H72" s="160">
        <v>0.699982900136799</v>
      </c>
      <c r="I72" s="272">
        <v>130.07</v>
      </c>
      <c r="J72" s="105"/>
      <c r="K72" s="272">
        <v>245.61</v>
      </c>
      <c r="L72" s="105">
        <f t="shared" si="5"/>
        <v>29507.51</v>
      </c>
      <c r="M72" s="117"/>
      <c r="N72" s="117"/>
      <c r="O72" s="266" t="s">
        <v>1658</v>
      </c>
    </row>
    <row r="73" ht="16.5" spans="1:16">
      <c r="A73" s="271">
        <v>46182</v>
      </c>
      <c r="B73" s="272" t="s">
        <v>172</v>
      </c>
      <c r="C73" s="105"/>
      <c r="D73" s="105"/>
      <c r="E73" s="272">
        <v>155.59</v>
      </c>
      <c r="F73" s="105"/>
      <c r="G73" s="105"/>
      <c r="H73" s="160">
        <v>0.784883347258821</v>
      </c>
      <c r="I73" s="272">
        <v>55.22</v>
      </c>
      <c r="J73" s="105"/>
      <c r="K73" s="272">
        <v>122.12</v>
      </c>
      <c r="L73" s="105">
        <f t="shared" si="5"/>
        <v>29385.39</v>
      </c>
      <c r="M73" s="117"/>
      <c r="N73" s="117"/>
      <c r="O73" s="266" t="s">
        <v>1658</v>
      </c>
    </row>
    <row r="74" ht="16.5" spans="1:16">
      <c r="A74" s="271">
        <v>46182</v>
      </c>
      <c r="B74" s="272" t="s">
        <v>135</v>
      </c>
      <c r="C74" s="105"/>
      <c r="D74" s="105"/>
      <c r="E74" s="272">
        <v>209.55</v>
      </c>
      <c r="F74" s="105"/>
      <c r="G74" s="105"/>
      <c r="H74" s="160">
        <v>0.699976139346218</v>
      </c>
      <c r="I74" s="272">
        <v>77.68</v>
      </c>
      <c r="J74" s="105"/>
      <c r="K74" s="272">
        <v>146.68</v>
      </c>
      <c r="L74" s="105">
        <f t="shared" si="5"/>
        <v>29238.71</v>
      </c>
      <c r="M74" s="117"/>
      <c r="N74" s="117"/>
      <c r="O74" s="266" t="s">
        <v>1658</v>
      </c>
    </row>
    <row r="75" ht="16.5" spans="1:16">
      <c r="A75" s="271">
        <v>46182</v>
      </c>
      <c r="B75" s="272" t="s">
        <v>151</v>
      </c>
      <c r="C75" s="105"/>
      <c r="D75" s="105"/>
      <c r="E75" s="272">
        <v>222.18</v>
      </c>
      <c r="F75" s="105"/>
      <c r="G75" s="105"/>
      <c r="H75" s="160">
        <v>0.699972994869025</v>
      </c>
      <c r="I75" s="272">
        <v>82.36</v>
      </c>
      <c r="J75" s="105"/>
      <c r="K75" s="272">
        <v>155.52</v>
      </c>
      <c r="L75" s="105">
        <f t="shared" si="5"/>
        <v>29083.19</v>
      </c>
      <c r="M75" s="117"/>
      <c r="N75" s="117"/>
      <c r="O75" s="266" t="s">
        <v>1658</v>
      </c>
    </row>
    <row r="76" ht="16.5" spans="1:16">
      <c r="A76" s="271">
        <v>46182</v>
      </c>
      <c r="B76" s="272" t="s">
        <v>130</v>
      </c>
      <c r="C76" s="105"/>
      <c r="D76" s="105"/>
      <c r="E76" s="272">
        <v>127.98</v>
      </c>
      <c r="F76" s="105"/>
      <c r="G76" s="105"/>
      <c r="H76" s="160">
        <v>0.820440693858415</v>
      </c>
      <c r="I76" s="272">
        <v>49.97</v>
      </c>
      <c r="J76" s="105"/>
      <c r="K76" s="272">
        <v>105</v>
      </c>
      <c r="L76" s="105">
        <f t="shared" si="5"/>
        <v>28978.19</v>
      </c>
      <c r="M76" s="117"/>
      <c r="N76" s="117"/>
      <c r="O76" s="266" t="s">
        <v>1658</v>
      </c>
    </row>
    <row r="77" ht="16.5" spans="1:16">
      <c r="A77" s="271">
        <v>46182</v>
      </c>
      <c r="B77" s="272" t="s">
        <v>138</v>
      </c>
      <c r="C77" s="105"/>
      <c r="D77" s="105"/>
      <c r="E77" s="272">
        <v>128.17</v>
      </c>
      <c r="F77" s="105"/>
      <c r="G77" s="105"/>
      <c r="H77" s="160">
        <v>0.826168370133417</v>
      </c>
      <c r="I77" s="272">
        <v>50.78</v>
      </c>
      <c r="J77" s="105"/>
      <c r="K77" s="272">
        <v>105.89</v>
      </c>
      <c r="L77" s="105">
        <f t="shared" si="5"/>
        <v>28872.3</v>
      </c>
      <c r="M77" s="117"/>
      <c r="N77" s="117"/>
      <c r="O77" s="266" t="s">
        <v>1658</v>
      </c>
    </row>
    <row r="78" ht="16.5" spans="1:16">
      <c r="A78" s="271">
        <v>46182</v>
      </c>
      <c r="B78" s="272" t="s">
        <v>172</v>
      </c>
      <c r="C78" s="105"/>
      <c r="D78" s="105"/>
      <c r="E78" s="272">
        <v>242.37</v>
      </c>
      <c r="F78" s="105"/>
      <c r="G78" s="105"/>
      <c r="H78" s="160">
        <v>0.800016503692701</v>
      </c>
      <c r="I78" s="272">
        <v>83.96</v>
      </c>
      <c r="J78" s="105"/>
      <c r="K78" s="272">
        <v>193.9</v>
      </c>
      <c r="L78" s="105">
        <f t="shared" si="5"/>
        <v>28678.4</v>
      </c>
      <c r="M78" s="117"/>
      <c r="N78" s="117"/>
      <c r="O78" s="266" t="s">
        <v>1658</v>
      </c>
    </row>
    <row r="79" ht="16.5" spans="1:16">
      <c r="A79" s="271">
        <v>46182</v>
      </c>
      <c r="B79" s="272" t="s">
        <v>63</v>
      </c>
      <c r="C79" s="105"/>
      <c r="D79" s="105"/>
      <c r="E79" s="272">
        <v>314.14</v>
      </c>
      <c r="F79" s="105"/>
      <c r="G79" s="105"/>
      <c r="H79" s="160">
        <v>0.970013369835105</v>
      </c>
      <c r="I79" s="272">
        <v>123.21</v>
      </c>
      <c r="J79" s="105"/>
      <c r="K79" s="272">
        <v>304.72</v>
      </c>
      <c r="L79" s="105">
        <f t="shared" si="5"/>
        <v>28373.68</v>
      </c>
      <c r="M79" s="117"/>
      <c r="N79" s="117"/>
      <c r="O79" s="266" t="s">
        <v>1658</v>
      </c>
    </row>
    <row r="80" ht="16.5" spans="1:16">
      <c r="A80" s="271">
        <v>46182</v>
      </c>
      <c r="B80" s="272" t="s">
        <v>180</v>
      </c>
      <c r="C80" s="105"/>
      <c r="D80" s="105"/>
      <c r="E80" s="272">
        <v>100.06</v>
      </c>
      <c r="F80" s="105"/>
      <c r="G80" s="105"/>
      <c r="H80" s="160">
        <v>0.969918049170498</v>
      </c>
      <c r="I80" s="272">
        <v>39.24</v>
      </c>
      <c r="J80" s="105"/>
      <c r="K80" s="272">
        <v>97.05</v>
      </c>
      <c r="L80" s="105">
        <f t="shared" si="5"/>
        <v>28276.63</v>
      </c>
      <c r="M80" s="117"/>
      <c r="N80" s="117"/>
      <c r="O80" s="266" t="s">
        <v>1658</v>
      </c>
    </row>
    <row r="81" ht="16.5" spans="1:15">
      <c r="A81" s="262">
        <v>46183</v>
      </c>
      <c r="B81" s="263" t="s">
        <v>132</v>
      </c>
      <c r="C81" s="105"/>
      <c r="D81" s="105"/>
      <c r="E81" s="263">
        <v>196.86</v>
      </c>
      <c r="F81" s="105"/>
      <c r="G81" s="105"/>
      <c r="H81" s="160">
        <f t="shared" ref="H81:H123" si="6">K81/E81</f>
        <v>0.970029462562227</v>
      </c>
      <c r="I81" s="263">
        <v>77.21</v>
      </c>
      <c r="J81" s="105"/>
      <c r="K81" s="263">
        <v>190.96</v>
      </c>
      <c r="L81" s="4">
        <f>'华瑞-曙光，大水井，老水井充电站'!M159+J81-K81</f>
        <v>14725.01</v>
      </c>
      <c r="N81" s="117"/>
      <c r="O81" s="266" t="s">
        <v>1658</v>
      </c>
    </row>
    <row r="82" ht="16.5" spans="1:15">
      <c r="A82" s="267">
        <v>46183</v>
      </c>
      <c r="B82" s="264" t="s">
        <v>141</v>
      </c>
      <c r="C82" s="105"/>
      <c r="D82" s="105"/>
      <c r="E82" s="264">
        <v>144.66</v>
      </c>
      <c r="F82" s="105"/>
      <c r="G82" s="105"/>
      <c r="H82" s="160">
        <f t="shared" si="6"/>
        <v>0.800013825521913</v>
      </c>
      <c r="I82" s="264">
        <v>50.11</v>
      </c>
      <c r="J82" s="105"/>
      <c r="K82" s="264">
        <v>115.73</v>
      </c>
      <c r="L82" s="4">
        <f t="shared" ref="L82:L145" si="7">L81+J82-K82</f>
        <v>14609.28</v>
      </c>
      <c r="N82" s="117"/>
      <c r="O82" s="266" t="s">
        <v>1658</v>
      </c>
    </row>
    <row r="83" ht="16.5" spans="1:15">
      <c r="A83" s="267">
        <v>46183</v>
      </c>
      <c r="B83" s="264" t="s">
        <v>144</v>
      </c>
      <c r="C83" s="105"/>
      <c r="D83" s="105"/>
      <c r="E83" s="264">
        <v>147.99</v>
      </c>
      <c r="F83" s="105"/>
      <c r="G83" s="105"/>
      <c r="H83" s="160">
        <f t="shared" si="6"/>
        <v>0.79998648557335</v>
      </c>
      <c r="I83" s="264">
        <v>51.26</v>
      </c>
      <c r="J83" s="105"/>
      <c r="K83" s="264">
        <v>118.39</v>
      </c>
      <c r="L83" s="4">
        <f t="shared" si="7"/>
        <v>14490.89</v>
      </c>
      <c r="N83" s="117"/>
      <c r="O83" s="266" t="s">
        <v>1658</v>
      </c>
    </row>
    <row r="84" ht="16.5" spans="1:15">
      <c r="A84" s="267">
        <v>46183</v>
      </c>
      <c r="B84" s="264" t="s">
        <v>172</v>
      </c>
      <c r="C84" s="105"/>
      <c r="D84" s="105"/>
      <c r="E84" s="264">
        <v>174.26</v>
      </c>
      <c r="F84" s="105"/>
      <c r="G84" s="105"/>
      <c r="H84" s="160">
        <f t="shared" si="6"/>
        <v>0.799954091587283</v>
      </c>
      <c r="I84" s="264">
        <v>60.36</v>
      </c>
      <c r="J84" s="105"/>
      <c r="K84" s="264">
        <v>139.4</v>
      </c>
      <c r="L84" s="4">
        <f t="shared" si="7"/>
        <v>14351.49</v>
      </c>
      <c r="N84" s="117"/>
      <c r="O84" s="266" t="s">
        <v>1658</v>
      </c>
    </row>
    <row r="85" ht="16.5" spans="1:15">
      <c r="A85" s="267">
        <v>46183</v>
      </c>
      <c r="B85" s="264" t="s">
        <v>138</v>
      </c>
      <c r="C85" s="105"/>
      <c r="D85" s="105"/>
      <c r="E85" s="264">
        <v>312.36</v>
      </c>
      <c r="F85" s="105"/>
      <c r="G85" s="105"/>
      <c r="H85" s="160">
        <f t="shared" si="6"/>
        <v>0.769976949673454</v>
      </c>
      <c r="I85" s="264">
        <v>106.2</v>
      </c>
      <c r="J85" s="105"/>
      <c r="K85" s="264">
        <v>240.51</v>
      </c>
      <c r="L85" s="4">
        <f t="shared" si="7"/>
        <v>14110.98</v>
      </c>
      <c r="N85" s="117"/>
      <c r="O85" s="266" t="s">
        <v>1658</v>
      </c>
    </row>
    <row r="86" ht="16.5" spans="1:15">
      <c r="A86" s="267">
        <v>46183</v>
      </c>
      <c r="B86" s="264" t="s">
        <v>130</v>
      </c>
      <c r="C86" s="105"/>
      <c r="D86" s="105"/>
      <c r="E86" s="264">
        <v>290.01</v>
      </c>
      <c r="F86" s="105"/>
      <c r="G86" s="105"/>
      <c r="H86" s="160">
        <f t="shared" si="6"/>
        <v>0.769973449191407</v>
      </c>
      <c r="I86" s="264">
        <v>98.6</v>
      </c>
      <c r="J86" s="105"/>
      <c r="K86" s="264">
        <v>223.3</v>
      </c>
      <c r="L86" s="4">
        <f t="shared" si="7"/>
        <v>13887.68</v>
      </c>
      <c r="N86" s="117"/>
      <c r="O86" s="266" t="s">
        <v>1658</v>
      </c>
    </row>
    <row r="87" ht="16.5" spans="1:15">
      <c r="A87" s="267">
        <v>46183</v>
      </c>
      <c r="B87" s="264" t="s">
        <v>54</v>
      </c>
      <c r="C87" s="105"/>
      <c r="D87" s="105"/>
      <c r="E87" s="264">
        <v>156.32</v>
      </c>
      <c r="F87" s="105"/>
      <c r="G87" s="105"/>
      <c r="H87" s="160">
        <f t="shared" si="6"/>
        <v>0.700038382804504</v>
      </c>
      <c r="I87" s="264">
        <v>57.95</v>
      </c>
      <c r="J87" s="105"/>
      <c r="K87" s="264">
        <v>109.43</v>
      </c>
      <c r="L87" s="4">
        <f t="shared" si="7"/>
        <v>13778.25</v>
      </c>
      <c r="N87" s="117"/>
      <c r="O87" s="266" t="s">
        <v>1658</v>
      </c>
    </row>
    <row r="88" ht="16.5" spans="1:15">
      <c r="A88" s="267">
        <v>46183</v>
      </c>
      <c r="B88" s="264" t="s">
        <v>177</v>
      </c>
      <c r="C88" s="105"/>
      <c r="D88" s="105"/>
      <c r="E88" s="264">
        <v>57.41</v>
      </c>
      <c r="F88" s="105"/>
      <c r="G88" s="105"/>
      <c r="H88" s="160">
        <f t="shared" si="6"/>
        <v>0.700052255704581</v>
      </c>
      <c r="I88" s="264">
        <v>21.28</v>
      </c>
      <c r="J88" s="105"/>
      <c r="K88" s="264">
        <v>40.19</v>
      </c>
      <c r="L88" s="4">
        <f t="shared" si="7"/>
        <v>13738.06</v>
      </c>
      <c r="N88" s="117"/>
      <c r="O88" s="266" t="s">
        <v>1658</v>
      </c>
    </row>
    <row r="89" ht="16.5" spans="1:15">
      <c r="A89" s="267">
        <v>46183</v>
      </c>
      <c r="B89" s="264" t="s">
        <v>127</v>
      </c>
      <c r="C89" s="105"/>
      <c r="D89" s="105"/>
      <c r="E89" s="264">
        <v>373.89</v>
      </c>
      <c r="F89" s="105"/>
      <c r="G89" s="105"/>
      <c r="H89" s="160">
        <f t="shared" si="6"/>
        <v>0.699991976249699</v>
      </c>
      <c r="I89" s="264">
        <v>138.6</v>
      </c>
      <c r="J89" s="105"/>
      <c r="K89" s="264">
        <v>261.72</v>
      </c>
      <c r="L89" s="4">
        <f t="shared" si="7"/>
        <v>13476.34</v>
      </c>
      <c r="N89" s="117"/>
      <c r="O89" s="266" t="s">
        <v>1658</v>
      </c>
    </row>
    <row r="90" ht="16.5" spans="1:15">
      <c r="A90" s="267">
        <v>46183</v>
      </c>
      <c r="B90" s="264" t="s">
        <v>117</v>
      </c>
      <c r="C90" s="105"/>
      <c r="D90" s="105"/>
      <c r="E90" s="264">
        <v>6.05</v>
      </c>
      <c r="F90" s="105"/>
      <c r="G90" s="105"/>
      <c r="H90" s="160">
        <f t="shared" si="6"/>
        <v>0.8</v>
      </c>
      <c r="I90" s="264">
        <v>2.1</v>
      </c>
      <c r="J90" s="105"/>
      <c r="K90" s="264">
        <v>4.84</v>
      </c>
      <c r="L90" s="4">
        <f t="shared" si="7"/>
        <v>13471.5</v>
      </c>
      <c r="N90" s="117"/>
      <c r="O90" s="266" t="s">
        <v>1658</v>
      </c>
    </row>
    <row r="91" ht="16.5" spans="1:15">
      <c r="A91" s="267">
        <v>46183</v>
      </c>
      <c r="B91" s="264" t="s">
        <v>117</v>
      </c>
      <c r="C91" s="105"/>
      <c r="D91" s="105"/>
      <c r="E91" s="264">
        <v>0</v>
      </c>
      <c r="F91" s="105"/>
      <c r="G91" s="105"/>
      <c r="H91" s="160" t="e">
        <f t="shared" si="6"/>
        <v>#DIV/0!</v>
      </c>
      <c r="I91" s="264">
        <v>0</v>
      </c>
      <c r="J91" s="105"/>
      <c r="K91" s="264">
        <v>0</v>
      </c>
      <c r="L91" s="4">
        <f t="shared" si="7"/>
        <v>13471.5</v>
      </c>
      <c r="N91" s="117"/>
      <c r="O91" s="266" t="s">
        <v>1658</v>
      </c>
    </row>
    <row r="92" ht="16.5" spans="1:15">
      <c r="A92" s="267">
        <v>46183</v>
      </c>
      <c r="B92" s="264" t="s">
        <v>117</v>
      </c>
      <c r="C92" s="105"/>
      <c r="D92" s="105"/>
      <c r="E92" s="264">
        <v>33.75</v>
      </c>
      <c r="F92" s="105"/>
      <c r="G92" s="105"/>
      <c r="H92" s="160">
        <f t="shared" si="6"/>
        <v>0.8</v>
      </c>
      <c r="I92" s="264">
        <v>11.69</v>
      </c>
      <c r="J92" s="105"/>
      <c r="K92" s="264">
        <v>27</v>
      </c>
      <c r="L92" s="4">
        <f t="shared" si="7"/>
        <v>13444.5</v>
      </c>
      <c r="N92" s="117"/>
      <c r="O92" s="266" t="s">
        <v>1658</v>
      </c>
    </row>
    <row r="93" ht="16.5" spans="1:15">
      <c r="A93" s="267">
        <v>46183</v>
      </c>
      <c r="B93" s="264" t="s">
        <v>117</v>
      </c>
      <c r="C93" s="105"/>
      <c r="D93" s="105"/>
      <c r="E93" s="264">
        <v>10.57</v>
      </c>
      <c r="F93" s="105"/>
      <c r="G93" s="105"/>
      <c r="H93" s="160">
        <f t="shared" si="6"/>
        <v>0.799432355723746</v>
      </c>
      <c r="I93" s="264">
        <v>3.66</v>
      </c>
      <c r="J93" s="105"/>
      <c r="K93" s="264">
        <v>8.45</v>
      </c>
      <c r="L93" s="4">
        <f t="shared" si="7"/>
        <v>13436.05</v>
      </c>
      <c r="N93" s="117"/>
      <c r="O93" s="266" t="s">
        <v>1658</v>
      </c>
    </row>
    <row r="94" ht="16.5" spans="1:15">
      <c r="A94" s="267">
        <v>46183</v>
      </c>
      <c r="B94" s="264" t="s">
        <v>117</v>
      </c>
      <c r="C94" s="105"/>
      <c r="D94" s="105"/>
      <c r="E94" s="264">
        <v>0.72</v>
      </c>
      <c r="F94" s="105"/>
      <c r="G94" s="105"/>
      <c r="H94" s="160">
        <f t="shared" si="6"/>
        <v>0.805555555555556</v>
      </c>
      <c r="I94" s="264">
        <v>0.25</v>
      </c>
      <c r="J94" s="105"/>
      <c r="K94" s="264">
        <v>0.58</v>
      </c>
      <c r="L94" s="4">
        <f t="shared" si="7"/>
        <v>13435.47</v>
      </c>
      <c r="N94" s="117"/>
      <c r="O94" s="266" t="s">
        <v>1658</v>
      </c>
    </row>
    <row r="95" ht="16.5" spans="1:15">
      <c r="A95" s="267">
        <v>46183</v>
      </c>
      <c r="B95" s="264" t="s">
        <v>117</v>
      </c>
      <c r="C95" s="105"/>
      <c r="D95" s="105"/>
      <c r="E95" s="264">
        <v>0.55</v>
      </c>
      <c r="F95" s="105"/>
      <c r="G95" s="105"/>
      <c r="H95" s="160">
        <f t="shared" si="6"/>
        <v>0.8</v>
      </c>
      <c r="I95" s="264">
        <v>0.19</v>
      </c>
      <c r="J95" s="105"/>
      <c r="K95" s="264">
        <v>0.44</v>
      </c>
      <c r="L95" s="4">
        <f t="shared" si="7"/>
        <v>13435.03</v>
      </c>
      <c r="N95" s="117"/>
      <c r="O95" s="266" t="s">
        <v>1658</v>
      </c>
    </row>
    <row r="96" ht="16.5" spans="1:15">
      <c r="A96" s="267">
        <v>46183</v>
      </c>
      <c r="B96" s="264" t="s">
        <v>117</v>
      </c>
      <c r="C96" s="105"/>
      <c r="D96" s="105"/>
      <c r="E96" s="264">
        <v>0.94</v>
      </c>
      <c r="F96" s="105"/>
      <c r="G96" s="105"/>
      <c r="H96" s="160">
        <f t="shared" si="6"/>
        <v>0.808510638297872</v>
      </c>
      <c r="I96" s="264">
        <v>0.33</v>
      </c>
      <c r="J96" s="105"/>
      <c r="K96" s="264">
        <v>0.76</v>
      </c>
      <c r="L96" s="4">
        <f t="shared" si="7"/>
        <v>13434.27</v>
      </c>
      <c r="N96" s="117"/>
      <c r="O96" s="266" t="s">
        <v>1658</v>
      </c>
    </row>
    <row r="97" ht="16.5" spans="1:16">
      <c r="A97" s="267">
        <v>46183</v>
      </c>
      <c r="B97" s="264" t="s">
        <v>117</v>
      </c>
      <c r="C97" s="105"/>
      <c r="D97" s="105"/>
      <c r="E97" s="264">
        <v>0.56</v>
      </c>
      <c r="F97" s="105"/>
      <c r="G97" s="105"/>
      <c r="H97" s="160">
        <f t="shared" si="6"/>
        <v>0.785714285714286</v>
      </c>
      <c r="I97" s="264">
        <v>0.19</v>
      </c>
      <c r="J97" s="105"/>
      <c r="K97" s="264">
        <v>0.44</v>
      </c>
      <c r="L97" s="4">
        <f t="shared" si="7"/>
        <v>13433.83</v>
      </c>
      <c r="N97" s="117"/>
      <c r="O97" s="266" t="s">
        <v>1658</v>
      </c>
    </row>
    <row r="98" ht="16.5" spans="1:16">
      <c r="A98" s="267">
        <v>46183</v>
      </c>
      <c r="B98" s="264" t="s">
        <v>117</v>
      </c>
      <c r="C98" s="105"/>
      <c r="D98" s="105"/>
      <c r="E98" s="264">
        <v>0.55</v>
      </c>
      <c r="F98" s="105"/>
      <c r="G98" s="105"/>
      <c r="H98" s="160">
        <f t="shared" si="6"/>
        <v>0.8</v>
      </c>
      <c r="I98" s="264">
        <v>0.19</v>
      </c>
      <c r="J98" s="105"/>
      <c r="K98" s="264">
        <v>0.44</v>
      </c>
      <c r="L98" s="4">
        <f t="shared" si="7"/>
        <v>13433.39</v>
      </c>
      <c r="N98" s="117"/>
      <c r="O98" s="266" t="s">
        <v>1658</v>
      </c>
    </row>
    <row r="99" ht="16.5" spans="1:16">
      <c r="A99" s="267">
        <v>46183</v>
      </c>
      <c r="B99" s="264" t="s">
        <v>117</v>
      </c>
      <c r="C99" s="105"/>
      <c r="D99" s="105"/>
      <c r="E99" s="264">
        <v>0.78</v>
      </c>
      <c r="F99" s="105"/>
      <c r="G99" s="105"/>
      <c r="H99" s="160">
        <f t="shared" si="6"/>
        <v>0.794871794871795</v>
      </c>
      <c r="I99" s="264">
        <v>0.27</v>
      </c>
      <c r="J99" s="105"/>
      <c r="K99" s="264">
        <v>0.62</v>
      </c>
      <c r="L99" s="4">
        <f t="shared" si="7"/>
        <v>13432.77</v>
      </c>
      <c r="N99" s="117"/>
      <c r="O99" s="266" t="s">
        <v>1658</v>
      </c>
    </row>
    <row r="100" ht="16.5" spans="1:16">
      <c r="A100" s="267">
        <v>46183</v>
      </c>
      <c r="B100" s="264" t="s">
        <v>117</v>
      </c>
      <c r="C100" s="105"/>
      <c r="D100" s="105"/>
      <c r="E100" s="264">
        <v>0</v>
      </c>
      <c r="F100" s="105"/>
      <c r="G100" s="105"/>
      <c r="H100" s="160" t="e">
        <f t="shared" si="6"/>
        <v>#DIV/0!</v>
      </c>
      <c r="I100" s="264">
        <v>0</v>
      </c>
      <c r="J100" s="105"/>
      <c r="K100" s="264">
        <v>0</v>
      </c>
      <c r="L100" s="4">
        <f t="shared" si="7"/>
        <v>13432.77</v>
      </c>
      <c r="N100" s="117"/>
      <c r="O100" s="266" t="s">
        <v>1658</v>
      </c>
    </row>
    <row r="101" ht="16.5" spans="1:16">
      <c r="A101" s="277">
        <v>46183</v>
      </c>
      <c r="B101" s="278" t="s">
        <v>117</v>
      </c>
      <c r="C101" s="201"/>
      <c r="D101" s="201"/>
      <c r="E101" s="278">
        <v>279.17</v>
      </c>
      <c r="F101" s="201"/>
      <c r="G101" s="201"/>
      <c r="H101" s="160">
        <f t="shared" si="6"/>
        <v>0.493677687430598</v>
      </c>
      <c r="I101" s="279">
        <v>100.83</v>
      </c>
      <c r="J101" s="201"/>
      <c r="K101" s="279">
        <v>137.82</v>
      </c>
      <c r="L101" s="280">
        <f t="shared" si="7"/>
        <v>13294.95</v>
      </c>
      <c r="N101" s="117"/>
      <c r="O101" s="266" t="s">
        <v>1658</v>
      </c>
    </row>
    <row r="102" ht="16.5" spans="1:16">
      <c r="A102" s="267">
        <v>46183</v>
      </c>
      <c r="B102" s="264" t="s">
        <v>75</v>
      </c>
      <c r="C102" s="105"/>
      <c r="D102" s="105"/>
      <c r="E102" s="264">
        <v>309.82</v>
      </c>
      <c r="F102" s="105"/>
      <c r="G102" s="105"/>
      <c r="H102" s="160">
        <f t="shared" si="6"/>
        <v>0.577787102188367</v>
      </c>
      <c r="I102" s="281">
        <v>121.51</v>
      </c>
      <c r="J102" s="105"/>
      <c r="K102" s="281">
        <v>179.01</v>
      </c>
      <c r="L102" s="4">
        <f t="shared" si="7"/>
        <v>13115.94</v>
      </c>
      <c r="M102" s="55"/>
      <c r="N102" s="117"/>
      <c r="O102" s="266" t="s">
        <v>1658</v>
      </c>
    </row>
    <row r="103" ht="16.5" spans="1:16">
      <c r="A103" s="267">
        <v>46183</v>
      </c>
      <c r="B103" s="264" t="s">
        <v>174</v>
      </c>
      <c r="C103" s="105"/>
      <c r="D103" s="105"/>
      <c r="E103" s="264">
        <v>215.1</v>
      </c>
      <c r="F103" s="105"/>
      <c r="G103" s="105"/>
      <c r="H103" s="160">
        <f t="shared" si="6"/>
        <v>0.577777777777778</v>
      </c>
      <c r="I103" s="281">
        <v>84.36</v>
      </c>
      <c r="J103" s="105"/>
      <c r="K103" s="281">
        <v>124.28</v>
      </c>
      <c r="L103" s="4">
        <f t="shared" si="7"/>
        <v>12991.66</v>
      </c>
      <c r="M103" s="55"/>
      <c r="N103" s="117"/>
      <c r="O103" s="266" t="s">
        <v>1658</v>
      </c>
    </row>
    <row r="104" ht="16.5" spans="1:16">
      <c r="A104" s="267">
        <v>46183</v>
      </c>
      <c r="B104" s="264" t="s">
        <v>81</v>
      </c>
      <c r="C104" s="105"/>
      <c r="D104" s="105"/>
      <c r="E104" s="264">
        <v>312.38</v>
      </c>
      <c r="F104" s="105"/>
      <c r="G104" s="105"/>
      <c r="H104" s="160">
        <f t="shared" si="6"/>
        <v>0.577789871310583</v>
      </c>
      <c r="I104" s="281">
        <v>122.52</v>
      </c>
      <c r="J104" s="105"/>
      <c r="K104" s="281">
        <v>180.49</v>
      </c>
      <c r="L104" s="4">
        <f t="shared" si="7"/>
        <v>12811.17</v>
      </c>
      <c r="M104" s="55"/>
      <c r="N104" s="117"/>
      <c r="O104" s="266" t="s">
        <v>1658</v>
      </c>
    </row>
    <row r="105" ht="16.5" spans="1:16">
      <c r="A105" s="269">
        <v>46184</v>
      </c>
      <c r="B105" s="270" t="s">
        <v>81</v>
      </c>
      <c r="C105" s="105"/>
      <c r="D105" s="105"/>
      <c r="E105" s="270">
        <v>43.36</v>
      </c>
      <c r="F105" s="105"/>
      <c r="G105" s="105"/>
      <c r="H105" s="160">
        <f t="shared" si="6"/>
        <v>0.453643911439114</v>
      </c>
      <c r="I105" s="282">
        <v>15.02</v>
      </c>
      <c r="J105" s="270"/>
      <c r="K105" s="282">
        <v>19.67</v>
      </c>
      <c r="L105" s="4">
        <f t="shared" si="7"/>
        <v>12791.5</v>
      </c>
      <c r="M105" s="270"/>
      <c r="N105" s="117"/>
      <c r="O105" s="266" t="s">
        <v>1658</v>
      </c>
      <c r="P105" s="266"/>
    </row>
    <row r="106" ht="16.5" spans="1:16">
      <c r="A106" s="271">
        <v>46184</v>
      </c>
      <c r="B106" s="272" t="s">
        <v>60</v>
      </c>
      <c r="C106" s="105"/>
      <c r="D106" s="105"/>
      <c r="E106" s="272">
        <v>303.1</v>
      </c>
      <c r="F106" s="105"/>
      <c r="G106" s="105"/>
      <c r="H106" s="160">
        <f t="shared" si="6"/>
        <v>0.45361266908611</v>
      </c>
      <c r="I106" s="282">
        <v>104.99</v>
      </c>
      <c r="J106" s="272"/>
      <c r="K106" s="282">
        <v>137.49</v>
      </c>
      <c r="L106" s="4">
        <f t="shared" si="7"/>
        <v>12654.01</v>
      </c>
      <c r="M106" s="272"/>
      <c r="N106" s="117"/>
      <c r="O106" s="266" t="s">
        <v>1658</v>
      </c>
      <c r="P106" s="266"/>
    </row>
    <row r="107" ht="16.5" spans="1:16">
      <c r="A107" s="271">
        <v>46184</v>
      </c>
      <c r="B107" s="272" t="s">
        <v>127</v>
      </c>
      <c r="C107" s="105"/>
      <c r="D107" s="105"/>
      <c r="E107" s="272">
        <v>328.16</v>
      </c>
      <c r="F107" s="105"/>
      <c r="G107" s="105"/>
      <c r="H107" s="160">
        <f t="shared" si="6"/>
        <v>0.430003656752803</v>
      </c>
      <c r="I107" s="282">
        <v>137.83</v>
      </c>
      <c r="J107" s="272"/>
      <c r="K107" s="282">
        <v>141.11</v>
      </c>
      <c r="L107" s="4">
        <f t="shared" si="7"/>
        <v>12512.9</v>
      </c>
      <c r="M107" s="272"/>
      <c r="N107" s="117"/>
      <c r="O107" s="266" t="s">
        <v>1658</v>
      </c>
      <c r="P107" s="266"/>
    </row>
    <row r="108" ht="16.5" spans="1:16">
      <c r="A108" s="271">
        <v>46184</v>
      </c>
      <c r="B108" s="272" t="s">
        <v>127</v>
      </c>
      <c r="C108" s="105"/>
      <c r="D108" s="105"/>
      <c r="E108" s="272">
        <v>0.88</v>
      </c>
      <c r="F108" s="105"/>
      <c r="G108" s="105"/>
      <c r="H108" s="160">
        <f t="shared" si="6"/>
        <v>0.431818181818182</v>
      </c>
      <c r="I108" s="282">
        <v>0.37</v>
      </c>
      <c r="J108" s="272"/>
      <c r="K108" s="282">
        <v>0.38</v>
      </c>
      <c r="L108" s="4">
        <f t="shared" si="7"/>
        <v>12512.52</v>
      </c>
      <c r="M108" s="272"/>
      <c r="N108" s="117"/>
      <c r="O108" s="266" t="s">
        <v>1658</v>
      </c>
      <c r="P108" s="266"/>
    </row>
    <row r="109" ht="16.5" spans="1:16">
      <c r="A109" s="271">
        <v>46184</v>
      </c>
      <c r="B109" s="272" t="s">
        <v>117</v>
      </c>
      <c r="C109" s="105"/>
      <c r="D109" s="105"/>
      <c r="E109" s="272">
        <v>367.49</v>
      </c>
      <c r="F109" s="105"/>
      <c r="G109" s="105"/>
      <c r="H109" s="160">
        <f t="shared" si="6"/>
        <v>0.429998095186264</v>
      </c>
      <c r="I109" s="282">
        <v>124.95</v>
      </c>
      <c r="J109" s="272"/>
      <c r="K109" s="282">
        <v>158.02</v>
      </c>
      <c r="L109" s="4">
        <f t="shared" si="7"/>
        <v>12354.5</v>
      </c>
      <c r="M109" s="272"/>
      <c r="N109" s="117"/>
      <c r="O109" s="266" t="s">
        <v>1658</v>
      </c>
      <c r="P109" s="266"/>
    </row>
    <row r="110" ht="16.5" spans="1:16">
      <c r="A110" s="269">
        <v>46185</v>
      </c>
      <c r="B110" s="270" t="s">
        <v>96</v>
      </c>
      <c r="C110" s="105"/>
      <c r="D110" s="105"/>
      <c r="E110" s="270">
        <v>183.01</v>
      </c>
      <c r="F110" s="105"/>
      <c r="G110" s="105"/>
      <c r="H110" s="160">
        <f t="shared" si="6"/>
        <v>0.453581771487897</v>
      </c>
      <c r="I110" s="282">
        <v>63.39</v>
      </c>
      <c r="J110" s="270">
        <v>10000</v>
      </c>
      <c r="K110" s="282">
        <v>83.01</v>
      </c>
      <c r="L110" s="4">
        <f t="shared" si="7"/>
        <v>22271.49</v>
      </c>
      <c r="M110" s="270"/>
      <c r="N110" s="117"/>
      <c r="O110" s="266" t="s">
        <v>1658</v>
      </c>
      <c r="P110" s="266"/>
    </row>
    <row r="111" ht="16.5" spans="1:16">
      <c r="A111" s="271">
        <v>46185</v>
      </c>
      <c r="B111" s="272" t="s">
        <v>154</v>
      </c>
      <c r="C111" s="105"/>
      <c r="D111" s="105"/>
      <c r="E111" s="272">
        <v>210.75</v>
      </c>
      <c r="F111" s="105"/>
      <c r="G111" s="105"/>
      <c r="H111" s="160">
        <f t="shared" si="6"/>
        <v>0.329300118623962</v>
      </c>
      <c r="I111" s="282">
        <v>78.13</v>
      </c>
      <c r="J111" s="272"/>
      <c r="K111" s="282">
        <v>69.4</v>
      </c>
      <c r="L111" s="4">
        <f t="shared" si="7"/>
        <v>22202.09</v>
      </c>
      <c r="M111" s="272"/>
      <c r="N111" s="117"/>
      <c r="O111" s="266" t="s">
        <v>1658</v>
      </c>
      <c r="P111" s="266"/>
    </row>
    <row r="112" ht="16.5" spans="1:16">
      <c r="A112" s="271">
        <v>46185</v>
      </c>
      <c r="B112" s="272" t="s">
        <v>63</v>
      </c>
      <c r="C112" s="105"/>
      <c r="D112" s="105"/>
      <c r="E112" s="272">
        <v>373.1</v>
      </c>
      <c r="F112" s="105"/>
      <c r="G112" s="105"/>
      <c r="H112" s="160">
        <f t="shared" si="6"/>
        <v>0</v>
      </c>
      <c r="I112" s="282">
        <v>129.24</v>
      </c>
      <c r="J112" s="272"/>
      <c r="K112" s="282">
        <v>0</v>
      </c>
      <c r="L112" s="4">
        <f t="shared" si="7"/>
        <v>22202.09</v>
      </c>
      <c r="M112" s="272"/>
      <c r="N112" s="117"/>
      <c r="O112" s="266" t="s">
        <v>1658</v>
      </c>
      <c r="P112" s="266"/>
    </row>
    <row r="113" ht="16.5" spans="1:16">
      <c r="A113" s="271">
        <v>46185</v>
      </c>
      <c r="B113" s="272" t="s">
        <v>124</v>
      </c>
      <c r="C113" s="105"/>
      <c r="D113" s="105"/>
      <c r="E113" s="272">
        <v>0</v>
      </c>
      <c r="F113" s="105"/>
      <c r="G113" s="105"/>
      <c r="H113" s="160" t="e">
        <f t="shared" si="6"/>
        <v>#DIV/0!</v>
      </c>
      <c r="I113" s="282">
        <v>0</v>
      </c>
      <c r="J113" s="272"/>
      <c r="K113" s="282">
        <v>0</v>
      </c>
      <c r="L113" s="4">
        <f t="shared" si="7"/>
        <v>22202.09</v>
      </c>
      <c r="M113" s="272"/>
      <c r="N113" s="117"/>
      <c r="O113" s="266" t="s">
        <v>1658</v>
      </c>
      <c r="P113" s="266"/>
    </row>
    <row r="114" ht="16.5" spans="1:16">
      <c r="A114" s="271">
        <v>46185</v>
      </c>
      <c r="B114" s="272" t="s">
        <v>124</v>
      </c>
      <c r="C114" s="105"/>
      <c r="D114" s="105"/>
      <c r="E114" s="272">
        <v>0</v>
      </c>
      <c r="F114" s="105"/>
      <c r="G114" s="105"/>
      <c r="H114" s="160" t="e">
        <f t="shared" si="6"/>
        <v>#DIV/0!</v>
      </c>
      <c r="I114" s="282">
        <v>0</v>
      </c>
      <c r="J114" s="272"/>
      <c r="K114" s="282">
        <v>169.24</v>
      </c>
      <c r="L114" s="4">
        <f t="shared" si="7"/>
        <v>22032.85</v>
      </c>
      <c r="M114" s="272"/>
      <c r="N114" s="117"/>
      <c r="O114" s="266" t="s">
        <v>1658</v>
      </c>
      <c r="P114" s="266"/>
    </row>
    <row r="115" ht="16.5" spans="1:16">
      <c r="A115" s="271">
        <v>46185</v>
      </c>
      <c r="B115" s="272" t="s">
        <v>124</v>
      </c>
      <c r="C115" s="105"/>
      <c r="D115" s="105"/>
      <c r="E115" s="272">
        <v>94.5</v>
      </c>
      <c r="F115" s="105"/>
      <c r="G115" s="105"/>
      <c r="H115" s="160">
        <f t="shared" si="6"/>
        <v>0.00402116402116402</v>
      </c>
      <c r="I115" s="282">
        <v>32.73</v>
      </c>
      <c r="J115" s="272"/>
      <c r="K115" s="282">
        <v>0.38</v>
      </c>
      <c r="L115" s="4">
        <f t="shared" si="7"/>
        <v>22032.47</v>
      </c>
      <c r="M115" s="272"/>
      <c r="N115" s="117"/>
      <c r="O115" s="266" t="s">
        <v>1658</v>
      </c>
      <c r="P115" s="266"/>
    </row>
    <row r="116" ht="16.5" spans="1:16">
      <c r="A116" s="271">
        <v>46185</v>
      </c>
      <c r="B116" s="272" t="s">
        <v>132</v>
      </c>
      <c r="C116" s="105"/>
      <c r="D116" s="105"/>
      <c r="E116" s="272">
        <v>0.84</v>
      </c>
      <c r="F116" s="105"/>
      <c r="G116" s="105"/>
      <c r="H116" s="160">
        <f t="shared" si="6"/>
        <v>51.0357142857143</v>
      </c>
      <c r="I116" s="282">
        <v>0.29</v>
      </c>
      <c r="J116" s="272"/>
      <c r="K116" s="282">
        <v>42.87</v>
      </c>
      <c r="L116" s="4">
        <f t="shared" si="7"/>
        <v>21989.6</v>
      </c>
      <c r="M116" s="272"/>
      <c r="N116" s="117"/>
      <c r="O116" s="266" t="s">
        <v>1658</v>
      </c>
      <c r="P116" s="266"/>
    </row>
    <row r="117" ht="16.5" spans="1:16">
      <c r="A117" s="271">
        <v>46185</v>
      </c>
      <c r="B117" s="272" t="s">
        <v>132</v>
      </c>
      <c r="C117" s="105"/>
      <c r="D117" s="105"/>
      <c r="E117" s="272">
        <v>44.35</v>
      </c>
      <c r="F117" s="105"/>
      <c r="G117" s="105"/>
      <c r="H117" s="160">
        <f t="shared" si="6"/>
        <v>0.453664036076663</v>
      </c>
      <c r="I117" s="282">
        <v>15.36</v>
      </c>
      <c r="J117" s="272"/>
      <c r="K117" s="282">
        <v>20.12</v>
      </c>
      <c r="L117" s="4">
        <f t="shared" si="7"/>
        <v>21969.48</v>
      </c>
      <c r="M117" s="272"/>
      <c r="N117" s="117"/>
      <c r="O117" s="266" t="s">
        <v>1658</v>
      </c>
      <c r="P117" s="266"/>
    </row>
    <row r="118" ht="16.5" spans="1:16">
      <c r="A118" s="271">
        <v>46185</v>
      </c>
      <c r="B118" s="272" t="s">
        <v>96</v>
      </c>
      <c r="C118" s="105"/>
      <c r="D118" s="105"/>
      <c r="E118" s="272">
        <v>185.26</v>
      </c>
      <c r="F118" s="105"/>
      <c r="G118" s="105"/>
      <c r="H118" s="160">
        <f t="shared" si="6"/>
        <v>0.429990283925294</v>
      </c>
      <c r="I118" s="282">
        <v>73.87</v>
      </c>
      <c r="J118" s="272"/>
      <c r="K118" s="282">
        <v>79.66</v>
      </c>
      <c r="L118" s="4">
        <f t="shared" si="7"/>
        <v>21889.82</v>
      </c>
      <c r="M118" s="272"/>
      <c r="N118" s="117"/>
      <c r="O118" s="266" t="s">
        <v>1658</v>
      </c>
      <c r="P118" s="266"/>
    </row>
    <row r="119" ht="16.5" spans="1:16">
      <c r="A119" s="271">
        <v>46185</v>
      </c>
      <c r="B119" s="272" t="s">
        <v>69</v>
      </c>
      <c r="C119" s="105"/>
      <c r="D119" s="105"/>
      <c r="E119" s="272">
        <v>314.24</v>
      </c>
      <c r="F119" s="105"/>
      <c r="G119" s="105"/>
      <c r="H119" s="160">
        <f t="shared" si="6"/>
        <v>0.351642057026477</v>
      </c>
      <c r="I119" s="282">
        <v>115.12</v>
      </c>
      <c r="J119" s="272"/>
      <c r="K119" s="282">
        <v>110.5</v>
      </c>
      <c r="L119" s="4">
        <f t="shared" si="7"/>
        <v>21779.32</v>
      </c>
      <c r="M119" s="272"/>
      <c r="N119" s="117"/>
      <c r="O119" s="266" t="s">
        <v>1658</v>
      </c>
      <c r="P119" s="266"/>
    </row>
    <row r="120" ht="16.5" spans="1:16">
      <c r="A120" s="271">
        <v>46185</v>
      </c>
      <c r="B120" s="272" t="s">
        <v>339</v>
      </c>
      <c r="C120" s="105"/>
      <c r="D120" s="105"/>
      <c r="E120" s="272">
        <v>182.48</v>
      </c>
      <c r="F120" s="105"/>
      <c r="G120" s="105"/>
      <c r="H120" s="160">
        <f t="shared" si="6"/>
        <v>0.329296361245068</v>
      </c>
      <c r="I120" s="282">
        <v>67.65</v>
      </c>
      <c r="J120" s="272"/>
      <c r="K120" s="282">
        <v>60.09</v>
      </c>
      <c r="L120" s="4">
        <f t="shared" si="7"/>
        <v>21719.23</v>
      </c>
      <c r="M120" s="272"/>
      <c r="N120" s="117"/>
      <c r="O120" s="266" t="s">
        <v>1658</v>
      </c>
      <c r="P120" s="266"/>
    </row>
    <row r="121" ht="16.5" spans="1:16">
      <c r="A121" s="271">
        <v>46185</v>
      </c>
      <c r="B121" s="272" t="s">
        <v>151</v>
      </c>
      <c r="C121" s="105"/>
      <c r="D121" s="105"/>
      <c r="E121" s="272">
        <v>150.53</v>
      </c>
      <c r="F121" s="105"/>
      <c r="G121" s="105"/>
      <c r="H121" s="160">
        <f t="shared" si="6"/>
        <v>0.453597289576829</v>
      </c>
      <c r="I121" s="282">
        <v>52.14</v>
      </c>
      <c r="J121" s="272"/>
      <c r="K121" s="282">
        <v>68.28</v>
      </c>
      <c r="L121" s="4">
        <f t="shared" si="7"/>
        <v>21650.95</v>
      </c>
      <c r="M121" s="272"/>
      <c r="N121" s="117"/>
      <c r="O121" s="266" t="s">
        <v>1658</v>
      </c>
      <c r="P121" s="266"/>
    </row>
    <row r="122" ht="16.5" spans="1:16">
      <c r="A122" s="271">
        <v>46185</v>
      </c>
      <c r="B122" s="272" t="s">
        <v>135</v>
      </c>
      <c r="C122" s="105"/>
      <c r="D122" s="105"/>
      <c r="E122" s="272">
        <v>159.74</v>
      </c>
      <c r="F122" s="105"/>
      <c r="G122" s="105"/>
      <c r="H122" s="160">
        <f t="shared" si="6"/>
        <v>0.471328408664079</v>
      </c>
      <c r="I122" s="282">
        <v>62.65</v>
      </c>
      <c r="J122" s="272"/>
      <c r="K122" s="282">
        <v>75.29</v>
      </c>
      <c r="L122" s="4">
        <f t="shared" si="7"/>
        <v>21575.66</v>
      </c>
      <c r="M122" s="272"/>
      <c r="N122" s="117"/>
      <c r="O122" s="266" t="s">
        <v>1658</v>
      </c>
      <c r="P122" s="266"/>
    </row>
    <row r="123" ht="16.5" spans="1:16">
      <c r="A123" s="271">
        <v>46185</v>
      </c>
      <c r="B123" s="272" t="s">
        <v>108</v>
      </c>
      <c r="C123" s="105"/>
      <c r="D123" s="105"/>
      <c r="E123" s="272">
        <v>130.3</v>
      </c>
      <c r="F123" s="105"/>
      <c r="G123" s="105"/>
      <c r="H123" s="160">
        <f t="shared" si="6"/>
        <v>1.12317728319263</v>
      </c>
      <c r="I123" s="282">
        <v>51.1</v>
      </c>
      <c r="J123" s="272"/>
      <c r="K123" s="282">
        <f>92.3+54.05</f>
        <v>146.35</v>
      </c>
      <c r="L123" s="4">
        <f t="shared" si="7"/>
        <v>21429.31</v>
      </c>
      <c r="M123" s="272"/>
      <c r="N123" s="117"/>
      <c r="O123" s="266" t="s">
        <v>1658</v>
      </c>
      <c r="P123" s="266"/>
    </row>
    <row r="124" ht="16.5" spans="1:16">
      <c r="A124" s="262">
        <v>46186</v>
      </c>
      <c r="B124" s="263" t="s">
        <v>60</v>
      </c>
      <c r="C124" s="105"/>
      <c r="D124" s="105"/>
      <c r="E124" s="263">
        <v>6.4</v>
      </c>
      <c r="F124" s="105"/>
      <c r="G124" s="105"/>
      <c r="H124" s="160">
        <f t="shared" ref="H124:H149" si="8">M124/E124</f>
        <v>0</v>
      </c>
      <c r="I124" s="263">
        <v>2.37</v>
      </c>
      <c r="J124" s="55"/>
      <c r="K124" s="263">
        <v>4.48</v>
      </c>
      <c r="L124" s="4">
        <f t="shared" si="7"/>
        <v>21424.83</v>
      </c>
      <c r="M124" s="263"/>
      <c r="N124" s="117"/>
      <c r="O124" s="266" t="s">
        <v>1658</v>
      </c>
      <c r="P124" s="266"/>
    </row>
    <row r="125" ht="16.5" spans="1:16">
      <c r="A125" s="267">
        <v>46186</v>
      </c>
      <c r="B125" s="264" t="s">
        <v>60</v>
      </c>
      <c r="C125" s="105"/>
      <c r="D125" s="105"/>
      <c r="E125" s="264">
        <v>0</v>
      </c>
      <c r="F125" s="105"/>
      <c r="G125" s="105"/>
      <c r="H125" s="160" t="e">
        <f t="shared" si="8"/>
        <v>#DIV/0!</v>
      </c>
      <c r="I125" s="264">
        <v>0</v>
      </c>
      <c r="J125" s="55"/>
      <c r="K125" s="264">
        <v>0</v>
      </c>
      <c r="L125" s="4">
        <f t="shared" si="7"/>
        <v>21424.83</v>
      </c>
      <c r="M125" s="264"/>
      <c r="N125" s="117"/>
      <c r="O125" s="266" t="s">
        <v>1658</v>
      </c>
      <c r="P125" s="266"/>
    </row>
    <row r="126" ht="16.5" spans="1:16">
      <c r="A126" s="267">
        <v>46186</v>
      </c>
      <c r="B126" s="264" t="s">
        <v>60</v>
      </c>
      <c r="C126" s="105"/>
      <c r="D126" s="105"/>
      <c r="E126" s="264">
        <v>265.68</v>
      </c>
      <c r="F126" s="105"/>
      <c r="G126" s="105"/>
      <c r="H126" s="160">
        <f t="shared" si="8"/>
        <v>0</v>
      </c>
      <c r="I126" s="264">
        <v>98.49</v>
      </c>
      <c r="J126" s="55"/>
      <c r="K126" s="264">
        <v>185.98</v>
      </c>
      <c r="L126" s="4">
        <f t="shared" si="7"/>
        <v>21238.85</v>
      </c>
      <c r="M126" s="264"/>
      <c r="N126" s="117"/>
      <c r="O126" s="266" t="s">
        <v>1658</v>
      </c>
      <c r="P126" s="266"/>
    </row>
    <row r="127" ht="16.5" spans="1:16">
      <c r="A127" s="267">
        <v>46186</v>
      </c>
      <c r="B127" s="264" t="s">
        <v>81</v>
      </c>
      <c r="C127" s="105"/>
      <c r="D127" s="105"/>
      <c r="E127" s="264">
        <v>358.46</v>
      </c>
      <c r="F127" s="105"/>
      <c r="G127" s="105"/>
      <c r="H127" s="160">
        <f t="shared" si="8"/>
        <v>0</v>
      </c>
      <c r="I127" s="264">
        <v>132.88</v>
      </c>
      <c r="J127" s="55"/>
      <c r="K127" s="264">
        <v>250.92</v>
      </c>
      <c r="L127" s="4">
        <f t="shared" si="7"/>
        <v>20987.93</v>
      </c>
      <c r="M127" s="264"/>
      <c r="N127" s="117"/>
      <c r="O127" s="266" t="s">
        <v>1658</v>
      </c>
      <c r="P127" s="266"/>
    </row>
    <row r="128" ht="16.5" spans="1:16">
      <c r="A128" s="267">
        <v>46186</v>
      </c>
      <c r="B128" s="264" t="s">
        <v>130</v>
      </c>
      <c r="C128" s="105"/>
      <c r="D128" s="105"/>
      <c r="E128" s="264">
        <v>164.89</v>
      </c>
      <c r="F128" s="105"/>
      <c r="G128" s="105"/>
      <c r="H128" s="160">
        <f t="shared" si="8"/>
        <v>0</v>
      </c>
      <c r="I128" s="264">
        <v>73.1</v>
      </c>
      <c r="J128" s="55"/>
      <c r="K128" s="264">
        <v>144</v>
      </c>
      <c r="L128" s="4">
        <f t="shared" si="7"/>
        <v>20843.93</v>
      </c>
      <c r="M128" s="264"/>
      <c r="N128" s="117"/>
      <c r="O128" s="266" t="s">
        <v>1658</v>
      </c>
      <c r="P128" s="266"/>
    </row>
    <row r="129" ht="16.5" spans="1:16">
      <c r="A129" s="267">
        <v>46186</v>
      </c>
      <c r="B129" s="264" t="s">
        <v>138</v>
      </c>
      <c r="C129" s="105"/>
      <c r="D129" s="105"/>
      <c r="E129" s="264">
        <v>7.28</v>
      </c>
      <c r="F129" s="105"/>
      <c r="G129" s="105"/>
      <c r="H129" s="160">
        <f t="shared" si="8"/>
        <v>0</v>
      </c>
      <c r="I129" s="264">
        <v>3.06</v>
      </c>
      <c r="J129" s="55"/>
      <c r="K129" s="264">
        <v>6.19</v>
      </c>
      <c r="L129" s="4">
        <f t="shared" si="7"/>
        <v>20837.74</v>
      </c>
      <c r="M129" s="264"/>
      <c r="N129" s="117"/>
      <c r="O129" s="266" t="s">
        <v>1658</v>
      </c>
      <c r="P129" s="266"/>
    </row>
    <row r="130" ht="16.5" spans="1:16">
      <c r="A130" s="267">
        <v>46186</v>
      </c>
      <c r="B130" s="264" t="s">
        <v>138</v>
      </c>
      <c r="C130" s="105"/>
      <c r="D130" s="105"/>
      <c r="E130" s="264">
        <v>283.37</v>
      </c>
      <c r="F130" s="105"/>
      <c r="G130" s="105"/>
      <c r="H130" s="160">
        <f t="shared" si="8"/>
        <v>0</v>
      </c>
      <c r="I130" s="264">
        <v>126.59</v>
      </c>
      <c r="J130" s="55"/>
      <c r="K130" s="264">
        <v>248.44</v>
      </c>
      <c r="L130" s="4">
        <f t="shared" si="7"/>
        <v>20589.3</v>
      </c>
      <c r="M130" s="264"/>
      <c r="N130" s="117"/>
      <c r="O130" s="266" t="s">
        <v>1658</v>
      </c>
      <c r="P130" s="266"/>
    </row>
    <row r="131" ht="16.5" spans="1:16">
      <c r="A131" s="267">
        <v>46186</v>
      </c>
      <c r="B131" s="264" t="s">
        <v>72</v>
      </c>
      <c r="C131" s="105"/>
      <c r="D131" s="105"/>
      <c r="E131" s="264">
        <v>303.34</v>
      </c>
      <c r="F131" s="105"/>
      <c r="G131" s="105"/>
      <c r="H131" s="160">
        <f t="shared" si="8"/>
        <v>0</v>
      </c>
      <c r="I131" s="264">
        <v>136.9</v>
      </c>
      <c r="J131" s="55"/>
      <c r="K131" s="264">
        <v>267.34</v>
      </c>
      <c r="L131" s="4">
        <f t="shared" si="7"/>
        <v>20321.96</v>
      </c>
      <c r="M131" s="264"/>
      <c r="N131" s="117"/>
      <c r="O131" s="266" t="s">
        <v>1658</v>
      </c>
      <c r="P131" s="266"/>
    </row>
    <row r="132" ht="16.5" spans="1:16">
      <c r="A132" s="267">
        <v>46186</v>
      </c>
      <c r="B132" s="264" t="s">
        <v>75</v>
      </c>
      <c r="C132" s="105"/>
      <c r="D132" s="105"/>
      <c r="E132" s="264">
        <v>106.19</v>
      </c>
      <c r="F132" s="105"/>
      <c r="G132" s="105"/>
      <c r="H132" s="160">
        <f t="shared" si="8"/>
        <v>0</v>
      </c>
      <c r="I132" s="264">
        <v>36.78</v>
      </c>
      <c r="J132" s="55"/>
      <c r="K132" s="264">
        <v>84.95</v>
      </c>
      <c r="L132" s="4">
        <f t="shared" si="7"/>
        <v>20237.01</v>
      </c>
      <c r="M132" s="264"/>
      <c r="N132" s="117"/>
      <c r="O132" s="266" t="s">
        <v>1658</v>
      </c>
      <c r="P132" s="266"/>
    </row>
    <row r="133" ht="16.5" spans="1:16">
      <c r="A133" s="267">
        <v>46186</v>
      </c>
      <c r="B133" s="264" t="s">
        <v>54</v>
      </c>
      <c r="C133" s="105"/>
      <c r="D133" s="105"/>
      <c r="E133" s="264">
        <v>190.59</v>
      </c>
      <c r="F133" s="105"/>
      <c r="G133" s="105"/>
      <c r="H133" s="160">
        <f t="shared" si="8"/>
        <v>0</v>
      </c>
      <c r="I133" s="264">
        <v>69.08</v>
      </c>
      <c r="J133" s="55"/>
      <c r="K133" s="264">
        <v>139.88</v>
      </c>
      <c r="L133" s="4">
        <f t="shared" si="7"/>
        <v>20097.13</v>
      </c>
      <c r="M133" s="264"/>
      <c r="N133" s="117"/>
      <c r="O133" s="266" t="s">
        <v>1658</v>
      </c>
      <c r="P133" s="266"/>
    </row>
    <row r="134" ht="20.25" spans="1:16">
      <c r="A134" s="267">
        <v>46186</v>
      </c>
      <c r="B134" s="264" t="s">
        <v>183</v>
      </c>
      <c r="C134" s="283"/>
      <c r="D134" s="283"/>
      <c r="E134" s="264">
        <v>239.69</v>
      </c>
      <c r="F134" s="283"/>
      <c r="G134" s="283"/>
      <c r="H134" s="160">
        <f t="shared" si="8"/>
        <v>0</v>
      </c>
      <c r="I134" s="264">
        <v>88.85</v>
      </c>
      <c r="J134" s="55"/>
      <c r="K134" s="264">
        <v>167.78</v>
      </c>
      <c r="L134" s="4">
        <f t="shared" si="7"/>
        <v>19929.35</v>
      </c>
      <c r="M134" s="264"/>
      <c r="N134" s="284"/>
      <c r="O134" s="266" t="s">
        <v>1658</v>
      </c>
      <c r="P134" s="266"/>
    </row>
    <row r="135" ht="16.5" spans="1:16">
      <c r="A135" s="267">
        <v>46186</v>
      </c>
      <c r="B135" s="264" t="s">
        <v>148</v>
      </c>
      <c r="C135" s="105"/>
      <c r="D135" s="105"/>
      <c r="E135" s="264">
        <v>197.57</v>
      </c>
      <c r="F135" s="105"/>
      <c r="G135" s="105"/>
      <c r="H135" s="160">
        <f t="shared" si="8"/>
        <v>0</v>
      </c>
      <c r="I135" s="264">
        <v>77.49</v>
      </c>
      <c r="J135" s="55"/>
      <c r="K135" s="264">
        <v>191.65</v>
      </c>
      <c r="L135" s="4">
        <f t="shared" si="7"/>
        <v>19737.7</v>
      </c>
      <c r="M135" s="264"/>
      <c r="N135" s="117"/>
      <c r="O135" s="266" t="s">
        <v>1658</v>
      </c>
      <c r="P135" s="266"/>
    </row>
    <row r="136" ht="16.5" spans="1:16">
      <c r="A136" s="267">
        <v>46186</v>
      </c>
      <c r="B136" s="264" t="s">
        <v>87</v>
      </c>
      <c r="C136" s="105"/>
      <c r="D136" s="105"/>
      <c r="E136" s="264">
        <v>142.5</v>
      </c>
      <c r="F136" s="105"/>
      <c r="G136" s="105"/>
      <c r="H136" s="160">
        <f t="shared" si="8"/>
        <v>0</v>
      </c>
      <c r="I136" s="264">
        <v>55.89</v>
      </c>
      <c r="J136" s="55"/>
      <c r="K136" s="264">
        <v>138.23</v>
      </c>
      <c r="L136" s="4">
        <f t="shared" si="7"/>
        <v>19599.47</v>
      </c>
      <c r="M136" s="264"/>
      <c r="N136" s="117"/>
      <c r="O136" s="266" t="s">
        <v>1658</v>
      </c>
      <c r="P136" s="266"/>
    </row>
    <row r="137" ht="16.5" spans="1:16">
      <c r="A137" s="267">
        <v>46186</v>
      </c>
      <c r="B137" s="264" t="s">
        <v>111</v>
      </c>
      <c r="C137" s="105"/>
      <c r="D137" s="105"/>
      <c r="E137" s="264">
        <v>168.1</v>
      </c>
      <c r="F137" s="105"/>
      <c r="G137" s="105"/>
      <c r="H137" s="160">
        <f t="shared" si="8"/>
        <v>0</v>
      </c>
      <c r="I137" s="264">
        <v>60.87</v>
      </c>
      <c r="J137" s="55"/>
      <c r="K137" s="264">
        <v>144.27</v>
      </c>
      <c r="L137" s="4">
        <f t="shared" si="7"/>
        <v>19455.2</v>
      </c>
      <c r="M137" s="264"/>
      <c r="N137" s="117"/>
      <c r="O137" s="266" t="s">
        <v>1658</v>
      </c>
      <c r="P137" s="266"/>
    </row>
    <row r="138" ht="16.5" spans="1:16">
      <c r="A138" s="267">
        <v>46187</v>
      </c>
      <c r="B138" s="264" t="s">
        <v>69</v>
      </c>
      <c r="C138" s="105"/>
      <c r="D138" s="105"/>
      <c r="E138" s="264">
        <v>282.02</v>
      </c>
      <c r="F138" s="105"/>
      <c r="G138" s="105"/>
      <c r="H138" s="160">
        <f t="shared" si="8"/>
        <v>0</v>
      </c>
      <c r="I138" s="264">
        <v>105.56</v>
      </c>
      <c r="J138" s="55"/>
      <c r="K138" s="264">
        <v>226.83</v>
      </c>
      <c r="L138" s="4">
        <f t="shared" si="7"/>
        <v>19228.37</v>
      </c>
      <c r="M138" s="264"/>
      <c r="N138" s="117"/>
      <c r="O138" s="266" t="s">
        <v>1658</v>
      </c>
      <c r="P138" s="266"/>
    </row>
    <row r="139" ht="16.5" spans="1:16">
      <c r="A139" s="267">
        <v>46187</v>
      </c>
      <c r="B139" s="264" t="s">
        <v>148</v>
      </c>
      <c r="C139" s="105"/>
      <c r="D139" s="105"/>
      <c r="E139" s="264">
        <v>141.74</v>
      </c>
      <c r="F139" s="105"/>
      <c r="G139" s="105"/>
      <c r="H139" s="160">
        <f t="shared" si="8"/>
        <v>0</v>
      </c>
      <c r="I139" s="264">
        <v>48.19</v>
      </c>
      <c r="J139" s="55"/>
      <c r="K139" s="264">
        <v>109.14</v>
      </c>
      <c r="L139" s="4">
        <f t="shared" si="7"/>
        <v>19119.23</v>
      </c>
      <c r="M139" s="264"/>
      <c r="N139" s="117"/>
      <c r="O139" s="266" t="s">
        <v>1658</v>
      </c>
      <c r="P139" s="266"/>
    </row>
    <row r="140" ht="16.5" spans="1:16">
      <c r="A140" s="267">
        <v>46187</v>
      </c>
      <c r="B140" s="264" t="s">
        <v>75</v>
      </c>
      <c r="C140" s="105"/>
      <c r="D140" s="105"/>
      <c r="E140" s="264">
        <v>289.18</v>
      </c>
      <c r="F140" s="105"/>
      <c r="G140" s="105"/>
      <c r="H140" s="160">
        <f t="shared" si="8"/>
        <v>0</v>
      </c>
      <c r="I140" s="264">
        <v>113.42</v>
      </c>
      <c r="J140" s="55"/>
      <c r="K140" s="264">
        <v>280.51</v>
      </c>
      <c r="L140" s="4">
        <f t="shared" si="7"/>
        <v>18838.72</v>
      </c>
      <c r="M140" s="264"/>
      <c r="N140" s="117"/>
      <c r="O140" s="266" t="s">
        <v>1658</v>
      </c>
      <c r="P140" s="266"/>
    </row>
    <row r="141" ht="16.5" spans="1:16">
      <c r="A141" s="267">
        <v>46187</v>
      </c>
      <c r="B141" s="264" t="s">
        <v>117</v>
      </c>
      <c r="C141" s="105"/>
      <c r="D141" s="105"/>
      <c r="E141" s="264">
        <v>333.89</v>
      </c>
      <c r="F141" s="105"/>
      <c r="G141" s="105"/>
      <c r="H141" s="160">
        <f t="shared" si="8"/>
        <v>0</v>
      </c>
      <c r="I141" s="264">
        <v>115.66</v>
      </c>
      <c r="J141" s="55"/>
      <c r="K141" s="264">
        <v>267.11</v>
      </c>
      <c r="L141" s="4">
        <f t="shared" si="7"/>
        <v>18571.61</v>
      </c>
      <c r="M141" s="264"/>
      <c r="N141" s="117"/>
      <c r="O141" s="266" t="s">
        <v>1658</v>
      </c>
      <c r="P141" s="266"/>
    </row>
    <row r="142" ht="16.5" spans="1:16">
      <c r="A142" s="267">
        <v>46187</v>
      </c>
      <c r="B142" s="264" t="s">
        <v>132</v>
      </c>
      <c r="C142" s="105"/>
      <c r="D142" s="105"/>
      <c r="E142" s="264">
        <v>47.28</v>
      </c>
      <c r="F142" s="105"/>
      <c r="G142" s="105"/>
      <c r="H142" s="160">
        <f t="shared" si="8"/>
        <v>0</v>
      </c>
      <c r="I142" s="264">
        <v>17.53</v>
      </c>
      <c r="J142" s="55"/>
      <c r="K142" s="264">
        <v>33.1</v>
      </c>
      <c r="L142" s="4">
        <f t="shared" si="7"/>
        <v>18538.51</v>
      </c>
      <c r="M142" s="264"/>
      <c r="N142" s="117"/>
      <c r="O142" s="266" t="s">
        <v>1658</v>
      </c>
      <c r="P142" s="266"/>
    </row>
    <row r="143" ht="16.5" spans="1:16">
      <c r="A143" s="267">
        <v>46187</v>
      </c>
      <c r="B143" s="264" t="s">
        <v>127</v>
      </c>
      <c r="C143" s="105"/>
      <c r="D143" s="105"/>
      <c r="E143" s="264">
        <v>386</v>
      </c>
      <c r="F143" s="105"/>
      <c r="G143" s="105"/>
      <c r="H143" s="160">
        <f t="shared" si="8"/>
        <v>0</v>
      </c>
      <c r="I143" s="264">
        <v>143.09</v>
      </c>
      <c r="J143" s="55"/>
      <c r="K143" s="264">
        <v>270.2</v>
      </c>
      <c r="L143" s="4">
        <f t="shared" si="7"/>
        <v>18268.31</v>
      </c>
      <c r="M143" s="264"/>
      <c r="N143" s="117"/>
      <c r="O143" s="266" t="s">
        <v>1658</v>
      </c>
      <c r="P143" s="266"/>
    </row>
    <row r="144" ht="16.5" spans="1:16">
      <c r="A144" s="267">
        <v>46187</v>
      </c>
      <c r="B144" s="264" t="s">
        <v>177</v>
      </c>
      <c r="C144" s="105"/>
      <c r="D144" s="105"/>
      <c r="E144" s="264">
        <v>60.86</v>
      </c>
      <c r="F144" s="105"/>
      <c r="G144" s="105"/>
      <c r="H144" s="160">
        <f t="shared" si="8"/>
        <v>0</v>
      </c>
      <c r="I144" s="264">
        <v>22.56</v>
      </c>
      <c r="J144" s="55"/>
      <c r="K144" s="264">
        <v>42.6</v>
      </c>
      <c r="L144" s="4">
        <f t="shared" si="7"/>
        <v>18225.71</v>
      </c>
      <c r="M144" s="264"/>
      <c r="N144" s="117"/>
      <c r="O144" s="266" t="s">
        <v>1658</v>
      </c>
      <c r="P144" s="266"/>
    </row>
    <row r="145" ht="16.5" spans="1:16">
      <c r="A145" s="267">
        <v>46187</v>
      </c>
      <c r="B145" s="264" t="s">
        <v>69</v>
      </c>
      <c r="C145" s="105"/>
      <c r="D145" s="105"/>
      <c r="E145" s="264">
        <v>248.9</v>
      </c>
      <c r="F145" s="105"/>
      <c r="G145" s="105"/>
      <c r="H145" s="160">
        <f t="shared" si="8"/>
        <v>0</v>
      </c>
      <c r="I145" s="264">
        <v>92.27</v>
      </c>
      <c r="J145" s="55"/>
      <c r="K145" s="264">
        <v>174.23</v>
      </c>
      <c r="L145" s="4">
        <f t="shared" si="7"/>
        <v>18051.48</v>
      </c>
      <c r="M145" s="264"/>
      <c r="N145" s="117"/>
      <c r="O145" s="266" t="s">
        <v>1658</v>
      </c>
      <c r="P145" s="266"/>
    </row>
    <row r="146" ht="16.5" spans="1:16">
      <c r="A146" s="267">
        <v>46187</v>
      </c>
      <c r="B146" s="264" t="s">
        <v>63</v>
      </c>
      <c r="C146" s="105"/>
      <c r="D146" s="105"/>
      <c r="E146" s="264">
        <v>357.18</v>
      </c>
      <c r="F146" s="105"/>
      <c r="G146" s="105"/>
      <c r="H146" s="160">
        <f t="shared" si="8"/>
        <v>0</v>
      </c>
      <c r="I146" s="264">
        <v>132.41</v>
      </c>
      <c r="J146" s="55"/>
      <c r="K146" s="264">
        <v>250.03</v>
      </c>
      <c r="L146" s="4">
        <f t="shared" ref="L146:L209" si="9">L145+J146-K146</f>
        <v>17801.45</v>
      </c>
      <c r="M146" s="264"/>
      <c r="N146" s="117"/>
      <c r="O146" s="266" t="s">
        <v>1658</v>
      </c>
      <c r="P146" s="266"/>
    </row>
    <row r="147" ht="16.5" spans="1:16">
      <c r="A147" s="267">
        <v>46187</v>
      </c>
      <c r="B147" s="264" t="s">
        <v>141</v>
      </c>
      <c r="C147" s="105"/>
      <c r="D147" s="105"/>
      <c r="E147" s="264">
        <v>330.5</v>
      </c>
      <c r="F147" s="105"/>
      <c r="G147" s="105"/>
      <c r="H147" s="160">
        <f t="shared" si="8"/>
        <v>0</v>
      </c>
      <c r="I147" s="264">
        <v>131.98</v>
      </c>
      <c r="J147" s="55"/>
      <c r="K147" s="264">
        <v>274.1</v>
      </c>
      <c r="L147" s="4">
        <f t="shared" si="9"/>
        <v>17527.35</v>
      </c>
      <c r="M147" s="264"/>
      <c r="N147" s="117"/>
      <c r="O147" s="266" t="s">
        <v>1658</v>
      </c>
      <c r="P147" s="266"/>
    </row>
    <row r="148" ht="16.5" spans="1:16">
      <c r="A148" s="267">
        <v>46187</v>
      </c>
      <c r="B148" s="264" t="s">
        <v>180</v>
      </c>
      <c r="C148" s="105"/>
      <c r="D148" s="105"/>
      <c r="E148" s="264">
        <v>88.1</v>
      </c>
      <c r="F148" s="105"/>
      <c r="G148" s="105"/>
      <c r="H148" s="160">
        <f t="shared" si="8"/>
        <v>0</v>
      </c>
      <c r="I148" s="264">
        <v>34.55</v>
      </c>
      <c r="J148" s="55"/>
      <c r="K148" s="264">
        <v>85.45</v>
      </c>
      <c r="L148" s="4">
        <f t="shared" si="9"/>
        <v>17441.9</v>
      </c>
      <c r="M148" s="264"/>
      <c r="N148" s="117"/>
      <c r="O148" s="266" t="s">
        <v>1658</v>
      </c>
      <c r="P148" s="266"/>
    </row>
    <row r="149" ht="16.5" spans="1:16">
      <c r="A149" s="267">
        <v>46187</v>
      </c>
      <c r="B149" s="264" t="s">
        <v>174</v>
      </c>
      <c r="C149" s="105"/>
      <c r="D149" s="105"/>
      <c r="E149" s="264">
        <v>220.61</v>
      </c>
      <c r="F149" s="105"/>
      <c r="G149" s="105"/>
      <c r="H149" s="160">
        <f t="shared" si="8"/>
        <v>0</v>
      </c>
      <c r="I149" s="264">
        <v>86.52</v>
      </c>
      <c r="J149" s="55"/>
      <c r="K149" s="264">
        <v>213.99</v>
      </c>
      <c r="L149" s="4">
        <f t="shared" si="9"/>
        <v>17227.91</v>
      </c>
      <c r="M149" s="264"/>
      <c r="N149" s="117"/>
      <c r="O149" s="266" t="s">
        <v>1658</v>
      </c>
      <c r="P149" s="266"/>
    </row>
    <row r="150" ht="16.5" spans="1:16">
      <c r="A150" s="267">
        <v>46188</v>
      </c>
      <c r="B150" s="264" t="s">
        <v>138</v>
      </c>
      <c r="C150" s="55"/>
      <c r="D150" s="55"/>
      <c r="E150" s="264">
        <v>312.24</v>
      </c>
      <c r="F150" s="55"/>
      <c r="G150" s="55"/>
      <c r="H150" s="55"/>
      <c r="I150" s="55"/>
      <c r="J150" s="55"/>
      <c r="K150" s="264">
        <v>266.25</v>
      </c>
      <c r="L150" s="4">
        <f t="shared" si="9"/>
        <v>16961.66</v>
      </c>
      <c r="M150" s="55"/>
      <c r="N150" s="55"/>
      <c r="O150" s="266" t="s">
        <v>1658</v>
      </c>
    </row>
    <row r="151" ht="16.5" spans="1:16">
      <c r="A151" s="267">
        <v>46188</v>
      </c>
      <c r="B151" s="264" t="s">
        <v>75</v>
      </c>
      <c r="C151" s="55"/>
      <c r="D151" s="55"/>
      <c r="E151" s="264">
        <v>252.01</v>
      </c>
      <c r="F151" s="55"/>
      <c r="G151" s="55"/>
      <c r="H151" s="55"/>
      <c r="I151" s="55"/>
      <c r="J151" s="55"/>
      <c r="K151" s="264">
        <v>244.45</v>
      </c>
      <c r="L151" s="4">
        <f t="shared" si="9"/>
        <v>16717.21</v>
      </c>
      <c r="M151" s="55"/>
      <c r="N151" s="55"/>
      <c r="O151" s="266" t="s">
        <v>1658</v>
      </c>
    </row>
    <row r="152" ht="16.5" spans="1:16">
      <c r="A152" s="267">
        <v>46188</v>
      </c>
      <c r="B152" s="264" t="s">
        <v>151</v>
      </c>
      <c r="C152" s="55"/>
      <c r="D152" s="55"/>
      <c r="E152" s="264">
        <v>312.45</v>
      </c>
      <c r="F152" s="55"/>
      <c r="G152" s="55"/>
      <c r="H152" s="55"/>
      <c r="I152" s="55"/>
      <c r="J152" s="55"/>
      <c r="K152" s="264">
        <v>303.07</v>
      </c>
      <c r="L152" s="4">
        <f t="shared" si="9"/>
        <v>16414.14</v>
      </c>
      <c r="M152" s="55"/>
      <c r="N152" s="55"/>
      <c r="O152" s="266" t="s">
        <v>1658</v>
      </c>
    </row>
    <row r="153" ht="16.5" spans="1:16">
      <c r="A153" s="267">
        <v>46188</v>
      </c>
      <c r="B153" s="264" t="s">
        <v>124</v>
      </c>
      <c r="C153" s="55"/>
      <c r="D153" s="55"/>
      <c r="E153" s="264">
        <v>158.96</v>
      </c>
      <c r="F153" s="55"/>
      <c r="G153" s="55"/>
      <c r="H153" s="55"/>
      <c r="I153" s="55"/>
      <c r="J153" s="55"/>
      <c r="K153" s="264">
        <v>126.13</v>
      </c>
      <c r="L153" s="4">
        <f t="shared" si="9"/>
        <v>16288.01</v>
      </c>
      <c r="M153" s="55"/>
      <c r="N153" s="55"/>
      <c r="O153" s="266" t="s">
        <v>1658</v>
      </c>
    </row>
    <row r="154" ht="16.5" spans="1:16">
      <c r="A154" s="267">
        <v>46188</v>
      </c>
      <c r="B154" s="264" t="s">
        <v>177</v>
      </c>
      <c r="C154" s="55"/>
      <c r="D154" s="55"/>
      <c r="E154" s="264">
        <v>176.04</v>
      </c>
      <c r="F154" s="55"/>
      <c r="G154" s="55"/>
      <c r="H154" s="55"/>
      <c r="I154" s="55"/>
      <c r="J154" s="55"/>
      <c r="K154" s="264">
        <v>137.53</v>
      </c>
      <c r="L154" s="4">
        <f t="shared" si="9"/>
        <v>16150.48</v>
      </c>
      <c r="M154" s="55"/>
      <c r="N154" s="55"/>
      <c r="O154" s="266" t="s">
        <v>1658</v>
      </c>
    </row>
    <row r="155" ht="16.5" spans="1:16">
      <c r="A155" s="267">
        <v>46188</v>
      </c>
      <c r="B155" s="264" t="s">
        <v>54</v>
      </c>
      <c r="C155" s="55"/>
      <c r="D155" s="55"/>
      <c r="E155" s="264">
        <v>217.5</v>
      </c>
      <c r="F155" s="55"/>
      <c r="G155" s="55"/>
      <c r="H155" s="55"/>
      <c r="I155" s="55"/>
      <c r="J155" s="55"/>
      <c r="K155" s="264">
        <v>154.43</v>
      </c>
      <c r="L155" s="4">
        <f t="shared" si="9"/>
        <v>15996.05</v>
      </c>
      <c r="M155" s="55"/>
      <c r="N155" s="55"/>
      <c r="O155" s="266" t="s">
        <v>1658</v>
      </c>
    </row>
    <row r="156" ht="16.5" spans="1:16">
      <c r="A156" s="267">
        <v>46188</v>
      </c>
      <c r="B156" s="264" t="s">
        <v>60</v>
      </c>
      <c r="C156" s="55"/>
      <c r="D156" s="55"/>
      <c r="E156" s="264">
        <v>321.34</v>
      </c>
      <c r="F156" s="55"/>
      <c r="G156" s="55"/>
      <c r="H156" s="55"/>
      <c r="I156" s="55"/>
      <c r="J156" s="55"/>
      <c r="K156" s="264">
        <v>257.07</v>
      </c>
      <c r="L156" s="4">
        <f t="shared" si="9"/>
        <v>15738.98</v>
      </c>
      <c r="M156" s="55"/>
      <c r="N156" s="55"/>
      <c r="O156" s="266" t="s">
        <v>1658</v>
      </c>
    </row>
    <row r="157" ht="16.5" spans="1:16">
      <c r="A157" s="267">
        <v>46188</v>
      </c>
      <c r="B157" s="264" t="s">
        <v>144</v>
      </c>
      <c r="C157" s="55"/>
      <c r="D157" s="55"/>
      <c r="E157" s="264">
        <v>209.86</v>
      </c>
      <c r="F157" s="55"/>
      <c r="G157" s="55"/>
      <c r="H157" s="55"/>
      <c r="I157" s="55"/>
      <c r="J157" s="55"/>
      <c r="K157" s="264">
        <v>167.89</v>
      </c>
      <c r="L157" s="4">
        <f t="shared" si="9"/>
        <v>15571.09</v>
      </c>
      <c r="M157" s="55"/>
      <c r="N157" s="55"/>
      <c r="O157" s="266" t="s">
        <v>1658</v>
      </c>
    </row>
    <row r="158" ht="16.5" spans="1:16">
      <c r="A158" s="267">
        <v>46188</v>
      </c>
      <c r="B158" s="264" t="s">
        <v>192</v>
      </c>
      <c r="C158" s="55"/>
      <c r="D158" s="55"/>
      <c r="E158" s="264">
        <v>216.9</v>
      </c>
      <c r="F158" s="55"/>
      <c r="G158" s="55"/>
      <c r="H158" s="55"/>
      <c r="I158" s="55"/>
      <c r="J158" s="55"/>
      <c r="K158" s="264">
        <v>173.52</v>
      </c>
      <c r="L158" s="4">
        <f t="shared" si="9"/>
        <v>15397.57</v>
      </c>
      <c r="M158" s="55"/>
      <c r="N158" s="55"/>
      <c r="O158" s="266" t="s">
        <v>1658</v>
      </c>
    </row>
    <row r="159" ht="16.5" spans="1:16">
      <c r="A159" s="267">
        <v>46188</v>
      </c>
      <c r="B159" s="264" t="s">
        <v>148</v>
      </c>
      <c r="C159" s="55"/>
      <c r="D159" s="55"/>
      <c r="E159" s="264">
        <v>256.86</v>
      </c>
      <c r="F159" s="55"/>
      <c r="G159" s="55"/>
      <c r="H159" s="55"/>
      <c r="I159" s="55"/>
      <c r="J159" s="55"/>
      <c r="K159" s="264">
        <v>187.01</v>
      </c>
      <c r="L159" s="4">
        <f t="shared" si="9"/>
        <v>15210.56</v>
      </c>
      <c r="M159" s="55"/>
      <c r="N159" s="55"/>
      <c r="O159" s="266" t="s">
        <v>1658</v>
      </c>
    </row>
    <row r="160" ht="16.5" spans="1:16">
      <c r="A160" s="267">
        <v>46188</v>
      </c>
      <c r="B160" s="264" t="s">
        <v>81</v>
      </c>
      <c r="C160" s="55"/>
      <c r="D160" s="55"/>
      <c r="E160" s="264">
        <v>382.85</v>
      </c>
      <c r="F160" s="55"/>
      <c r="G160" s="55"/>
      <c r="H160" s="55"/>
      <c r="I160" s="55"/>
      <c r="J160" s="55"/>
      <c r="K160" s="264">
        <v>267.99</v>
      </c>
      <c r="L160" s="4">
        <f t="shared" si="9"/>
        <v>14942.57</v>
      </c>
      <c r="M160" s="55"/>
      <c r="N160" s="55"/>
      <c r="O160" s="266" t="s">
        <v>1658</v>
      </c>
    </row>
    <row r="161" ht="16.5" spans="1:15">
      <c r="A161" s="267">
        <v>46188</v>
      </c>
      <c r="B161" s="264" t="s">
        <v>144</v>
      </c>
      <c r="C161" s="55"/>
      <c r="D161" s="55"/>
      <c r="E161" s="264">
        <v>369.64</v>
      </c>
      <c r="F161" s="55"/>
      <c r="G161" s="55"/>
      <c r="H161" s="55"/>
      <c r="I161" s="55"/>
      <c r="J161" s="55"/>
      <c r="K161" s="264">
        <v>293.53</v>
      </c>
      <c r="L161" s="4">
        <f t="shared" si="9"/>
        <v>14649.04</v>
      </c>
      <c r="M161" s="55"/>
      <c r="N161" s="55"/>
      <c r="O161" s="266" t="s">
        <v>1658</v>
      </c>
    </row>
    <row r="162" ht="16.5" spans="1:15">
      <c r="A162" s="267">
        <v>46188</v>
      </c>
      <c r="B162" s="264" t="s">
        <v>141</v>
      </c>
      <c r="C162" s="55"/>
      <c r="D162" s="55"/>
      <c r="E162" s="264">
        <v>104.77</v>
      </c>
      <c r="F162" s="55"/>
      <c r="G162" s="55"/>
      <c r="H162" s="55"/>
      <c r="I162" s="55"/>
      <c r="J162" s="55"/>
      <c r="K162" s="264">
        <v>89.05</v>
      </c>
      <c r="L162" s="4">
        <f t="shared" si="9"/>
        <v>14559.99</v>
      </c>
      <c r="M162" s="55"/>
      <c r="N162" s="55"/>
      <c r="O162" s="266" t="s">
        <v>1658</v>
      </c>
    </row>
    <row r="163" ht="16.5" spans="1:15">
      <c r="A163" s="267">
        <v>46188</v>
      </c>
      <c r="B163" s="264" t="s">
        <v>148</v>
      </c>
      <c r="C163" s="55"/>
      <c r="D163" s="55"/>
      <c r="E163" s="264">
        <v>247.05</v>
      </c>
      <c r="F163" s="55"/>
      <c r="G163" s="55"/>
      <c r="H163" s="55"/>
      <c r="I163" s="55"/>
      <c r="J163" s="55"/>
      <c r="K163" s="264">
        <v>209.99</v>
      </c>
      <c r="L163" s="4">
        <f t="shared" si="9"/>
        <v>14350</v>
      </c>
      <c r="M163" s="55"/>
      <c r="N163" s="55"/>
      <c r="O163" s="266" t="s">
        <v>1658</v>
      </c>
    </row>
    <row r="164" ht="16.5" spans="1:15">
      <c r="A164" s="267">
        <v>46189</v>
      </c>
      <c r="B164" s="264" t="s">
        <v>154</v>
      </c>
      <c r="C164" s="117"/>
      <c r="D164" s="117"/>
      <c r="E164" s="264">
        <v>367.81</v>
      </c>
      <c r="F164" s="117"/>
      <c r="G164" s="117"/>
      <c r="H164" s="160">
        <f t="shared" ref="H164:H180" si="10">K164/E164</f>
        <v>0.820015769011174</v>
      </c>
      <c r="I164" s="264">
        <v>134.77</v>
      </c>
      <c r="J164" s="55"/>
      <c r="K164" s="264">
        <v>301.61</v>
      </c>
      <c r="L164" s="4">
        <f t="shared" si="9"/>
        <v>14048.39</v>
      </c>
      <c r="M164" s="55"/>
      <c r="N164" s="55"/>
      <c r="O164" s="266" t="s">
        <v>1658</v>
      </c>
    </row>
    <row r="165" ht="16.5" spans="1:15">
      <c r="A165" s="267">
        <v>46189</v>
      </c>
      <c r="B165" s="264" t="s">
        <v>163</v>
      </c>
      <c r="C165" s="117"/>
      <c r="D165" s="117"/>
      <c r="E165" s="264">
        <v>205.18</v>
      </c>
      <c r="F165" s="117"/>
      <c r="G165" s="117"/>
      <c r="H165" s="160">
        <f t="shared" si="10"/>
        <v>0.820011697046496</v>
      </c>
      <c r="I165" s="264">
        <v>75.18</v>
      </c>
      <c r="J165" s="55"/>
      <c r="K165" s="264">
        <v>168.25</v>
      </c>
      <c r="L165" s="4">
        <f t="shared" si="9"/>
        <v>13880.14</v>
      </c>
      <c r="M165" s="55"/>
      <c r="N165" s="55"/>
      <c r="O165" s="266" t="s">
        <v>1658</v>
      </c>
    </row>
    <row r="166" ht="16.5" spans="1:15">
      <c r="A166" s="267">
        <v>46189</v>
      </c>
      <c r="B166" s="264" t="s">
        <v>338</v>
      </c>
      <c r="C166" s="117"/>
      <c r="D166" s="117"/>
      <c r="E166" s="264">
        <v>120.7</v>
      </c>
      <c r="F166" s="117"/>
      <c r="G166" s="117"/>
      <c r="H166" s="160">
        <f t="shared" si="10"/>
        <v>0.720049710024855</v>
      </c>
      <c r="I166" s="264">
        <v>47.16</v>
      </c>
      <c r="J166" s="55"/>
      <c r="K166" s="264">
        <v>86.91</v>
      </c>
      <c r="L166" s="4">
        <f t="shared" si="9"/>
        <v>13793.23</v>
      </c>
      <c r="M166" s="55"/>
      <c r="N166" s="55"/>
      <c r="O166" s="266" t="s">
        <v>1658</v>
      </c>
    </row>
    <row r="167" ht="16.5" spans="1:15">
      <c r="A167" s="267">
        <v>46189</v>
      </c>
      <c r="B167" s="264" t="s">
        <v>201</v>
      </c>
      <c r="C167" s="117"/>
      <c r="D167" s="117"/>
      <c r="E167" s="264">
        <v>233.89</v>
      </c>
      <c r="F167" s="117"/>
      <c r="G167" s="117"/>
      <c r="H167" s="160">
        <f t="shared" si="10"/>
        <v>0.820000855102826</v>
      </c>
      <c r="I167" s="264">
        <v>85.7</v>
      </c>
      <c r="J167" s="55"/>
      <c r="K167" s="264">
        <v>191.79</v>
      </c>
      <c r="L167" s="4">
        <f t="shared" si="9"/>
        <v>13601.44</v>
      </c>
      <c r="M167" s="55"/>
      <c r="N167" s="55"/>
      <c r="O167" s="266" t="s">
        <v>1658</v>
      </c>
    </row>
    <row r="168" ht="16.5" spans="1:15">
      <c r="A168" s="267">
        <v>46189</v>
      </c>
      <c r="B168" s="264" t="s">
        <v>204</v>
      </c>
      <c r="C168" s="117"/>
      <c r="D168" s="117"/>
      <c r="E168" s="264">
        <v>211.33</v>
      </c>
      <c r="F168" s="117"/>
      <c r="G168" s="117"/>
      <c r="H168" s="160">
        <f t="shared" si="10"/>
        <v>0.819997160838499</v>
      </c>
      <c r="I168" s="264">
        <v>77.43</v>
      </c>
      <c r="J168" s="55"/>
      <c r="K168" s="264">
        <v>173.29</v>
      </c>
      <c r="L168" s="4">
        <f t="shared" si="9"/>
        <v>13428.15</v>
      </c>
      <c r="M168" s="55"/>
      <c r="N168" s="55"/>
      <c r="O168" s="266" t="s">
        <v>1658</v>
      </c>
    </row>
    <row r="169" ht="16.5" spans="1:15">
      <c r="A169" s="267">
        <v>46189</v>
      </c>
      <c r="B169" s="264" t="s">
        <v>138</v>
      </c>
      <c r="C169" s="117"/>
      <c r="D169" s="117"/>
      <c r="E169" s="264">
        <v>157.58</v>
      </c>
      <c r="F169" s="117"/>
      <c r="G169" s="117"/>
      <c r="H169" s="160">
        <f t="shared" si="10"/>
        <v>0.849980962051022</v>
      </c>
      <c r="I169" s="264">
        <v>66.18</v>
      </c>
      <c r="J169" s="55"/>
      <c r="K169" s="264">
        <v>133.94</v>
      </c>
      <c r="L169" s="4">
        <f t="shared" si="9"/>
        <v>13294.21</v>
      </c>
      <c r="M169" s="55"/>
      <c r="N169" s="55"/>
      <c r="O169" s="266" t="s">
        <v>1658</v>
      </c>
    </row>
    <row r="170" ht="16.5" spans="1:15">
      <c r="A170" s="267">
        <v>46189</v>
      </c>
      <c r="B170" s="264" t="s">
        <v>90</v>
      </c>
      <c r="C170" s="117"/>
      <c r="D170" s="117"/>
      <c r="E170" s="264">
        <v>272.56</v>
      </c>
      <c r="F170" s="117"/>
      <c r="G170" s="117"/>
      <c r="H170" s="160">
        <f t="shared" si="10"/>
        <v>0.769995597299677</v>
      </c>
      <c r="I170" s="264">
        <v>92.67</v>
      </c>
      <c r="J170" s="55"/>
      <c r="K170" s="264">
        <v>209.87</v>
      </c>
      <c r="L170" s="4">
        <f t="shared" si="9"/>
        <v>13084.34</v>
      </c>
      <c r="M170" s="55"/>
      <c r="N170" s="55"/>
      <c r="O170" s="266" t="s">
        <v>1658</v>
      </c>
    </row>
    <row r="171" ht="16.5" spans="1:15">
      <c r="A171" s="267">
        <v>46189</v>
      </c>
      <c r="B171" s="264" t="s">
        <v>93</v>
      </c>
      <c r="C171" s="117"/>
      <c r="D171" s="117"/>
      <c r="E171" s="264">
        <v>324.85</v>
      </c>
      <c r="F171" s="117"/>
      <c r="G171" s="117"/>
      <c r="H171" s="160">
        <f t="shared" si="10"/>
        <v>0.77001693089118</v>
      </c>
      <c r="I171" s="264">
        <v>110.45</v>
      </c>
      <c r="J171" s="55"/>
      <c r="K171" s="264">
        <v>250.14</v>
      </c>
      <c r="L171" s="4">
        <f t="shared" si="9"/>
        <v>12834.2</v>
      </c>
      <c r="M171" s="55"/>
      <c r="N171" s="55"/>
      <c r="O171" s="266" t="s">
        <v>1658</v>
      </c>
    </row>
    <row r="172" ht="16.5" spans="1:15">
      <c r="A172" s="267">
        <v>46189</v>
      </c>
      <c r="B172" s="264" t="s">
        <v>75</v>
      </c>
      <c r="C172" s="117"/>
      <c r="D172" s="117"/>
      <c r="E172" s="264">
        <v>357.09</v>
      </c>
      <c r="F172" s="117"/>
      <c r="G172" s="117"/>
      <c r="H172" s="160">
        <f t="shared" si="10"/>
        <v>0.771234142653113</v>
      </c>
      <c r="I172" s="264">
        <v>121.85</v>
      </c>
      <c r="J172" s="55"/>
      <c r="K172" s="264">
        <v>275.4</v>
      </c>
      <c r="L172" s="4">
        <f t="shared" si="9"/>
        <v>12558.8</v>
      </c>
      <c r="M172" s="55"/>
      <c r="N172" s="55"/>
      <c r="O172" s="266" t="s">
        <v>1658</v>
      </c>
    </row>
    <row r="173" ht="16.5" spans="1:15">
      <c r="A173" s="267">
        <v>46189</v>
      </c>
      <c r="B173" s="264" t="s">
        <v>84</v>
      </c>
      <c r="C173" s="117"/>
      <c r="D173" s="117"/>
      <c r="E173" s="264">
        <v>247.09</v>
      </c>
      <c r="F173" s="117"/>
      <c r="G173" s="117"/>
      <c r="H173" s="160">
        <f t="shared" si="10"/>
        <v>0.850014164879194</v>
      </c>
      <c r="I173" s="264">
        <v>103.78</v>
      </c>
      <c r="J173" s="55"/>
      <c r="K173" s="264">
        <v>210.03</v>
      </c>
      <c r="L173" s="4">
        <f t="shared" si="9"/>
        <v>12348.77</v>
      </c>
      <c r="M173" s="55"/>
      <c r="N173" s="55"/>
      <c r="O173" s="266" t="s">
        <v>1658</v>
      </c>
    </row>
    <row r="174" ht="16.5" spans="1:15">
      <c r="A174" s="267">
        <v>46189</v>
      </c>
      <c r="B174" s="264" t="s">
        <v>144</v>
      </c>
      <c r="C174" s="117"/>
      <c r="D174" s="117"/>
      <c r="E174" s="264">
        <v>131.92</v>
      </c>
      <c r="F174" s="117"/>
      <c r="G174" s="117"/>
      <c r="H174" s="160">
        <f t="shared" si="10"/>
        <v>0.910248635536689</v>
      </c>
      <c r="I174" s="264">
        <v>63.35</v>
      </c>
      <c r="J174" s="55"/>
      <c r="K174" s="264">
        <v>120.08</v>
      </c>
      <c r="L174" s="4">
        <f t="shared" si="9"/>
        <v>12228.69</v>
      </c>
      <c r="M174" s="55"/>
      <c r="N174" s="55"/>
      <c r="O174" s="266" t="s">
        <v>1658</v>
      </c>
    </row>
    <row r="175" ht="16.5" spans="1:15">
      <c r="A175" s="267">
        <v>46189</v>
      </c>
      <c r="B175" s="264" t="s">
        <v>75</v>
      </c>
      <c r="C175" s="117"/>
      <c r="D175" s="117"/>
      <c r="E175" s="264">
        <v>255.3</v>
      </c>
      <c r="F175" s="117"/>
      <c r="G175" s="117"/>
      <c r="H175" s="160">
        <f t="shared" si="10"/>
        <v>0.969996083039561</v>
      </c>
      <c r="I175" s="264">
        <v>100.13</v>
      </c>
      <c r="J175" s="55"/>
      <c r="K175" s="264">
        <v>247.64</v>
      </c>
      <c r="L175" s="4">
        <f t="shared" si="9"/>
        <v>11981.05</v>
      </c>
      <c r="M175" s="55"/>
      <c r="N175" s="55"/>
      <c r="O175" s="266" t="s">
        <v>1658</v>
      </c>
    </row>
    <row r="176" ht="16.5" spans="1:15">
      <c r="A176" s="267">
        <v>46189</v>
      </c>
      <c r="B176" s="264" t="s">
        <v>339</v>
      </c>
      <c r="C176" s="117"/>
      <c r="D176" s="117"/>
      <c r="E176" s="264">
        <v>208.05</v>
      </c>
      <c r="F176" s="117"/>
      <c r="G176" s="117"/>
      <c r="H176" s="160">
        <f t="shared" si="10"/>
        <v>0.970007209805335</v>
      </c>
      <c r="I176" s="264">
        <v>81.6</v>
      </c>
      <c r="J176" s="55"/>
      <c r="K176" s="264">
        <v>201.81</v>
      </c>
      <c r="L176" s="4">
        <f t="shared" si="9"/>
        <v>11779.24</v>
      </c>
      <c r="M176" s="55"/>
      <c r="N176" s="55"/>
      <c r="O176" s="266" t="s">
        <v>1658</v>
      </c>
    </row>
    <row r="177" ht="16.5" spans="1:15">
      <c r="A177" s="267">
        <v>46189</v>
      </c>
      <c r="B177" s="264" t="s">
        <v>141</v>
      </c>
      <c r="C177" s="117"/>
      <c r="D177" s="117"/>
      <c r="E177" s="264">
        <v>238.26</v>
      </c>
      <c r="F177" s="117"/>
      <c r="G177" s="117"/>
      <c r="H177" s="160">
        <f t="shared" si="10"/>
        <v>0.920003357676488</v>
      </c>
      <c r="I177" s="264">
        <v>116.75</v>
      </c>
      <c r="J177" s="55"/>
      <c r="K177" s="264">
        <v>219.2</v>
      </c>
      <c r="L177" s="4">
        <f t="shared" si="9"/>
        <v>11560.04</v>
      </c>
      <c r="M177" s="55"/>
      <c r="N177" s="55"/>
      <c r="O177" s="266" t="s">
        <v>1658</v>
      </c>
    </row>
    <row r="178" ht="16.5" spans="1:15">
      <c r="A178" s="267">
        <v>46189</v>
      </c>
      <c r="B178" s="264" t="s">
        <v>132</v>
      </c>
      <c r="C178" s="117"/>
      <c r="D178" s="117"/>
      <c r="E178" s="264">
        <v>92.35</v>
      </c>
      <c r="F178" s="117"/>
      <c r="G178" s="117"/>
      <c r="H178" s="160">
        <f t="shared" si="10"/>
        <v>0.970005414185165</v>
      </c>
      <c r="I178" s="264">
        <v>36.22</v>
      </c>
      <c r="J178" s="55"/>
      <c r="K178" s="264">
        <v>89.58</v>
      </c>
      <c r="L178" s="4">
        <f t="shared" si="9"/>
        <v>11470.46</v>
      </c>
      <c r="M178" s="55"/>
      <c r="N178" s="55"/>
      <c r="O178" s="266" t="s">
        <v>1658</v>
      </c>
    </row>
    <row r="179" ht="16.5" spans="1:15">
      <c r="A179" s="262">
        <v>46190</v>
      </c>
      <c r="B179" s="263" t="s">
        <v>207</v>
      </c>
      <c r="C179" s="117"/>
      <c r="D179" s="117"/>
      <c r="E179" s="263">
        <v>204.25</v>
      </c>
      <c r="F179" s="117"/>
      <c r="G179" s="117"/>
      <c r="H179" s="160">
        <f t="shared" si="10"/>
        <v>0.820024479804162</v>
      </c>
      <c r="I179" s="263">
        <v>74.84</v>
      </c>
      <c r="K179" s="263">
        <v>167.49</v>
      </c>
      <c r="L179" s="4">
        <f t="shared" si="9"/>
        <v>11302.97</v>
      </c>
      <c r="O179" s="266" t="s">
        <v>1658</v>
      </c>
    </row>
    <row r="180" ht="16.5" spans="1:15">
      <c r="A180" s="267">
        <v>46190</v>
      </c>
      <c r="B180" s="264" t="s">
        <v>144</v>
      </c>
      <c r="C180" s="117"/>
      <c r="D180" s="117"/>
      <c r="E180" s="264">
        <v>2.33</v>
      </c>
      <c r="F180" s="117"/>
      <c r="G180" s="117"/>
      <c r="H180" s="160">
        <f t="shared" si="10"/>
        <v>0.849785407725322</v>
      </c>
      <c r="I180" s="264">
        <v>0.98</v>
      </c>
      <c r="K180" s="264">
        <v>1.98</v>
      </c>
      <c r="L180" s="4">
        <f t="shared" si="9"/>
        <v>11300.99</v>
      </c>
      <c r="O180" s="266" t="s">
        <v>1658</v>
      </c>
    </row>
    <row r="181" ht="16.5" spans="1:15">
      <c r="A181" s="267">
        <v>46190</v>
      </c>
      <c r="B181" s="264" t="s">
        <v>144</v>
      </c>
      <c r="C181" s="117"/>
      <c r="D181" s="117"/>
      <c r="E181" s="264">
        <v>0</v>
      </c>
      <c r="F181" s="117"/>
      <c r="G181" s="117"/>
      <c r="H181" s="160"/>
      <c r="I181" s="264">
        <v>0</v>
      </c>
      <c r="K181" s="264">
        <v>0</v>
      </c>
      <c r="L181" s="4">
        <f t="shared" si="9"/>
        <v>11300.99</v>
      </c>
      <c r="O181" s="266" t="s">
        <v>1658</v>
      </c>
    </row>
    <row r="182" ht="16.5" spans="1:15">
      <c r="A182" s="267">
        <v>46190</v>
      </c>
      <c r="B182" s="264" t="s">
        <v>144</v>
      </c>
      <c r="C182" s="117"/>
      <c r="D182" s="117"/>
      <c r="E182" s="264">
        <v>341.1</v>
      </c>
      <c r="F182" s="117"/>
      <c r="G182" s="117"/>
      <c r="H182" s="160">
        <f t="shared" ref="H182:H189" si="11">K182/E182</f>
        <v>0.84154206977426</v>
      </c>
      <c r="I182" s="264">
        <v>140.38</v>
      </c>
      <c r="K182" s="264">
        <v>287.05</v>
      </c>
      <c r="L182" s="4">
        <f t="shared" si="9"/>
        <v>11013.94</v>
      </c>
      <c r="O182" s="266" t="s">
        <v>1658</v>
      </c>
    </row>
    <row r="183" ht="16.5" spans="1:15">
      <c r="A183" s="267">
        <v>46190</v>
      </c>
      <c r="B183" s="264" t="s">
        <v>81</v>
      </c>
      <c r="C183" s="117"/>
      <c r="D183" s="117"/>
      <c r="E183" s="264">
        <v>353.82</v>
      </c>
      <c r="F183" s="117"/>
      <c r="G183" s="117"/>
      <c r="H183" s="160">
        <f t="shared" si="11"/>
        <v>0.719998869481657</v>
      </c>
      <c r="I183" s="264">
        <v>138.24</v>
      </c>
      <c r="K183" s="264">
        <v>254.75</v>
      </c>
      <c r="L183" s="4">
        <f t="shared" si="9"/>
        <v>10759.19</v>
      </c>
      <c r="O183" s="266" t="s">
        <v>1658</v>
      </c>
    </row>
    <row r="184" ht="16.5" spans="1:15">
      <c r="A184" s="267">
        <v>46190</v>
      </c>
      <c r="B184" s="264" t="s">
        <v>198</v>
      </c>
      <c r="C184" s="117"/>
      <c r="D184" s="117"/>
      <c r="E184" s="264">
        <v>223.1</v>
      </c>
      <c r="F184" s="117"/>
      <c r="G184" s="117"/>
      <c r="H184" s="160">
        <f t="shared" si="11"/>
        <v>0.81999103541013</v>
      </c>
      <c r="I184" s="264">
        <v>81.74</v>
      </c>
      <c r="K184" s="264">
        <v>182.94</v>
      </c>
      <c r="L184" s="4">
        <f t="shared" si="9"/>
        <v>10576.25</v>
      </c>
      <c r="O184" s="266" t="s">
        <v>1658</v>
      </c>
    </row>
    <row r="185" ht="16.5" spans="1:15">
      <c r="A185" s="267">
        <v>46190</v>
      </c>
      <c r="B185" s="264" t="s">
        <v>127</v>
      </c>
      <c r="C185" s="117"/>
      <c r="D185" s="117"/>
      <c r="E185" s="264">
        <v>365.91</v>
      </c>
      <c r="F185" s="117"/>
      <c r="G185" s="117"/>
      <c r="H185" s="160">
        <f t="shared" si="11"/>
        <v>0.820010385067366</v>
      </c>
      <c r="I185" s="264">
        <v>134.07</v>
      </c>
      <c r="K185" s="264">
        <v>300.05</v>
      </c>
      <c r="L185" s="4">
        <f t="shared" si="9"/>
        <v>10276.2</v>
      </c>
      <c r="O185" s="266" t="s">
        <v>1658</v>
      </c>
    </row>
    <row r="186" ht="16.5" spans="1:15">
      <c r="A186" s="267">
        <v>46190</v>
      </c>
      <c r="B186" s="264" t="s">
        <v>63</v>
      </c>
      <c r="C186" s="117"/>
      <c r="D186" s="117"/>
      <c r="E186" s="264">
        <v>360.55</v>
      </c>
      <c r="F186" s="117"/>
      <c r="G186" s="117"/>
      <c r="H186" s="160">
        <f t="shared" si="11"/>
        <v>0.747580085979753</v>
      </c>
      <c r="I186" s="264">
        <v>138.45</v>
      </c>
      <c r="K186" s="264">
        <v>269.54</v>
      </c>
      <c r="L186" s="4">
        <f t="shared" si="9"/>
        <v>10006.66</v>
      </c>
      <c r="O186" s="266" t="s">
        <v>1658</v>
      </c>
    </row>
    <row r="187" ht="16.5" spans="1:15">
      <c r="A187" s="267">
        <v>46190</v>
      </c>
      <c r="B187" s="264" t="s">
        <v>183</v>
      </c>
      <c r="C187" s="117"/>
      <c r="D187" s="117"/>
      <c r="E187" s="264">
        <v>228.16</v>
      </c>
      <c r="F187" s="117"/>
      <c r="G187" s="117"/>
      <c r="H187" s="160">
        <f t="shared" si="11"/>
        <v>0.764726507713885</v>
      </c>
      <c r="I187" s="264">
        <v>86.66</v>
      </c>
      <c r="K187" s="264">
        <v>174.48</v>
      </c>
      <c r="L187" s="4">
        <f t="shared" si="9"/>
        <v>9832.18</v>
      </c>
      <c r="O187" s="266" t="s">
        <v>1658</v>
      </c>
    </row>
    <row r="188" ht="16.5" spans="1:15">
      <c r="A188" s="267">
        <v>46190</v>
      </c>
      <c r="B188" s="264" t="s">
        <v>148</v>
      </c>
      <c r="C188" s="117"/>
      <c r="D188" s="117"/>
      <c r="E188" s="264">
        <v>226.82</v>
      </c>
      <c r="F188" s="117"/>
      <c r="G188" s="117"/>
      <c r="H188" s="160">
        <f t="shared" si="11"/>
        <v>0.820033506745437</v>
      </c>
      <c r="I188" s="264">
        <v>83.11</v>
      </c>
      <c r="K188" s="264">
        <v>186</v>
      </c>
      <c r="L188" s="4">
        <f t="shared" si="9"/>
        <v>9646.18</v>
      </c>
      <c r="O188" s="266" t="s">
        <v>1658</v>
      </c>
    </row>
    <row r="189" ht="16.5" spans="1:15">
      <c r="A189" s="267">
        <v>46190</v>
      </c>
      <c r="B189" s="264" t="s">
        <v>180</v>
      </c>
      <c r="C189" s="117"/>
      <c r="D189" s="117"/>
      <c r="E189" s="264">
        <v>55.22</v>
      </c>
      <c r="F189" s="117"/>
      <c r="G189" s="117"/>
      <c r="H189" s="160">
        <f t="shared" si="11"/>
        <v>0.819992756247736</v>
      </c>
      <c r="I189" s="264">
        <v>20.23</v>
      </c>
      <c r="K189" s="264">
        <v>45.28</v>
      </c>
      <c r="L189" s="4">
        <f t="shared" si="9"/>
        <v>9600.9</v>
      </c>
      <c r="O189" s="266" t="s">
        <v>1658</v>
      </c>
    </row>
    <row r="190" ht="16.5" spans="1:15">
      <c r="A190" s="267">
        <v>46190</v>
      </c>
      <c r="B190" s="264" t="s">
        <v>63</v>
      </c>
      <c r="C190" s="117"/>
      <c r="D190" s="117"/>
      <c r="E190" s="264">
        <v>0</v>
      </c>
      <c r="F190" s="117"/>
      <c r="G190" s="117"/>
      <c r="H190" s="160"/>
      <c r="I190" s="264">
        <v>0</v>
      </c>
      <c r="K190" s="264">
        <v>0</v>
      </c>
      <c r="L190" s="4">
        <f t="shared" si="9"/>
        <v>9600.9</v>
      </c>
      <c r="O190" s="266" t="s">
        <v>1658</v>
      </c>
    </row>
    <row r="191" ht="16.5" spans="1:15">
      <c r="A191" s="267">
        <v>46190</v>
      </c>
      <c r="B191" s="264" t="s">
        <v>180</v>
      </c>
      <c r="C191" s="117"/>
      <c r="D191" s="117"/>
      <c r="E191" s="264">
        <v>54.53</v>
      </c>
      <c r="F191" s="117"/>
      <c r="G191" s="117"/>
      <c r="H191" s="160">
        <f>K191/E191</f>
        <v>0.81991564276545</v>
      </c>
      <c r="I191" s="264">
        <v>19.98</v>
      </c>
      <c r="K191" s="264">
        <v>44.71</v>
      </c>
      <c r="L191" s="4">
        <f t="shared" si="9"/>
        <v>9556.19</v>
      </c>
      <c r="O191" s="266" t="s">
        <v>1658</v>
      </c>
    </row>
    <row r="192" ht="16.5" spans="1:15">
      <c r="A192" s="267">
        <v>46190</v>
      </c>
      <c r="B192" s="264" t="s">
        <v>114</v>
      </c>
      <c r="C192" s="117"/>
      <c r="D192" s="117"/>
      <c r="E192" s="264">
        <v>296.13</v>
      </c>
      <c r="F192" s="117"/>
      <c r="G192" s="117"/>
      <c r="H192" s="160">
        <f>K192/E192</f>
        <v>0.969979400938777</v>
      </c>
      <c r="I192" s="264">
        <v>116.14</v>
      </c>
      <c r="K192" s="264">
        <v>287.24</v>
      </c>
      <c r="L192" s="4">
        <f t="shared" si="9"/>
        <v>9268.95</v>
      </c>
      <c r="O192" s="266" t="s">
        <v>1658</v>
      </c>
    </row>
    <row r="193" ht="16.5" spans="1:15">
      <c r="A193" s="267">
        <v>46190</v>
      </c>
      <c r="B193" s="264" t="s">
        <v>135</v>
      </c>
      <c r="C193" s="117"/>
      <c r="D193" s="117"/>
      <c r="E193" s="264">
        <v>207.28</v>
      </c>
      <c r="F193" s="117"/>
      <c r="G193" s="117"/>
      <c r="H193" s="160">
        <f>K193/E193</f>
        <v>0.970040524893863</v>
      </c>
      <c r="I193" s="264">
        <v>81.3</v>
      </c>
      <c r="K193" s="264">
        <v>201.07</v>
      </c>
      <c r="L193" s="4">
        <f t="shared" si="9"/>
        <v>9067.88</v>
      </c>
      <c r="O193" s="266" t="s">
        <v>1658</v>
      </c>
    </row>
    <row r="194" ht="16.5" spans="1:15">
      <c r="A194" s="267">
        <v>46190</v>
      </c>
      <c r="B194" s="264" t="s">
        <v>141</v>
      </c>
      <c r="C194" s="117"/>
      <c r="D194" s="117"/>
      <c r="E194" s="264">
        <v>1.25</v>
      </c>
      <c r="F194" s="117"/>
      <c r="G194" s="117"/>
      <c r="H194" s="160">
        <f>K194/E194</f>
        <v>0.968</v>
      </c>
      <c r="I194" s="264">
        <v>0.49</v>
      </c>
      <c r="K194" s="264">
        <v>1.21</v>
      </c>
      <c r="L194" s="4">
        <f t="shared" si="9"/>
        <v>9066.67</v>
      </c>
      <c r="O194" s="266" t="s">
        <v>1658</v>
      </c>
    </row>
    <row r="195" ht="16.5" spans="1:15">
      <c r="A195" s="267">
        <v>46190</v>
      </c>
      <c r="B195" s="264" t="s">
        <v>141</v>
      </c>
      <c r="C195" s="117"/>
      <c r="D195" s="117"/>
      <c r="E195" s="264">
        <v>0</v>
      </c>
      <c r="F195" s="117"/>
      <c r="G195" s="117"/>
      <c r="H195" s="160"/>
      <c r="I195" s="264">
        <v>0</v>
      </c>
      <c r="K195" s="264">
        <v>0</v>
      </c>
      <c r="L195" s="4">
        <f t="shared" si="9"/>
        <v>9066.67</v>
      </c>
      <c r="O195" s="266" t="s">
        <v>1658</v>
      </c>
    </row>
    <row r="196" ht="16.5" spans="1:15">
      <c r="A196" s="267">
        <v>46190</v>
      </c>
      <c r="B196" s="264" t="s">
        <v>141</v>
      </c>
      <c r="C196" s="117"/>
      <c r="D196" s="117"/>
      <c r="E196" s="264">
        <v>105.09</v>
      </c>
      <c r="F196" s="117"/>
      <c r="G196" s="117"/>
      <c r="H196" s="160">
        <f t="shared" ref="H196:H210" si="12">K196/E196</f>
        <v>0.970025692263774</v>
      </c>
      <c r="I196" s="264">
        <v>41.22</v>
      </c>
      <c r="K196" s="264">
        <v>101.94</v>
      </c>
      <c r="L196" s="4">
        <f t="shared" si="9"/>
        <v>8964.73</v>
      </c>
      <c r="O196" s="266" t="s">
        <v>1658</v>
      </c>
    </row>
    <row r="197" ht="16.5" spans="1:15">
      <c r="A197" s="267">
        <v>46190</v>
      </c>
      <c r="B197" s="264" t="s">
        <v>148</v>
      </c>
      <c r="C197" s="117"/>
      <c r="D197" s="117"/>
      <c r="E197" s="264">
        <v>199.25</v>
      </c>
      <c r="F197" s="117"/>
      <c r="G197" s="117"/>
      <c r="H197" s="160">
        <f t="shared" si="12"/>
        <v>0.92</v>
      </c>
      <c r="I197" s="264">
        <v>97.63</v>
      </c>
      <c r="K197" s="264">
        <v>183.31</v>
      </c>
      <c r="L197" s="4">
        <f t="shared" si="9"/>
        <v>8781.42</v>
      </c>
      <c r="O197" s="266" t="s">
        <v>1658</v>
      </c>
    </row>
    <row r="198" ht="16.5" spans="1:15">
      <c r="A198" s="267">
        <v>46191</v>
      </c>
      <c r="B198" s="275" t="s">
        <v>60</v>
      </c>
      <c r="E198" s="285">
        <v>306.56</v>
      </c>
      <c r="H198" s="160">
        <f t="shared" si="12"/>
        <v>0.449471555323591</v>
      </c>
      <c r="I198" s="286">
        <v>112.57</v>
      </c>
      <c r="J198" s="144">
        <v>10000</v>
      </c>
      <c r="K198" s="286">
        <v>137.79</v>
      </c>
      <c r="L198" s="4">
        <f t="shared" si="9"/>
        <v>18643.63</v>
      </c>
      <c r="O198" s="266" t="s">
        <v>1658</v>
      </c>
    </row>
    <row r="199" ht="16.5" spans="1:15">
      <c r="A199" s="267">
        <v>46191</v>
      </c>
      <c r="B199" s="275" t="s">
        <v>186</v>
      </c>
      <c r="E199" s="285">
        <v>174.02</v>
      </c>
      <c r="H199" s="160">
        <f t="shared" si="12"/>
        <v>0.577807148603609</v>
      </c>
      <c r="I199" s="286">
        <v>68.25</v>
      </c>
      <c r="K199" s="286">
        <v>100.55</v>
      </c>
      <c r="L199" s="4">
        <f t="shared" si="9"/>
        <v>18543.08</v>
      </c>
      <c r="O199" s="266" t="s">
        <v>1658</v>
      </c>
    </row>
    <row r="200" ht="16.5" spans="1:15">
      <c r="A200" s="267">
        <v>46191</v>
      </c>
      <c r="B200" s="275" t="s">
        <v>54</v>
      </c>
      <c r="E200" s="285">
        <v>202.35</v>
      </c>
      <c r="H200" s="160">
        <f t="shared" si="12"/>
        <v>0.453619965406474</v>
      </c>
      <c r="I200" s="286">
        <v>74.14</v>
      </c>
      <c r="K200" s="286">
        <v>91.79</v>
      </c>
      <c r="L200" s="4">
        <f t="shared" si="9"/>
        <v>18451.29</v>
      </c>
      <c r="O200" s="266" t="s">
        <v>1658</v>
      </c>
    </row>
    <row r="201" ht="16.5" spans="1:15">
      <c r="A201" s="267">
        <v>46191</v>
      </c>
      <c r="B201" s="275" t="s">
        <v>75</v>
      </c>
      <c r="E201" s="285">
        <v>181.82</v>
      </c>
      <c r="H201" s="160">
        <f t="shared" si="12"/>
        <v>0.329281707182928</v>
      </c>
      <c r="I201" s="286">
        <v>71.04</v>
      </c>
      <c r="K201" s="286">
        <v>59.87</v>
      </c>
      <c r="L201" s="4">
        <f t="shared" si="9"/>
        <v>18391.42</v>
      </c>
      <c r="O201" s="266" t="s">
        <v>1658</v>
      </c>
    </row>
    <row r="202" ht="16.5" spans="1:15">
      <c r="A202" s="267">
        <v>46191</v>
      </c>
      <c r="B202" s="275" t="s">
        <v>177</v>
      </c>
      <c r="E202" s="285">
        <v>115.46</v>
      </c>
      <c r="H202" s="160">
        <f t="shared" si="12"/>
        <v>0.329291529534038</v>
      </c>
      <c r="I202" s="286">
        <v>45.11</v>
      </c>
      <c r="K202" s="286">
        <v>38.02</v>
      </c>
      <c r="L202" s="4">
        <f t="shared" si="9"/>
        <v>18353.4</v>
      </c>
      <c r="O202" s="266" t="s">
        <v>1658</v>
      </c>
    </row>
    <row r="203" ht="16.5" spans="1:15">
      <c r="A203" s="267">
        <v>46191</v>
      </c>
      <c r="B203" s="275" t="s">
        <v>210</v>
      </c>
      <c r="E203" s="285">
        <v>234.17</v>
      </c>
      <c r="H203" s="160">
        <f t="shared" si="12"/>
        <v>0.329290686253576</v>
      </c>
      <c r="I203" s="286">
        <v>91.49</v>
      </c>
      <c r="K203" s="286">
        <v>77.11</v>
      </c>
      <c r="L203" s="4">
        <f t="shared" si="9"/>
        <v>18276.29</v>
      </c>
      <c r="O203" s="266" t="s">
        <v>1658</v>
      </c>
    </row>
    <row r="204" ht="16.5" spans="1:15">
      <c r="A204" s="267">
        <v>46191</v>
      </c>
      <c r="B204" s="275" t="s">
        <v>192</v>
      </c>
      <c r="E204" s="285">
        <v>151.97</v>
      </c>
      <c r="H204" s="160">
        <f t="shared" si="12"/>
        <v>0.453576363756005</v>
      </c>
      <c r="I204" s="286">
        <v>55.68</v>
      </c>
      <c r="K204" s="286">
        <v>68.93</v>
      </c>
      <c r="L204" s="4">
        <f t="shared" si="9"/>
        <v>18207.36</v>
      </c>
      <c r="O204" s="266" t="s">
        <v>1658</v>
      </c>
    </row>
    <row r="205" ht="16.5" spans="1:15">
      <c r="A205" s="267">
        <v>46191</v>
      </c>
      <c r="B205" s="275" t="s">
        <v>127</v>
      </c>
      <c r="E205" s="285">
        <v>241.69</v>
      </c>
      <c r="H205" s="160">
        <f t="shared" si="12"/>
        <v>0.430013653854111</v>
      </c>
      <c r="I205" s="286">
        <v>101.51</v>
      </c>
      <c r="K205" s="286">
        <v>103.93</v>
      </c>
      <c r="L205" s="4">
        <f t="shared" si="9"/>
        <v>18103.43</v>
      </c>
      <c r="O205" s="266" t="s">
        <v>1658</v>
      </c>
    </row>
    <row r="206" ht="16.5" spans="1:15">
      <c r="A206" s="267">
        <v>46191</v>
      </c>
      <c r="B206" s="275" t="s">
        <v>75</v>
      </c>
      <c r="E206" s="285">
        <v>206.15</v>
      </c>
      <c r="H206" s="160">
        <f t="shared" si="12"/>
        <v>0.429978171234538</v>
      </c>
      <c r="I206" s="286">
        <v>86.58</v>
      </c>
      <c r="K206" s="286">
        <v>88.64</v>
      </c>
      <c r="L206" s="4">
        <f t="shared" si="9"/>
        <v>18014.79</v>
      </c>
      <c r="O206" s="266" t="s">
        <v>1658</v>
      </c>
    </row>
    <row r="207" ht="16.5" spans="1:15">
      <c r="A207" s="267">
        <v>46191</v>
      </c>
      <c r="B207" s="275" t="s">
        <v>207</v>
      </c>
      <c r="E207" s="285">
        <v>99.01</v>
      </c>
      <c r="H207" s="160">
        <f t="shared" si="12"/>
        <v>0.42995657004343</v>
      </c>
      <c r="I207" s="286">
        <v>47.15</v>
      </c>
      <c r="K207" s="286">
        <v>42.57</v>
      </c>
      <c r="L207" s="4">
        <f t="shared" si="9"/>
        <v>17972.22</v>
      </c>
      <c r="O207" s="266" t="s">
        <v>1658</v>
      </c>
    </row>
    <row r="208" ht="16.5" spans="1:15">
      <c r="A208" s="267">
        <v>46191</v>
      </c>
      <c r="B208" s="275" t="s">
        <v>127</v>
      </c>
      <c r="E208" s="285">
        <v>110.09</v>
      </c>
      <c r="H208" s="160">
        <f t="shared" si="12"/>
        <v>0.430011808520302</v>
      </c>
      <c r="I208" s="286">
        <v>53.94</v>
      </c>
      <c r="K208" s="286">
        <v>47.34</v>
      </c>
      <c r="L208" s="4">
        <f t="shared" si="9"/>
        <v>17924.88</v>
      </c>
      <c r="O208" s="266" t="s">
        <v>1658</v>
      </c>
    </row>
    <row r="209" ht="16.5" spans="1:15">
      <c r="A209" s="267">
        <v>46191</v>
      </c>
      <c r="B209" s="275" t="s">
        <v>148</v>
      </c>
      <c r="E209" s="285">
        <v>174.84</v>
      </c>
      <c r="H209" s="160">
        <f t="shared" si="12"/>
        <v>0.429993136582018</v>
      </c>
      <c r="I209" s="286">
        <v>84.35</v>
      </c>
      <c r="K209" s="286">
        <v>75.18</v>
      </c>
      <c r="L209" s="4">
        <f t="shared" si="9"/>
        <v>17849.7</v>
      </c>
      <c r="O209" s="266" t="s">
        <v>1658</v>
      </c>
    </row>
    <row r="210" ht="16.5" spans="1:15">
      <c r="A210" s="267">
        <v>46191</v>
      </c>
      <c r="B210" s="275" t="s">
        <v>124</v>
      </c>
      <c r="E210" s="285">
        <v>57.12</v>
      </c>
      <c r="H210" s="160">
        <f t="shared" si="12"/>
        <v>0.577731092436975</v>
      </c>
      <c r="I210" s="286">
        <v>22.4</v>
      </c>
      <c r="K210" s="286">
        <v>33</v>
      </c>
      <c r="L210" s="4">
        <f t="shared" ref="L210:L249" si="13">L209+J210-K210</f>
        <v>17816.7</v>
      </c>
      <c r="O210" s="266" t="s">
        <v>1658</v>
      </c>
    </row>
    <row r="211" ht="16.5" spans="1:15">
      <c r="A211" s="267">
        <v>46191</v>
      </c>
      <c r="B211" s="275" t="s">
        <v>207</v>
      </c>
      <c r="E211" s="285">
        <v>0</v>
      </c>
      <c r="H211" s="160"/>
      <c r="I211" s="286">
        <v>0</v>
      </c>
      <c r="K211" s="286">
        <v>0</v>
      </c>
      <c r="L211" s="4">
        <f t="shared" si="13"/>
        <v>17816.7</v>
      </c>
      <c r="O211" s="266" t="s">
        <v>1658</v>
      </c>
    </row>
    <row r="212" ht="16.5" spans="1:15">
      <c r="A212" s="267">
        <v>46191</v>
      </c>
      <c r="B212" s="275" t="s">
        <v>148</v>
      </c>
      <c r="E212" s="285">
        <v>253.66</v>
      </c>
      <c r="H212" s="160">
        <f>K212/E212</f>
        <v>0.577781282031065</v>
      </c>
      <c r="I212" s="286">
        <v>99.49</v>
      </c>
      <c r="K212" s="286">
        <v>146.56</v>
      </c>
      <c r="L212" s="4">
        <f t="shared" si="13"/>
        <v>17670.14</v>
      </c>
      <c r="O212" s="266" t="s">
        <v>1658</v>
      </c>
    </row>
    <row r="213" ht="16.5" spans="1:15">
      <c r="A213" s="267">
        <v>46191</v>
      </c>
      <c r="B213" s="275" t="s">
        <v>207</v>
      </c>
      <c r="E213" s="285">
        <v>259.9</v>
      </c>
      <c r="H213" s="160">
        <f>K213/E213</f>
        <v>0.577799153520585</v>
      </c>
      <c r="I213" s="286">
        <v>101.93</v>
      </c>
      <c r="K213" s="286">
        <v>150.17</v>
      </c>
      <c r="L213" s="4">
        <f t="shared" si="13"/>
        <v>17519.97</v>
      </c>
      <c r="O213" s="266" t="s">
        <v>1658</v>
      </c>
    </row>
    <row r="214" ht="16.5" spans="1:15">
      <c r="A214" s="267">
        <v>46192</v>
      </c>
      <c r="B214" s="275" t="s">
        <v>144</v>
      </c>
      <c r="E214" s="285">
        <v>0</v>
      </c>
      <c r="H214" s="160"/>
      <c r="I214" s="286">
        <v>0</v>
      </c>
      <c r="K214" s="286">
        <v>0</v>
      </c>
      <c r="L214" s="4">
        <f t="shared" si="13"/>
        <v>17519.97</v>
      </c>
      <c r="O214" s="266" t="s">
        <v>1658</v>
      </c>
    </row>
    <row r="215" ht="16.5" spans="1:15">
      <c r="A215" s="267">
        <v>46192</v>
      </c>
      <c r="B215" s="275" t="s">
        <v>144</v>
      </c>
      <c r="E215" s="285">
        <v>247.59</v>
      </c>
      <c r="H215" s="160">
        <f>K215/E215</f>
        <v>0.429985055939254</v>
      </c>
      <c r="I215" s="286">
        <v>100.66</v>
      </c>
      <c r="K215" s="286">
        <v>106.46</v>
      </c>
      <c r="L215" s="4">
        <f t="shared" si="13"/>
        <v>17413.51</v>
      </c>
      <c r="O215" s="266" t="s">
        <v>1658</v>
      </c>
    </row>
    <row r="216" ht="16.5" spans="1:15">
      <c r="A216" s="267">
        <v>46192</v>
      </c>
      <c r="B216" s="275" t="s">
        <v>189</v>
      </c>
      <c r="E216" s="285">
        <v>102.43</v>
      </c>
      <c r="H216" s="160">
        <f>K216/E216</f>
        <v>0.429952162452406</v>
      </c>
      <c r="I216" s="286">
        <v>50.19</v>
      </c>
      <c r="K216" s="286">
        <v>44.04</v>
      </c>
      <c r="L216" s="4">
        <f t="shared" si="13"/>
        <v>17369.47</v>
      </c>
      <c r="O216" s="266" t="s">
        <v>1658</v>
      </c>
    </row>
    <row r="217" ht="16.5" spans="1:15">
      <c r="A217" s="267">
        <v>46192</v>
      </c>
      <c r="B217" s="275" t="s">
        <v>174</v>
      </c>
      <c r="E217" s="285">
        <v>216.61</v>
      </c>
      <c r="H217" s="160">
        <f>K217/E217</f>
        <v>0.453580167120632</v>
      </c>
      <c r="I217" s="286">
        <v>79.37</v>
      </c>
      <c r="K217" s="286">
        <v>98.25</v>
      </c>
      <c r="L217" s="4">
        <f t="shared" si="13"/>
        <v>17271.22</v>
      </c>
      <c r="O217" s="266" t="s">
        <v>1658</v>
      </c>
    </row>
    <row r="218" ht="16.5" spans="1:15">
      <c r="A218" s="267">
        <v>46192</v>
      </c>
      <c r="B218" s="275" t="s">
        <v>96</v>
      </c>
      <c r="E218" s="285">
        <v>0.5</v>
      </c>
      <c r="H218" s="160">
        <f>K218/E218</f>
        <v>0.32</v>
      </c>
      <c r="I218" s="286">
        <v>0.2</v>
      </c>
      <c r="K218" s="286">
        <v>0.16</v>
      </c>
      <c r="L218" s="4">
        <f t="shared" si="13"/>
        <v>17271.06</v>
      </c>
      <c r="O218" s="266" t="s">
        <v>1658</v>
      </c>
    </row>
    <row r="219" ht="16.5" spans="1:15">
      <c r="A219" s="267">
        <v>46192</v>
      </c>
      <c r="B219" s="275" t="s">
        <v>102</v>
      </c>
      <c r="E219" s="285">
        <v>0</v>
      </c>
      <c r="H219" s="160"/>
      <c r="I219" s="286">
        <v>0</v>
      </c>
      <c r="K219" s="286">
        <v>0</v>
      </c>
      <c r="L219" s="4">
        <f t="shared" si="13"/>
        <v>17271.06</v>
      </c>
      <c r="O219" s="266" t="s">
        <v>1658</v>
      </c>
    </row>
    <row r="220" ht="16.5" spans="1:15">
      <c r="A220" s="267">
        <v>46192</v>
      </c>
      <c r="B220" s="275" t="s">
        <v>102</v>
      </c>
      <c r="E220" s="285">
        <v>0</v>
      </c>
      <c r="H220" s="160"/>
      <c r="I220" s="286">
        <v>0</v>
      </c>
      <c r="K220" s="286">
        <v>0</v>
      </c>
      <c r="L220" s="4">
        <f t="shared" si="13"/>
        <v>17271.06</v>
      </c>
      <c r="O220" s="266" t="s">
        <v>1658</v>
      </c>
    </row>
    <row r="221" ht="16.5" spans="1:15">
      <c r="A221" s="267">
        <v>46192</v>
      </c>
      <c r="B221" s="275" t="s">
        <v>96</v>
      </c>
      <c r="E221" s="285">
        <v>109.87</v>
      </c>
      <c r="H221" s="160">
        <f t="shared" ref="H221:H249" si="14">K221/E221</f>
        <v>0.329298261581869</v>
      </c>
      <c r="I221" s="286">
        <v>42.93</v>
      </c>
      <c r="K221" s="286">
        <v>36.18</v>
      </c>
      <c r="L221" s="4">
        <f t="shared" si="13"/>
        <v>17234.88</v>
      </c>
      <c r="O221" s="266" t="s">
        <v>1658</v>
      </c>
    </row>
    <row r="222" ht="16.5" spans="1:15">
      <c r="A222" s="267">
        <v>46192</v>
      </c>
      <c r="B222" s="275" t="s">
        <v>102</v>
      </c>
      <c r="E222" s="285">
        <v>32.61</v>
      </c>
      <c r="H222" s="160">
        <f t="shared" si="14"/>
        <v>0.329346826126955</v>
      </c>
      <c r="I222" s="286">
        <v>12.74</v>
      </c>
      <c r="K222" s="286">
        <v>10.74</v>
      </c>
      <c r="L222" s="4">
        <f t="shared" si="13"/>
        <v>17224.14</v>
      </c>
      <c r="O222" s="266" t="s">
        <v>1658</v>
      </c>
    </row>
    <row r="223" ht="16.5" spans="1:15">
      <c r="A223" s="267">
        <v>46192</v>
      </c>
      <c r="B223" s="275" t="s">
        <v>132</v>
      </c>
      <c r="E223" s="285">
        <v>139.94</v>
      </c>
      <c r="H223" s="160">
        <f t="shared" si="14"/>
        <v>0.329283978848078</v>
      </c>
      <c r="I223" s="286">
        <v>54.67</v>
      </c>
      <c r="K223" s="286">
        <v>46.08</v>
      </c>
      <c r="L223" s="4">
        <f t="shared" si="13"/>
        <v>17178.06</v>
      </c>
      <c r="O223" s="266" t="s">
        <v>1658</v>
      </c>
    </row>
    <row r="224" ht="16.5" spans="1:15">
      <c r="A224" s="267">
        <v>46192</v>
      </c>
      <c r="B224" s="275" t="s">
        <v>84</v>
      </c>
      <c r="E224" s="285">
        <v>153.48</v>
      </c>
      <c r="H224" s="160">
        <f t="shared" si="14"/>
        <v>0.435822256971592</v>
      </c>
      <c r="I224" s="286">
        <v>59.96</v>
      </c>
      <c r="K224" s="286">
        <f>50.54+16.35</f>
        <v>66.89</v>
      </c>
      <c r="L224" s="4">
        <f t="shared" si="13"/>
        <v>17111.17</v>
      </c>
      <c r="O224" s="266" t="s">
        <v>1658</v>
      </c>
    </row>
    <row r="225" ht="16.5" spans="1:15">
      <c r="A225" s="267">
        <v>46192</v>
      </c>
      <c r="B225" s="275" t="s">
        <v>75</v>
      </c>
      <c r="E225" s="285">
        <v>1.25</v>
      </c>
      <c r="H225" s="160">
        <f t="shared" si="14"/>
        <v>0.72</v>
      </c>
      <c r="I225" s="144">
        <v>0.49</v>
      </c>
      <c r="K225" s="144">
        <v>0.9</v>
      </c>
      <c r="L225" s="4">
        <f t="shared" si="13"/>
        <v>17110.27</v>
      </c>
      <c r="O225" s="266" t="s">
        <v>1658</v>
      </c>
    </row>
    <row r="226" ht="16.5" spans="1:15">
      <c r="A226" s="267">
        <v>46192</v>
      </c>
      <c r="B226" s="275" t="s">
        <v>75</v>
      </c>
      <c r="E226" s="285">
        <v>69.96</v>
      </c>
      <c r="H226" s="160">
        <f t="shared" si="14"/>
        <v>0.811749571183534</v>
      </c>
      <c r="I226" s="144">
        <v>25.77</v>
      </c>
      <c r="K226" s="144">
        <v>56.79</v>
      </c>
      <c r="L226" s="4">
        <f t="shared" si="13"/>
        <v>17053.48</v>
      </c>
      <c r="O226" s="266" t="s">
        <v>1658</v>
      </c>
    </row>
    <row r="227" ht="16.5" spans="1:15">
      <c r="A227" s="267">
        <v>46192</v>
      </c>
      <c r="B227" s="275" t="s">
        <v>138</v>
      </c>
      <c r="E227" s="285">
        <v>191.96</v>
      </c>
      <c r="H227" s="160">
        <f t="shared" si="14"/>
        <v>0.849968743488227</v>
      </c>
      <c r="I227" s="144">
        <v>80.62</v>
      </c>
      <c r="K227" s="144">
        <v>163.16</v>
      </c>
      <c r="L227" s="4">
        <f t="shared" si="13"/>
        <v>16890.32</v>
      </c>
      <c r="O227" s="266" t="s">
        <v>1658</v>
      </c>
    </row>
    <row r="228" ht="16.5" spans="1:15">
      <c r="A228" s="267">
        <v>46192</v>
      </c>
      <c r="B228" s="275" t="s">
        <v>75</v>
      </c>
      <c r="E228" s="285">
        <v>285</v>
      </c>
      <c r="H228" s="160">
        <f t="shared" si="14"/>
        <v>0.82</v>
      </c>
      <c r="I228" s="144">
        <v>104.42</v>
      </c>
      <c r="K228" s="144">
        <v>233.7</v>
      </c>
      <c r="L228" s="4">
        <f t="shared" si="13"/>
        <v>16656.62</v>
      </c>
      <c r="O228" s="266" t="s">
        <v>1658</v>
      </c>
    </row>
    <row r="229" ht="16.5" spans="1:15">
      <c r="A229" s="267">
        <v>46192</v>
      </c>
      <c r="B229" s="275" t="s">
        <v>177</v>
      </c>
      <c r="E229" s="285">
        <v>203.26</v>
      </c>
      <c r="H229" s="160">
        <f t="shared" si="14"/>
        <v>0.819984256617141</v>
      </c>
      <c r="I229" s="144">
        <v>74.47</v>
      </c>
      <c r="K229" s="144">
        <v>166.67</v>
      </c>
      <c r="L229" s="4">
        <f t="shared" si="13"/>
        <v>16489.95</v>
      </c>
      <c r="O229" s="266" t="s">
        <v>1658</v>
      </c>
    </row>
    <row r="230" ht="16.5" spans="1:15">
      <c r="A230" s="267">
        <v>46192</v>
      </c>
      <c r="B230" s="275" t="s">
        <v>81</v>
      </c>
      <c r="E230" s="285">
        <v>339.87</v>
      </c>
      <c r="H230" s="160">
        <f t="shared" si="14"/>
        <v>0.897725600965075</v>
      </c>
      <c r="I230" s="144">
        <v>129.07</v>
      </c>
      <c r="K230" s="144">
        <v>305.11</v>
      </c>
      <c r="L230" s="4">
        <f t="shared" si="13"/>
        <v>16184.84</v>
      </c>
      <c r="O230" s="266" t="s">
        <v>1658</v>
      </c>
    </row>
    <row r="231" ht="16.5" spans="1:15">
      <c r="A231" s="267">
        <v>46192</v>
      </c>
      <c r="B231" s="275" t="s">
        <v>213</v>
      </c>
      <c r="E231" s="285">
        <v>192.9</v>
      </c>
      <c r="H231" s="160">
        <f t="shared" si="14"/>
        <v>0.970036288232245</v>
      </c>
      <c r="I231" s="144">
        <v>75.66</v>
      </c>
      <c r="K231" s="144">
        <v>187.12</v>
      </c>
      <c r="L231" s="4">
        <f t="shared" si="13"/>
        <v>15997.72</v>
      </c>
      <c r="O231" s="266" t="s">
        <v>1658</v>
      </c>
    </row>
    <row r="232" ht="16.5" spans="1:15">
      <c r="A232" s="267">
        <v>46193</v>
      </c>
      <c r="B232" s="275" t="s">
        <v>141</v>
      </c>
      <c r="E232" s="285">
        <v>218.72</v>
      </c>
      <c r="H232" s="160">
        <f t="shared" si="14"/>
        <v>0.790416971470373</v>
      </c>
      <c r="I232" s="144">
        <v>81.71</v>
      </c>
      <c r="K232" s="144">
        <v>172.88</v>
      </c>
      <c r="L232" s="4">
        <f t="shared" si="13"/>
        <v>15824.84</v>
      </c>
      <c r="O232" s="266" t="s">
        <v>1658</v>
      </c>
    </row>
    <row r="233" ht="16.5" spans="1:15">
      <c r="A233" s="267">
        <v>46193</v>
      </c>
      <c r="B233" s="275" t="s">
        <v>195</v>
      </c>
      <c r="E233" s="285">
        <v>2.11</v>
      </c>
      <c r="H233" s="160">
        <f t="shared" si="14"/>
        <v>0.971563981042654</v>
      </c>
      <c r="I233" s="144">
        <v>0.83</v>
      </c>
      <c r="K233" s="144">
        <v>2.05</v>
      </c>
      <c r="L233" s="4">
        <f t="shared" si="13"/>
        <v>15822.79</v>
      </c>
      <c r="O233" s="266" t="s">
        <v>1658</v>
      </c>
    </row>
    <row r="234" ht="16.5" spans="1:15">
      <c r="A234" s="267">
        <v>46193</v>
      </c>
      <c r="B234" s="275" t="s">
        <v>195</v>
      </c>
      <c r="E234" s="285">
        <v>227.46</v>
      </c>
      <c r="H234" s="160">
        <f t="shared" si="14"/>
        <v>0.970016706234063</v>
      </c>
      <c r="I234" s="144">
        <v>89.21</v>
      </c>
      <c r="K234" s="144">
        <v>220.64</v>
      </c>
      <c r="L234" s="4">
        <f t="shared" si="13"/>
        <v>15602.15</v>
      </c>
      <c r="O234" s="266" t="s">
        <v>1658</v>
      </c>
    </row>
    <row r="235" ht="16.5" spans="1:15">
      <c r="A235" s="267">
        <v>46193</v>
      </c>
      <c r="B235" s="275" t="s">
        <v>69</v>
      </c>
      <c r="E235" s="285">
        <v>287.81</v>
      </c>
      <c r="H235" s="160">
        <f t="shared" si="14"/>
        <v>0.918939578193947</v>
      </c>
      <c r="I235" s="144">
        <v>110.35</v>
      </c>
      <c r="K235" s="144">
        <v>264.48</v>
      </c>
      <c r="L235" s="4">
        <f t="shared" si="13"/>
        <v>15337.67</v>
      </c>
      <c r="O235" s="266" t="s">
        <v>1658</v>
      </c>
    </row>
    <row r="236" ht="16.5" spans="1:15">
      <c r="A236" s="267">
        <v>46193</v>
      </c>
      <c r="B236" s="275" t="s">
        <v>192</v>
      </c>
      <c r="E236" s="285">
        <v>359.97</v>
      </c>
      <c r="H236" s="160">
        <f t="shared" si="14"/>
        <v>0.834958468761286</v>
      </c>
      <c r="I236" s="144">
        <v>145.77</v>
      </c>
      <c r="K236" s="144">
        <v>300.56</v>
      </c>
      <c r="L236" s="4">
        <f t="shared" si="13"/>
        <v>15037.11</v>
      </c>
      <c r="O236" s="266" t="s">
        <v>1658</v>
      </c>
    </row>
    <row r="237" ht="16.5" spans="1:15">
      <c r="A237" s="267">
        <v>46193</v>
      </c>
      <c r="B237" s="275" t="s">
        <v>132</v>
      </c>
      <c r="E237" s="285">
        <v>73.29</v>
      </c>
      <c r="H237" s="160">
        <f t="shared" ref="H237:H268" si="15">K237/E237</f>
        <v>0.819893573475235</v>
      </c>
      <c r="I237" s="144">
        <v>26.85</v>
      </c>
      <c r="K237" s="144">
        <v>60.09</v>
      </c>
      <c r="L237" s="4">
        <f t="shared" si="13"/>
        <v>14977.02</v>
      </c>
      <c r="O237" s="266" t="s">
        <v>1658</v>
      </c>
    </row>
    <row r="238" ht="16.5" spans="1:15">
      <c r="A238" s="267">
        <v>46193</v>
      </c>
      <c r="B238" s="275" t="s">
        <v>60</v>
      </c>
      <c r="E238" s="285">
        <v>316.16</v>
      </c>
      <c r="H238" s="160">
        <f t="shared" si="15"/>
        <v>0.953567813765182</v>
      </c>
      <c r="I238" s="144">
        <v>123.1</v>
      </c>
      <c r="K238" s="144">
        <v>301.48</v>
      </c>
      <c r="L238" s="4">
        <f t="shared" si="13"/>
        <v>14675.54</v>
      </c>
      <c r="O238" s="266" t="s">
        <v>1658</v>
      </c>
    </row>
    <row r="239" ht="16.5" spans="1:15">
      <c r="A239" s="267">
        <v>46193</v>
      </c>
      <c r="B239" s="275" t="s">
        <v>210</v>
      </c>
      <c r="E239" s="285">
        <v>65.66</v>
      </c>
      <c r="H239" s="160">
        <f t="shared" si="15"/>
        <v>0.969996954005483</v>
      </c>
      <c r="I239" s="144">
        <v>25.75</v>
      </c>
      <c r="K239" s="144">
        <v>63.69</v>
      </c>
      <c r="L239" s="4">
        <f t="shared" si="13"/>
        <v>14611.85</v>
      </c>
      <c r="O239" s="266" t="s">
        <v>1658</v>
      </c>
    </row>
    <row r="240" ht="16.5" spans="1:15">
      <c r="A240" s="267">
        <v>46193</v>
      </c>
      <c r="B240" s="275" t="s">
        <v>192</v>
      </c>
      <c r="E240" s="285">
        <v>87.31</v>
      </c>
      <c r="H240" s="160">
        <f t="shared" si="15"/>
        <v>0.969991982590768</v>
      </c>
      <c r="I240" s="144">
        <v>34.24</v>
      </c>
      <c r="K240" s="144">
        <v>84.69</v>
      </c>
      <c r="L240" s="4">
        <f t="shared" si="13"/>
        <v>14527.16</v>
      </c>
      <c r="O240" s="266" t="s">
        <v>1658</v>
      </c>
    </row>
    <row r="241" ht="16.5" spans="1:15">
      <c r="A241" s="267">
        <v>46193</v>
      </c>
      <c r="B241" s="275" t="s">
        <v>201</v>
      </c>
      <c r="E241" s="285">
        <v>80.05</v>
      </c>
      <c r="H241" s="160">
        <f t="shared" si="15"/>
        <v>0.97001873828857</v>
      </c>
      <c r="I241" s="144">
        <v>31.4</v>
      </c>
      <c r="K241" s="144">
        <v>77.65</v>
      </c>
      <c r="L241" s="4">
        <f t="shared" si="13"/>
        <v>14449.51</v>
      </c>
      <c r="O241" s="266" t="s">
        <v>1658</v>
      </c>
    </row>
    <row r="242" ht="16.5" spans="1:15">
      <c r="A242" s="267">
        <v>46194</v>
      </c>
      <c r="B242" s="275" t="s">
        <v>339</v>
      </c>
      <c r="E242" s="285">
        <v>205.06</v>
      </c>
      <c r="H242" s="160">
        <f t="shared" si="15"/>
        <v>0.720033161026041</v>
      </c>
      <c r="I242" s="144">
        <v>80.12</v>
      </c>
      <c r="K242" s="144">
        <v>147.65</v>
      </c>
      <c r="L242" s="4">
        <f t="shared" si="13"/>
        <v>14301.86</v>
      </c>
      <c r="O242" s="266" t="s">
        <v>1658</v>
      </c>
    </row>
    <row r="243" ht="16.5" spans="1:15">
      <c r="A243" s="267">
        <v>46194</v>
      </c>
      <c r="B243" s="275" t="s">
        <v>124</v>
      </c>
      <c r="E243" s="285">
        <v>133.18</v>
      </c>
      <c r="H243" s="160">
        <f t="shared" si="15"/>
        <v>0.969965460279321</v>
      </c>
      <c r="I243" s="144">
        <v>52.23</v>
      </c>
      <c r="K243" s="144">
        <v>129.18</v>
      </c>
      <c r="L243" s="4">
        <f t="shared" si="13"/>
        <v>14172.68</v>
      </c>
      <c r="O243" s="266" t="s">
        <v>1658</v>
      </c>
    </row>
    <row r="244" ht="16.5" spans="1:15">
      <c r="A244" s="267">
        <v>46194</v>
      </c>
      <c r="B244" s="275" t="s">
        <v>54</v>
      </c>
      <c r="E244" s="285">
        <v>202.88</v>
      </c>
      <c r="H244" s="160">
        <f t="shared" si="15"/>
        <v>0.820041403785489</v>
      </c>
      <c r="I244" s="144">
        <v>74.34</v>
      </c>
      <c r="K244" s="144">
        <v>166.37</v>
      </c>
      <c r="L244" s="4">
        <f t="shared" si="13"/>
        <v>14006.31</v>
      </c>
      <c r="O244" s="266" t="s">
        <v>1658</v>
      </c>
    </row>
    <row r="245" ht="16.5" spans="1:15">
      <c r="A245" s="267">
        <v>46194</v>
      </c>
      <c r="B245" s="275" t="s">
        <v>195</v>
      </c>
      <c r="E245" s="285">
        <v>114.56</v>
      </c>
      <c r="H245" s="160">
        <f t="shared" si="15"/>
        <v>0.719972067039106</v>
      </c>
      <c r="I245" s="144">
        <v>44.76</v>
      </c>
      <c r="K245" s="144">
        <v>82.48</v>
      </c>
      <c r="L245" s="4">
        <f t="shared" si="13"/>
        <v>13923.83</v>
      </c>
      <c r="O245" s="266" t="s">
        <v>1658</v>
      </c>
    </row>
    <row r="246" ht="16.5" spans="1:15">
      <c r="A246" s="267">
        <v>46194</v>
      </c>
      <c r="B246" s="275" t="s">
        <v>180</v>
      </c>
      <c r="E246" s="285">
        <v>89.47</v>
      </c>
      <c r="H246" s="160">
        <f t="shared" si="15"/>
        <v>0.8199396445736</v>
      </c>
      <c r="I246" s="144">
        <v>32.78</v>
      </c>
      <c r="K246" s="144">
        <v>73.36</v>
      </c>
      <c r="L246" s="4">
        <f t="shared" si="13"/>
        <v>13850.47</v>
      </c>
      <c r="O246" s="266" t="s">
        <v>1658</v>
      </c>
    </row>
    <row r="247" ht="16.5" spans="1:15">
      <c r="A247" s="267">
        <v>46194</v>
      </c>
      <c r="B247" s="275" t="s">
        <v>148</v>
      </c>
      <c r="E247" s="285">
        <v>228.54</v>
      </c>
      <c r="H247" s="160">
        <f t="shared" si="15"/>
        <v>0.952480966132843</v>
      </c>
      <c r="I247" s="144">
        <v>88.94</v>
      </c>
      <c r="K247" s="144">
        <v>217.68</v>
      </c>
      <c r="L247" s="4">
        <f t="shared" si="13"/>
        <v>13632.79</v>
      </c>
      <c r="O247" s="266" t="s">
        <v>1658</v>
      </c>
    </row>
    <row r="248" ht="16.5" spans="1:15">
      <c r="A248" s="267">
        <v>46194</v>
      </c>
      <c r="B248" s="275" t="s">
        <v>183</v>
      </c>
      <c r="E248" s="285">
        <v>201.86</v>
      </c>
      <c r="H248" s="160">
        <f t="shared" si="15"/>
        <v>0.969979193500446</v>
      </c>
      <c r="I248" s="144">
        <v>79.17</v>
      </c>
      <c r="K248" s="144">
        <v>195.8</v>
      </c>
      <c r="L248" s="4">
        <f t="shared" si="13"/>
        <v>13436.99</v>
      </c>
      <c r="O248" s="266" t="s">
        <v>1658</v>
      </c>
    </row>
    <row r="249" ht="16.5" spans="1:15">
      <c r="A249" s="267">
        <v>46194</v>
      </c>
      <c r="B249" s="275" t="s">
        <v>177</v>
      </c>
      <c r="E249" s="285">
        <v>205.18</v>
      </c>
      <c r="H249" s="160">
        <f t="shared" si="15"/>
        <v>0.969977580660883</v>
      </c>
      <c r="I249" s="144">
        <v>80.47</v>
      </c>
      <c r="K249" s="144">
        <v>199.02</v>
      </c>
      <c r="L249" s="4">
        <f t="shared" si="13"/>
        <v>13237.97</v>
      </c>
      <c r="O249" s="266" t="s">
        <v>1658</v>
      </c>
    </row>
    <row r="250" ht="16.5" spans="1:15">
      <c r="A250" s="267">
        <v>46195</v>
      </c>
      <c r="B250" s="264" t="s">
        <v>180</v>
      </c>
      <c r="C250" s="117"/>
      <c r="D250" s="117"/>
      <c r="E250" s="264">
        <v>186.46</v>
      </c>
      <c r="F250" s="117"/>
      <c r="G250" s="117"/>
      <c r="H250" s="160">
        <f t="shared" si="15"/>
        <v>0.970020379706103</v>
      </c>
      <c r="I250" s="264">
        <v>73.13</v>
      </c>
      <c r="J250" s="287"/>
      <c r="K250" s="144">
        <v>180.87</v>
      </c>
      <c r="L250" s="4">
        <f>L249+I250-K250</f>
        <v>13130.23</v>
      </c>
      <c r="O250" s="266" t="s">
        <v>1658</v>
      </c>
    </row>
    <row r="251" ht="16.5" spans="1:15">
      <c r="A251" s="267">
        <v>46195</v>
      </c>
      <c r="B251" s="264" t="s">
        <v>111</v>
      </c>
      <c r="C251" s="117"/>
      <c r="D251" s="117"/>
      <c r="E251" s="264">
        <v>194.18</v>
      </c>
      <c r="F251" s="117"/>
      <c r="G251" s="117"/>
      <c r="H251" s="160">
        <f t="shared" si="15"/>
        <v>0.839787825728705</v>
      </c>
      <c r="I251" s="264">
        <v>71.81</v>
      </c>
      <c r="J251" s="287"/>
      <c r="K251" s="144">
        <v>163.07</v>
      </c>
      <c r="L251" s="4">
        <f t="shared" ref="L250:L268" si="16">L250+I251-K251</f>
        <v>13038.97</v>
      </c>
      <c r="O251" s="266" t="s">
        <v>1658</v>
      </c>
    </row>
    <row r="252" ht="16.5" spans="1:15">
      <c r="A252" s="267">
        <v>46195</v>
      </c>
      <c r="B252" s="264" t="s">
        <v>132</v>
      </c>
      <c r="C252" s="117"/>
      <c r="D252" s="117"/>
      <c r="E252" s="264">
        <v>130.75</v>
      </c>
      <c r="F252" s="117"/>
      <c r="G252" s="117"/>
      <c r="H252" s="160">
        <f t="shared" si="15"/>
        <v>0.820038240917782</v>
      </c>
      <c r="I252" s="264">
        <v>47.91</v>
      </c>
      <c r="J252" s="287"/>
      <c r="K252" s="144">
        <v>107.22</v>
      </c>
      <c r="L252" s="4">
        <f t="shared" si="16"/>
        <v>12979.66</v>
      </c>
      <c r="O252" s="266" t="s">
        <v>1658</v>
      </c>
    </row>
    <row r="253" ht="16.5" spans="1:15">
      <c r="A253" s="267">
        <v>46195</v>
      </c>
      <c r="B253" s="264" t="s">
        <v>192</v>
      </c>
      <c r="C253" s="117"/>
      <c r="D253" s="117"/>
      <c r="E253" s="264">
        <v>178.42</v>
      </c>
      <c r="F253" s="117"/>
      <c r="G253" s="117"/>
      <c r="H253" s="160">
        <f t="shared" si="15"/>
        <v>0.79565071180361</v>
      </c>
      <c r="I253" s="264">
        <v>66.43</v>
      </c>
      <c r="J253" s="287"/>
      <c r="K253" s="144">
        <v>141.96</v>
      </c>
      <c r="L253" s="4">
        <f t="shared" si="16"/>
        <v>12904.13</v>
      </c>
      <c r="O253" s="266" t="s">
        <v>1658</v>
      </c>
    </row>
    <row r="254" ht="16.5" spans="1:15">
      <c r="A254" s="267">
        <v>46195</v>
      </c>
      <c r="B254" s="264" t="s">
        <v>138</v>
      </c>
      <c r="C254" s="117"/>
      <c r="D254" s="117"/>
      <c r="E254" s="264">
        <v>236.34</v>
      </c>
      <c r="F254" s="117"/>
      <c r="G254" s="117"/>
      <c r="H254" s="160">
        <f t="shared" si="15"/>
        <v>0.77003469577727</v>
      </c>
      <c r="I254" s="264">
        <v>80.36</v>
      </c>
      <c r="J254" s="287"/>
      <c r="K254" s="144">
        <v>181.99</v>
      </c>
      <c r="L254" s="4">
        <f t="shared" si="16"/>
        <v>12802.5</v>
      </c>
      <c r="O254" s="266" t="s">
        <v>1658</v>
      </c>
    </row>
    <row r="255" ht="16.5" spans="1:15">
      <c r="A255" s="267">
        <v>46195</v>
      </c>
      <c r="B255" s="264" t="s">
        <v>75</v>
      </c>
      <c r="C255" s="117"/>
      <c r="D255" s="117"/>
      <c r="E255" s="264">
        <v>130.1</v>
      </c>
      <c r="F255" s="117"/>
      <c r="G255" s="117"/>
      <c r="H255" s="160">
        <f t="shared" si="15"/>
        <v>0.783320522674866</v>
      </c>
      <c r="I255" s="264">
        <v>48.83</v>
      </c>
      <c r="J255" s="287"/>
      <c r="K255" s="144">
        <v>101.91</v>
      </c>
      <c r="L255" s="4">
        <f t="shared" si="16"/>
        <v>12749.42</v>
      </c>
      <c r="O255" s="266" t="s">
        <v>1658</v>
      </c>
    </row>
    <row r="256" ht="16.5" spans="1:15">
      <c r="A256" s="267">
        <v>46195</v>
      </c>
      <c r="B256" s="264" t="s">
        <v>60</v>
      </c>
      <c r="C256" s="117"/>
      <c r="D256" s="117"/>
      <c r="E256" s="264">
        <v>275.02</v>
      </c>
      <c r="F256" s="117"/>
      <c r="G256" s="117"/>
      <c r="H256" s="160">
        <f t="shared" si="15"/>
        <v>0.825539960730129</v>
      </c>
      <c r="I256" s="264">
        <v>108.78</v>
      </c>
      <c r="J256" s="287"/>
      <c r="K256" s="144">
        <v>227.04</v>
      </c>
      <c r="L256" s="4">
        <f t="shared" si="16"/>
        <v>12631.16</v>
      </c>
      <c r="O256" s="266" t="s">
        <v>1658</v>
      </c>
    </row>
    <row r="257" ht="16.5" spans="1:15">
      <c r="A257" s="267">
        <v>46195</v>
      </c>
      <c r="B257" s="264" t="s">
        <v>127</v>
      </c>
      <c r="C257" s="117"/>
      <c r="D257" s="117"/>
      <c r="E257" s="264">
        <v>239.94</v>
      </c>
      <c r="F257" s="117"/>
      <c r="G257" s="117"/>
      <c r="H257" s="160">
        <f t="shared" si="15"/>
        <v>0.849962490622656</v>
      </c>
      <c r="I257" s="264">
        <v>100.77</v>
      </c>
      <c r="J257" s="287"/>
      <c r="K257" s="144">
        <v>203.94</v>
      </c>
      <c r="L257" s="4">
        <f t="shared" si="16"/>
        <v>12527.99</v>
      </c>
      <c r="O257" s="266" t="s">
        <v>1658</v>
      </c>
    </row>
    <row r="258" ht="16.5" spans="1:15">
      <c r="A258" s="267">
        <v>46195</v>
      </c>
      <c r="B258" s="264" t="s">
        <v>213</v>
      </c>
      <c r="C258" s="117"/>
      <c r="D258" s="117"/>
      <c r="E258" s="264">
        <v>206.5</v>
      </c>
      <c r="F258" s="117"/>
      <c r="G258" s="117"/>
      <c r="H258" s="160">
        <f t="shared" si="15"/>
        <v>0.82</v>
      </c>
      <c r="I258" s="264">
        <v>75.66</v>
      </c>
      <c r="J258" s="287"/>
      <c r="K258" s="144">
        <v>169.33</v>
      </c>
      <c r="L258" s="4">
        <f t="shared" si="16"/>
        <v>12434.32</v>
      </c>
      <c r="O258" s="266" t="s">
        <v>1658</v>
      </c>
    </row>
    <row r="259" ht="16.5" spans="1:15">
      <c r="A259" s="267">
        <v>46195</v>
      </c>
      <c r="B259" s="264" t="s">
        <v>108</v>
      </c>
      <c r="C259" s="117"/>
      <c r="D259" s="117"/>
      <c r="E259" s="264">
        <v>108.64</v>
      </c>
      <c r="F259" s="117"/>
      <c r="G259" s="117"/>
      <c r="H259" s="160">
        <f t="shared" si="15"/>
        <v>0.820047864506627</v>
      </c>
      <c r="I259" s="264">
        <v>39.81</v>
      </c>
      <c r="J259" s="287"/>
      <c r="K259" s="144">
        <v>89.09</v>
      </c>
      <c r="L259" s="4">
        <f t="shared" si="16"/>
        <v>12385.04</v>
      </c>
      <c r="O259" s="266" t="s">
        <v>1658</v>
      </c>
    </row>
    <row r="260" ht="16.5" spans="1:15">
      <c r="A260" s="267">
        <v>46195</v>
      </c>
      <c r="B260" s="264" t="s">
        <v>144</v>
      </c>
      <c r="C260" s="117"/>
      <c r="D260" s="117"/>
      <c r="E260" s="264">
        <v>0</v>
      </c>
      <c r="F260" s="117"/>
      <c r="G260" s="117"/>
      <c r="H260" s="160" t="e">
        <f t="shared" si="15"/>
        <v>#DIV/0!</v>
      </c>
      <c r="I260" s="264">
        <v>0</v>
      </c>
      <c r="J260" s="287"/>
      <c r="K260" s="144">
        <v>0</v>
      </c>
      <c r="L260" s="4">
        <f t="shared" si="16"/>
        <v>12385.04</v>
      </c>
      <c r="O260" s="266" t="s">
        <v>1658</v>
      </c>
    </row>
    <row r="261" ht="16.5" spans="1:15">
      <c r="A261" s="267">
        <v>46195</v>
      </c>
      <c r="B261" s="264" t="s">
        <v>144</v>
      </c>
      <c r="C261" s="117"/>
      <c r="D261" s="117"/>
      <c r="E261" s="264">
        <v>215.82</v>
      </c>
      <c r="F261" s="117"/>
      <c r="G261" s="117"/>
      <c r="H261" s="160">
        <f t="shared" si="15"/>
        <v>0.849967565563896</v>
      </c>
      <c r="I261" s="264">
        <v>90.64</v>
      </c>
      <c r="J261" s="287"/>
      <c r="K261" s="144">
        <v>183.44</v>
      </c>
      <c r="L261" s="4">
        <f t="shared" si="16"/>
        <v>12292.24</v>
      </c>
      <c r="O261" s="266" t="s">
        <v>1658</v>
      </c>
    </row>
    <row r="262" ht="16.5" spans="1:15">
      <c r="A262" s="277">
        <v>46195</v>
      </c>
      <c r="B262" s="278" t="s">
        <v>670</v>
      </c>
      <c r="C262" s="288"/>
      <c r="D262" s="288"/>
      <c r="E262" s="278">
        <v>244.22</v>
      </c>
      <c r="F262" s="288"/>
      <c r="G262" s="288"/>
      <c r="H262" s="202">
        <f t="shared" si="15"/>
        <v>0.943657358119728</v>
      </c>
      <c r="I262" s="278">
        <v>94.68</v>
      </c>
      <c r="J262" s="287"/>
      <c r="K262" s="144">
        <v>230.46</v>
      </c>
      <c r="L262" s="280">
        <f t="shared" si="16"/>
        <v>12156.46</v>
      </c>
      <c r="O262" s="266" t="s">
        <v>1658</v>
      </c>
    </row>
    <row r="263" ht="16.5" spans="1:15">
      <c r="A263" s="267">
        <v>46195</v>
      </c>
      <c r="B263" s="264" t="s">
        <v>69</v>
      </c>
      <c r="C263" s="117"/>
      <c r="D263" s="117"/>
      <c r="E263" s="264">
        <v>310.72</v>
      </c>
      <c r="F263" s="117"/>
      <c r="G263" s="117"/>
      <c r="H263" s="160">
        <f t="shared" si="15"/>
        <v>0.969972966014418</v>
      </c>
      <c r="I263" s="264">
        <v>121.86</v>
      </c>
      <c r="J263" s="264"/>
      <c r="K263" s="55">
        <v>301.39</v>
      </c>
      <c r="L263" s="4">
        <f t="shared" si="16"/>
        <v>11976.93</v>
      </c>
      <c r="O263" s="266" t="s">
        <v>1658</v>
      </c>
    </row>
    <row r="264" ht="16.5" spans="1:15">
      <c r="A264" s="267">
        <v>46195</v>
      </c>
      <c r="B264" s="264" t="s">
        <v>148</v>
      </c>
      <c r="C264" s="117"/>
      <c r="D264" s="117"/>
      <c r="E264" s="264">
        <v>221.14</v>
      </c>
      <c r="F264" s="117"/>
      <c r="G264" s="117"/>
      <c r="H264" s="160">
        <f t="shared" si="15"/>
        <v>0.920005426426698</v>
      </c>
      <c r="I264" s="264">
        <v>108.36</v>
      </c>
      <c r="J264" s="264"/>
      <c r="K264" s="55">
        <v>203.45</v>
      </c>
      <c r="L264" s="4">
        <f t="shared" si="16"/>
        <v>11881.84</v>
      </c>
      <c r="O264" s="266" t="s">
        <v>1658</v>
      </c>
    </row>
    <row r="265" ht="16.5" spans="1:15">
      <c r="A265" s="267">
        <v>46195</v>
      </c>
      <c r="B265" s="264" t="s">
        <v>69</v>
      </c>
      <c r="C265" s="117"/>
      <c r="D265" s="117"/>
      <c r="E265" s="264">
        <v>63.49</v>
      </c>
      <c r="F265" s="117"/>
      <c r="G265" s="117"/>
      <c r="H265" s="160">
        <f t="shared" si="15"/>
        <v>0.969916522286974</v>
      </c>
      <c r="I265" s="264">
        <v>24.9</v>
      </c>
      <c r="J265" s="264"/>
      <c r="K265" s="55">
        <v>61.58</v>
      </c>
      <c r="L265" s="4">
        <f t="shared" si="16"/>
        <v>11845.16</v>
      </c>
      <c r="O265" s="266" t="s">
        <v>1658</v>
      </c>
    </row>
    <row r="266" ht="16.5" spans="1:15">
      <c r="A266" s="267">
        <v>46195</v>
      </c>
      <c r="B266" s="264" t="s">
        <v>174</v>
      </c>
      <c r="C266" s="117"/>
      <c r="D266" s="117"/>
      <c r="E266" s="264">
        <v>128.58</v>
      </c>
      <c r="F266" s="117"/>
      <c r="G266" s="117"/>
      <c r="H266" s="160">
        <f t="shared" si="15"/>
        <v>0.969979779125836</v>
      </c>
      <c r="I266" s="264">
        <v>50.43</v>
      </c>
      <c r="J266" s="264"/>
      <c r="K266" s="55">
        <v>124.72</v>
      </c>
      <c r="L266" s="4">
        <f t="shared" si="16"/>
        <v>11770.87</v>
      </c>
      <c r="O266" s="266" t="s">
        <v>1658</v>
      </c>
    </row>
    <row r="267" ht="16.5" spans="1:15">
      <c r="A267" s="267">
        <v>46195</v>
      </c>
      <c r="B267" s="264" t="s">
        <v>63</v>
      </c>
      <c r="C267" s="117"/>
      <c r="D267" s="117"/>
      <c r="E267" s="264">
        <v>283.2</v>
      </c>
      <c r="F267" s="117"/>
      <c r="G267" s="117"/>
      <c r="H267" s="160">
        <f t="shared" si="15"/>
        <v>0.969985875706215</v>
      </c>
      <c r="I267" s="264">
        <v>111.07</v>
      </c>
      <c r="J267" s="264"/>
      <c r="K267" s="55">
        <v>274.7</v>
      </c>
      <c r="L267" s="4">
        <f t="shared" si="16"/>
        <v>11607.24</v>
      </c>
      <c r="O267" s="266" t="s">
        <v>1658</v>
      </c>
    </row>
    <row r="268" ht="16.5" spans="1:15">
      <c r="A268" s="267">
        <v>46195</v>
      </c>
      <c r="B268" s="264" t="s">
        <v>141</v>
      </c>
      <c r="C268" s="117"/>
      <c r="D268" s="117"/>
      <c r="E268" s="264">
        <v>223.96</v>
      </c>
      <c r="F268" s="117"/>
      <c r="G268" s="117"/>
      <c r="H268" s="160">
        <f t="shared" si="15"/>
        <v>0.919985711734238</v>
      </c>
      <c r="I268" s="264">
        <v>109.74</v>
      </c>
      <c r="J268" s="264"/>
      <c r="K268" s="55">
        <v>206.04</v>
      </c>
      <c r="L268" s="4">
        <f t="shared" si="16"/>
        <v>11510.94</v>
      </c>
      <c r="O268" s="266" t="s">
        <v>1658</v>
      </c>
    </row>
    <row r="269" ht="16.5" spans="1:15">
      <c r="A269" s="203">
        <v>46196</v>
      </c>
      <c r="B269" s="55" t="s">
        <v>148</v>
      </c>
      <c r="C269" s="55"/>
      <c r="D269" s="55"/>
      <c r="E269" s="235">
        <v>209.89</v>
      </c>
      <c r="F269" s="55"/>
      <c r="G269" s="55"/>
      <c r="H269" s="160">
        <f t="shared" ref="H269:H287" si="17">K269/E269</f>
        <v>0.82000095288008</v>
      </c>
      <c r="I269" s="264"/>
      <c r="J269" s="55"/>
      <c r="K269" s="55">
        <v>172.11</v>
      </c>
      <c r="L269" s="4">
        <f t="shared" ref="L269:L287" si="18">L268+I269-K269</f>
        <v>11338.83</v>
      </c>
      <c r="O269" s="266" t="s">
        <v>1658</v>
      </c>
    </row>
    <row r="270" ht="16.5" spans="1:15">
      <c r="A270" s="203">
        <v>46196</v>
      </c>
      <c r="B270" s="55" t="s">
        <v>207</v>
      </c>
      <c r="C270" s="55"/>
      <c r="D270" s="55"/>
      <c r="E270" s="235">
        <v>98.8</v>
      </c>
      <c r="F270" s="55"/>
      <c r="G270" s="55"/>
      <c r="H270" s="160">
        <f t="shared" si="17"/>
        <v>0.85</v>
      </c>
      <c r="I270" s="264"/>
      <c r="J270" s="55"/>
      <c r="K270" s="55">
        <v>83.98</v>
      </c>
      <c r="L270" s="4">
        <f t="shared" si="18"/>
        <v>11254.85</v>
      </c>
      <c r="O270" s="266" t="s">
        <v>1658</v>
      </c>
    </row>
    <row r="271" ht="16.5" spans="1:15">
      <c r="A271" s="203">
        <v>46196</v>
      </c>
      <c r="B271" s="55" t="s">
        <v>183</v>
      </c>
      <c r="C271" s="55"/>
      <c r="D271" s="55"/>
      <c r="E271" s="235">
        <v>102.53</v>
      </c>
      <c r="F271" s="55"/>
      <c r="G271" s="55"/>
      <c r="H271" s="160">
        <f t="shared" si="17"/>
        <v>0.849995123378523</v>
      </c>
      <c r="I271" s="264"/>
      <c r="J271" s="55"/>
      <c r="K271" s="55">
        <v>87.15</v>
      </c>
      <c r="L271" s="4">
        <f t="shared" si="18"/>
        <v>11167.7</v>
      </c>
      <c r="O271" s="266" t="s">
        <v>1658</v>
      </c>
    </row>
    <row r="272" ht="16.5" spans="1:15">
      <c r="A272" s="203">
        <v>46196</v>
      </c>
      <c r="B272" s="55" t="s">
        <v>210</v>
      </c>
      <c r="C272" s="55"/>
      <c r="D272" s="55"/>
      <c r="E272" s="235">
        <v>199.74</v>
      </c>
      <c r="F272" s="55"/>
      <c r="G272" s="55"/>
      <c r="H272" s="160">
        <f t="shared" si="17"/>
        <v>0.719985981776309</v>
      </c>
      <c r="I272" s="264"/>
      <c r="J272" s="55"/>
      <c r="K272" s="55">
        <v>143.81</v>
      </c>
      <c r="L272" s="4">
        <f t="shared" si="18"/>
        <v>11023.89</v>
      </c>
      <c r="O272" s="266" t="s">
        <v>1658</v>
      </c>
    </row>
    <row r="273" ht="16.5" spans="1:15">
      <c r="A273" s="203">
        <v>46196</v>
      </c>
      <c r="B273" s="55" t="s">
        <v>151</v>
      </c>
      <c r="C273" s="55"/>
      <c r="D273" s="55"/>
      <c r="E273" s="235">
        <v>196.85</v>
      </c>
      <c r="F273" s="55"/>
      <c r="G273" s="55"/>
      <c r="H273" s="160">
        <f t="shared" si="17"/>
        <v>0.71998983997968</v>
      </c>
      <c r="I273" s="264"/>
      <c r="J273" s="55"/>
      <c r="K273" s="55">
        <v>141.73</v>
      </c>
      <c r="L273" s="4">
        <f t="shared" si="18"/>
        <v>10882.16</v>
      </c>
      <c r="O273" s="266" t="s">
        <v>1658</v>
      </c>
    </row>
    <row r="274" ht="16.5" spans="1:15">
      <c r="A274" s="203">
        <v>46196</v>
      </c>
      <c r="B274" s="55" t="s">
        <v>207</v>
      </c>
      <c r="C274" s="55"/>
      <c r="D274" s="55"/>
      <c r="E274" s="235">
        <v>0</v>
      </c>
      <c r="F274" s="55"/>
      <c r="G274" s="55"/>
      <c r="H274" s="160" t="e">
        <f t="shared" si="17"/>
        <v>#DIV/0!</v>
      </c>
      <c r="I274" s="264"/>
      <c r="J274" s="55"/>
      <c r="K274" s="55">
        <v>0</v>
      </c>
      <c r="L274" s="4">
        <f t="shared" si="18"/>
        <v>10882.16</v>
      </c>
      <c r="O274" s="266" t="s">
        <v>1658</v>
      </c>
    </row>
    <row r="275" ht="16.5" spans="1:15">
      <c r="A275" s="203">
        <v>46196</v>
      </c>
      <c r="B275" s="55" t="s">
        <v>207</v>
      </c>
      <c r="C275" s="55"/>
      <c r="D275" s="55"/>
      <c r="E275" s="235">
        <v>231.49</v>
      </c>
      <c r="F275" s="55"/>
      <c r="G275" s="55"/>
      <c r="H275" s="160">
        <f t="shared" si="17"/>
        <v>0.719987904445116</v>
      </c>
      <c r="I275" s="264"/>
      <c r="J275" s="55"/>
      <c r="K275" s="55">
        <v>166.67</v>
      </c>
      <c r="L275" s="4">
        <f t="shared" si="18"/>
        <v>10715.49</v>
      </c>
      <c r="O275" s="266" t="s">
        <v>1658</v>
      </c>
    </row>
    <row r="276" ht="16.5" spans="1:15">
      <c r="A276" s="203">
        <v>46196</v>
      </c>
      <c r="B276" s="55" t="s">
        <v>183</v>
      </c>
      <c r="C276" s="55"/>
      <c r="D276" s="55"/>
      <c r="E276" s="235">
        <v>261.7</v>
      </c>
      <c r="F276" s="55"/>
      <c r="G276" s="55"/>
      <c r="H276" s="160">
        <f t="shared" si="17"/>
        <v>0.720022927015667</v>
      </c>
      <c r="I276" s="264"/>
      <c r="J276" s="55"/>
      <c r="K276" s="55">
        <v>188.43</v>
      </c>
      <c r="L276" s="4">
        <f t="shared" si="18"/>
        <v>10527.06</v>
      </c>
      <c r="O276" s="266" t="s">
        <v>1658</v>
      </c>
    </row>
    <row r="277" ht="16.5" spans="1:15">
      <c r="A277" s="203">
        <v>46196</v>
      </c>
      <c r="B277" s="55" t="s">
        <v>135</v>
      </c>
      <c r="C277" s="55"/>
      <c r="D277" s="55"/>
      <c r="E277" s="235">
        <v>117.38</v>
      </c>
      <c r="F277" s="55"/>
      <c r="G277" s="55"/>
      <c r="H277" s="160">
        <f t="shared" si="17"/>
        <v>0.719969330379963</v>
      </c>
      <c r="I277" s="264"/>
      <c r="J277" s="55"/>
      <c r="K277" s="55">
        <v>84.51</v>
      </c>
      <c r="L277" s="4">
        <f t="shared" si="18"/>
        <v>10442.55</v>
      </c>
      <c r="O277" s="266" t="s">
        <v>1658</v>
      </c>
    </row>
    <row r="278" ht="16.5" spans="1:15">
      <c r="A278" s="203">
        <v>46196</v>
      </c>
      <c r="B278" s="55" t="s">
        <v>201</v>
      </c>
      <c r="C278" s="55"/>
      <c r="D278" s="55"/>
      <c r="E278" s="235">
        <v>94.82</v>
      </c>
      <c r="F278" s="55"/>
      <c r="G278" s="55"/>
      <c r="H278" s="160">
        <f t="shared" si="17"/>
        <v>0.849926175912255</v>
      </c>
      <c r="I278" s="264"/>
      <c r="J278" s="55"/>
      <c r="K278" s="55">
        <v>80.59</v>
      </c>
      <c r="L278" s="4">
        <f t="shared" si="18"/>
        <v>10361.96</v>
      </c>
      <c r="O278" s="266" t="s">
        <v>1658</v>
      </c>
    </row>
    <row r="279" ht="16.5" spans="1:15">
      <c r="A279" s="203">
        <v>46196</v>
      </c>
      <c r="B279" s="55" t="s">
        <v>192</v>
      </c>
      <c r="C279" s="55"/>
      <c r="D279" s="55"/>
      <c r="E279" s="235">
        <v>330.83</v>
      </c>
      <c r="F279" s="55"/>
      <c r="G279" s="55"/>
      <c r="H279" s="160">
        <f t="shared" si="17"/>
        <v>0.908230813408699</v>
      </c>
      <c r="I279" s="264"/>
      <c r="J279" s="55"/>
      <c r="K279" s="55">
        <v>300.47</v>
      </c>
      <c r="L279" s="4">
        <f t="shared" si="18"/>
        <v>10061.49</v>
      </c>
      <c r="O279" s="266" t="s">
        <v>1658</v>
      </c>
    </row>
    <row r="280" ht="16.5" spans="1:15">
      <c r="A280" s="203">
        <v>46196</v>
      </c>
      <c r="B280" s="55" t="s">
        <v>177</v>
      </c>
      <c r="C280" s="55"/>
      <c r="D280" s="55"/>
      <c r="E280" s="235">
        <v>310.53</v>
      </c>
      <c r="F280" s="55"/>
      <c r="G280" s="55"/>
      <c r="H280" s="160">
        <f t="shared" si="17"/>
        <v>0.969986796766818</v>
      </c>
      <c r="I280" s="264"/>
      <c r="J280" s="55"/>
      <c r="K280" s="55">
        <v>301.21</v>
      </c>
      <c r="L280" s="4">
        <f t="shared" si="18"/>
        <v>9760.28</v>
      </c>
      <c r="O280" s="266" t="s">
        <v>1658</v>
      </c>
    </row>
    <row r="281" ht="16.5" spans="1:15">
      <c r="A281" s="203">
        <v>46196</v>
      </c>
      <c r="B281" s="55" t="s">
        <v>127</v>
      </c>
      <c r="C281" s="55"/>
      <c r="D281" s="55"/>
      <c r="E281" s="235">
        <v>292.47</v>
      </c>
      <c r="F281" s="55"/>
      <c r="G281" s="55"/>
      <c r="H281" s="160">
        <f t="shared" si="17"/>
        <v>0.919991794030157</v>
      </c>
      <c r="I281" s="264"/>
      <c r="J281" s="55"/>
      <c r="K281" s="55">
        <v>269.07</v>
      </c>
      <c r="L281" s="4">
        <f t="shared" si="18"/>
        <v>9491.21</v>
      </c>
      <c r="O281" s="266" t="s">
        <v>1658</v>
      </c>
    </row>
    <row r="282" ht="16.5" spans="1:15">
      <c r="A282" s="203">
        <v>46196</v>
      </c>
      <c r="B282" s="55" t="s">
        <v>138</v>
      </c>
      <c r="C282" s="55"/>
      <c r="D282" s="55"/>
      <c r="E282" s="235">
        <v>0</v>
      </c>
      <c r="F282" s="55"/>
      <c r="G282" s="55"/>
      <c r="H282" s="160" t="e">
        <f t="shared" si="17"/>
        <v>#DIV/0!</v>
      </c>
      <c r="I282" s="264"/>
      <c r="J282" s="55"/>
      <c r="K282" s="55">
        <v>0</v>
      </c>
      <c r="L282" s="4">
        <f t="shared" si="18"/>
        <v>9491.21</v>
      </c>
      <c r="O282" s="266" t="s">
        <v>1658</v>
      </c>
    </row>
    <row r="283" ht="16.5" spans="1:15">
      <c r="A283" s="203">
        <v>46196</v>
      </c>
      <c r="B283" s="55" t="s">
        <v>138</v>
      </c>
      <c r="C283" s="55"/>
      <c r="D283" s="55"/>
      <c r="E283" s="235">
        <v>318.93</v>
      </c>
      <c r="F283" s="55"/>
      <c r="G283" s="55"/>
      <c r="H283" s="160">
        <f t="shared" si="17"/>
        <v>0.920013796130812</v>
      </c>
      <c r="I283" s="264"/>
      <c r="J283" s="55"/>
      <c r="K283" s="55">
        <v>293.42</v>
      </c>
      <c r="L283" s="4">
        <f t="shared" si="18"/>
        <v>9197.79</v>
      </c>
      <c r="O283" s="266" t="s">
        <v>1658</v>
      </c>
    </row>
    <row r="284" ht="16.5" spans="1:15">
      <c r="A284" s="203">
        <v>46196</v>
      </c>
      <c r="B284" s="55" t="s">
        <v>69</v>
      </c>
      <c r="C284" s="55"/>
      <c r="D284" s="55"/>
      <c r="E284" s="235">
        <v>329.06</v>
      </c>
      <c r="F284" s="55"/>
      <c r="G284" s="55"/>
      <c r="H284" s="160">
        <f t="shared" si="17"/>
        <v>0.920014587005409</v>
      </c>
      <c r="I284" s="264"/>
      <c r="J284" s="55"/>
      <c r="K284" s="55">
        <v>302.74</v>
      </c>
      <c r="L284" s="4">
        <f t="shared" si="18"/>
        <v>8895.05</v>
      </c>
      <c r="O284" s="266" t="s">
        <v>1658</v>
      </c>
    </row>
    <row r="285" ht="16.5" spans="1:15">
      <c r="A285" s="203">
        <v>46196</v>
      </c>
      <c r="B285" s="55" t="s">
        <v>81</v>
      </c>
      <c r="C285" s="55"/>
      <c r="D285" s="55"/>
      <c r="E285" s="235">
        <v>130.89</v>
      </c>
      <c r="F285" s="55"/>
      <c r="G285" s="55"/>
      <c r="H285" s="160">
        <f t="shared" si="17"/>
        <v>0.970051188020475</v>
      </c>
      <c r="I285" s="264"/>
      <c r="J285" s="55"/>
      <c r="K285" s="55">
        <v>126.97</v>
      </c>
      <c r="L285" s="4">
        <f t="shared" si="18"/>
        <v>8768.08</v>
      </c>
      <c r="O285" s="266" t="s">
        <v>1658</v>
      </c>
    </row>
    <row r="286" ht="16.5" spans="1:15">
      <c r="A286" s="203">
        <v>46196</v>
      </c>
      <c r="B286" s="55" t="s">
        <v>81</v>
      </c>
      <c r="C286" s="55"/>
      <c r="D286" s="55"/>
      <c r="E286" s="235">
        <v>31.79</v>
      </c>
      <c r="F286" s="55"/>
      <c r="G286" s="55"/>
      <c r="H286" s="160">
        <f t="shared" si="17"/>
        <v>0.97011638880151</v>
      </c>
      <c r="I286" s="264"/>
      <c r="J286" s="55"/>
      <c r="K286" s="55">
        <v>30.84</v>
      </c>
      <c r="L286" s="4">
        <f t="shared" si="18"/>
        <v>8737.24</v>
      </c>
      <c r="O286" s="266" t="s">
        <v>1658</v>
      </c>
    </row>
    <row r="287" ht="16.5" spans="1:15">
      <c r="A287" s="203">
        <v>46196</v>
      </c>
      <c r="B287" s="55" t="s">
        <v>81</v>
      </c>
      <c r="C287" s="55"/>
      <c r="D287" s="55"/>
      <c r="E287" s="235">
        <v>6.94</v>
      </c>
      <c r="F287" s="55"/>
      <c r="G287" s="55"/>
      <c r="H287" s="160">
        <f t="shared" si="17"/>
        <v>0.969740634005764</v>
      </c>
      <c r="I287" s="264"/>
      <c r="J287" s="55"/>
      <c r="K287" s="55">
        <v>6.73</v>
      </c>
      <c r="L287" s="4">
        <f t="shared" si="18"/>
        <v>8730.51</v>
      </c>
      <c r="O287" s="266" t="s">
        <v>1658</v>
      </c>
    </row>
    <row r="288" ht="16.5" spans="1:15">
      <c r="A288" s="203">
        <v>46197</v>
      </c>
      <c r="B288" s="55" t="s">
        <v>180</v>
      </c>
      <c r="C288" s="55"/>
      <c r="D288" s="55"/>
      <c r="E288" s="235">
        <v>56.03</v>
      </c>
      <c r="F288" s="55"/>
      <c r="G288" s="55"/>
      <c r="H288" s="160">
        <f t="shared" ref="H288:H300" si="19">K288/E288</f>
        <v>0.719971443869356</v>
      </c>
      <c r="I288" s="55"/>
      <c r="J288" s="55"/>
      <c r="K288" s="55">
        <v>40.34</v>
      </c>
      <c r="L288" s="4">
        <f t="shared" ref="L288:L300" si="20">L287+I288-K288</f>
        <v>8690.17</v>
      </c>
      <c r="O288" s="266" t="s">
        <v>1658</v>
      </c>
    </row>
    <row r="289" ht="16.5" spans="1:15">
      <c r="A289" s="203">
        <v>46197</v>
      </c>
      <c r="B289" s="55" t="s">
        <v>108</v>
      </c>
      <c r="C289" s="55"/>
      <c r="D289" s="55"/>
      <c r="E289" s="235">
        <v>109.8</v>
      </c>
      <c r="F289" s="55"/>
      <c r="G289" s="55"/>
      <c r="H289" s="160">
        <f t="shared" si="19"/>
        <v>0.969945355191257</v>
      </c>
      <c r="I289" s="55"/>
      <c r="J289" s="55"/>
      <c r="K289" s="55">
        <v>106.5</v>
      </c>
      <c r="L289" s="4">
        <f t="shared" si="20"/>
        <v>8583.67</v>
      </c>
      <c r="O289" s="266" t="s">
        <v>1658</v>
      </c>
    </row>
    <row r="290" ht="16.5" spans="1:15">
      <c r="A290" s="203">
        <v>46197</v>
      </c>
      <c r="B290" s="55" t="s">
        <v>144</v>
      </c>
      <c r="C290" s="55"/>
      <c r="D290" s="55"/>
      <c r="E290" s="235">
        <v>256.13</v>
      </c>
      <c r="F290" s="55"/>
      <c r="G290" s="55"/>
      <c r="H290" s="160">
        <f t="shared" si="19"/>
        <v>0.969976183969078</v>
      </c>
      <c r="I290" s="55"/>
      <c r="J290" s="55"/>
      <c r="K290" s="55">
        <v>248.44</v>
      </c>
      <c r="L290" s="4">
        <f t="shared" si="20"/>
        <v>8335.23</v>
      </c>
      <c r="O290" s="266" t="s">
        <v>1658</v>
      </c>
    </row>
    <row r="291" ht="16.5" spans="1:15">
      <c r="A291" s="203">
        <v>46198</v>
      </c>
      <c r="B291" s="55" t="s">
        <v>51</v>
      </c>
      <c r="C291" s="55"/>
      <c r="D291" s="55"/>
      <c r="E291" s="235">
        <v>203.71</v>
      </c>
      <c r="F291" s="55"/>
      <c r="G291" s="55"/>
      <c r="H291" s="160">
        <f t="shared" si="19"/>
        <v>0.819989200333808</v>
      </c>
      <c r="I291" s="55"/>
      <c r="J291" s="55"/>
      <c r="K291" s="55">
        <v>167.04</v>
      </c>
      <c r="L291" s="4">
        <f t="shared" si="20"/>
        <v>8168.19</v>
      </c>
      <c r="O291" s="266" t="s">
        <v>1658</v>
      </c>
    </row>
    <row r="292" ht="16.5" spans="1:15">
      <c r="A292" s="203">
        <v>46198</v>
      </c>
      <c r="B292" s="55" t="s">
        <v>132</v>
      </c>
      <c r="C292" s="55"/>
      <c r="D292" s="55"/>
      <c r="E292" s="235">
        <v>104.83</v>
      </c>
      <c r="F292" s="55"/>
      <c r="G292" s="55"/>
      <c r="H292" s="160">
        <f t="shared" si="19"/>
        <v>0.969951349804445</v>
      </c>
      <c r="I292" s="55"/>
      <c r="J292" s="55"/>
      <c r="K292" s="55">
        <v>101.68</v>
      </c>
      <c r="L292" s="4">
        <f t="shared" si="20"/>
        <v>8066.51</v>
      </c>
      <c r="O292" s="266" t="s">
        <v>1658</v>
      </c>
    </row>
    <row r="293" ht="16.5" spans="1:15">
      <c r="A293" s="203">
        <v>46198</v>
      </c>
      <c r="B293" s="55" t="s">
        <v>339</v>
      </c>
      <c r="C293" s="55"/>
      <c r="D293" s="55"/>
      <c r="E293" s="235">
        <v>198.04</v>
      </c>
      <c r="F293" s="55"/>
      <c r="G293" s="55"/>
      <c r="H293" s="160">
        <f t="shared" si="19"/>
        <v>0.817006665320137</v>
      </c>
      <c r="I293" s="55"/>
      <c r="J293" s="55"/>
      <c r="K293" s="55">
        <v>161.8</v>
      </c>
      <c r="L293" s="4">
        <f t="shared" si="20"/>
        <v>7904.71</v>
      </c>
      <c r="O293" s="266" t="s">
        <v>1658</v>
      </c>
    </row>
    <row r="294" ht="16.5" spans="1:15">
      <c r="A294" s="203">
        <v>46198</v>
      </c>
      <c r="B294" s="55" t="s">
        <v>192</v>
      </c>
      <c r="C294" s="55"/>
      <c r="D294" s="55"/>
      <c r="E294" s="235">
        <v>80.57</v>
      </c>
      <c r="F294" s="55"/>
      <c r="G294" s="55"/>
      <c r="H294" s="160">
        <f t="shared" si="19"/>
        <v>0.776964130569691</v>
      </c>
      <c r="I294" s="55"/>
      <c r="J294" s="55"/>
      <c r="K294" s="55">
        <v>62.6</v>
      </c>
      <c r="L294" s="4">
        <f t="shared" si="20"/>
        <v>7842.11</v>
      </c>
      <c r="O294" s="266" t="s">
        <v>1658</v>
      </c>
    </row>
    <row r="295" ht="16.5" spans="1:15">
      <c r="A295" s="203">
        <v>46198</v>
      </c>
      <c r="B295" s="55" t="s">
        <v>60</v>
      </c>
      <c r="C295" s="55"/>
      <c r="D295" s="55"/>
      <c r="E295" s="235">
        <v>289.82</v>
      </c>
      <c r="F295" s="55"/>
      <c r="G295" s="55"/>
      <c r="H295" s="160">
        <f t="shared" si="19"/>
        <v>0.783486301842523</v>
      </c>
      <c r="I295" s="55"/>
      <c r="J295" s="55"/>
      <c r="K295" s="55">
        <v>227.07</v>
      </c>
      <c r="L295" s="4">
        <f t="shared" si="20"/>
        <v>7615.04</v>
      </c>
      <c r="O295" s="266" t="s">
        <v>1658</v>
      </c>
    </row>
    <row r="296" ht="16.5" spans="1:15">
      <c r="A296" s="203">
        <v>46198</v>
      </c>
      <c r="B296" s="55" t="s">
        <v>114</v>
      </c>
      <c r="C296" s="55"/>
      <c r="D296" s="55"/>
      <c r="E296" s="235">
        <v>144</v>
      </c>
      <c r="F296" s="55"/>
      <c r="G296" s="55"/>
      <c r="H296" s="160">
        <f t="shared" si="19"/>
        <v>0.72</v>
      </c>
      <c r="I296" s="55"/>
      <c r="J296" s="55"/>
      <c r="K296" s="55">
        <v>103.68</v>
      </c>
      <c r="L296" s="4">
        <f t="shared" si="20"/>
        <v>7511.36</v>
      </c>
      <c r="O296" s="266" t="s">
        <v>1658</v>
      </c>
    </row>
    <row r="297" ht="16.5" spans="1:15">
      <c r="A297" s="203">
        <v>46198</v>
      </c>
      <c r="B297" s="55" t="s">
        <v>130</v>
      </c>
      <c r="C297" s="55"/>
      <c r="D297" s="55"/>
      <c r="E297" s="235">
        <v>91.85</v>
      </c>
      <c r="F297" s="55"/>
      <c r="G297" s="55"/>
      <c r="H297" s="160">
        <f t="shared" si="19"/>
        <v>0.770059880239521</v>
      </c>
      <c r="I297" s="55"/>
      <c r="J297" s="55"/>
      <c r="K297" s="55">
        <v>70.73</v>
      </c>
      <c r="L297" s="4">
        <f t="shared" si="20"/>
        <v>7440.63</v>
      </c>
      <c r="O297" s="266" t="s">
        <v>1658</v>
      </c>
    </row>
    <row r="298" ht="16.5" spans="1:15">
      <c r="A298" s="203">
        <v>46198</v>
      </c>
      <c r="B298" s="55" t="s">
        <v>1255</v>
      </c>
      <c r="C298" s="55"/>
      <c r="D298" s="55"/>
      <c r="E298" s="235">
        <v>34.29</v>
      </c>
      <c r="F298" s="55"/>
      <c r="G298" s="55"/>
      <c r="H298" s="160">
        <f t="shared" si="19"/>
        <v>0.720034995625547</v>
      </c>
      <c r="I298" s="55"/>
      <c r="J298" s="55"/>
      <c r="K298" s="55">
        <v>24.69</v>
      </c>
      <c r="L298" s="4">
        <f t="shared" si="20"/>
        <v>7415.94</v>
      </c>
      <c r="O298" s="266" t="s">
        <v>1658</v>
      </c>
    </row>
    <row r="299" ht="16.5" spans="1:15">
      <c r="A299" s="203">
        <v>46198</v>
      </c>
      <c r="B299" s="55" t="s">
        <v>138</v>
      </c>
      <c r="C299" s="55"/>
      <c r="D299" s="55"/>
      <c r="E299" s="235">
        <v>113.44</v>
      </c>
      <c r="F299" s="55"/>
      <c r="G299" s="55"/>
      <c r="H299" s="160">
        <f t="shared" si="19"/>
        <v>0.770010578279267</v>
      </c>
      <c r="I299" s="55"/>
      <c r="J299" s="55"/>
      <c r="K299" s="55">
        <v>87.35</v>
      </c>
      <c r="L299" s="4">
        <f t="shared" si="20"/>
        <v>7328.59</v>
      </c>
      <c r="O299" s="266" t="s">
        <v>1658</v>
      </c>
    </row>
    <row r="300" ht="16.5" spans="1:15">
      <c r="A300" s="203">
        <v>46198</v>
      </c>
      <c r="B300" s="55" t="s">
        <v>141</v>
      </c>
      <c r="C300" s="55"/>
      <c r="D300" s="55"/>
      <c r="E300" s="235">
        <v>169.48</v>
      </c>
      <c r="F300" s="55"/>
      <c r="G300" s="55"/>
      <c r="H300" s="160">
        <f t="shared" si="19"/>
        <v>0.770002360160491</v>
      </c>
      <c r="I300" s="55"/>
      <c r="J300" s="55"/>
      <c r="K300" s="55">
        <v>130.5</v>
      </c>
      <c r="L300" s="4">
        <f t="shared" si="20"/>
        <v>7198.09</v>
      </c>
      <c r="O300" s="266" t="s">
        <v>1658</v>
      </c>
    </row>
    <row r="301" ht="16.5" spans="1:15">
      <c r="A301" s="203">
        <v>46198</v>
      </c>
      <c r="B301" s="55" t="s">
        <v>148</v>
      </c>
      <c r="C301" s="55"/>
      <c r="D301" s="55"/>
      <c r="E301" s="235">
        <v>296.43</v>
      </c>
      <c r="F301" s="55"/>
      <c r="G301" s="55"/>
      <c r="H301" s="160">
        <f t="shared" ref="H301:H332" si="21">K301/E301</f>
        <v>0.76999628917451</v>
      </c>
      <c r="I301" s="55"/>
      <c r="J301" s="55"/>
      <c r="K301" s="55">
        <v>228.25</v>
      </c>
      <c r="L301" s="4">
        <f t="shared" ref="L301:L332" si="22">L300+I301-K301</f>
        <v>6969.84</v>
      </c>
      <c r="O301" s="266" t="s">
        <v>1658</v>
      </c>
    </row>
    <row r="302" ht="16.5" spans="1:15">
      <c r="A302" s="203">
        <v>46198</v>
      </c>
      <c r="B302" s="55" t="s">
        <v>78</v>
      </c>
      <c r="C302" s="55"/>
      <c r="D302" s="55"/>
      <c r="E302" s="235">
        <v>230.77</v>
      </c>
      <c r="F302" s="55"/>
      <c r="G302" s="55"/>
      <c r="H302" s="160">
        <f t="shared" si="21"/>
        <v>0.769987433375222</v>
      </c>
      <c r="I302" s="55"/>
      <c r="J302" s="55"/>
      <c r="K302" s="55">
        <v>177.69</v>
      </c>
      <c r="L302" s="4">
        <f t="shared" si="22"/>
        <v>6792.15</v>
      </c>
      <c r="O302" s="266" t="s">
        <v>1658</v>
      </c>
    </row>
    <row r="303" ht="16.5" spans="1:15">
      <c r="A303" s="203">
        <v>46198</v>
      </c>
      <c r="B303" s="55" t="s">
        <v>135</v>
      </c>
      <c r="C303" s="55"/>
      <c r="D303" s="55"/>
      <c r="E303" s="235">
        <v>237.89</v>
      </c>
      <c r="F303" s="55"/>
      <c r="G303" s="55"/>
      <c r="H303" s="160">
        <f t="shared" si="21"/>
        <v>0.770061793265795</v>
      </c>
      <c r="I303" s="55"/>
      <c r="J303" s="55"/>
      <c r="K303" s="55">
        <v>183.19</v>
      </c>
      <c r="L303" s="4">
        <f t="shared" si="22"/>
        <v>6608.96</v>
      </c>
      <c r="O303" s="266" t="s">
        <v>1658</v>
      </c>
    </row>
    <row r="304" ht="16.5" spans="1:15">
      <c r="A304" s="203">
        <v>46198</v>
      </c>
      <c r="B304" s="55" t="s">
        <v>670</v>
      </c>
      <c r="C304" s="55"/>
      <c r="D304" s="55"/>
      <c r="E304" s="235">
        <v>241.34</v>
      </c>
      <c r="F304" s="55"/>
      <c r="G304" s="55"/>
      <c r="H304" s="160">
        <f t="shared" si="21"/>
        <v>0.78354189110798</v>
      </c>
      <c r="I304" s="55"/>
      <c r="J304" s="55"/>
      <c r="K304" s="55">
        <v>189.1</v>
      </c>
      <c r="L304" s="4">
        <f t="shared" si="22"/>
        <v>6419.86</v>
      </c>
      <c r="O304" s="266" t="s">
        <v>1658</v>
      </c>
    </row>
    <row r="305" ht="16.5" spans="1:15">
      <c r="A305" s="203">
        <v>46198</v>
      </c>
      <c r="B305" s="55" t="s">
        <v>213</v>
      </c>
      <c r="C305" s="55"/>
      <c r="D305" s="55"/>
      <c r="E305" s="235">
        <v>203.39</v>
      </c>
      <c r="F305" s="55"/>
      <c r="G305" s="55"/>
      <c r="H305" s="160">
        <f t="shared" si="21"/>
        <v>0.820000983332514</v>
      </c>
      <c r="I305" s="55"/>
      <c r="J305" s="55"/>
      <c r="K305" s="55">
        <v>166.78</v>
      </c>
      <c r="L305" s="4">
        <f t="shared" si="22"/>
        <v>6253.08</v>
      </c>
      <c r="O305" s="266" t="s">
        <v>1658</v>
      </c>
    </row>
    <row r="306" ht="16.5" spans="1:15">
      <c r="A306" s="203">
        <v>46198</v>
      </c>
      <c r="B306" s="55" t="s">
        <v>90</v>
      </c>
      <c r="C306" s="55"/>
      <c r="D306" s="55"/>
      <c r="E306" s="235">
        <v>329.95</v>
      </c>
      <c r="F306" s="55"/>
      <c r="G306" s="55"/>
      <c r="H306" s="160">
        <f t="shared" si="21"/>
        <v>0.92001818457342</v>
      </c>
      <c r="I306" s="55"/>
      <c r="J306" s="55"/>
      <c r="K306" s="55">
        <v>303.56</v>
      </c>
      <c r="L306" s="4">
        <f t="shared" si="22"/>
        <v>5949.52</v>
      </c>
      <c r="O306" s="266" t="s">
        <v>1658</v>
      </c>
    </row>
    <row r="307" ht="16.5" spans="1:15">
      <c r="A307" s="203">
        <v>46198</v>
      </c>
      <c r="B307" s="55" t="s">
        <v>124</v>
      </c>
      <c r="C307" s="55"/>
      <c r="D307" s="55"/>
      <c r="E307" s="235">
        <v>145.77</v>
      </c>
      <c r="F307" s="55"/>
      <c r="G307" s="55"/>
      <c r="H307" s="160">
        <f t="shared" si="21"/>
        <v>0.970021266378541</v>
      </c>
      <c r="I307" s="55"/>
      <c r="J307" s="55"/>
      <c r="K307" s="55">
        <v>141.4</v>
      </c>
      <c r="L307" s="4">
        <f t="shared" si="22"/>
        <v>5808.12</v>
      </c>
      <c r="O307" s="266" t="s">
        <v>1658</v>
      </c>
    </row>
    <row r="308" ht="16.5" spans="1:15">
      <c r="A308" s="203">
        <v>46198</v>
      </c>
      <c r="B308" s="55" t="s">
        <v>174</v>
      </c>
      <c r="C308" s="55"/>
      <c r="D308" s="55"/>
      <c r="E308" s="235">
        <v>205</v>
      </c>
      <c r="F308" s="55"/>
      <c r="G308" s="55"/>
      <c r="H308" s="160">
        <f t="shared" si="21"/>
        <v>0.97</v>
      </c>
      <c r="I308" s="55"/>
      <c r="J308" s="55"/>
      <c r="K308" s="55">
        <v>198.85</v>
      </c>
      <c r="L308" s="4">
        <f t="shared" si="22"/>
        <v>5609.27</v>
      </c>
      <c r="O308" s="266" t="s">
        <v>1658</v>
      </c>
    </row>
    <row r="309" ht="16.5" spans="1:15">
      <c r="A309" s="203">
        <v>46198</v>
      </c>
      <c r="B309" s="55" t="s">
        <v>90</v>
      </c>
      <c r="C309" s="55"/>
      <c r="D309" s="55"/>
      <c r="E309" s="235">
        <v>56</v>
      </c>
      <c r="F309" s="55"/>
      <c r="G309" s="55"/>
      <c r="H309" s="160">
        <f t="shared" si="21"/>
        <v>0.92</v>
      </c>
      <c r="I309" s="55"/>
      <c r="J309" s="55"/>
      <c r="K309" s="55">
        <v>51.52</v>
      </c>
      <c r="L309" s="4">
        <f t="shared" si="22"/>
        <v>5557.75</v>
      </c>
      <c r="O309" s="266" t="s">
        <v>1658</v>
      </c>
    </row>
    <row r="310" ht="16.5" spans="1:15">
      <c r="A310" s="203">
        <v>46198</v>
      </c>
      <c r="B310" s="55" t="s">
        <v>130</v>
      </c>
      <c r="C310" s="55"/>
      <c r="D310" s="55"/>
      <c r="E310" s="235">
        <v>300.48</v>
      </c>
      <c r="F310" s="55"/>
      <c r="G310" s="55"/>
      <c r="H310" s="160">
        <f t="shared" si="21"/>
        <v>0.920027955271565</v>
      </c>
      <c r="I310" s="55"/>
      <c r="J310" s="55"/>
      <c r="K310" s="55">
        <v>276.45</v>
      </c>
      <c r="L310" s="4">
        <f t="shared" si="22"/>
        <v>5281.3</v>
      </c>
      <c r="O310" s="266" t="s">
        <v>1658</v>
      </c>
    </row>
    <row r="311" ht="16.5" spans="1:15">
      <c r="A311" s="203">
        <v>46198</v>
      </c>
      <c r="B311" s="55" t="s">
        <v>127</v>
      </c>
      <c r="C311" s="55"/>
      <c r="D311" s="55"/>
      <c r="E311" s="235">
        <v>231.34</v>
      </c>
      <c r="F311" s="55"/>
      <c r="G311" s="55"/>
      <c r="H311" s="160">
        <f t="shared" si="21"/>
        <v>0.920031123022391</v>
      </c>
      <c r="I311" s="55"/>
      <c r="J311" s="55"/>
      <c r="K311" s="55">
        <v>212.84</v>
      </c>
      <c r="L311" s="4">
        <f t="shared" si="22"/>
        <v>5068.46</v>
      </c>
      <c r="O311" s="266" t="s">
        <v>1658</v>
      </c>
    </row>
    <row r="312" ht="16.5" spans="1:15">
      <c r="A312" s="203">
        <v>46198</v>
      </c>
      <c r="B312" s="55" t="s">
        <v>141</v>
      </c>
      <c r="C312" s="55"/>
      <c r="D312" s="55"/>
      <c r="E312" s="235">
        <v>270.08</v>
      </c>
      <c r="F312" s="55"/>
      <c r="G312" s="55"/>
      <c r="H312" s="160">
        <f t="shared" si="21"/>
        <v>0.919986670616114</v>
      </c>
      <c r="I312" s="55"/>
      <c r="J312" s="55"/>
      <c r="K312" s="55">
        <v>248.47</v>
      </c>
      <c r="L312" s="4">
        <f t="shared" si="22"/>
        <v>4819.99</v>
      </c>
      <c r="O312" s="266" t="s">
        <v>1658</v>
      </c>
    </row>
    <row r="313" ht="16.5" spans="1:15">
      <c r="A313" s="203">
        <v>46199</v>
      </c>
      <c r="B313" s="55" t="s">
        <v>51</v>
      </c>
      <c r="C313" s="55"/>
      <c r="D313" s="55"/>
      <c r="E313" s="235">
        <v>182.59</v>
      </c>
      <c r="F313" s="55"/>
      <c r="G313" s="55"/>
      <c r="H313" s="160">
        <f t="shared" si="21"/>
        <v>0.819979188345473</v>
      </c>
      <c r="I313" s="55"/>
      <c r="J313" s="55"/>
      <c r="K313" s="55">
        <v>149.72</v>
      </c>
      <c r="L313" s="4">
        <f t="shared" si="22"/>
        <v>4670.27</v>
      </c>
      <c r="O313" s="266" t="s">
        <v>1658</v>
      </c>
    </row>
    <row r="314" ht="16.5" spans="1:15">
      <c r="A314" s="203">
        <v>46199</v>
      </c>
      <c r="B314" s="55" t="s">
        <v>75</v>
      </c>
      <c r="C314" s="55"/>
      <c r="D314" s="55"/>
      <c r="E314" s="235">
        <v>360.75</v>
      </c>
      <c r="F314" s="55"/>
      <c r="G314" s="55"/>
      <c r="H314" s="160">
        <f t="shared" si="21"/>
        <v>0.783534303534304</v>
      </c>
      <c r="I314" s="55"/>
      <c r="J314" s="55"/>
      <c r="K314" s="55">
        <v>282.66</v>
      </c>
      <c r="L314" s="4">
        <f t="shared" si="22"/>
        <v>4387.61</v>
      </c>
      <c r="O314" s="266" t="s">
        <v>1658</v>
      </c>
    </row>
    <row r="315" ht="16.5" spans="1:15">
      <c r="A315" s="203">
        <v>46199</v>
      </c>
      <c r="B315" s="55" t="s">
        <v>60</v>
      </c>
      <c r="C315" s="55"/>
      <c r="D315" s="55"/>
      <c r="E315" s="235">
        <v>314.97</v>
      </c>
      <c r="F315" s="55"/>
      <c r="G315" s="55"/>
      <c r="H315" s="160">
        <f t="shared" si="21"/>
        <v>0.720005079848874</v>
      </c>
      <c r="I315" s="55"/>
      <c r="J315" s="55"/>
      <c r="K315" s="55">
        <v>226.78</v>
      </c>
      <c r="L315" s="4">
        <f t="shared" si="22"/>
        <v>4160.83</v>
      </c>
      <c r="O315" s="266" t="s">
        <v>1658</v>
      </c>
    </row>
    <row r="316" ht="16.5" spans="1:15">
      <c r="A316" s="203">
        <v>46199</v>
      </c>
      <c r="B316" s="55" t="s">
        <v>54</v>
      </c>
      <c r="C316" s="55"/>
      <c r="D316" s="55"/>
      <c r="E316" s="235">
        <v>173.29</v>
      </c>
      <c r="F316" s="55"/>
      <c r="G316" s="55"/>
      <c r="H316" s="160">
        <f t="shared" si="21"/>
        <v>0.881008713716891</v>
      </c>
      <c r="I316" s="55"/>
      <c r="J316" s="55"/>
      <c r="K316" s="55">
        <v>152.67</v>
      </c>
      <c r="L316" s="4">
        <f t="shared" si="22"/>
        <v>4008.16</v>
      </c>
      <c r="O316" s="266" t="s">
        <v>1658</v>
      </c>
    </row>
    <row r="317" ht="16.5" spans="1:15">
      <c r="A317" s="203">
        <v>46199</v>
      </c>
      <c r="B317" s="55" t="s">
        <v>192</v>
      </c>
      <c r="C317" s="55"/>
      <c r="D317" s="55"/>
      <c r="E317" s="235">
        <v>289.02</v>
      </c>
      <c r="F317" s="55"/>
      <c r="G317" s="55"/>
      <c r="H317" s="160">
        <f t="shared" si="21"/>
        <v>0.918725347726801</v>
      </c>
      <c r="I317" s="55"/>
      <c r="J317" s="55"/>
      <c r="K317" s="55">
        <v>265.53</v>
      </c>
      <c r="L317" s="4">
        <f t="shared" si="22"/>
        <v>3742.63</v>
      </c>
      <c r="O317" s="266" t="s">
        <v>1658</v>
      </c>
    </row>
    <row r="318" ht="16.5" spans="1:15">
      <c r="A318" s="203">
        <v>46199</v>
      </c>
      <c r="B318" s="55" t="s">
        <v>144</v>
      </c>
      <c r="C318" s="55"/>
      <c r="D318" s="55"/>
      <c r="E318" s="235">
        <v>0.94</v>
      </c>
      <c r="F318" s="55"/>
      <c r="G318" s="55"/>
      <c r="H318" s="160">
        <f t="shared" si="21"/>
        <v>0.968085106382979</v>
      </c>
      <c r="I318" s="55"/>
      <c r="J318" s="55"/>
      <c r="K318" s="55">
        <v>0.91</v>
      </c>
      <c r="L318" s="4">
        <f t="shared" si="22"/>
        <v>3741.72</v>
      </c>
      <c r="O318" s="266" t="s">
        <v>1658</v>
      </c>
    </row>
    <row r="319" ht="16.5" spans="1:15">
      <c r="A319" s="203">
        <v>46199</v>
      </c>
      <c r="B319" s="55" t="s">
        <v>144</v>
      </c>
      <c r="C319" s="55"/>
      <c r="D319" s="55"/>
      <c r="E319" s="235">
        <v>0.7</v>
      </c>
      <c r="F319" s="55"/>
      <c r="G319" s="55"/>
      <c r="H319" s="160">
        <f t="shared" si="21"/>
        <v>0.957142857142857</v>
      </c>
      <c r="I319" s="55"/>
      <c r="J319" s="55"/>
      <c r="K319" s="55">
        <v>0.67</v>
      </c>
      <c r="L319" s="4">
        <f t="shared" si="22"/>
        <v>3741.05</v>
      </c>
      <c r="O319" s="266" t="s">
        <v>1658</v>
      </c>
    </row>
    <row r="320" ht="16.5" spans="1:15">
      <c r="A320" s="203">
        <v>46199</v>
      </c>
      <c r="B320" s="55" t="s">
        <v>144</v>
      </c>
      <c r="C320" s="55"/>
      <c r="D320" s="55"/>
      <c r="E320" s="235">
        <v>195.62</v>
      </c>
      <c r="F320" s="55"/>
      <c r="G320" s="55"/>
      <c r="H320" s="160">
        <f t="shared" si="21"/>
        <v>0.820008179122789</v>
      </c>
      <c r="I320" s="55"/>
      <c r="J320" s="55"/>
      <c r="K320" s="55">
        <v>160.41</v>
      </c>
      <c r="L320" s="4">
        <f t="shared" si="22"/>
        <v>3580.64</v>
      </c>
      <c r="O320" s="266" t="s">
        <v>1658</v>
      </c>
    </row>
    <row r="321" ht="16.5" spans="1:15">
      <c r="A321" s="203">
        <v>46199</v>
      </c>
      <c r="B321" s="55" t="s">
        <v>102</v>
      </c>
      <c r="C321" s="55"/>
      <c r="D321" s="55"/>
      <c r="E321" s="235">
        <v>318.68</v>
      </c>
      <c r="F321" s="55"/>
      <c r="G321" s="55"/>
      <c r="H321" s="160">
        <f t="shared" si="21"/>
        <v>0.850006275888038</v>
      </c>
      <c r="I321" s="55"/>
      <c r="J321" s="55"/>
      <c r="K321" s="55">
        <v>270.88</v>
      </c>
      <c r="L321" s="4">
        <f t="shared" si="22"/>
        <v>3309.76</v>
      </c>
      <c r="O321" s="266" t="s">
        <v>1658</v>
      </c>
    </row>
    <row r="322" ht="16.5" spans="1:15">
      <c r="A322" s="203">
        <v>46199</v>
      </c>
      <c r="B322" s="55" t="s">
        <v>210</v>
      </c>
      <c r="C322" s="55"/>
      <c r="D322" s="55"/>
      <c r="E322" s="235">
        <v>133.28</v>
      </c>
      <c r="F322" s="55"/>
      <c r="G322" s="55"/>
      <c r="H322" s="160">
        <f t="shared" si="21"/>
        <v>0.82000300120048</v>
      </c>
      <c r="I322" s="55"/>
      <c r="J322" s="55"/>
      <c r="K322" s="55">
        <v>109.29</v>
      </c>
      <c r="L322" s="4">
        <f t="shared" si="22"/>
        <v>3200.47</v>
      </c>
      <c r="O322" s="266" t="s">
        <v>1658</v>
      </c>
    </row>
    <row r="323" ht="16.5" spans="1:15">
      <c r="A323" s="203">
        <v>46199</v>
      </c>
      <c r="B323" s="55" t="s">
        <v>183</v>
      </c>
      <c r="C323" s="55"/>
      <c r="D323" s="55"/>
      <c r="E323" s="235">
        <v>286.47</v>
      </c>
      <c r="F323" s="55"/>
      <c r="G323" s="55"/>
      <c r="H323" s="160">
        <f t="shared" si="21"/>
        <v>0.850001745383461</v>
      </c>
      <c r="I323" s="55"/>
      <c r="J323" s="55"/>
      <c r="K323" s="55">
        <v>243.5</v>
      </c>
      <c r="L323" s="4">
        <f t="shared" si="22"/>
        <v>2956.97</v>
      </c>
      <c r="O323" s="266" t="s">
        <v>1658</v>
      </c>
    </row>
    <row r="324" ht="16.5" spans="1:15">
      <c r="A324" s="203">
        <v>46199</v>
      </c>
      <c r="B324" s="55" t="s">
        <v>177</v>
      </c>
      <c r="C324" s="55"/>
      <c r="D324" s="55"/>
      <c r="E324" s="235">
        <v>70.67</v>
      </c>
      <c r="F324" s="55"/>
      <c r="G324" s="55"/>
      <c r="H324" s="160">
        <f t="shared" si="21"/>
        <v>0.820008490165558</v>
      </c>
      <c r="I324" s="55"/>
      <c r="J324" s="55"/>
      <c r="K324" s="55">
        <v>57.95</v>
      </c>
      <c r="L324" s="4">
        <f t="shared" si="22"/>
        <v>2899.02</v>
      </c>
      <c r="O324" s="266" t="s">
        <v>1658</v>
      </c>
    </row>
    <row r="325" ht="16.5" spans="1:15">
      <c r="A325" s="203">
        <v>46199</v>
      </c>
      <c r="B325" s="55" t="s">
        <v>151</v>
      </c>
      <c r="C325" s="55"/>
      <c r="D325" s="55"/>
      <c r="E325" s="235">
        <v>146.82</v>
      </c>
      <c r="F325" s="55"/>
      <c r="G325" s="55"/>
      <c r="H325" s="160">
        <f t="shared" si="21"/>
        <v>0.819983653453208</v>
      </c>
      <c r="I325" s="55"/>
      <c r="J325" s="55"/>
      <c r="K325" s="55">
        <v>120.39</v>
      </c>
      <c r="L325" s="4">
        <f t="shared" si="22"/>
        <v>2778.63</v>
      </c>
      <c r="O325" s="266" t="s">
        <v>1658</v>
      </c>
    </row>
    <row r="326" ht="16.5" spans="1:15">
      <c r="A326" s="203">
        <v>46199</v>
      </c>
      <c r="B326" s="55" t="s">
        <v>111</v>
      </c>
      <c r="C326" s="55"/>
      <c r="D326" s="55"/>
      <c r="E326" s="235">
        <v>0</v>
      </c>
      <c r="F326" s="55"/>
      <c r="G326" s="55"/>
      <c r="H326" s="160" t="e">
        <f t="shared" si="21"/>
        <v>#DIV/0!</v>
      </c>
      <c r="I326" s="55"/>
      <c r="J326" s="55"/>
      <c r="K326" s="55">
        <v>0</v>
      </c>
      <c r="L326" s="4">
        <f t="shared" si="22"/>
        <v>2778.63</v>
      </c>
      <c r="O326" s="266" t="s">
        <v>1658</v>
      </c>
    </row>
    <row r="327" ht="16.5" spans="1:15">
      <c r="A327" s="203">
        <v>46199</v>
      </c>
      <c r="B327" s="55" t="s">
        <v>111</v>
      </c>
      <c r="C327" s="55"/>
      <c r="D327" s="55"/>
      <c r="E327" s="235">
        <v>174.34</v>
      </c>
      <c r="F327" s="55"/>
      <c r="G327" s="55"/>
      <c r="H327" s="160">
        <f t="shared" si="21"/>
        <v>0.771481014110359</v>
      </c>
      <c r="I327" s="55"/>
      <c r="J327" s="55"/>
      <c r="K327" s="55">
        <v>134.5</v>
      </c>
      <c r="L327" s="4">
        <f t="shared" si="22"/>
        <v>2644.13</v>
      </c>
      <c r="O327" s="266" t="s">
        <v>1658</v>
      </c>
    </row>
    <row r="328" ht="16.5" spans="1:15">
      <c r="A328" s="203">
        <v>46199</v>
      </c>
      <c r="B328" s="55" t="s">
        <v>192</v>
      </c>
      <c r="C328" s="55"/>
      <c r="D328" s="55"/>
      <c r="E328" s="235">
        <v>174.82</v>
      </c>
      <c r="F328" s="55"/>
      <c r="G328" s="55"/>
      <c r="H328" s="160">
        <f t="shared" si="21"/>
        <v>0.719997711932273</v>
      </c>
      <c r="I328" s="55"/>
      <c r="J328" s="55"/>
      <c r="K328" s="55">
        <v>125.87</v>
      </c>
      <c r="L328" s="4">
        <f t="shared" si="22"/>
        <v>2518.26</v>
      </c>
      <c r="O328" s="266" t="s">
        <v>1658</v>
      </c>
    </row>
    <row r="329" ht="16.5" spans="1:15">
      <c r="A329" s="203">
        <v>46199</v>
      </c>
      <c r="B329" s="55" t="s">
        <v>105</v>
      </c>
      <c r="C329" s="55"/>
      <c r="D329" s="55"/>
      <c r="E329" s="235">
        <v>264.51</v>
      </c>
      <c r="F329" s="55"/>
      <c r="G329" s="55"/>
      <c r="H329" s="160">
        <f t="shared" si="21"/>
        <v>0.76998979244641</v>
      </c>
      <c r="I329" s="55"/>
      <c r="J329" s="55"/>
      <c r="K329" s="55">
        <v>203.67</v>
      </c>
      <c r="L329" s="4">
        <f t="shared" si="22"/>
        <v>2314.59</v>
      </c>
      <c r="O329" s="266" t="s">
        <v>1658</v>
      </c>
    </row>
    <row r="330" ht="16.5" spans="1:15">
      <c r="A330" s="203">
        <v>46199</v>
      </c>
      <c r="B330" s="55" t="s">
        <v>114</v>
      </c>
      <c r="C330" s="55"/>
      <c r="D330" s="55"/>
      <c r="E330" s="235">
        <v>336.58</v>
      </c>
      <c r="F330" s="55"/>
      <c r="G330" s="55"/>
      <c r="H330" s="160">
        <f t="shared" si="21"/>
        <v>0.720007130548458</v>
      </c>
      <c r="I330" s="55"/>
      <c r="J330" s="55"/>
      <c r="K330" s="55">
        <v>242.34</v>
      </c>
      <c r="L330" s="4">
        <f t="shared" si="22"/>
        <v>2072.25</v>
      </c>
      <c r="O330" s="266" t="s">
        <v>1658</v>
      </c>
    </row>
    <row r="331" ht="16.5" spans="1:15">
      <c r="A331" s="203">
        <v>46199</v>
      </c>
      <c r="B331" s="55" t="s">
        <v>207</v>
      </c>
      <c r="C331" s="55"/>
      <c r="D331" s="55"/>
      <c r="E331" s="235">
        <v>199.04</v>
      </c>
      <c r="F331" s="55"/>
      <c r="G331" s="55"/>
      <c r="H331" s="160">
        <f t="shared" si="21"/>
        <v>0.719955787781351</v>
      </c>
      <c r="I331" s="55"/>
      <c r="J331" s="55"/>
      <c r="K331" s="55">
        <v>143.3</v>
      </c>
      <c r="L331" s="4">
        <f t="shared" si="22"/>
        <v>1928.95</v>
      </c>
      <c r="O331" s="266" t="s">
        <v>1658</v>
      </c>
    </row>
    <row r="332" ht="16.5" spans="1:15">
      <c r="A332" s="203">
        <v>46199</v>
      </c>
      <c r="B332" s="55" t="s">
        <v>148</v>
      </c>
      <c r="C332" s="55"/>
      <c r="D332" s="55"/>
      <c r="E332" s="235">
        <v>264.2</v>
      </c>
      <c r="F332" s="55"/>
      <c r="G332" s="55"/>
      <c r="H332" s="160">
        <f t="shared" si="21"/>
        <v>0.71998485995458</v>
      </c>
      <c r="I332" s="55"/>
      <c r="J332" s="55"/>
      <c r="K332" s="55">
        <v>190.22</v>
      </c>
      <c r="L332" s="4">
        <f t="shared" si="22"/>
        <v>1738.73</v>
      </c>
      <c r="O332" s="266" t="s">
        <v>1658</v>
      </c>
    </row>
    <row r="333" ht="16.5" spans="1:15">
      <c r="A333" s="203">
        <v>46199</v>
      </c>
      <c r="B333" s="55" t="s">
        <v>183</v>
      </c>
      <c r="C333" s="55"/>
      <c r="D333" s="55"/>
      <c r="E333" s="235">
        <v>55.76</v>
      </c>
      <c r="F333" s="55"/>
      <c r="G333" s="55"/>
      <c r="H333" s="160">
        <f t="shared" ref="H333:H358" si="23">K333/E333</f>
        <v>0.720050215208034</v>
      </c>
      <c r="I333" s="55"/>
      <c r="J333" s="55"/>
      <c r="K333" s="55">
        <v>40.15</v>
      </c>
      <c r="L333" s="4">
        <f t="shared" ref="L333:L357" si="24">L332+I333-K333</f>
        <v>1698.58</v>
      </c>
      <c r="O333" s="266" t="s">
        <v>1658</v>
      </c>
    </row>
    <row r="334" ht="16.5" spans="1:15">
      <c r="A334" s="203">
        <v>46199</v>
      </c>
      <c r="B334" s="55" t="s">
        <v>183</v>
      </c>
      <c r="C334" s="55"/>
      <c r="D334" s="55"/>
      <c r="E334" s="235">
        <v>17.66</v>
      </c>
      <c r="F334" s="55"/>
      <c r="G334" s="55"/>
      <c r="H334" s="160">
        <f t="shared" si="23"/>
        <v>0.720271800679502</v>
      </c>
      <c r="I334" s="55"/>
      <c r="J334" s="55"/>
      <c r="K334" s="55">
        <v>12.72</v>
      </c>
      <c r="L334" s="4">
        <f t="shared" si="24"/>
        <v>1685.86</v>
      </c>
      <c r="O334" s="266" t="s">
        <v>1658</v>
      </c>
    </row>
    <row r="335" ht="16.5" spans="1:15">
      <c r="A335" s="203">
        <v>46199</v>
      </c>
      <c r="B335" s="55" t="s">
        <v>54</v>
      </c>
      <c r="C335" s="55"/>
      <c r="D335" s="55"/>
      <c r="E335" s="235">
        <v>267.26</v>
      </c>
      <c r="F335" s="55"/>
      <c r="G335" s="55"/>
      <c r="H335" s="160">
        <f t="shared" si="23"/>
        <v>0.80692958168076</v>
      </c>
      <c r="I335" s="55"/>
      <c r="J335" s="55"/>
      <c r="K335" s="55">
        <v>215.66</v>
      </c>
      <c r="L335" s="4">
        <f t="shared" si="24"/>
        <v>1470.2</v>
      </c>
      <c r="O335" s="266" t="s">
        <v>1658</v>
      </c>
    </row>
    <row r="336" ht="16.5" spans="1:15">
      <c r="A336" s="203">
        <v>46199</v>
      </c>
      <c r="B336" s="55" t="s">
        <v>127</v>
      </c>
      <c r="C336" s="55"/>
      <c r="D336" s="55"/>
      <c r="E336" s="235">
        <v>258.02</v>
      </c>
      <c r="F336" s="55"/>
      <c r="G336" s="55"/>
      <c r="H336" s="160">
        <f t="shared" si="23"/>
        <v>0.833695062398264</v>
      </c>
      <c r="I336" s="55"/>
      <c r="J336" s="55"/>
      <c r="K336" s="55">
        <v>215.11</v>
      </c>
      <c r="L336" s="4">
        <f t="shared" si="24"/>
        <v>1255.09</v>
      </c>
      <c r="O336" s="266" t="s">
        <v>1658</v>
      </c>
    </row>
    <row r="337" ht="16.5" spans="1:15">
      <c r="A337" s="203">
        <v>46199</v>
      </c>
      <c r="B337" s="55" t="s">
        <v>135</v>
      </c>
      <c r="C337" s="55"/>
      <c r="D337" s="55"/>
      <c r="E337" s="235">
        <v>130.27</v>
      </c>
      <c r="F337" s="55"/>
      <c r="G337" s="55"/>
      <c r="H337" s="160">
        <f t="shared" si="23"/>
        <v>0.9699854149075</v>
      </c>
      <c r="I337" s="55"/>
      <c r="J337" s="55"/>
      <c r="K337" s="55">
        <v>126.36</v>
      </c>
      <c r="L337" s="4">
        <f t="shared" si="24"/>
        <v>1128.73</v>
      </c>
      <c r="O337" s="266" t="s">
        <v>1658</v>
      </c>
    </row>
    <row r="338" ht="16.5" spans="1:15">
      <c r="A338" s="203">
        <v>46199</v>
      </c>
      <c r="B338" s="55" t="s">
        <v>96</v>
      </c>
      <c r="C338" s="55"/>
      <c r="D338" s="55"/>
      <c r="E338" s="235">
        <v>327.12</v>
      </c>
      <c r="F338" s="55"/>
      <c r="G338" s="55"/>
      <c r="H338" s="160">
        <f t="shared" si="23"/>
        <v>0.919998777207141</v>
      </c>
      <c r="I338" s="55"/>
      <c r="J338" s="55"/>
      <c r="K338" s="55">
        <v>300.95</v>
      </c>
      <c r="L338" s="4">
        <f t="shared" si="24"/>
        <v>827.78</v>
      </c>
      <c r="O338" s="266" t="s">
        <v>1658</v>
      </c>
    </row>
    <row r="339" ht="16.5" spans="1:15">
      <c r="A339" s="203">
        <v>46199</v>
      </c>
      <c r="B339" s="55" t="s">
        <v>111</v>
      </c>
      <c r="C339" s="55"/>
      <c r="D339" s="55"/>
      <c r="E339" s="235">
        <v>223.1</v>
      </c>
      <c r="F339" s="55"/>
      <c r="G339" s="55"/>
      <c r="H339" s="160">
        <f t="shared" si="23"/>
        <v>0.91999103541013</v>
      </c>
      <c r="I339" s="55"/>
      <c r="J339" s="55"/>
      <c r="K339" s="55">
        <v>205.25</v>
      </c>
      <c r="L339" s="4">
        <f t="shared" si="24"/>
        <v>622.53</v>
      </c>
      <c r="O339" s="266" t="s">
        <v>1658</v>
      </c>
    </row>
    <row r="340" ht="16.5" spans="1:15">
      <c r="A340" s="203">
        <v>46199</v>
      </c>
      <c r="B340" s="55" t="s">
        <v>63</v>
      </c>
      <c r="C340" s="55"/>
      <c r="D340" s="55"/>
      <c r="E340" s="235">
        <v>312.32</v>
      </c>
      <c r="F340" s="55"/>
      <c r="G340" s="55"/>
      <c r="H340" s="160">
        <f t="shared" si="23"/>
        <v>0.969998719262295</v>
      </c>
      <c r="I340" s="55"/>
      <c r="J340" s="55"/>
      <c r="K340" s="55">
        <v>302.95</v>
      </c>
      <c r="L340" s="4">
        <f t="shared" si="24"/>
        <v>319.58</v>
      </c>
      <c r="O340" s="266" t="s">
        <v>1658</v>
      </c>
    </row>
    <row r="341" ht="16.5" spans="1:15">
      <c r="A341" s="203">
        <v>46199</v>
      </c>
      <c r="B341" s="55" t="s">
        <v>93</v>
      </c>
      <c r="C341" s="55"/>
      <c r="D341" s="55"/>
      <c r="E341" s="235">
        <v>328.24</v>
      </c>
      <c r="F341" s="55"/>
      <c r="G341" s="55"/>
      <c r="H341" s="160">
        <f t="shared" si="23"/>
        <v>0.919114062880819</v>
      </c>
      <c r="I341" s="55"/>
      <c r="J341" s="55"/>
      <c r="K341" s="55">
        <v>301.69</v>
      </c>
      <c r="L341" s="4">
        <f t="shared" si="24"/>
        <v>17.8899999999998</v>
      </c>
      <c r="O341" s="266" t="s">
        <v>1658</v>
      </c>
    </row>
    <row r="342" ht="16.5" spans="1:15">
      <c r="A342" s="203">
        <v>46199</v>
      </c>
      <c r="B342" s="55" t="s">
        <v>114</v>
      </c>
      <c r="C342" s="55"/>
      <c r="D342" s="55"/>
      <c r="E342" s="235">
        <v>288.25</v>
      </c>
      <c r="F342" s="55"/>
      <c r="G342" s="55"/>
      <c r="H342" s="160">
        <f t="shared" si="23"/>
        <v>0.909418907198612</v>
      </c>
      <c r="I342" s="55"/>
      <c r="J342" s="55"/>
      <c r="K342" s="55">
        <v>262.14</v>
      </c>
      <c r="L342" s="4">
        <f t="shared" si="24"/>
        <v>-244.25</v>
      </c>
      <c r="O342" s="266" t="s">
        <v>1658</v>
      </c>
    </row>
    <row r="343" ht="16.5" spans="1:15">
      <c r="A343" s="203">
        <v>46200</v>
      </c>
      <c r="B343" s="55" t="s">
        <v>132</v>
      </c>
      <c r="C343" s="55"/>
      <c r="D343" s="55"/>
      <c r="E343" s="235">
        <v>89.57</v>
      </c>
      <c r="F343" s="55"/>
      <c r="G343" s="55"/>
      <c r="H343" s="160">
        <f t="shared" si="23"/>
        <v>0.820029027576197</v>
      </c>
      <c r="I343" s="55"/>
      <c r="J343" s="55"/>
      <c r="K343" s="55">
        <v>73.45</v>
      </c>
      <c r="L343" s="4">
        <f t="shared" si="24"/>
        <v>-317.7</v>
      </c>
      <c r="O343" s="266" t="s">
        <v>1658</v>
      </c>
    </row>
    <row r="344" ht="16.5" spans="1:15">
      <c r="A344" s="203">
        <v>46200</v>
      </c>
      <c r="B344" s="55" t="s">
        <v>72</v>
      </c>
      <c r="C344" s="55"/>
      <c r="D344" s="55"/>
      <c r="E344" s="235">
        <v>321.31</v>
      </c>
      <c r="F344" s="55"/>
      <c r="G344" s="55"/>
      <c r="H344" s="160">
        <f t="shared" si="23"/>
        <v>0.777566835766083</v>
      </c>
      <c r="I344" s="55"/>
      <c r="J344" s="55"/>
      <c r="K344" s="55">
        <v>249.84</v>
      </c>
      <c r="L344" s="4">
        <f t="shared" si="24"/>
        <v>-567.54</v>
      </c>
      <c r="O344" s="266" t="s">
        <v>1658</v>
      </c>
    </row>
    <row r="345" ht="16.5" spans="1:15">
      <c r="A345" s="203">
        <v>46200</v>
      </c>
      <c r="B345" s="55" t="s">
        <v>93</v>
      </c>
      <c r="C345" s="55"/>
      <c r="D345" s="55"/>
      <c r="E345" s="235">
        <v>98.08</v>
      </c>
      <c r="F345" s="55"/>
      <c r="G345" s="55"/>
      <c r="H345" s="160">
        <f t="shared" si="23"/>
        <v>0.770085644371941</v>
      </c>
      <c r="I345" s="55"/>
      <c r="J345" s="55"/>
      <c r="K345" s="55">
        <v>75.53</v>
      </c>
      <c r="L345" s="4">
        <f t="shared" si="24"/>
        <v>-643.07</v>
      </c>
      <c r="O345" s="266" t="s">
        <v>1658</v>
      </c>
    </row>
    <row r="346" ht="16.5" spans="1:15">
      <c r="A346" s="203">
        <v>46200</v>
      </c>
      <c r="B346" s="55" t="s">
        <v>60</v>
      </c>
      <c r="C346" s="55"/>
      <c r="D346" s="55"/>
      <c r="E346" s="235">
        <v>143.13</v>
      </c>
      <c r="F346" s="55"/>
      <c r="G346" s="55"/>
      <c r="H346" s="160">
        <f t="shared" si="23"/>
        <v>0.769999301334451</v>
      </c>
      <c r="I346" s="55"/>
      <c r="J346" s="55"/>
      <c r="K346" s="55">
        <v>110.21</v>
      </c>
      <c r="L346" s="4">
        <f t="shared" si="24"/>
        <v>-753.28</v>
      </c>
      <c r="O346" s="266" t="s">
        <v>1658</v>
      </c>
    </row>
    <row r="347" ht="16.5" spans="1:15">
      <c r="A347" s="203">
        <v>46200</v>
      </c>
      <c r="B347" s="55" t="s">
        <v>180</v>
      </c>
      <c r="C347" s="55"/>
      <c r="D347" s="55"/>
      <c r="E347" s="235">
        <v>128.93</v>
      </c>
      <c r="F347" s="55"/>
      <c r="G347" s="55"/>
      <c r="H347" s="160">
        <f t="shared" si="23"/>
        <v>0.930815171023036</v>
      </c>
      <c r="I347" s="55"/>
      <c r="J347" s="55"/>
      <c r="K347" s="55">
        <v>120.01</v>
      </c>
      <c r="L347" s="4">
        <f t="shared" si="24"/>
        <v>-873.29</v>
      </c>
      <c r="O347" s="266" t="s">
        <v>1658</v>
      </c>
    </row>
    <row r="348" ht="16.5" spans="1:15">
      <c r="A348" s="203">
        <v>46200</v>
      </c>
      <c r="B348" s="55" t="s">
        <v>141</v>
      </c>
      <c r="C348" s="55"/>
      <c r="D348" s="55"/>
      <c r="E348" s="235">
        <v>265.79</v>
      </c>
      <c r="F348" s="55"/>
      <c r="G348" s="55"/>
      <c r="H348" s="160">
        <f t="shared" si="23"/>
        <v>0.954813950863464</v>
      </c>
      <c r="I348" s="55"/>
      <c r="J348" s="55"/>
      <c r="K348" s="55">
        <v>253.78</v>
      </c>
      <c r="L348" s="4">
        <f t="shared" si="24"/>
        <v>-1127.07</v>
      </c>
      <c r="O348" s="266" t="s">
        <v>1658</v>
      </c>
    </row>
    <row r="349" ht="16.5" spans="1:15">
      <c r="A349" s="203">
        <v>46200</v>
      </c>
      <c r="B349" s="55" t="s">
        <v>151</v>
      </c>
      <c r="C349" s="55"/>
      <c r="D349" s="55"/>
      <c r="E349" s="235">
        <v>289.65</v>
      </c>
      <c r="F349" s="55"/>
      <c r="G349" s="55"/>
      <c r="H349" s="160">
        <f t="shared" si="23"/>
        <v>0.847678232349387</v>
      </c>
      <c r="I349" s="55"/>
      <c r="J349" s="55"/>
      <c r="K349" s="55">
        <v>245.53</v>
      </c>
      <c r="L349" s="4">
        <f t="shared" si="24"/>
        <v>-1372.6</v>
      </c>
      <c r="O349" s="266" t="s">
        <v>1658</v>
      </c>
    </row>
    <row r="350" ht="16.5" spans="1:15">
      <c r="A350" s="203">
        <v>46200</v>
      </c>
      <c r="B350" s="55" t="s">
        <v>192</v>
      </c>
      <c r="C350" s="55"/>
      <c r="D350" s="55"/>
      <c r="E350" s="235">
        <v>180.48</v>
      </c>
      <c r="F350" s="55"/>
      <c r="G350" s="55"/>
      <c r="H350" s="160">
        <f t="shared" si="23"/>
        <v>0.820035460992908</v>
      </c>
      <c r="I350" s="55"/>
      <c r="J350" s="55"/>
      <c r="K350" s="55">
        <v>148</v>
      </c>
      <c r="L350" s="4">
        <f t="shared" si="24"/>
        <v>-1520.6</v>
      </c>
      <c r="O350" s="266" t="s">
        <v>1658</v>
      </c>
    </row>
    <row r="351" ht="16.5" spans="1:15">
      <c r="A351" s="203">
        <v>46200</v>
      </c>
      <c r="B351" s="55" t="s">
        <v>130</v>
      </c>
      <c r="C351" s="55"/>
      <c r="D351" s="55"/>
      <c r="E351" s="235">
        <v>122.21</v>
      </c>
      <c r="F351" s="55"/>
      <c r="G351" s="55"/>
      <c r="H351" s="160">
        <f t="shared" si="23"/>
        <v>0.850012273954668</v>
      </c>
      <c r="I351" s="55"/>
      <c r="J351" s="55"/>
      <c r="K351" s="55">
        <v>103.88</v>
      </c>
      <c r="L351" s="4">
        <f t="shared" si="24"/>
        <v>-1624.48</v>
      </c>
      <c r="O351" s="266" t="s">
        <v>1658</v>
      </c>
    </row>
    <row r="352" ht="16.5" spans="1:15">
      <c r="A352" s="203">
        <v>46200</v>
      </c>
      <c r="B352" s="55" t="s">
        <v>60</v>
      </c>
      <c r="C352" s="55"/>
      <c r="D352" s="55"/>
      <c r="E352" s="235">
        <v>225.84</v>
      </c>
      <c r="F352" s="55"/>
      <c r="G352" s="55"/>
      <c r="H352" s="160">
        <f t="shared" si="23"/>
        <v>0.770014169323415</v>
      </c>
      <c r="I352" s="55"/>
      <c r="J352" s="55"/>
      <c r="K352" s="55">
        <v>173.9</v>
      </c>
      <c r="L352" s="4">
        <f t="shared" si="24"/>
        <v>-1798.38</v>
      </c>
      <c r="O352" s="266" t="s">
        <v>1658</v>
      </c>
    </row>
    <row r="353" ht="16.5" spans="1:15">
      <c r="A353" s="203">
        <v>46200</v>
      </c>
      <c r="B353" s="55" t="s">
        <v>144</v>
      </c>
      <c r="C353" s="55"/>
      <c r="D353" s="55"/>
      <c r="E353" s="235">
        <v>259.65</v>
      </c>
      <c r="F353" s="55"/>
      <c r="G353" s="55"/>
      <c r="H353" s="160">
        <f t="shared" si="23"/>
        <v>0.72000770267668</v>
      </c>
      <c r="I353" s="55"/>
      <c r="J353" s="55"/>
      <c r="K353" s="55">
        <v>186.95</v>
      </c>
      <c r="L353" s="4">
        <f t="shared" si="24"/>
        <v>-1985.33</v>
      </c>
      <c r="O353" s="266" t="s">
        <v>1658</v>
      </c>
    </row>
    <row r="354" ht="16.5" spans="1:15">
      <c r="A354" s="203">
        <v>46200</v>
      </c>
      <c r="B354" s="55" t="s">
        <v>124</v>
      </c>
      <c r="C354" s="55"/>
      <c r="D354" s="55"/>
      <c r="E354" s="235">
        <v>98.14</v>
      </c>
      <c r="F354" s="55"/>
      <c r="G354" s="55"/>
      <c r="H354" s="160">
        <f t="shared" si="23"/>
        <v>0.719991848379865</v>
      </c>
      <c r="I354" s="55"/>
      <c r="J354" s="55"/>
      <c r="K354" s="55">
        <v>70.66</v>
      </c>
      <c r="L354" s="4">
        <f t="shared" si="24"/>
        <v>-2055.99</v>
      </c>
      <c r="O354" s="266" t="s">
        <v>1658</v>
      </c>
    </row>
    <row r="355" ht="16.5" spans="1:15">
      <c r="A355" s="203">
        <v>46200</v>
      </c>
      <c r="B355" s="55" t="s">
        <v>339</v>
      </c>
      <c r="C355" s="55"/>
      <c r="D355" s="55"/>
      <c r="E355" s="235">
        <v>146.95</v>
      </c>
      <c r="F355" s="55"/>
      <c r="G355" s="55"/>
      <c r="H355" s="160">
        <f t="shared" si="23"/>
        <v>0.719972779857094</v>
      </c>
      <c r="I355" s="55"/>
      <c r="J355" s="55"/>
      <c r="K355" s="55">
        <v>105.8</v>
      </c>
      <c r="L355" s="4">
        <f t="shared" si="24"/>
        <v>-2161.79</v>
      </c>
      <c r="O355" s="266" t="s">
        <v>1658</v>
      </c>
    </row>
    <row r="356" ht="16.5" spans="1:15">
      <c r="A356" s="203">
        <v>46200</v>
      </c>
      <c r="B356" s="55" t="s">
        <v>78</v>
      </c>
      <c r="C356" s="55"/>
      <c r="D356" s="55"/>
      <c r="E356" s="235">
        <v>328.86</v>
      </c>
      <c r="F356" s="55"/>
      <c r="G356" s="55"/>
      <c r="H356" s="160">
        <f t="shared" si="23"/>
        <v>0.77169616250076</v>
      </c>
      <c r="I356" s="55"/>
      <c r="J356" s="55"/>
      <c r="K356" s="55">
        <v>253.78</v>
      </c>
      <c r="L356" s="4">
        <f t="shared" si="24"/>
        <v>-2415.57</v>
      </c>
      <c r="O356" s="266" t="s">
        <v>1658</v>
      </c>
    </row>
    <row r="357" ht="16.5" spans="1:15">
      <c r="A357" s="203">
        <v>46200</v>
      </c>
      <c r="B357" s="55" t="s">
        <v>1255</v>
      </c>
      <c r="C357" s="55"/>
      <c r="D357" s="55"/>
      <c r="E357" s="235">
        <v>23.15</v>
      </c>
      <c r="F357" s="55"/>
      <c r="G357" s="55"/>
      <c r="H357" s="160">
        <f t="shared" si="23"/>
        <v>0.73866090712743</v>
      </c>
      <c r="I357" s="55"/>
      <c r="J357" s="55"/>
      <c r="K357" s="55">
        <v>17.1</v>
      </c>
      <c r="L357" s="4">
        <f t="shared" si="24"/>
        <v>-2432.67</v>
      </c>
      <c r="O357" s="266" t="s">
        <v>1658</v>
      </c>
    </row>
    <row r="358" ht="16.5" spans="1:15">
      <c r="A358" s="203">
        <v>46200</v>
      </c>
      <c r="B358" s="289" t="s">
        <v>135</v>
      </c>
      <c r="C358" s="55"/>
      <c r="D358" s="55"/>
      <c r="E358" s="235">
        <v>131.1</v>
      </c>
      <c r="F358" s="55"/>
      <c r="G358" s="55"/>
      <c r="H358" s="160">
        <f>K358/E358</f>
        <v>0.820061022120519</v>
      </c>
      <c r="I358" s="55"/>
      <c r="J358" s="55"/>
      <c r="K358" s="55">
        <v>107.51</v>
      </c>
      <c r="L358" s="4">
        <f t="shared" ref="L358:L405" si="25">L357+I358-K358</f>
        <v>-2540.18</v>
      </c>
      <c r="O358" s="266" t="s">
        <v>1658</v>
      </c>
    </row>
    <row r="359" ht="16.5" spans="1:15">
      <c r="A359" s="203">
        <v>46200</v>
      </c>
      <c r="B359" s="289" t="s">
        <v>138</v>
      </c>
      <c r="C359" s="55"/>
      <c r="D359" s="55"/>
      <c r="E359" s="235">
        <v>104.62</v>
      </c>
      <c r="F359" s="55"/>
      <c r="G359" s="55"/>
      <c r="H359" s="160">
        <f t="shared" ref="H359:H405" si="26">K359/E359</f>
        <v>0.850028675205506</v>
      </c>
      <c r="I359" s="55"/>
      <c r="J359" s="55"/>
      <c r="K359" s="55">
        <v>88.93</v>
      </c>
      <c r="L359" s="4">
        <f t="shared" si="25"/>
        <v>-2629.11</v>
      </c>
      <c r="O359" s="266" t="s">
        <v>1658</v>
      </c>
    </row>
    <row r="360" ht="16.5" spans="1:15">
      <c r="A360" s="203">
        <v>46200</v>
      </c>
      <c r="B360" s="289" t="s">
        <v>127</v>
      </c>
      <c r="C360" s="55"/>
      <c r="D360" s="55"/>
      <c r="E360" s="235">
        <v>141.76</v>
      </c>
      <c r="F360" s="55"/>
      <c r="G360" s="55"/>
      <c r="H360" s="160">
        <f t="shared" si="26"/>
        <v>0.970019751693002</v>
      </c>
      <c r="I360" s="55"/>
      <c r="J360" s="55"/>
      <c r="K360" s="55">
        <v>137.51</v>
      </c>
      <c r="L360" s="4">
        <f t="shared" si="25"/>
        <v>-2766.62</v>
      </c>
      <c r="O360" s="266" t="s">
        <v>1658</v>
      </c>
    </row>
    <row r="361" ht="16.5" spans="1:15">
      <c r="A361" s="203">
        <v>46200</v>
      </c>
      <c r="B361" s="289" t="s">
        <v>130</v>
      </c>
      <c r="C361" s="55"/>
      <c r="D361" s="55"/>
      <c r="E361" s="235">
        <v>148.56</v>
      </c>
      <c r="F361" s="55"/>
      <c r="G361" s="55"/>
      <c r="H361" s="160">
        <f t="shared" si="26"/>
        <v>0.919964997307485</v>
      </c>
      <c r="I361" s="55"/>
      <c r="J361" s="55"/>
      <c r="K361" s="55">
        <v>136.67</v>
      </c>
      <c r="L361" s="4">
        <f t="shared" si="25"/>
        <v>-2903.29</v>
      </c>
      <c r="O361" s="266" t="s">
        <v>1658</v>
      </c>
    </row>
    <row r="362" ht="16.5" spans="1:15">
      <c r="A362" s="203">
        <v>46200</v>
      </c>
      <c r="B362" s="289" t="s">
        <v>135</v>
      </c>
      <c r="C362" s="55"/>
      <c r="D362" s="55"/>
      <c r="E362" s="235">
        <v>290.54</v>
      </c>
      <c r="F362" s="55"/>
      <c r="G362" s="55"/>
      <c r="H362" s="160">
        <f t="shared" si="26"/>
        <v>0.919976595305294</v>
      </c>
      <c r="I362" s="55"/>
      <c r="J362" s="55"/>
      <c r="K362" s="55">
        <v>267.29</v>
      </c>
      <c r="L362" s="4">
        <f t="shared" si="25"/>
        <v>-3170.58</v>
      </c>
      <c r="O362" s="266" t="s">
        <v>1658</v>
      </c>
    </row>
    <row r="363" ht="16.5" spans="1:15">
      <c r="A363" s="203">
        <v>46200</v>
      </c>
      <c r="B363" s="289" t="s">
        <v>138</v>
      </c>
      <c r="C363" s="55"/>
      <c r="D363" s="55"/>
      <c r="E363" s="235">
        <v>273.53</v>
      </c>
      <c r="F363" s="55"/>
      <c r="G363" s="55"/>
      <c r="H363" s="160">
        <f t="shared" si="26"/>
        <v>0.920008774174679</v>
      </c>
      <c r="I363" s="55"/>
      <c r="J363" s="55"/>
      <c r="K363" s="55">
        <v>251.65</v>
      </c>
      <c r="L363" s="4">
        <f t="shared" si="25"/>
        <v>-3422.23</v>
      </c>
      <c r="O363" s="266" t="s">
        <v>1658</v>
      </c>
    </row>
    <row r="364" ht="16.5" spans="1:15">
      <c r="A364" s="203">
        <v>46200</v>
      </c>
      <c r="B364" s="289" t="s">
        <v>141</v>
      </c>
      <c r="C364" s="55"/>
      <c r="D364" s="55"/>
      <c r="E364" s="235">
        <v>328.92</v>
      </c>
      <c r="F364" s="55"/>
      <c r="G364" s="55"/>
      <c r="H364" s="160">
        <f t="shared" si="26"/>
        <v>0.920010944910617</v>
      </c>
      <c r="I364" s="55"/>
      <c r="J364" s="55"/>
      <c r="K364" s="55">
        <v>302.61</v>
      </c>
      <c r="L364" s="4">
        <f t="shared" si="25"/>
        <v>-3724.84</v>
      </c>
      <c r="O364" s="266" t="s">
        <v>1658</v>
      </c>
    </row>
    <row r="365" ht="16.5" spans="1:15">
      <c r="A365" s="203">
        <v>46200</v>
      </c>
      <c r="B365" s="289" t="s">
        <v>338</v>
      </c>
      <c r="C365" s="55"/>
      <c r="D365" s="55"/>
      <c r="E365" s="235">
        <v>233.02</v>
      </c>
      <c r="F365" s="55"/>
      <c r="G365" s="55"/>
      <c r="H365" s="160">
        <f t="shared" si="26"/>
        <v>0.970002574886276</v>
      </c>
      <c r="I365" s="55"/>
      <c r="J365" s="55"/>
      <c r="K365" s="55">
        <v>226.03</v>
      </c>
      <c r="L365" s="4">
        <f t="shared" si="25"/>
        <v>-3950.87</v>
      </c>
      <c r="O365" s="266" t="s">
        <v>1658</v>
      </c>
    </row>
    <row r="366" ht="16.5" spans="1:15">
      <c r="A366" s="203">
        <v>46200</v>
      </c>
      <c r="B366" s="289" t="s">
        <v>51</v>
      </c>
      <c r="C366" s="55"/>
      <c r="D366" s="55"/>
      <c r="E366" s="235">
        <v>273.28</v>
      </c>
      <c r="F366" s="55"/>
      <c r="G366" s="55"/>
      <c r="H366" s="160">
        <f t="shared" si="26"/>
        <v>0.854032494145199</v>
      </c>
      <c r="I366" s="55"/>
      <c r="J366" s="55"/>
      <c r="K366" s="55">
        <v>233.39</v>
      </c>
      <c r="L366" s="4">
        <f t="shared" si="25"/>
        <v>-4184.26</v>
      </c>
      <c r="O366" s="266" t="s">
        <v>1658</v>
      </c>
    </row>
    <row r="367" ht="16.5" spans="1:15">
      <c r="A367" s="203">
        <v>46201</v>
      </c>
      <c r="B367" s="289" t="s">
        <v>105</v>
      </c>
      <c r="C367" s="55"/>
      <c r="D367" s="55"/>
      <c r="E367" s="235">
        <v>257.81</v>
      </c>
      <c r="F367" s="55"/>
      <c r="G367" s="55"/>
      <c r="H367" s="160">
        <f t="shared" si="26"/>
        <v>0.770024436600597</v>
      </c>
      <c r="I367" s="55"/>
      <c r="J367" s="55"/>
      <c r="K367" s="55">
        <v>198.52</v>
      </c>
      <c r="L367" s="4">
        <f t="shared" si="25"/>
        <v>-4382.78</v>
      </c>
      <c r="O367" s="266" t="s">
        <v>1658</v>
      </c>
    </row>
    <row r="368" ht="16.5" spans="1:15">
      <c r="A368" s="203">
        <v>46201</v>
      </c>
      <c r="B368" s="289" t="s">
        <v>84</v>
      </c>
      <c r="C368" s="55"/>
      <c r="D368" s="55"/>
      <c r="E368" s="235">
        <v>367.94</v>
      </c>
      <c r="F368" s="55"/>
      <c r="G368" s="55"/>
      <c r="H368" s="160">
        <f t="shared" si="26"/>
        <v>0.81882915692776</v>
      </c>
      <c r="I368" s="55"/>
      <c r="J368" s="55"/>
      <c r="K368" s="55">
        <v>301.28</v>
      </c>
      <c r="L368" s="4">
        <f t="shared" si="25"/>
        <v>-4684.06</v>
      </c>
      <c r="O368" s="266" t="s">
        <v>1658</v>
      </c>
    </row>
    <row r="369" ht="16.5" spans="1:15">
      <c r="A369" s="203">
        <v>46201</v>
      </c>
      <c r="B369" s="289" t="s">
        <v>192</v>
      </c>
      <c r="C369" s="55"/>
      <c r="D369" s="55"/>
      <c r="E369" s="235">
        <v>291.15</v>
      </c>
      <c r="F369" s="55"/>
      <c r="G369" s="55"/>
      <c r="H369" s="160">
        <f t="shared" si="26"/>
        <v>0.855229263266358</v>
      </c>
      <c r="I369" s="55"/>
      <c r="J369" s="55"/>
      <c r="K369" s="55">
        <v>249</v>
      </c>
      <c r="L369" s="4">
        <f t="shared" si="25"/>
        <v>-4933.06</v>
      </c>
      <c r="O369" s="266" t="s">
        <v>1658</v>
      </c>
    </row>
    <row r="370" ht="16.5" spans="1:15">
      <c r="A370" s="203">
        <v>46201</v>
      </c>
      <c r="B370" s="289" t="s">
        <v>207</v>
      </c>
      <c r="C370" s="55"/>
      <c r="D370" s="55"/>
      <c r="E370" s="235">
        <v>22.31</v>
      </c>
      <c r="F370" s="55"/>
      <c r="G370" s="55"/>
      <c r="H370" s="160">
        <f t="shared" si="26"/>
        <v>0.909905871806365</v>
      </c>
      <c r="I370" s="55"/>
      <c r="J370" s="55"/>
      <c r="K370" s="55">
        <v>20.3</v>
      </c>
      <c r="L370" s="4">
        <f t="shared" si="25"/>
        <v>-4953.36</v>
      </c>
      <c r="O370" s="266" t="s">
        <v>1658</v>
      </c>
    </row>
    <row r="371" ht="16.5" spans="1:15">
      <c r="A371" s="203">
        <v>46201</v>
      </c>
      <c r="B371" s="289" t="s">
        <v>148</v>
      </c>
      <c r="C371" s="55"/>
      <c r="D371" s="55"/>
      <c r="E371" s="235">
        <v>21.66</v>
      </c>
      <c r="F371" s="55"/>
      <c r="G371" s="55"/>
      <c r="H371" s="160">
        <f t="shared" si="26"/>
        <v>0.909048938134811</v>
      </c>
      <c r="I371" s="55"/>
      <c r="J371" s="55"/>
      <c r="K371" s="55">
        <v>19.69</v>
      </c>
      <c r="L371" s="4">
        <f t="shared" si="25"/>
        <v>-4973.05</v>
      </c>
      <c r="O371" s="266" t="s">
        <v>1658</v>
      </c>
    </row>
    <row r="372" ht="16.5" spans="1:15">
      <c r="A372" s="203">
        <v>46201</v>
      </c>
      <c r="B372" s="289" t="s">
        <v>183</v>
      </c>
      <c r="C372" s="55"/>
      <c r="D372" s="55"/>
      <c r="E372" s="235">
        <v>80.61</v>
      </c>
      <c r="F372" s="55"/>
      <c r="G372" s="55"/>
      <c r="H372" s="160">
        <f t="shared" si="26"/>
        <v>0.800024810817516</v>
      </c>
      <c r="I372" s="55"/>
      <c r="J372" s="55"/>
      <c r="K372" s="55">
        <v>64.49</v>
      </c>
      <c r="L372" s="4">
        <f t="shared" si="25"/>
        <v>-5037.54</v>
      </c>
      <c r="O372" s="266" t="s">
        <v>1658</v>
      </c>
    </row>
    <row r="373" ht="16.5" spans="1:15">
      <c r="A373" s="203">
        <v>46201</v>
      </c>
      <c r="B373" s="289" t="s">
        <v>54</v>
      </c>
      <c r="C373" s="55"/>
      <c r="D373" s="55"/>
      <c r="E373" s="235">
        <v>354.07</v>
      </c>
      <c r="F373" s="55"/>
      <c r="G373" s="55"/>
      <c r="H373" s="160">
        <f t="shared" si="26"/>
        <v>0.85000141215014</v>
      </c>
      <c r="I373" s="55"/>
      <c r="J373" s="55"/>
      <c r="K373" s="55">
        <v>300.96</v>
      </c>
      <c r="L373" s="4">
        <f t="shared" si="25"/>
        <v>-5338.5</v>
      </c>
      <c r="O373" s="266" t="s">
        <v>1658</v>
      </c>
    </row>
    <row r="374" ht="16.5" spans="1:15">
      <c r="A374" s="203">
        <v>46201</v>
      </c>
      <c r="B374" s="289" t="s">
        <v>69</v>
      </c>
      <c r="C374" s="55"/>
      <c r="D374" s="55"/>
      <c r="E374" s="235">
        <v>362.2</v>
      </c>
      <c r="F374" s="55"/>
      <c r="G374" s="55"/>
      <c r="H374" s="160">
        <f t="shared" si="26"/>
        <v>0.833075648812811</v>
      </c>
      <c r="I374" s="55"/>
      <c r="J374" s="55"/>
      <c r="K374" s="55">
        <v>301.74</v>
      </c>
      <c r="L374" s="4">
        <f t="shared" si="25"/>
        <v>-5640.24</v>
      </c>
      <c r="O374" s="266" t="s">
        <v>1658</v>
      </c>
    </row>
    <row r="375" ht="16.5" spans="1:15">
      <c r="A375" s="203">
        <v>46201</v>
      </c>
      <c r="B375" s="289" t="s">
        <v>127</v>
      </c>
      <c r="C375" s="55"/>
      <c r="D375" s="55"/>
      <c r="E375" s="235">
        <v>257.6</v>
      </c>
      <c r="F375" s="55"/>
      <c r="G375" s="55"/>
      <c r="H375" s="160">
        <f t="shared" si="26"/>
        <v>0.81626552795031</v>
      </c>
      <c r="I375" s="55"/>
      <c r="J375" s="55"/>
      <c r="K375" s="55">
        <v>210.27</v>
      </c>
      <c r="L375" s="4">
        <f t="shared" si="25"/>
        <v>-5850.51</v>
      </c>
      <c r="O375" s="266" t="s">
        <v>1658</v>
      </c>
    </row>
    <row r="376" ht="16.5" spans="1:15">
      <c r="A376" s="203">
        <v>46201</v>
      </c>
      <c r="B376" s="289" t="s">
        <v>198</v>
      </c>
      <c r="C376" s="55"/>
      <c r="D376" s="55"/>
      <c r="E376" s="235">
        <v>229.3</v>
      </c>
      <c r="F376" s="55"/>
      <c r="G376" s="55"/>
      <c r="H376" s="160">
        <f t="shared" si="26"/>
        <v>0.771173135630179</v>
      </c>
      <c r="I376" s="55"/>
      <c r="J376" s="55"/>
      <c r="K376" s="55">
        <v>176.83</v>
      </c>
      <c r="L376" s="4">
        <f t="shared" si="25"/>
        <v>-6027.34</v>
      </c>
      <c r="O376" s="266" t="s">
        <v>1658</v>
      </c>
    </row>
    <row r="377" ht="16.5" spans="1:15">
      <c r="A377" s="203">
        <v>46201</v>
      </c>
      <c r="B377" s="289" t="s">
        <v>102</v>
      </c>
      <c r="C377" s="55"/>
      <c r="D377" s="55"/>
      <c r="E377" s="235">
        <v>309.98</v>
      </c>
      <c r="F377" s="55"/>
      <c r="G377" s="55"/>
      <c r="H377" s="160">
        <f t="shared" si="26"/>
        <v>0.769985160332925</v>
      </c>
      <c r="I377" s="55"/>
      <c r="J377" s="55"/>
      <c r="K377" s="55">
        <v>238.68</v>
      </c>
      <c r="L377" s="4">
        <f t="shared" si="25"/>
        <v>-6266.02</v>
      </c>
      <c r="O377" s="266" t="s">
        <v>1658</v>
      </c>
    </row>
    <row r="378" ht="16.5" spans="1:15">
      <c r="A378" s="203">
        <v>46201</v>
      </c>
      <c r="B378" s="289" t="s">
        <v>198</v>
      </c>
      <c r="C378" s="55"/>
      <c r="D378" s="55"/>
      <c r="E378" s="235">
        <v>77.56</v>
      </c>
      <c r="F378" s="55"/>
      <c r="G378" s="55"/>
      <c r="H378" s="160">
        <f t="shared" si="26"/>
        <v>0.769984528107272</v>
      </c>
      <c r="I378" s="55"/>
      <c r="J378" s="55"/>
      <c r="K378" s="55">
        <v>59.72</v>
      </c>
      <c r="L378" s="4">
        <f t="shared" si="25"/>
        <v>-6325.74</v>
      </c>
      <c r="O378" s="266" t="s">
        <v>1658</v>
      </c>
    </row>
    <row r="379" ht="16.5" spans="1:15">
      <c r="A379" s="203">
        <v>46201</v>
      </c>
      <c r="B379" s="289" t="s">
        <v>135</v>
      </c>
      <c r="C379" s="55"/>
      <c r="D379" s="55"/>
      <c r="E379" s="235">
        <v>248.26</v>
      </c>
      <c r="F379" s="55"/>
      <c r="G379" s="55"/>
      <c r="H379" s="160">
        <f t="shared" si="26"/>
        <v>0.720011278498349</v>
      </c>
      <c r="I379" s="55"/>
      <c r="J379" s="55"/>
      <c r="K379" s="55">
        <v>178.75</v>
      </c>
      <c r="L379" s="4">
        <f t="shared" si="25"/>
        <v>-6504.49</v>
      </c>
      <c r="O379" s="266" t="s">
        <v>1658</v>
      </c>
    </row>
    <row r="380" ht="16.5" spans="1:15">
      <c r="A380" s="203">
        <v>46201</v>
      </c>
      <c r="B380" s="289" t="s">
        <v>183</v>
      </c>
      <c r="C380" s="55"/>
      <c r="D380" s="55"/>
      <c r="E380" s="235">
        <v>23.12</v>
      </c>
      <c r="F380" s="55"/>
      <c r="G380" s="55"/>
      <c r="H380" s="160">
        <f t="shared" si="26"/>
        <v>0.769896193771626</v>
      </c>
      <c r="I380" s="55"/>
      <c r="J380" s="55"/>
      <c r="K380" s="55">
        <v>17.8</v>
      </c>
      <c r="L380" s="4">
        <f t="shared" si="25"/>
        <v>-6522.29</v>
      </c>
      <c r="O380" s="266" t="s">
        <v>1658</v>
      </c>
    </row>
    <row r="381" ht="16.5" spans="1:15">
      <c r="A381" s="203">
        <v>46201</v>
      </c>
      <c r="B381" s="289" t="s">
        <v>174</v>
      </c>
      <c r="C381" s="55"/>
      <c r="D381" s="55"/>
      <c r="E381" s="235">
        <v>192.95</v>
      </c>
      <c r="F381" s="55"/>
      <c r="G381" s="55"/>
      <c r="H381" s="160">
        <f t="shared" si="26"/>
        <v>0.754547810313553</v>
      </c>
      <c r="I381" s="55"/>
      <c r="J381" s="55"/>
      <c r="K381" s="55">
        <v>145.59</v>
      </c>
      <c r="L381" s="4">
        <f t="shared" si="25"/>
        <v>-6667.88</v>
      </c>
      <c r="O381" s="266" t="s">
        <v>1658</v>
      </c>
    </row>
    <row r="382" ht="16.5" spans="1:15">
      <c r="A382" s="203">
        <v>46201</v>
      </c>
      <c r="B382" s="289" t="s">
        <v>114</v>
      </c>
      <c r="C382" s="55"/>
      <c r="D382" s="55"/>
      <c r="E382" s="235">
        <v>359.7</v>
      </c>
      <c r="F382" s="55"/>
      <c r="G382" s="55"/>
      <c r="H382" s="160">
        <f t="shared" si="26"/>
        <v>0.795468445927161</v>
      </c>
      <c r="I382" s="55"/>
      <c r="J382" s="55"/>
      <c r="K382" s="55">
        <v>286.13</v>
      </c>
      <c r="L382" s="4">
        <f t="shared" si="25"/>
        <v>-6954.01</v>
      </c>
      <c r="O382" s="266" t="s">
        <v>1658</v>
      </c>
    </row>
    <row r="383" ht="16.5" spans="1:15">
      <c r="A383" s="203">
        <v>46201</v>
      </c>
      <c r="B383" s="289" t="s">
        <v>93</v>
      </c>
      <c r="C383" s="55"/>
      <c r="D383" s="55"/>
      <c r="E383" s="235">
        <v>95.07</v>
      </c>
      <c r="F383" s="55"/>
      <c r="G383" s="55"/>
      <c r="H383" s="160">
        <f t="shared" si="26"/>
        <v>0.850005259282634</v>
      </c>
      <c r="I383" s="55"/>
      <c r="J383" s="55"/>
      <c r="K383" s="55">
        <v>80.81</v>
      </c>
      <c r="L383" s="4">
        <f t="shared" si="25"/>
        <v>-7034.82</v>
      </c>
      <c r="O383" s="266" t="s">
        <v>1658</v>
      </c>
    </row>
    <row r="384" ht="16.5" spans="1:15">
      <c r="A384" s="203">
        <v>46201</v>
      </c>
      <c r="B384" s="289" t="s">
        <v>60</v>
      </c>
      <c r="C384" s="55"/>
      <c r="D384" s="55"/>
      <c r="E384" s="235">
        <v>195.82</v>
      </c>
      <c r="F384" s="55"/>
      <c r="G384" s="55"/>
      <c r="H384" s="160">
        <f t="shared" si="26"/>
        <v>0.919977530385048</v>
      </c>
      <c r="I384" s="55"/>
      <c r="J384" s="55"/>
      <c r="K384" s="55">
        <v>180.15</v>
      </c>
      <c r="L384" s="4">
        <f t="shared" si="25"/>
        <v>-7214.97</v>
      </c>
      <c r="O384" s="266" t="s">
        <v>1658</v>
      </c>
    </row>
    <row r="385" ht="16.5" spans="1:15">
      <c r="A385" s="203">
        <v>46201</v>
      </c>
      <c r="B385" s="289" t="s">
        <v>151</v>
      </c>
      <c r="C385" s="55"/>
      <c r="D385" s="55"/>
      <c r="E385" s="235">
        <v>185.73</v>
      </c>
      <c r="F385" s="55"/>
      <c r="G385" s="55"/>
      <c r="H385" s="160">
        <f t="shared" si="26"/>
        <v>0.969956388305605</v>
      </c>
      <c r="I385" s="55"/>
      <c r="J385" s="55"/>
      <c r="K385" s="55">
        <v>180.15</v>
      </c>
      <c r="L385" s="4">
        <f t="shared" si="25"/>
        <v>-7395.12</v>
      </c>
      <c r="O385" s="266" t="s">
        <v>1658</v>
      </c>
    </row>
    <row r="386" ht="16.5" spans="1:15">
      <c r="A386" s="203">
        <v>46201</v>
      </c>
      <c r="B386" s="289" t="s">
        <v>201</v>
      </c>
      <c r="C386" s="55"/>
      <c r="D386" s="55"/>
      <c r="E386" s="235">
        <v>219.25</v>
      </c>
      <c r="F386" s="55"/>
      <c r="G386" s="55"/>
      <c r="H386" s="160">
        <f t="shared" si="26"/>
        <v>0.820022805017104</v>
      </c>
      <c r="I386" s="55"/>
      <c r="J386" s="55"/>
      <c r="K386" s="55">
        <v>179.79</v>
      </c>
      <c r="L386" s="4">
        <f t="shared" si="25"/>
        <v>-7574.91</v>
      </c>
      <c r="O386" s="266" t="s">
        <v>1658</v>
      </c>
    </row>
    <row r="387" ht="16.5" spans="1:15">
      <c r="A387" s="203">
        <v>46201</v>
      </c>
      <c r="B387" s="289" t="s">
        <v>210</v>
      </c>
      <c r="C387" s="55"/>
      <c r="D387" s="55"/>
      <c r="E387" s="235">
        <v>0</v>
      </c>
      <c r="F387" s="55"/>
      <c r="G387" s="55"/>
      <c r="H387" s="160" t="e">
        <f t="shared" si="26"/>
        <v>#DIV/0!</v>
      </c>
      <c r="I387" s="55"/>
      <c r="J387" s="55"/>
      <c r="K387" s="55">
        <v>0</v>
      </c>
      <c r="L387" s="4">
        <f t="shared" si="25"/>
        <v>-7574.91</v>
      </c>
      <c r="O387" s="266" t="s">
        <v>1658</v>
      </c>
    </row>
    <row r="388" ht="16.5" spans="1:15">
      <c r="A388" s="203">
        <v>46201</v>
      </c>
      <c r="B388" s="289" t="s">
        <v>210</v>
      </c>
      <c r="C388" s="55"/>
      <c r="D388" s="55"/>
      <c r="E388" s="235">
        <v>168.52</v>
      </c>
      <c r="F388" s="55"/>
      <c r="G388" s="55"/>
      <c r="H388" s="160">
        <f t="shared" si="26"/>
        <v>0.969973890339426</v>
      </c>
      <c r="I388" s="55"/>
      <c r="J388" s="55"/>
      <c r="K388" s="55">
        <v>163.46</v>
      </c>
      <c r="L388" s="4">
        <f t="shared" si="25"/>
        <v>-7738.37</v>
      </c>
      <c r="O388" s="266" t="s">
        <v>1658</v>
      </c>
    </row>
    <row r="389" ht="16.5" spans="1:15">
      <c r="A389" s="203">
        <v>46201</v>
      </c>
      <c r="B389" s="289" t="s">
        <v>130</v>
      </c>
      <c r="C389" s="55"/>
      <c r="D389" s="55"/>
      <c r="E389" s="235">
        <v>264.94</v>
      </c>
      <c r="F389" s="55"/>
      <c r="G389" s="55"/>
      <c r="H389" s="160">
        <f t="shared" si="26"/>
        <v>0.91998188269042</v>
      </c>
      <c r="I389" s="55"/>
      <c r="J389" s="55"/>
      <c r="K389" s="55">
        <v>243.74</v>
      </c>
      <c r="L389" s="4">
        <f t="shared" si="25"/>
        <v>-7982.11</v>
      </c>
      <c r="O389" s="266" t="s">
        <v>1658</v>
      </c>
    </row>
    <row r="390" ht="16.5" spans="1:15">
      <c r="A390" s="203">
        <v>46201</v>
      </c>
      <c r="B390" s="289" t="s">
        <v>183</v>
      </c>
      <c r="C390" s="55"/>
      <c r="D390" s="55"/>
      <c r="E390" s="235">
        <v>67.586</v>
      </c>
      <c r="F390" s="55"/>
      <c r="G390" s="55"/>
      <c r="H390" s="160">
        <f t="shared" si="26"/>
        <v>0.959962122333027</v>
      </c>
      <c r="I390" s="55"/>
      <c r="J390" s="55"/>
      <c r="K390" s="55">
        <v>64.88</v>
      </c>
      <c r="L390" s="4">
        <f t="shared" si="25"/>
        <v>-8046.99</v>
      </c>
      <c r="O390" s="266" t="s">
        <v>1658</v>
      </c>
    </row>
    <row r="391" ht="16.5" spans="1:15">
      <c r="A391" s="203">
        <v>46201</v>
      </c>
      <c r="B391" s="289" t="s">
        <v>72</v>
      </c>
      <c r="C391" s="55"/>
      <c r="D391" s="55"/>
      <c r="E391" s="235">
        <v>0.77</v>
      </c>
      <c r="F391" s="55"/>
      <c r="G391" s="55"/>
      <c r="H391" s="160">
        <f t="shared" si="26"/>
        <v>0.922077922077922</v>
      </c>
      <c r="I391" s="55"/>
      <c r="J391" s="55"/>
      <c r="K391" s="55">
        <v>0.71</v>
      </c>
      <c r="L391" s="4">
        <f t="shared" si="25"/>
        <v>-8047.7</v>
      </c>
      <c r="O391" s="266" t="s">
        <v>1658</v>
      </c>
    </row>
    <row r="392" ht="16.5" spans="1:15">
      <c r="A392" s="203">
        <v>46201</v>
      </c>
      <c r="B392" s="289" t="s">
        <v>72</v>
      </c>
      <c r="C392" s="55"/>
      <c r="D392" s="55"/>
      <c r="E392" s="235">
        <v>330.3</v>
      </c>
      <c r="F392" s="55"/>
      <c r="G392" s="55"/>
      <c r="H392" s="160">
        <f t="shared" si="26"/>
        <v>0.920012110202846</v>
      </c>
      <c r="I392" s="55"/>
      <c r="J392" s="55"/>
      <c r="K392" s="55">
        <v>303.88</v>
      </c>
      <c r="L392" s="4">
        <f t="shared" si="25"/>
        <v>-8351.58</v>
      </c>
      <c r="O392" s="266" t="s">
        <v>1658</v>
      </c>
    </row>
    <row r="393" ht="16.5" spans="1:15">
      <c r="A393" s="203">
        <v>46201</v>
      </c>
      <c r="B393" s="289" t="s">
        <v>198</v>
      </c>
      <c r="C393" s="55"/>
      <c r="D393" s="55"/>
      <c r="E393" s="235">
        <v>8.3</v>
      </c>
      <c r="F393" s="55"/>
      <c r="G393" s="55"/>
      <c r="H393" s="160">
        <f t="shared" si="26"/>
        <v>0.960240963855422</v>
      </c>
      <c r="I393" s="55"/>
      <c r="J393" s="55"/>
      <c r="K393" s="55">
        <v>7.97</v>
      </c>
      <c r="L393" s="4">
        <f t="shared" si="25"/>
        <v>-8359.55</v>
      </c>
      <c r="O393" s="266" t="s">
        <v>1658</v>
      </c>
    </row>
    <row r="394" ht="16.5" spans="1:15">
      <c r="A394" s="203">
        <v>46201</v>
      </c>
      <c r="B394" s="289" t="s">
        <v>72</v>
      </c>
      <c r="C394" s="55"/>
      <c r="D394" s="55"/>
      <c r="E394" s="235">
        <v>10.7</v>
      </c>
      <c r="F394" s="55"/>
      <c r="G394" s="55"/>
      <c r="H394" s="160">
        <f t="shared" si="26"/>
        <v>0.919626168224299</v>
      </c>
      <c r="I394" s="55"/>
      <c r="J394" s="55"/>
      <c r="K394" s="55">
        <v>9.84</v>
      </c>
      <c r="L394" s="4">
        <f t="shared" si="25"/>
        <v>-8369.39</v>
      </c>
      <c r="O394" s="266" t="s">
        <v>1658</v>
      </c>
    </row>
    <row r="395" ht="16.5" spans="1:15">
      <c r="A395" s="203">
        <v>46201</v>
      </c>
      <c r="B395" s="289" t="s">
        <v>198</v>
      </c>
      <c r="C395" s="55"/>
      <c r="D395" s="55"/>
      <c r="E395" s="235">
        <v>134.129</v>
      </c>
      <c r="F395" s="55"/>
      <c r="G395" s="55"/>
      <c r="H395" s="160">
        <f t="shared" si="26"/>
        <v>0.74338882717384</v>
      </c>
      <c r="I395" s="55"/>
      <c r="J395" s="55"/>
      <c r="K395" s="55">
        <v>99.71</v>
      </c>
      <c r="L395" s="4">
        <f t="shared" si="25"/>
        <v>-8469.1</v>
      </c>
      <c r="O395" s="266" t="s">
        <v>1658</v>
      </c>
    </row>
    <row r="396" ht="16.5" spans="1:15">
      <c r="A396" s="203">
        <v>46202</v>
      </c>
      <c r="B396" s="289" t="s">
        <v>207</v>
      </c>
      <c r="C396" s="55"/>
      <c r="D396" s="55"/>
      <c r="E396" s="235">
        <v>67.044</v>
      </c>
      <c r="F396" s="55"/>
      <c r="G396" s="55"/>
      <c r="H396" s="160">
        <f t="shared" si="26"/>
        <v>0.959966589105662</v>
      </c>
      <c r="I396" s="55"/>
      <c r="J396" s="55"/>
      <c r="K396" s="55">
        <v>64.36</v>
      </c>
      <c r="L396" s="4">
        <f t="shared" si="25"/>
        <v>-8533.46</v>
      </c>
      <c r="O396" s="266" t="s">
        <v>1658</v>
      </c>
    </row>
    <row r="397" ht="16.5" spans="1:15">
      <c r="A397" s="203">
        <v>46202</v>
      </c>
      <c r="B397" s="289" t="s">
        <v>148</v>
      </c>
      <c r="C397" s="55"/>
      <c r="D397" s="55"/>
      <c r="E397" s="235">
        <v>68.733</v>
      </c>
      <c r="F397" s="55"/>
      <c r="G397" s="55"/>
      <c r="H397" s="160">
        <f t="shared" si="26"/>
        <v>0.959946459488164</v>
      </c>
      <c r="I397" s="55"/>
      <c r="J397" s="55"/>
      <c r="K397" s="55">
        <v>65.98</v>
      </c>
      <c r="L397" s="4">
        <f t="shared" si="25"/>
        <v>-8599.44</v>
      </c>
      <c r="O397" s="266" t="s">
        <v>1658</v>
      </c>
    </row>
    <row r="398" ht="16.5" spans="1:15">
      <c r="A398" s="203">
        <v>46202</v>
      </c>
      <c r="B398" s="289" t="s">
        <v>121</v>
      </c>
      <c r="C398" s="55"/>
      <c r="D398" s="55"/>
      <c r="E398" s="235">
        <v>55.97</v>
      </c>
      <c r="F398" s="55"/>
      <c r="G398" s="55"/>
      <c r="H398" s="160">
        <f t="shared" si="26"/>
        <v>0.920135787028765</v>
      </c>
      <c r="I398" s="55"/>
      <c r="J398" s="55"/>
      <c r="K398" s="55">
        <v>51.5</v>
      </c>
      <c r="L398" s="4">
        <f t="shared" si="25"/>
        <v>-8650.94</v>
      </c>
      <c r="O398" s="266" t="s">
        <v>1658</v>
      </c>
    </row>
    <row r="399" ht="16.5" spans="1:15">
      <c r="A399" s="203">
        <v>46202</v>
      </c>
      <c r="B399" s="289" t="s">
        <v>90</v>
      </c>
      <c r="C399" s="55"/>
      <c r="D399" s="55"/>
      <c r="E399" s="235">
        <v>38.82</v>
      </c>
      <c r="F399" s="55"/>
      <c r="G399" s="55"/>
      <c r="H399" s="160">
        <f t="shared" si="26"/>
        <v>0.9198866563627</v>
      </c>
      <c r="I399" s="55"/>
      <c r="J399" s="55"/>
      <c r="K399" s="55">
        <v>35.71</v>
      </c>
      <c r="L399" s="4">
        <f t="shared" si="25"/>
        <v>-8686.65</v>
      </c>
      <c r="O399" s="266" t="s">
        <v>1658</v>
      </c>
    </row>
    <row r="400" ht="16.5" spans="1:15">
      <c r="A400" s="203">
        <v>46202</v>
      </c>
      <c r="B400" s="289" t="s">
        <v>141</v>
      </c>
      <c r="C400" s="55"/>
      <c r="D400" s="55"/>
      <c r="E400" s="235">
        <v>329.58</v>
      </c>
      <c r="F400" s="55"/>
      <c r="G400" s="55"/>
      <c r="H400" s="160">
        <f t="shared" si="26"/>
        <v>0.919898052066266</v>
      </c>
      <c r="I400" s="55"/>
      <c r="J400" s="55"/>
      <c r="K400" s="55">
        <v>303.18</v>
      </c>
      <c r="L400" s="4">
        <f t="shared" si="25"/>
        <v>-8989.83</v>
      </c>
      <c r="O400" s="266" t="s">
        <v>1658</v>
      </c>
    </row>
    <row r="401" ht="16.5" spans="1:15">
      <c r="A401" s="203">
        <v>46202</v>
      </c>
      <c r="B401" s="289" t="s">
        <v>201</v>
      </c>
      <c r="C401" s="55"/>
      <c r="D401" s="55"/>
      <c r="E401" s="235">
        <v>72.288</v>
      </c>
      <c r="F401" s="55"/>
      <c r="G401" s="55"/>
      <c r="H401" s="160">
        <f t="shared" si="26"/>
        <v>0.960048694112439</v>
      </c>
      <c r="I401" s="55"/>
      <c r="J401" s="55"/>
      <c r="K401" s="55">
        <v>69.4</v>
      </c>
      <c r="L401" s="4">
        <f t="shared" si="25"/>
        <v>-9059.23</v>
      </c>
      <c r="O401" s="266" t="s">
        <v>1658</v>
      </c>
    </row>
    <row r="402" ht="16.5" spans="1:15">
      <c r="A402" s="203">
        <v>46202</v>
      </c>
      <c r="B402" s="289" t="s">
        <v>189</v>
      </c>
      <c r="C402" s="55"/>
      <c r="D402" s="55"/>
      <c r="E402" s="235">
        <v>71.551</v>
      </c>
      <c r="F402" s="55"/>
      <c r="G402" s="55"/>
      <c r="H402" s="160">
        <f t="shared" si="26"/>
        <v>0.960014535086861</v>
      </c>
      <c r="I402" s="55"/>
      <c r="J402" s="55"/>
      <c r="K402" s="55">
        <v>68.69</v>
      </c>
      <c r="L402" s="4">
        <f t="shared" si="25"/>
        <v>-9127.92</v>
      </c>
      <c r="O402" s="266" t="s">
        <v>1658</v>
      </c>
    </row>
    <row r="403" ht="16.5" spans="1:15">
      <c r="A403" s="203">
        <v>46202</v>
      </c>
      <c r="B403" s="289" t="s">
        <v>124</v>
      </c>
      <c r="C403" s="55"/>
      <c r="D403" s="55"/>
      <c r="E403" s="235">
        <v>123.33</v>
      </c>
      <c r="F403" s="55"/>
      <c r="G403" s="55"/>
      <c r="H403" s="160">
        <f t="shared" si="26"/>
        <v>0.819995135003649</v>
      </c>
      <c r="I403" s="55"/>
      <c r="J403" s="55"/>
      <c r="K403" s="55">
        <v>101.13</v>
      </c>
      <c r="L403" s="4">
        <f t="shared" si="25"/>
        <v>-9229.05</v>
      </c>
      <c r="O403" s="266" t="s">
        <v>1658</v>
      </c>
    </row>
    <row r="404" ht="16.5" spans="1:15">
      <c r="A404" s="203">
        <v>46202</v>
      </c>
      <c r="B404" s="289" t="s">
        <v>138</v>
      </c>
      <c r="C404" s="55"/>
      <c r="D404" s="55"/>
      <c r="E404" s="235">
        <v>304.93</v>
      </c>
      <c r="F404" s="55"/>
      <c r="G404" s="55"/>
      <c r="H404" s="160">
        <f t="shared" si="26"/>
        <v>0.849998360279408</v>
      </c>
      <c r="I404" s="55"/>
      <c r="J404" s="55"/>
      <c r="K404" s="55">
        <v>259.19</v>
      </c>
      <c r="L404" s="4">
        <f t="shared" si="25"/>
        <v>-9488.24</v>
      </c>
      <c r="O404" s="266" t="s">
        <v>1658</v>
      </c>
    </row>
    <row r="405" ht="16.5" spans="1:15">
      <c r="A405" s="203">
        <v>46202</v>
      </c>
      <c r="B405" s="289" t="s">
        <v>180</v>
      </c>
      <c r="C405" s="55"/>
      <c r="D405" s="55"/>
      <c r="E405" s="235">
        <v>67.97</v>
      </c>
      <c r="F405" s="55"/>
      <c r="G405" s="55"/>
      <c r="H405" s="160">
        <f t="shared" si="26"/>
        <v>0.720023539796969</v>
      </c>
      <c r="I405" s="55"/>
      <c r="J405" s="55"/>
      <c r="K405" s="55">
        <v>48.94</v>
      </c>
      <c r="L405" s="4">
        <f t="shared" si="25"/>
        <v>-9537.18</v>
      </c>
      <c r="O405" s="266" t="s">
        <v>1658</v>
      </c>
    </row>
    <row r="406" ht="14.25" spans="1:15">
      <c r="B406" s="290"/>
    </row>
    <row r="407" ht="14.25" spans="1:15">
      <c r="B407" s="290"/>
    </row>
    <row r="408" ht="14.25" spans="1:15">
      <c r="B408" s="290"/>
    </row>
    <row r="409" ht="14.25" spans="1:15">
      <c r="B409" s="290"/>
    </row>
    <row r="410" ht="14.25" spans="1:15">
      <c r="B410" s="290"/>
    </row>
    <row r="411" ht="14.25" spans="1:15">
      <c r="B411" s="290"/>
    </row>
    <row r="412" ht="14.25" spans="1:15">
      <c r="B412" s="290"/>
    </row>
  </sheetData>
  <autoFilter xmlns:etc="http://www.wps.cn/officeDocument/2017/etCustomData" ref="A1:P358" etc:filterBottomFollowUsedRange="0">
    <extLst/>
  </autoFilter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3"/>
  <sheetViews>
    <sheetView topLeftCell="A394" workbookViewId="0">
      <selection activeCell="K394" sqref="K$1:K$1048576"/>
    </sheetView>
  </sheetViews>
  <sheetFormatPr defaultColWidth="9" defaultRowHeight="13.5"/>
  <cols>
    <col min="1" max="1" width="10.875" style="144" customWidth="1"/>
    <col min="2" max="2" width="13.875" style="144" customWidth="1"/>
    <col min="3" max="6" width="9" style="144"/>
    <col min="7" max="7" width="11.5" style="144"/>
    <col min="8" max="8" width="12.625" style="144"/>
    <col min="9" max="9" width="9" style="144"/>
    <col min="10" max="10" width="11.625" style="144"/>
    <col min="11" max="13" width="13.75" style="144" customWidth="1"/>
    <col min="14" max="14" width="9" style="144"/>
    <col min="15" max="15" width="31.75" style="144" customWidth="1"/>
    <col min="16" max="16" width="17.75" style="144" customWidth="1"/>
    <col min="17" max="16384" width="9" style="144"/>
  </cols>
  <sheetData>
    <row r="1" s="144" customFormat="1" ht="27" spans="1:18">
      <c r="A1" s="139" t="s">
        <v>335</v>
      </c>
      <c r="B1" s="139" t="s">
        <v>3</v>
      </c>
      <c r="C1" s="140" t="s">
        <v>1581</v>
      </c>
      <c r="D1" s="140" t="s">
        <v>1582</v>
      </c>
      <c r="E1" s="141" t="s">
        <v>1583</v>
      </c>
      <c r="F1" s="139" t="s">
        <v>1584</v>
      </c>
      <c r="G1" s="139" t="s">
        <v>1585</v>
      </c>
      <c r="H1" s="141" t="s">
        <v>1588</v>
      </c>
      <c r="I1" s="141" t="s">
        <v>1604</v>
      </c>
      <c r="J1" s="141" t="s">
        <v>1605</v>
      </c>
      <c r="K1" s="141" t="s">
        <v>1589</v>
      </c>
      <c r="L1" s="141" t="s">
        <v>1606</v>
      </c>
      <c r="M1" s="141" t="s">
        <v>1657</v>
      </c>
      <c r="N1" s="139" t="s">
        <v>1607</v>
      </c>
      <c r="O1" s="139" t="s">
        <v>1590</v>
      </c>
      <c r="P1" s="139" t="s">
        <v>352</v>
      </c>
    </row>
    <row r="2" s="144" customFormat="1" spans="1:18">
      <c r="A2" s="147">
        <v>46174</v>
      </c>
      <c r="B2" s="51"/>
      <c r="C2" s="148"/>
      <c r="D2" s="148"/>
      <c r="E2" s="54"/>
      <c r="F2" s="51"/>
      <c r="G2" s="51"/>
      <c r="H2" s="54"/>
      <c r="I2" s="54"/>
      <c r="J2" s="54">
        <v>10000</v>
      </c>
      <c r="K2" s="54"/>
      <c r="L2" s="54">
        <v>13399.36</v>
      </c>
      <c r="M2" s="54"/>
      <c r="N2" s="51"/>
      <c r="O2" s="51"/>
      <c r="P2" s="51"/>
    </row>
    <row r="3" s="244" customFormat="1" ht="16" customHeight="1" spans="1:18">
      <c r="A3" s="156">
        <v>46174</v>
      </c>
      <c r="B3" s="179" t="s">
        <v>130</v>
      </c>
      <c r="C3" s="245">
        <v>0.31</v>
      </c>
      <c r="D3" s="245">
        <v>1</v>
      </c>
      <c r="E3" s="159">
        <v>284.852</v>
      </c>
      <c r="F3" s="10">
        <f t="shared" ref="F3:F66" si="0">(D3-C3)*430</f>
        <v>296.7</v>
      </c>
      <c r="G3" s="10">
        <f t="shared" ref="G3:G66" si="1">E3-F3</f>
        <v>-11.848</v>
      </c>
      <c r="H3" s="110">
        <f t="shared" ref="H3:H66" si="2">K3/E3</f>
        <v>0.899976127954166</v>
      </c>
      <c r="I3" s="162">
        <v>56.97</v>
      </c>
      <c r="J3" s="162"/>
      <c r="K3" s="162">
        <v>256.36</v>
      </c>
      <c r="L3" s="246">
        <f t="shared" ref="L3:L66" si="3">L2+J3-K3</f>
        <v>13143</v>
      </c>
      <c r="M3" s="162"/>
      <c r="N3" s="10"/>
      <c r="O3" s="150" t="s">
        <v>1659</v>
      </c>
      <c r="P3" s="150"/>
      <c r="Q3" s="10"/>
      <c r="R3" s="214">
        <f t="shared" ref="R3:R10" si="4">G3/E3</f>
        <v>-0.041593529271341</v>
      </c>
    </row>
    <row r="4" s="244" customFormat="1" ht="16" customHeight="1" spans="1:18">
      <c r="A4" s="163">
        <v>46174</v>
      </c>
      <c r="B4" s="179" t="s">
        <v>99</v>
      </c>
      <c r="C4" s="245">
        <v>0.33</v>
      </c>
      <c r="D4" s="245">
        <v>1</v>
      </c>
      <c r="E4" s="165">
        <v>306.339</v>
      </c>
      <c r="F4" s="10">
        <f t="shared" si="0"/>
        <v>288.1</v>
      </c>
      <c r="G4" s="10">
        <f t="shared" si="1"/>
        <v>18.239</v>
      </c>
      <c r="H4" s="110">
        <f t="shared" si="2"/>
        <v>0.899950708202351</v>
      </c>
      <c r="I4" s="166">
        <v>61.26</v>
      </c>
      <c r="J4" s="166"/>
      <c r="K4" s="166">
        <v>275.69</v>
      </c>
      <c r="L4" s="246">
        <f t="shared" si="3"/>
        <v>12867.31</v>
      </c>
      <c r="M4" s="166"/>
      <c r="N4" s="10"/>
      <c r="O4" s="150" t="s">
        <v>1659</v>
      </c>
      <c r="P4" s="150"/>
      <c r="Q4" s="10"/>
      <c r="R4" s="214">
        <f t="shared" si="4"/>
        <v>0.0595386157165755</v>
      </c>
    </row>
    <row r="5" s="244" customFormat="1" ht="16" customHeight="1" spans="1:18">
      <c r="A5" s="163">
        <v>46174</v>
      </c>
      <c r="B5" s="179" t="s">
        <v>117</v>
      </c>
      <c r="C5" s="245">
        <v>0.18</v>
      </c>
      <c r="D5" s="245">
        <v>0.99</v>
      </c>
      <c r="E5" s="165">
        <v>339.577</v>
      </c>
      <c r="F5" s="10">
        <f t="shared" si="0"/>
        <v>348.3</v>
      </c>
      <c r="G5" s="10">
        <f t="shared" si="1"/>
        <v>-8.72300000000001</v>
      </c>
      <c r="H5" s="110">
        <f t="shared" si="2"/>
        <v>0.87947652520636</v>
      </c>
      <c r="I5" s="166">
        <v>67.91</v>
      </c>
      <c r="J5" s="166"/>
      <c r="K5" s="166">
        <v>298.65</v>
      </c>
      <c r="L5" s="246">
        <f t="shared" si="3"/>
        <v>12568.66</v>
      </c>
      <c r="M5" s="166"/>
      <c r="N5" s="10"/>
      <c r="O5" s="150" t="s">
        <v>1659</v>
      </c>
      <c r="P5" s="150"/>
      <c r="Q5" s="10"/>
      <c r="R5" s="214">
        <f t="shared" si="4"/>
        <v>-0.0256878410493055</v>
      </c>
    </row>
    <row r="6" s="244" customFormat="1" ht="16" customHeight="1" spans="1:18">
      <c r="A6" s="163">
        <v>46174</v>
      </c>
      <c r="B6" s="179" t="s">
        <v>102</v>
      </c>
      <c r="C6" s="245">
        <v>0.37</v>
      </c>
      <c r="D6" s="245">
        <v>1</v>
      </c>
      <c r="E6" s="165">
        <v>302.021</v>
      </c>
      <c r="F6" s="10">
        <f t="shared" si="0"/>
        <v>270.9</v>
      </c>
      <c r="G6" s="247">
        <f t="shared" si="1"/>
        <v>31.121</v>
      </c>
      <c r="H6" s="110">
        <f t="shared" si="2"/>
        <v>0.791865466308634</v>
      </c>
      <c r="I6" s="166">
        <v>60.39</v>
      </c>
      <c r="J6" s="166"/>
      <c r="K6" s="166">
        <v>239.16</v>
      </c>
      <c r="L6" s="246">
        <f t="shared" si="3"/>
        <v>12329.5</v>
      </c>
      <c r="M6" s="166"/>
      <c r="N6" s="10"/>
      <c r="O6" s="150" t="s">
        <v>1659</v>
      </c>
      <c r="P6" s="150"/>
      <c r="Q6" s="10"/>
      <c r="R6" s="214">
        <f t="shared" si="4"/>
        <v>0.103042503666964</v>
      </c>
    </row>
    <row r="7" s="244" customFormat="1" ht="16" customHeight="1" spans="1:18">
      <c r="A7" s="163">
        <v>46174</v>
      </c>
      <c r="B7" s="179" t="s">
        <v>111</v>
      </c>
      <c r="C7" s="245">
        <v>0.22</v>
      </c>
      <c r="D7" s="245">
        <v>0.93</v>
      </c>
      <c r="E7" s="165">
        <v>289.707</v>
      </c>
      <c r="F7" s="10">
        <f t="shared" si="0"/>
        <v>305.3</v>
      </c>
      <c r="G7" s="10">
        <f t="shared" si="1"/>
        <v>-15.593</v>
      </c>
      <c r="H7" s="110">
        <f t="shared" si="2"/>
        <v>0.846199781158205</v>
      </c>
      <c r="I7" s="166">
        <v>57.93</v>
      </c>
      <c r="J7" s="166"/>
      <c r="K7" s="166">
        <v>245.15</v>
      </c>
      <c r="L7" s="246">
        <f t="shared" si="3"/>
        <v>12084.35</v>
      </c>
      <c r="M7" s="166"/>
      <c r="N7" s="10"/>
      <c r="O7" s="150" t="s">
        <v>1659</v>
      </c>
      <c r="P7" s="150"/>
      <c r="Q7" s="10"/>
      <c r="R7" s="214">
        <f t="shared" si="4"/>
        <v>-0.0538233456561285</v>
      </c>
    </row>
    <row r="8" s="244" customFormat="1" ht="16" customHeight="1" spans="1:18">
      <c r="A8" s="163">
        <v>46174</v>
      </c>
      <c r="B8" s="179" t="s">
        <v>172</v>
      </c>
      <c r="C8" s="245">
        <v>0.43</v>
      </c>
      <c r="D8" s="245">
        <v>0.99</v>
      </c>
      <c r="E8" s="165">
        <v>245.267</v>
      </c>
      <c r="F8" s="10">
        <f t="shared" si="0"/>
        <v>240.8</v>
      </c>
      <c r="G8" s="10">
        <f t="shared" si="1"/>
        <v>4.46699999999998</v>
      </c>
      <c r="H8" s="110">
        <f t="shared" si="2"/>
        <v>0.899958004949708</v>
      </c>
      <c r="I8" s="166">
        <v>49.05</v>
      </c>
      <c r="J8" s="166"/>
      <c r="K8" s="166">
        <v>220.73</v>
      </c>
      <c r="L8" s="246">
        <f t="shared" si="3"/>
        <v>11863.62</v>
      </c>
      <c r="M8" s="166"/>
      <c r="N8" s="10"/>
      <c r="O8" s="150" t="s">
        <v>1659</v>
      </c>
      <c r="P8" s="150"/>
      <c r="Q8" s="10"/>
      <c r="R8" s="214">
        <f t="shared" si="4"/>
        <v>0.0182128048208686</v>
      </c>
    </row>
    <row r="9" s="244" customFormat="1" ht="16" customHeight="1" spans="1:18">
      <c r="A9" s="248">
        <v>46174</v>
      </c>
      <c r="B9" s="192" t="s">
        <v>63</v>
      </c>
      <c r="C9" s="249">
        <v>0.34</v>
      </c>
      <c r="D9" s="249">
        <v>1</v>
      </c>
      <c r="E9" s="250">
        <v>313.993</v>
      </c>
      <c r="F9" s="130">
        <f t="shared" si="0"/>
        <v>283.8</v>
      </c>
      <c r="G9" s="251">
        <f t="shared" si="1"/>
        <v>30.193</v>
      </c>
      <c r="H9" s="252">
        <f t="shared" si="2"/>
        <v>0.899956368454074</v>
      </c>
      <c r="I9" s="253">
        <v>62.79</v>
      </c>
      <c r="J9" s="253"/>
      <c r="K9" s="253">
        <v>282.58</v>
      </c>
      <c r="L9" s="254">
        <f t="shared" si="3"/>
        <v>11581.04</v>
      </c>
      <c r="M9" s="253"/>
      <c r="N9" s="130"/>
      <c r="O9" s="205" t="s">
        <v>1659</v>
      </c>
      <c r="P9" s="150"/>
      <c r="Q9" s="10"/>
      <c r="R9" s="214">
        <f t="shared" si="4"/>
        <v>0.0961581946094341</v>
      </c>
    </row>
    <row r="10" s="244" customFormat="1" ht="16" customHeight="1" spans="1:18">
      <c r="A10" s="163">
        <v>46174</v>
      </c>
      <c r="B10" s="164" t="s">
        <v>81</v>
      </c>
      <c r="C10" s="245">
        <v>0.32</v>
      </c>
      <c r="D10" s="245">
        <v>0.98</v>
      </c>
      <c r="E10" s="165">
        <v>320.801</v>
      </c>
      <c r="F10" s="10">
        <f t="shared" si="0"/>
        <v>283.8</v>
      </c>
      <c r="G10" s="247">
        <f t="shared" si="1"/>
        <v>37.001</v>
      </c>
      <c r="H10" s="110">
        <f t="shared" si="2"/>
        <v>0.899997194522461</v>
      </c>
      <c r="I10" s="166">
        <v>64.16</v>
      </c>
      <c r="J10" s="166"/>
      <c r="K10" s="166">
        <v>288.72</v>
      </c>
      <c r="L10" s="246">
        <f t="shared" si="3"/>
        <v>11292.32</v>
      </c>
      <c r="M10" s="166"/>
      <c r="N10" s="10"/>
      <c r="O10" s="150" t="s">
        <v>1659</v>
      </c>
      <c r="P10" s="150"/>
      <c r="Q10" s="10"/>
      <c r="R10" s="214">
        <f t="shared" si="4"/>
        <v>0.115339416024264</v>
      </c>
    </row>
    <row r="11" spans="1:18">
      <c r="A11" s="163">
        <v>46175</v>
      </c>
      <c r="B11" s="164" t="s">
        <v>57</v>
      </c>
      <c r="C11" s="195">
        <v>0.27</v>
      </c>
      <c r="D11" s="195">
        <v>1</v>
      </c>
      <c r="E11" s="55">
        <v>301.989</v>
      </c>
      <c r="F11" s="10">
        <f t="shared" si="0"/>
        <v>313.9</v>
      </c>
      <c r="G11" s="10">
        <f t="shared" si="1"/>
        <v>-11.911</v>
      </c>
      <c r="H11" s="110">
        <f t="shared" si="2"/>
        <v>0.769961819801384</v>
      </c>
      <c r="I11" s="55"/>
      <c r="J11" s="55"/>
      <c r="K11" s="55">
        <v>232.52</v>
      </c>
      <c r="L11" s="246">
        <f t="shared" si="3"/>
        <v>11059.8</v>
      </c>
      <c r="M11" s="55"/>
      <c r="N11" s="55"/>
      <c r="O11" s="150" t="s">
        <v>1659</v>
      </c>
    </row>
    <row r="12" spans="1:18">
      <c r="A12" s="163">
        <v>46175</v>
      </c>
      <c r="B12" s="164" t="s">
        <v>102</v>
      </c>
      <c r="C12" s="195">
        <v>0.42</v>
      </c>
      <c r="D12" s="195">
        <v>1</v>
      </c>
      <c r="E12" s="55">
        <v>274.085</v>
      </c>
      <c r="F12" s="10">
        <f t="shared" si="0"/>
        <v>249.4</v>
      </c>
      <c r="G12" s="247">
        <f t="shared" si="1"/>
        <v>24.685</v>
      </c>
      <c r="H12" s="110">
        <f t="shared" si="2"/>
        <v>0.704051662805334</v>
      </c>
      <c r="I12" s="55"/>
      <c r="J12" s="55"/>
      <c r="K12" s="55">
        <v>192.97</v>
      </c>
      <c r="L12" s="246">
        <f t="shared" si="3"/>
        <v>10866.83</v>
      </c>
      <c r="M12" s="55"/>
      <c r="N12" s="55"/>
      <c r="O12" s="150" t="s">
        <v>1659</v>
      </c>
    </row>
    <row r="13" spans="1:18">
      <c r="A13" s="163">
        <v>46175</v>
      </c>
      <c r="B13" s="164" t="s">
        <v>130</v>
      </c>
      <c r="C13" s="195">
        <v>0.54</v>
      </c>
      <c r="D13" s="195">
        <v>0.99</v>
      </c>
      <c r="E13" s="55">
        <v>188.581</v>
      </c>
      <c r="F13" s="10">
        <f t="shared" si="0"/>
        <v>193.5</v>
      </c>
      <c r="G13" s="10">
        <f t="shared" si="1"/>
        <v>-4.91900000000001</v>
      </c>
      <c r="H13" s="110">
        <f t="shared" si="2"/>
        <v>0.61994580578107</v>
      </c>
      <c r="I13" s="55"/>
      <c r="J13" s="55"/>
      <c r="K13" s="55">
        <v>116.91</v>
      </c>
      <c r="L13" s="246">
        <f t="shared" si="3"/>
        <v>10749.92</v>
      </c>
      <c r="M13" s="55"/>
      <c r="N13" s="55"/>
      <c r="O13" s="150" t="s">
        <v>1659</v>
      </c>
    </row>
    <row r="14" spans="1:18">
      <c r="A14" s="163">
        <v>46175</v>
      </c>
      <c r="B14" s="164" t="s">
        <v>114</v>
      </c>
      <c r="C14" s="195">
        <v>0.26</v>
      </c>
      <c r="D14" s="195">
        <v>0.99</v>
      </c>
      <c r="E14" s="55">
        <v>311.378</v>
      </c>
      <c r="F14" s="10">
        <f t="shared" si="0"/>
        <v>313.9</v>
      </c>
      <c r="G14" s="10">
        <f t="shared" si="1"/>
        <v>-2.52199999999999</v>
      </c>
      <c r="H14" s="110">
        <f t="shared" si="2"/>
        <v>0.888277270712767</v>
      </c>
      <c r="I14" s="55"/>
      <c r="J14" s="55"/>
      <c r="K14" s="55">
        <v>276.59</v>
      </c>
      <c r="L14" s="246">
        <f t="shared" si="3"/>
        <v>10473.33</v>
      </c>
      <c r="M14" s="55"/>
      <c r="N14" s="55"/>
      <c r="O14" s="150" t="s">
        <v>1659</v>
      </c>
    </row>
    <row r="15" spans="1:18">
      <c r="A15" s="163">
        <v>46175</v>
      </c>
      <c r="B15" s="164" t="s">
        <v>121</v>
      </c>
      <c r="C15" s="195">
        <v>0.22</v>
      </c>
      <c r="D15" s="195">
        <v>1</v>
      </c>
      <c r="E15" s="55">
        <v>327.829</v>
      </c>
      <c r="F15" s="10">
        <f t="shared" si="0"/>
        <v>335.4</v>
      </c>
      <c r="G15" s="10">
        <f t="shared" si="1"/>
        <v>-7.57099999999997</v>
      </c>
      <c r="H15" s="110">
        <f t="shared" si="2"/>
        <v>0.899981392738287</v>
      </c>
      <c r="I15" s="55"/>
      <c r="J15" s="55"/>
      <c r="K15" s="55">
        <v>295.04</v>
      </c>
      <c r="L15" s="246">
        <f t="shared" si="3"/>
        <v>10178.29</v>
      </c>
      <c r="M15" s="55"/>
      <c r="N15" s="55"/>
      <c r="O15" s="150" t="s">
        <v>1659</v>
      </c>
    </row>
    <row r="16" spans="1:18">
      <c r="A16" s="163">
        <v>46175</v>
      </c>
      <c r="B16" s="164" t="s">
        <v>132</v>
      </c>
      <c r="C16" s="195">
        <v>0.31</v>
      </c>
      <c r="D16" s="195">
        <v>0.97</v>
      </c>
      <c r="E16" s="55">
        <v>300.868</v>
      </c>
      <c r="F16" s="10">
        <f t="shared" si="0"/>
        <v>283.8</v>
      </c>
      <c r="G16" s="10">
        <f t="shared" si="1"/>
        <v>17.068</v>
      </c>
      <c r="H16" s="110">
        <f t="shared" si="2"/>
        <v>0.899962774372815</v>
      </c>
      <c r="I16" s="55"/>
      <c r="J16" s="55"/>
      <c r="K16" s="55">
        <v>270.77</v>
      </c>
      <c r="L16" s="246">
        <f t="shared" si="3"/>
        <v>9907.52</v>
      </c>
      <c r="M16" s="55"/>
      <c r="N16" s="55"/>
      <c r="O16" s="150" t="s">
        <v>1659</v>
      </c>
    </row>
    <row r="17" spans="1:15">
      <c r="A17" s="163">
        <v>46175</v>
      </c>
      <c r="B17" s="164" t="s">
        <v>135</v>
      </c>
      <c r="C17" s="195">
        <v>0.25</v>
      </c>
      <c r="D17" s="195">
        <v>0.99</v>
      </c>
      <c r="E17" s="55">
        <v>331.367</v>
      </c>
      <c r="F17" s="10">
        <f t="shared" si="0"/>
        <v>318.2</v>
      </c>
      <c r="G17" s="10">
        <f t="shared" si="1"/>
        <v>13.167</v>
      </c>
      <c r="H17" s="110">
        <f t="shared" si="2"/>
        <v>0.899968916639255</v>
      </c>
      <c r="I17" s="55"/>
      <c r="J17" s="55"/>
      <c r="K17" s="55">
        <v>298.22</v>
      </c>
      <c r="L17" s="246">
        <f t="shared" si="3"/>
        <v>9609.3</v>
      </c>
      <c r="M17" s="55"/>
      <c r="N17" s="55"/>
      <c r="O17" s="150" t="s">
        <v>1659</v>
      </c>
    </row>
    <row r="18" spans="1:15">
      <c r="A18" s="163">
        <v>46175</v>
      </c>
      <c r="B18" s="164" t="s">
        <v>60</v>
      </c>
      <c r="C18" s="195">
        <v>0.3</v>
      </c>
      <c r="D18" s="195">
        <v>0.98</v>
      </c>
      <c r="E18" s="55">
        <v>290.765</v>
      </c>
      <c r="F18" s="10">
        <f t="shared" si="0"/>
        <v>292.4</v>
      </c>
      <c r="G18" s="10">
        <f t="shared" si="1"/>
        <v>-1.63499999999999</v>
      </c>
      <c r="H18" s="110">
        <f t="shared" si="2"/>
        <v>0.899970766770416</v>
      </c>
      <c r="I18" s="55"/>
      <c r="J18" s="55"/>
      <c r="K18" s="55">
        <v>261.68</v>
      </c>
      <c r="L18" s="246">
        <f t="shared" si="3"/>
        <v>9347.62</v>
      </c>
      <c r="M18" s="55"/>
      <c r="N18" s="55"/>
      <c r="O18" s="150" t="s">
        <v>1659</v>
      </c>
    </row>
    <row r="19" spans="1:15">
      <c r="A19" s="163">
        <v>46175</v>
      </c>
      <c r="B19" s="164" t="s">
        <v>84</v>
      </c>
      <c r="C19" s="195">
        <v>0.27</v>
      </c>
      <c r="D19" s="195">
        <v>1</v>
      </c>
      <c r="E19" s="55">
        <v>330.975</v>
      </c>
      <c r="F19" s="10">
        <f t="shared" si="0"/>
        <v>313.9</v>
      </c>
      <c r="G19" s="10">
        <f t="shared" si="1"/>
        <v>17.075</v>
      </c>
      <c r="H19" s="110">
        <f t="shared" si="2"/>
        <v>0.899947125915855</v>
      </c>
      <c r="I19" s="55"/>
      <c r="J19" s="55"/>
      <c r="K19" s="55">
        <v>297.86</v>
      </c>
      <c r="L19" s="246">
        <f t="shared" si="3"/>
        <v>9049.76</v>
      </c>
      <c r="M19" s="55"/>
      <c r="N19" s="55"/>
      <c r="O19" s="150" t="s">
        <v>1659</v>
      </c>
    </row>
    <row r="20" spans="1:15">
      <c r="A20" s="163">
        <v>46175</v>
      </c>
      <c r="B20" s="164" t="s">
        <v>63</v>
      </c>
      <c r="C20" s="195">
        <v>0.37</v>
      </c>
      <c r="D20" s="195">
        <v>0.87</v>
      </c>
      <c r="E20" s="55">
        <v>233.973</v>
      </c>
      <c r="F20" s="10">
        <f t="shared" si="0"/>
        <v>215</v>
      </c>
      <c r="G20" s="10">
        <f t="shared" si="1"/>
        <v>18.973</v>
      </c>
      <c r="H20" s="110">
        <f t="shared" si="2"/>
        <v>0.899932898240395</v>
      </c>
      <c r="I20" s="55"/>
      <c r="J20" s="55"/>
      <c r="K20" s="55">
        <v>210.56</v>
      </c>
      <c r="L20" s="246">
        <f t="shared" si="3"/>
        <v>8839.2</v>
      </c>
      <c r="M20" s="55"/>
      <c r="N20" s="55"/>
      <c r="O20" s="150" t="s">
        <v>1659</v>
      </c>
    </row>
    <row r="21" spans="1:15">
      <c r="A21" s="163">
        <v>46175</v>
      </c>
      <c r="B21" s="164" t="s">
        <v>57</v>
      </c>
      <c r="C21" s="195">
        <v>0.4</v>
      </c>
      <c r="D21" s="195">
        <v>0.96</v>
      </c>
      <c r="E21" s="55">
        <v>233.723</v>
      </c>
      <c r="F21" s="10">
        <f t="shared" si="0"/>
        <v>240.8</v>
      </c>
      <c r="G21" s="10">
        <f t="shared" si="1"/>
        <v>-7.077</v>
      </c>
      <c r="H21" s="110">
        <f t="shared" si="2"/>
        <v>0.899954219310894</v>
      </c>
      <c r="I21" s="55"/>
      <c r="J21" s="55"/>
      <c r="K21" s="55">
        <v>210.34</v>
      </c>
      <c r="L21" s="246">
        <f t="shared" si="3"/>
        <v>8628.86</v>
      </c>
      <c r="M21" s="55"/>
      <c r="N21" s="55"/>
      <c r="O21" s="150" t="s">
        <v>1659</v>
      </c>
    </row>
    <row r="22" spans="1:15">
      <c r="A22" s="163">
        <v>46176</v>
      </c>
      <c r="B22" s="164" t="s">
        <v>51</v>
      </c>
      <c r="C22" s="195">
        <v>0.29</v>
      </c>
      <c r="D22" s="195">
        <v>0.99</v>
      </c>
      <c r="E22" s="55">
        <v>298.571</v>
      </c>
      <c r="F22" s="10">
        <f t="shared" si="0"/>
        <v>301</v>
      </c>
      <c r="G22" s="10">
        <f t="shared" si="1"/>
        <v>-2.42899999999997</v>
      </c>
      <c r="H22" s="110">
        <f t="shared" si="2"/>
        <v>0.0858087356106253</v>
      </c>
      <c r="I22" s="55"/>
      <c r="J22" s="55"/>
      <c r="K22" s="55">
        <v>25.62</v>
      </c>
      <c r="L22" s="246">
        <f t="shared" si="3"/>
        <v>8603.24</v>
      </c>
      <c r="M22" s="55"/>
      <c r="N22" s="55"/>
      <c r="O22" s="150" t="s">
        <v>1659</v>
      </c>
    </row>
    <row r="23" spans="1:15">
      <c r="A23" s="163">
        <v>46176</v>
      </c>
      <c r="B23" s="164" t="s">
        <v>81</v>
      </c>
      <c r="C23" s="195">
        <v>0.26</v>
      </c>
      <c r="D23" s="195">
        <v>0.98</v>
      </c>
      <c r="E23" s="55">
        <v>345.511</v>
      </c>
      <c r="F23" s="10">
        <f t="shared" si="0"/>
        <v>309.6</v>
      </c>
      <c r="G23" s="247">
        <f t="shared" si="1"/>
        <v>35.9110000000001</v>
      </c>
      <c r="H23" s="110">
        <f t="shared" si="2"/>
        <v>0.647707308884522</v>
      </c>
      <c r="I23" s="55"/>
      <c r="J23" s="55"/>
      <c r="K23" s="55">
        <v>223.79</v>
      </c>
      <c r="L23" s="246">
        <f t="shared" si="3"/>
        <v>8379.45</v>
      </c>
      <c r="M23" s="55"/>
      <c r="N23" s="55"/>
      <c r="O23" s="150" t="s">
        <v>1659</v>
      </c>
    </row>
    <row r="24" spans="1:15">
      <c r="A24" s="163">
        <v>46176</v>
      </c>
      <c r="B24" s="164" t="s">
        <v>63</v>
      </c>
      <c r="C24" s="195">
        <v>0.35</v>
      </c>
      <c r="D24" s="195">
        <v>0.98</v>
      </c>
      <c r="E24" s="55">
        <v>311.457</v>
      </c>
      <c r="F24" s="10">
        <f t="shared" si="0"/>
        <v>270.9</v>
      </c>
      <c r="G24" s="247">
        <f t="shared" si="1"/>
        <v>40.557</v>
      </c>
      <c r="H24" s="110">
        <f t="shared" si="2"/>
        <v>0.799885698507338</v>
      </c>
      <c r="I24" s="55"/>
      <c r="J24" s="55"/>
      <c r="K24" s="55">
        <v>249.13</v>
      </c>
      <c r="L24" s="246">
        <f t="shared" si="3"/>
        <v>8130.32</v>
      </c>
      <c r="M24" s="55"/>
      <c r="N24" s="55"/>
      <c r="O24" s="150" t="s">
        <v>1659</v>
      </c>
    </row>
    <row r="25" spans="1:15">
      <c r="A25" s="163">
        <v>46176</v>
      </c>
      <c r="B25" s="164" t="s">
        <v>117</v>
      </c>
      <c r="C25" s="195">
        <v>0.31</v>
      </c>
      <c r="D25" s="195">
        <v>0.96</v>
      </c>
      <c r="E25" s="55">
        <v>278.211</v>
      </c>
      <c r="F25" s="10">
        <f t="shared" si="0"/>
        <v>279.5</v>
      </c>
      <c r="G25" s="10">
        <f t="shared" si="1"/>
        <v>-1.28899999999993</v>
      </c>
      <c r="H25" s="110">
        <f t="shared" si="2"/>
        <v>1.03687488992168</v>
      </c>
      <c r="I25" s="55"/>
      <c r="J25" s="55"/>
      <c r="K25" s="55">
        <v>288.47</v>
      </c>
      <c r="L25" s="246">
        <f t="shared" si="3"/>
        <v>7841.85</v>
      </c>
      <c r="M25" s="55"/>
      <c r="N25" s="55"/>
      <c r="O25" s="150" t="s">
        <v>1659</v>
      </c>
    </row>
    <row r="26" spans="1:15">
      <c r="A26" s="163">
        <v>46176</v>
      </c>
      <c r="B26" s="164" t="s">
        <v>66</v>
      </c>
      <c r="C26" s="195">
        <v>0.39</v>
      </c>
      <c r="D26" s="195">
        <v>0.98</v>
      </c>
      <c r="E26" s="55">
        <v>303.638</v>
      </c>
      <c r="F26" s="10">
        <f t="shared" si="0"/>
        <v>253.7</v>
      </c>
      <c r="G26" s="247">
        <f t="shared" si="1"/>
        <v>49.938</v>
      </c>
      <c r="H26" s="110">
        <f t="shared" si="2"/>
        <v>0.9394410449285</v>
      </c>
      <c r="I26" s="55"/>
      <c r="J26" s="55"/>
      <c r="K26" s="55">
        <v>285.25</v>
      </c>
      <c r="L26" s="246">
        <f t="shared" si="3"/>
        <v>7556.6</v>
      </c>
      <c r="M26" s="55"/>
      <c r="N26" s="55"/>
      <c r="O26" s="150" t="s">
        <v>1659</v>
      </c>
    </row>
    <row r="27" spans="1:15">
      <c r="A27" s="163">
        <v>46176</v>
      </c>
      <c r="B27" s="164" t="s">
        <v>99</v>
      </c>
      <c r="C27" s="195">
        <v>0.37</v>
      </c>
      <c r="D27" s="195">
        <v>0.98</v>
      </c>
      <c r="E27" s="55">
        <v>290.651</v>
      </c>
      <c r="F27" s="10">
        <f t="shared" si="0"/>
        <v>262.3</v>
      </c>
      <c r="G27" s="247">
        <f t="shared" si="1"/>
        <v>28.351</v>
      </c>
      <c r="H27" s="110">
        <f t="shared" si="2"/>
        <v>0.944190799274732</v>
      </c>
      <c r="I27" s="55"/>
      <c r="J27" s="55"/>
      <c r="K27" s="55">
        <v>274.43</v>
      </c>
      <c r="L27" s="246">
        <f t="shared" si="3"/>
        <v>7282.17</v>
      </c>
      <c r="M27" s="55"/>
      <c r="N27" s="55"/>
      <c r="O27" s="150" t="s">
        <v>1659</v>
      </c>
    </row>
    <row r="28" spans="1:15">
      <c r="A28" s="163">
        <v>46176</v>
      </c>
      <c r="B28" s="164" t="s">
        <v>111</v>
      </c>
      <c r="C28" s="195">
        <v>0.21</v>
      </c>
      <c r="D28" s="195">
        <v>0.95</v>
      </c>
      <c r="E28" s="55">
        <v>304.935</v>
      </c>
      <c r="F28" s="10">
        <f t="shared" si="0"/>
        <v>318.2</v>
      </c>
      <c r="G28" s="10">
        <f t="shared" si="1"/>
        <v>-13.265</v>
      </c>
      <c r="H28" s="110">
        <f t="shared" si="2"/>
        <v>0.857822158820732</v>
      </c>
      <c r="I28" s="55"/>
      <c r="J28" s="55"/>
      <c r="K28" s="55">
        <v>261.58</v>
      </c>
      <c r="L28" s="246">
        <f t="shared" si="3"/>
        <v>7020.59</v>
      </c>
      <c r="M28" s="55"/>
      <c r="N28" s="55"/>
      <c r="O28" s="150" t="s">
        <v>1659</v>
      </c>
    </row>
    <row r="29" spans="1:15">
      <c r="A29" s="163">
        <v>46176</v>
      </c>
      <c r="B29" s="164" t="s">
        <v>87</v>
      </c>
      <c r="C29" s="195">
        <v>0.33</v>
      </c>
      <c r="D29" s="195">
        <v>0.98</v>
      </c>
      <c r="E29" s="55">
        <v>316.959</v>
      </c>
      <c r="F29" s="10">
        <f t="shared" si="0"/>
        <v>279.5</v>
      </c>
      <c r="G29" s="247">
        <f t="shared" si="1"/>
        <v>37.4590000000001</v>
      </c>
      <c r="H29" s="110">
        <f t="shared" si="2"/>
        <v>0.862161983095605</v>
      </c>
      <c r="I29" s="55"/>
      <c r="J29" s="55"/>
      <c r="K29" s="55">
        <v>273.27</v>
      </c>
      <c r="L29" s="246">
        <f t="shared" si="3"/>
        <v>6747.32</v>
      </c>
      <c r="M29" s="55"/>
      <c r="N29" s="55"/>
      <c r="O29" s="150" t="s">
        <v>1659</v>
      </c>
    </row>
    <row r="30" spans="1:15">
      <c r="A30" s="163">
        <v>46176</v>
      </c>
      <c r="B30" s="164" t="s">
        <v>78</v>
      </c>
      <c r="C30" s="195">
        <v>0.24</v>
      </c>
      <c r="D30" s="195">
        <v>0.98</v>
      </c>
      <c r="E30" s="55">
        <v>341.395</v>
      </c>
      <c r="F30" s="10">
        <f t="shared" si="0"/>
        <v>318.2</v>
      </c>
      <c r="G30" s="247">
        <f t="shared" si="1"/>
        <v>23.195</v>
      </c>
      <c r="H30" s="110">
        <f t="shared" si="2"/>
        <v>0.733402656746584</v>
      </c>
      <c r="I30" s="55"/>
      <c r="J30" s="55"/>
      <c r="K30" s="55">
        <v>250.38</v>
      </c>
      <c r="L30" s="246">
        <f t="shared" si="3"/>
        <v>6496.94</v>
      </c>
      <c r="M30" s="55"/>
      <c r="N30" s="55"/>
      <c r="O30" s="150" t="s">
        <v>1659</v>
      </c>
    </row>
    <row r="31" spans="1:15">
      <c r="A31" s="163">
        <v>46176</v>
      </c>
      <c r="B31" s="164" t="s">
        <v>130</v>
      </c>
      <c r="C31" s="195">
        <v>0.28</v>
      </c>
      <c r="D31" s="195">
        <v>0.99</v>
      </c>
      <c r="E31" s="55">
        <v>300.701</v>
      </c>
      <c r="F31" s="10">
        <f t="shared" si="0"/>
        <v>305.3</v>
      </c>
      <c r="G31" s="10">
        <f t="shared" si="1"/>
        <v>-4.59899999999999</v>
      </c>
      <c r="H31" s="110">
        <f t="shared" si="2"/>
        <v>0.932155197355513</v>
      </c>
      <c r="I31" s="55"/>
      <c r="J31" s="55"/>
      <c r="K31" s="55">
        <v>280.3</v>
      </c>
      <c r="L31" s="246">
        <f t="shared" si="3"/>
        <v>6216.64</v>
      </c>
      <c r="M31" s="55"/>
      <c r="N31" s="55"/>
      <c r="O31" s="150" t="s">
        <v>1659</v>
      </c>
    </row>
    <row r="32" spans="1:15">
      <c r="A32" s="163">
        <v>46176</v>
      </c>
      <c r="B32" s="164" t="s">
        <v>135</v>
      </c>
      <c r="C32" s="195">
        <v>0.4</v>
      </c>
      <c r="D32" s="195">
        <v>0.95</v>
      </c>
      <c r="E32" s="55">
        <v>248.659</v>
      </c>
      <c r="F32" s="10">
        <f t="shared" si="0"/>
        <v>236.5</v>
      </c>
      <c r="G32" s="10">
        <f t="shared" si="1"/>
        <v>12.159</v>
      </c>
      <c r="H32" s="110">
        <f t="shared" si="2"/>
        <v>1.25050772342847</v>
      </c>
      <c r="I32" s="55"/>
      <c r="J32" s="55"/>
      <c r="K32" s="55">
        <v>310.95</v>
      </c>
      <c r="L32" s="246">
        <f t="shared" si="3"/>
        <v>5905.69</v>
      </c>
      <c r="M32" s="55"/>
      <c r="N32" s="55"/>
      <c r="O32" s="150" t="s">
        <v>1659</v>
      </c>
    </row>
    <row r="33" spans="1:15">
      <c r="A33" s="163">
        <v>46176</v>
      </c>
      <c r="B33" s="164" t="s">
        <v>75</v>
      </c>
      <c r="C33" s="195">
        <v>0.38</v>
      </c>
      <c r="D33" s="195">
        <v>0.44</v>
      </c>
      <c r="E33" s="55">
        <v>28.479</v>
      </c>
      <c r="F33" s="10">
        <f t="shared" si="0"/>
        <v>25.8</v>
      </c>
      <c r="G33" s="10">
        <f t="shared" si="1"/>
        <v>2.679</v>
      </c>
      <c r="H33" s="110">
        <f t="shared" si="2"/>
        <v>9.43502229713122</v>
      </c>
      <c r="I33" s="55"/>
      <c r="J33" s="55"/>
      <c r="K33" s="55">
        <v>268.7</v>
      </c>
      <c r="L33" s="246">
        <f t="shared" si="3"/>
        <v>5636.99</v>
      </c>
      <c r="M33" s="55"/>
      <c r="N33" s="55"/>
      <c r="O33" s="150" t="s">
        <v>1659</v>
      </c>
    </row>
    <row r="34" spans="1:15">
      <c r="A34" s="156">
        <v>46177</v>
      </c>
      <c r="B34" s="168" t="s">
        <v>84</v>
      </c>
      <c r="C34" s="245">
        <v>0.41</v>
      </c>
      <c r="D34" s="245">
        <v>1</v>
      </c>
      <c r="E34" s="159">
        <v>277.682</v>
      </c>
      <c r="F34" s="10">
        <f t="shared" si="0"/>
        <v>253.7</v>
      </c>
      <c r="G34" s="247">
        <f t="shared" si="1"/>
        <v>23.982</v>
      </c>
      <c r="H34" s="110">
        <f t="shared" si="2"/>
        <v>0.818706289928767</v>
      </c>
      <c r="I34" s="162"/>
      <c r="J34" s="162"/>
      <c r="K34" s="166">
        <v>227.34</v>
      </c>
      <c r="L34" s="246">
        <f t="shared" si="3"/>
        <v>5409.65</v>
      </c>
      <c r="M34" s="162"/>
      <c r="N34" s="10"/>
      <c r="O34" s="150" t="s">
        <v>1659</v>
      </c>
    </row>
    <row r="35" spans="1:15">
      <c r="A35" s="163">
        <v>46177</v>
      </c>
      <c r="B35" s="164" t="s">
        <v>54</v>
      </c>
      <c r="C35" s="245">
        <v>0.38</v>
      </c>
      <c r="D35" s="245">
        <v>0.96</v>
      </c>
      <c r="E35" s="165">
        <v>245.081</v>
      </c>
      <c r="F35" s="10">
        <f t="shared" si="0"/>
        <v>249.4</v>
      </c>
      <c r="G35" s="10">
        <f t="shared" si="1"/>
        <v>-4.31899999999999</v>
      </c>
      <c r="H35" s="110">
        <f t="shared" si="2"/>
        <v>0.695688364255083</v>
      </c>
      <c r="I35" s="166"/>
      <c r="J35" s="166"/>
      <c r="K35" s="166">
        <v>170.5</v>
      </c>
      <c r="L35" s="246">
        <f t="shared" si="3"/>
        <v>5239.15</v>
      </c>
      <c r="M35" s="166"/>
      <c r="N35" s="10"/>
      <c r="O35" s="150" t="s">
        <v>1659</v>
      </c>
    </row>
    <row r="36" spans="1:15">
      <c r="A36" s="163">
        <v>46177</v>
      </c>
      <c r="B36" s="164" t="s">
        <v>72</v>
      </c>
      <c r="C36" s="245">
        <v>0.38</v>
      </c>
      <c r="D36" s="245">
        <v>0.95</v>
      </c>
      <c r="E36" s="165">
        <v>272.821</v>
      </c>
      <c r="F36" s="10">
        <f t="shared" si="0"/>
        <v>245.1</v>
      </c>
      <c r="G36" s="247">
        <f t="shared" si="1"/>
        <v>27.7210000000001</v>
      </c>
      <c r="H36" s="110">
        <f t="shared" si="2"/>
        <v>0.134300512057356</v>
      </c>
      <c r="I36" s="166"/>
      <c r="J36" s="166"/>
      <c r="K36" s="166">
        <v>36.64</v>
      </c>
      <c r="L36" s="246">
        <f t="shared" si="3"/>
        <v>5202.51</v>
      </c>
      <c r="M36" s="166"/>
      <c r="N36" s="10"/>
      <c r="O36" s="150" t="s">
        <v>1659</v>
      </c>
    </row>
    <row r="37" spans="1:15">
      <c r="A37" s="163">
        <v>46177</v>
      </c>
      <c r="B37" s="164" t="s">
        <v>81</v>
      </c>
      <c r="C37" s="245">
        <v>0.91</v>
      </c>
      <c r="D37" s="245">
        <v>0.97</v>
      </c>
      <c r="E37" s="165">
        <v>49.453</v>
      </c>
      <c r="F37" s="10">
        <f t="shared" si="0"/>
        <v>25.8</v>
      </c>
      <c r="G37" s="247">
        <f t="shared" si="1"/>
        <v>23.653</v>
      </c>
      <c r="H37" s="110">
        <f t="shared" si="2"/>
        <v>5.29654419347663</v>
      </c>
      <c r="I37" s="166"/>
      <c r="J37" s="166"/>
      <c r="K37" s="166">
        <v>261.93</v>
      </c>
      <c r="L37" s="246">
        <f t="shared" si="3"/>
        <v>4940.58</v>
      </c>
      <c r="M37" s="166"/>
      <c r="N37" s="10"/>
      <c r="O37" s="150" t="s">
        <v>1659</v>
      </c>
    </row>
    <row r="38" spans="1:15">
      <c r="A38" s="163">
        <v>46177</v>
      </c>
      <c r="B38" s="164" t="s">
        <v>81</v>
      </c>
      <c r="C38" s="245">
        <v>0.9</v>
      </c>
      <c r="D38" s="245">
        <v>0.9</v>
      </c>
      <c r="E38" s="165">
        <v>0.005</v>
      </c>
      <c r="F38" s="10">
        <f t="shared" si="0"/>
        <v>0</v>
      </c>
      <c r="G38" s="10">
        <f t="shared" si="1"/>
        <v>0.005</v>
      </c>
      <c r="H38" s="110">
        <f t="shared" si="2"/>
        <v>66506</v>
      </c>
      <c r="I38" s="166"/>
      <c r="J38" s="166"/>
      <c r="K38" s="166">
        <v>332.53</v>
      </c>
      <c r="L38" s="246">
        <f t="shared" si="3"/>
        <v>4608.05</v>
      </c>
      <c r="M38" s="166"/>
      <c r="N38" s="10"/>
      <c r="O38" s="150" t="s">
        <v>1659</v>
      </c>
    </row>
    <row r="39" spans="1:15">
      <c r="A39" s="163">
        <v>46177</v>
      </c>
      <c r="B39" s="164" t="s">
        <v>81</v>
      </c>
      <c r="C39" s="245">
        <v>0.84</v>
      </c>
      <c r="D39" s="245">
        <v>0.9</v>
      </c>
      <c r="E39" s="165">
        <v>33.24</v>
      </c>
      <c r="F39" s="10">
        <f t="shared" si="0"/>
        <v>25.8</v>
      </c>
      <c r="G39" s="10">
        <f t="shared" si="1"/>
        <v>7.43999999999998</v>
      </c>
      <c r="H39" s="110">
        <f t="shared" si="2"/>
        <v>1.35469314079422</v>
      </c>
      <c r="I39" s="166"/>
      <c r="J39" s="166"/>
      <c r="K39" s="166">
        <v>45.03</v>
      </c>
      <c r="L39" s="246">
        <f t="shared" si="3"/>
        <v>4563.02</v>
      </c>
      <c r="M39" s="166"/>
      <c r="N39" s="10"/>
      <c r="O39" s="150" t="s">
        <v>1659</v>
      </c>
    </row>
    <row r="40" spans="1:15">
      <c r="A40" s="163">
        <v>46177</v>
      </c>
      <c r="B40" s="164" t="s">
        <v>78</v>
      </c>
      <c r="C40" s="245">
        <v>0.43</v>
      </c>
      <c r="D40" s="245">
        <v>0.8</v>
      </c>
      <c r="E40" s="165">
        <v>174.832</v>
      </c>
      <c r="F40" s="10">
        <f t="shared" si="0"/>
        <v>159.1</v>
      </c>
      <c r="G40" s="10">
        <f t="shared" si="1"/>
        <v>15.732</v>
      </c>
      <c r="H40" s="110">
        <f t="shared" si="2"/>
        <v>1.38287041273909</v>
      </c>
      <c r="I40" s="166"/>
      <c r="J40" s="166"/>
      <c r="K40" s="166">
        <v>241.77</v>
      </c>
      <c r="L40" s="246">
        <f t="shared" si="3"/>
        <v>4321.25</v>
      </c>
      <c r="M40" s="166"/>
      <c r="N40" s="10"/>
      <c r="O40" s="150" t="s">
        <v>1659</v>
      </c>
    </row>
    <row r="41" spans="1:15">
      <c r="A41" s="163">
        <v>46177</v>
      </c>
      <c r="B41" s="164" t="s">
        <v>87</v>
      </c>
      <c r="C41" s="245">
        <v>0.43</v>
      </c>
      <c r="D41" s="245">
        <v>1</v>
      </c>
      <c r="E41" s="165">
        <v>268.636</v>
      </c>
      <c r="F41" s="10">
        <f t="shared" si="0"/>
        <v>245.1</v>
      </c>
      <c r="G41" s="247">
        <f t="shared" si="1"/>
        <v>23.536</v>
      </c>
      <c r="H41" s="110">
        <f t="shared" si="2"/>
        <v>0.33368573087747</v>
      </c>
      <c r="I41" s="166"/>
      <c r="J41" s="166"/>
      <c r="K41" s="166">
        <v>89.64</v>
      </c>
      <c r="L41" s="246">
        <f t="shared" si="3"/>
        <v>4231.61</v>
      </c>
      <c r="M41" s="166"/>
      <c r="N41" s="10"/>
      <c r="O41" s="150" t="s">
        <v>1659</v>
      </c>
    </row>
    <row r="42" spans="1:15">
      <c r="A42" s="163">
        <v>46177</v>
      </c>
      <c r="B42" s="164" t="s">
        <v>81</v>
      </c>
      <c r="C42" s="245">
        <v>0.74</v>
      </c>
      <c r="D42" s="245">
        <v>0.83</v>
      </c>
      <c r="E42" s="165">
        <v>45.904</v>
      </c>
      <c r="F42" s="10">
        <f t="shared" si="0"/>
        <v>38.7</v>
      </c>
      <c r="G42" s="10">
        <f t="shared" si="1"/>
        <v>7.20400000000001</v>
      </c>
      <c r="H42" s="110">
        <f t="shared" si="2"/>
        <v>3.4275880097595</v>
      </c>
      <c r="I42" s="166"/>
      <c r="J42" s="166"/>
      <c r="K42" s="166">
        <v>157.34</v>
      </c>
      <c r="L42" s="246">
        <f t="shared" si="3"/>
        <v>4074.27</v>
      </c>
      <c r="M42" s="166"/>
      <c r="N42" s="10"/>
      <c r="O42" s="150" t="s">
        <v>1659</v>
      </c>
    </row>
    <row r="43" spans="1:15">
      <c r="A43" s="163">
        <v>46177</v>
      </c>
      <c r="B43" s="164" t="s">
        <v>81</v>
      </c>
      <c r="C43" s="245">
        <v>0.52</v>
      </c>
      <c r="D43" s="245">
        <v>0.73</v>
      </c>
      <c r="E43" s="165">
        <v>99.601</v>
      </c>
      <c r="F43" s="10">
        <f t="shared" si="0"/>
        <v>90.3</v>
      </c>
      <c r="G43" s="10">
        <f t="shared" si="1"/>
        <v>9.30100000000002</v>
      </c>
      <c r="H43" s="110">
        <f t="shared" si="2"/>
        <v>0.414654471340649</v>
      </c>
      <c r="I43" s="166"/>
      <c r="J43" s="166"/>
      <c r="K43" s="166">
        <v>41.3</v>
      </c>
      <c r="L43" s="246">
        <f t="shared" si="3"/>
        <v>4032.97</v>
      </c>
      <c r="M43" s="166"/>
      <c r="N43" s="10"/>
      <c r="O43" s="150" t="s">
        <v>1659</v>
      </c>
    </row>
    <row r="44" spans="1:15">
      <c r="A44" s="163">
        <v>46177</v>
      </c>
      <c r="B44" s="164" t="s">
        <v>81</v>
      </c>
      <c r="C44" s="245">
        <v>0.41</v>
      </c>
      <c r="D44" s="245">
        <v>0.52</v>
      </c>
      <c r="E44" s="165">
        <v>50.037</v>
      </c>
      <c r="F44" s="10">
        <f t="shared" si="0"/>
        <v>47.3</v>
      </c>
      <c r="G44" s="10">
        <f t="shared" si="1"/>
        <v>2.73699999999998</v>
      </c>
      <c r="H44" s="110">
        <f t="shared" si="2"/>
        <v>4.90696884305614</v>
      </c>
      <c r="I44" s="166"/>
      <c r="J44" s="166"/>
      <c r="K44" s="166">
        <v>245.53</v>
      </c>
      <c r="L44" s="246">
        <f t="shared" si="3"/>
        <v>3787.44</v>
      </c>
      <c r="M44" s="166"/>
      <c r="N44" s="10"/>
      <c r="O44" s="150" t="s">
        <v>1659</v>
      </c>
    </row>
    <row r="45" spans="1:15">
      <c r="A45" s="163">
        <v>46177</v>
      </c>
      <c r="B45" s="164" t="s">
        <v>138</v>
      </c>
      <c r="C45" s="245">
        <v>0.08</v>
      </c>
      <c r="D45" s="245">
        <v>0.91</v>
      </c>
      <c r="E45" s="165">
        <v>369.492</v>
      </c>
      <c r="F45" s="10">
        <f t="shared" si="0"/>
        <v>356.9</v>
      </c>
      <c r="G45" s="10">
        <f t="shared" si="1"/>
        <v>12.592</v>
      </c>
      <c r="H45" s="110">
        <f t="shared" si="2"/>
        <v>0.596927673670878</v>
      </c>
      <c r="I45" s="166"/>
      <c r="J45" s="166"/>
      <c r="K45" s="166">
        <v>220.56</v>
      </c>
      <c r="L45" s="246">
        <f t="shared" si="3"/>
        <v>3566.88</v>
      </c>
      <c r="M45" s="166"/>
      <c r="N45" s="10"/>
      <c r="O45" s="150" t="s">
        <v>1659</v>
      </c>
    </row>
    <row r="46" spans="1:15">
      <c r="A46" s="163">
        <v>46177</v>
      </c>
      <c r="B46" s="164" t="s">
        <v>105</v>
      </c>
      <c r="C46" s="245">
        <v>0.37</v>
      </c>
      <c r="D46" s="245">
        <v>1</v>
      </c>
      <c r="E46" s="165">
        <v>291.592</v>
      </c>
      <c r="F46" s="10">
        <f t="shared" si="0"/>
        <v>270.9</v>
      </c>
      <c r="G46" s="247">
        <f t="shared" si="1"/>
        <v>20.692</v>
      </c>
      <c r="H46" s="110">
        <f t="shared" si="2"/>
        <v>0.102574830585201</v>
      </c>
      <c r="I46" s="166"/>
      <c r="J46" s="166"/>
      <c r="K46" s="166">
        <v>29.91</v>
      </c>
      <c r="L46" s="246">
        <f t="shared" si="3"/>
        <v>3536.97</v>
      </c>
      <c r="M46" s="166"/>
      <c r="N46" s="10"/>
      <c r="O46" s="150" t="s">
        <v>1659</v>
      </c>
    </row>
    <row r="47" spans="1:15">
      <c r="A47" s="163">
        <v>46177</v>
      </c>
      <c r="B47" s="164" t="s">
        <v>114</v>
      </c>
      <c r="C47" s="245">
        <v>0.87</v>
      </c>
      <c r="D47" s="245">
        <v>0.96</v>
      </c>
      <c r="E47" s="165">
        <v>40.723</v>
      </c>
      <c r="F47" s="10">
        <f t="shared" si="0"/>
        <v>38.7</v>
      </c>
      <c r="G47" s="10">
        <f t="shared" si="1"/>
        <v>2.02300000000001</v>
      </c>
      <c r="H47" s="110">
        <f t="shared" si="2"/>
        <v>0</v>
      </c>
      <c r="I47" s="166"/>
      <c r="J47" s="166"/>
      <c r="K47" s="166">
        <v>0</v>
      </c>
      <c r="L47" s="246">
        <f t="shared" si="3"/>
        <v>3536.97</v>
      </c>
      <c r="M47" s="166"/>
      <c r="N47" s="10"/>
      <c r="O47" s="150" t="s">
        <v>1659</v>
      </c>
    </row>
    <row r="48" spans="1:15">
      <c r="A48" s="163">
        <v>46177</v>
      </c>
      <c r="B48" s="164" t="s">
        <v>114</v>
      </c>
      <c r="C48" s="245">
        <v>0.25</v>
      </c>
      <c r="D48" s="245">
        <v>0.86</v>
      </c>
      <c r="E48" s="165">
        <v>252.606</v>
      </c>
      <c r="F48" s="10">
        <f t="shared" si="0"/>
        <v>262.3</v>
      </c>
      <c r="G48" s="10">
        <f t="shared" si="1"/>
        <v>-9.69400000000002</v>
      </c>
      <c r="H48" s="110">
        <f t="shared" si="2"/>
        <v>0.176163669904911</v>
      </c>
      <c r="I48" s="166"/>
      <c r="J48" s="166"/>
      <c r="K48" s="166">
        <v>44.5</v>
      </c>
      <c r="L48" s="246">
        <f t="shared" si="3"/>
        <v>3492.47</v>
      </c>
      <c r="M48" s="166"/>
      <c r="N48" s="10"/>
      <c r="O48" s="150" t="s">
        <v>1659</v>
      </c>
    </row>
    <row r="49" spans="1:15">
      <c r="A49" s="163">
        <v>46177</v>
      </c>
      <c r="B49" s="164" t="s">
        <v>57</v>
      </c>
      <c r="C49" s="245">
        <v>0.23</v>
      </c>
      <c r="D49" s="245">
        <v>0.69</v>
      </c>
      <c r="E49" s="165">
        <v>189.448</v>
      </c>
      <c r="F49" s="10">
        <f t="shared" si="0"/>
        <v>197.8</v>
      </c>
      <c r="G49" s="10">
        <f t="shared" si="1"/>
        <v>-8.35199999999998</v>
      </c>
      <c r="H49" s="110">
        <f t="shared" si="2"/>
        <v>1.31909547738693</v>
      </c>
      <c r="I49" s="166"/>
      <c r="J49" s="166"/>
      <c r="K49" s="166">
        <v>249.9</v>
      </c>
      <c r="L49" s="246">
        <f t="shared" si="3"/>
        <v>3242.57</v>
      </c>
      <c r="M49" s="166"/>
      <c r="N49" s="10"/>
      <c r="O49" s="150" t="s">
        <v>1659</v>
      </c>
    </row>
    <row r="50" spans="1:15">
      <c r="A50" s="163">
        <v>46178</v>
      </c>
      <c r="B50" s="179" t="s">
        <v>99</v>
      </c>
      <c r="C50" s="191">
        <v>0.32</v>
      </c>
      <c r="D50" s="191">
        <v>1</v>
      </c>
      <c r="E50" s="144">
        <v>301.531</v>
      </c>
      <c r="F50" s="10">
        <f t="shared" si="0"/>
        <v>292.4</v>
      </c>
      <c r="G50" s="10">
        <f t="shared" si="1"/>
        <v>9.13100000000003</v>
      </c>
      <c r="H50" s="110">
        <f t="shared" si="2"/>
        <v>0.774547227316594</v>
      </c>
      <c r="J50" s="144">
        <v>10000</v>
      </c>
      <c r="K50" s="144">
        <v>233.55</v>
      </c>
      <c r="L50" s="246">
        <f t="shared" si="3"/>
        <v>13009.02</v>
      </c>
      <c r="O50" s="150" t="s">
        <v>1659</v>
      </c>
    </row>
    <row r="51" spans="1:15">
      <c r="A51" s="163">
        <v>46178</v>
      </c>
      <c r="B51" s="179" t="s">
        <v>66</v>
      </c>
      <c r="C51" s="191">
        <v>0.4</v>
      </c>
      <c r="D51" s="191">
        <v>1</v>
      </c>
      <c r="E51" s="144">
        <v>277.236</v>
      </c>
      <c r="F51" s="10">
        <f t="shared" si="0"/>
        <v>258</v>
      </c>
      <c r="G51" s="10">
        <f t="shared" si="1"/>
        <v>19.236</v>
      </c>
      <c r="H51" s="110">
        <f t="shared" si="2"/>
        <v>0.632998600470357</v>
      </c>
      <c r="K51" s="144">
        <v>175.49</v>
      </c>
      <c r="L51" s="246">
        <f t="shared" si="3"/>
        <v>12833.53</v>
      </c>
      <c r="O51" s="150" t="s">
        <v>1659</v>
      </c>
    </row>
    <row r="52" spans="1:15">
      <c r="A52" s="163">
        <v>46178</v>
      </c>
      <c r="B52" s="179" t="s">
        <v>78</v>
      </c>
      <c r="C52" s="191">
        <v>0.29</v>
      </c>
      <c r="D52" s="191">
        <v>1</v>
      </c>
      <c r="E52" s="144">
        <v>330.821</v>
      </c>
      <c r="F52" s="10">
        <f t="shared" si="0"/>
        <v>305.3</v>
      </c>
      <c r="G52" s="247">
        <f t="shared" si="1"/>
        <v>25.521</v>
      </c>
      <c r="H52" s="110">
        <f t="shared" si="2"/>
        <v>0.898098971951599</v>
      </c>
      <c r="K52" s="144">
        <v>297.11</v>
      </c>
      <c r="L52" s="246">
        <f t="shared" si="3"/>
        <v>12536.42</v>
      </c>
      <c r="O52" s="150" t="s">
        <v>1659</v>
      </c>
    </row>
    <row r="53" spans="1:15">
      <c r="A53" s="163">
        <v>46178</v>
      </c>
      <c r="B53" s="179" t="s">
        <v>72</v>
      </c>
      <c r="C53" s="191">
        <v>0.39</v>
      </c>
      <c r="D53" s="191">
        <v>0.98</v>
      </c>
      <c r="E53" s="144">
        <v>281.981</v>
      </c>
      <c r="F53" s="10">
        <f t="shared" si="0"/>
        <v>253.7</v>
      </c>
      <c r="G53" s="247">
        <f t="shared" si="1"/>
        <v>28.281</v>
      </c>
      <c r="H53" s="110">
        <f t="shared" si="2"/>
        <v>0.993932215291101</v>
      </c>
      <c r="K53" s="144">
        <v>280.27</v>
      </c>
      <c r="L53" s="246">
        <f t="shared" si="3"/>
        <v>12256.15</v>
      </c>
      <c r="O53" s="150" t="s">
        <v>1659</v>
      </c>
    </row>
    <row r="54" spans="1:15">
      <c r="A54" s="163">
        <v>46178</v>
      </c>
      <c r="B54" s="179" t="s">
        <v>84</v>
      </c>
      <c r="C54" s="191">
        <v>0.49</v>
      </c>
      <c r="D54" s="191">
        <v>0.92</v>
      </c>
      <c r="E54" s="144">
        <v>200.043</v>
      </c>
      <c r="F54" s="10">
        <f t="shared" si="0"/>
        <v>184.9</v>
      </c>
      <c r="G54" s="10">
        <f t="shared" si="1"/>
        <v>15.143</v>
      </c>
      <c r="H54" s="110">
        <f t="shared" si="2"/>
        <v>1.48653039596487</v>
      </c>
      <c r="K54" s="144">
        <v>297.37</v>
      </c>
      <c r="L54" s="246">
        <f t="shared" si="3"/>
        <v>11958.78</v>
      </c>
      <c r="O54" s="150" t="s">
        <v>1659</v>
      </c>
    </row>
    <row r="55" spans="1:15">
      <c r="A55" s="163">
        <v>46178</v>
      </c>
      <c r="B55" s="179" t="s">
        <v>51</v>
      </c>
      <c r="C55" s="191">
        <v>0.21</v>
      </c>
      <c r="D55" s="191">
        <v>0.99</v>
      </c>
      <c r="E55" s="144">
        <v>330.414</v>
      </c>
      <c r="F55" s="10">
        <f t="shared" si="0"/>
        <v>335.4</v>
      </c>
      <c r="G55" s="10">
        <f t="shared" si="1"/>
        <v>-4.98599999999999</v>
      </c>
      <c r="H55" s="110">
        <f t="shared" si="2"/>
        <v>0.665226049743655</v>
      </c>
      <c r="K55" s="144">
        <v>219.8</v>
      </c>
      <c r="L55" s="246">
        <f t="shared" si="3"/>
        <v>11738.98</v>
      </c>
      <c r="O55" s="150" t="s">
        <v>1659</v>
      </c>
    </row>
    <row r="56" spans="1:15">
      <c r="A56" s="163">
        <v>46178</v>
      </c>
      <c r="B56" s="179" t="s">
        <v>96</v>
      </c>
      <c r="C56" s="191">
        <v>0.49</v>
      </c>
      <c r="D56" s="191">
        <v>1</v>
      </c>
      <c r="E56" s="144">
        <v>244.228</v>
      </c>
      <c r="F56" s="10">
        <f t="shared" si="0"/>
        <v>219.3</v>
      </c>
      <c r="G56" s="247">
        <f t="shared" si="1"/>
        <v>24.928</v>
      </c>
      <c r="H56" s="110">
        <f t="shared" si="2"/>
        <v>0.73713906677367</v>
      </c>
      <c r="K56" s="144">
        <v>180.03</v>
      </c>
      <c r="L56" s="246">
        <f t="shared" si="3"/>
        <v>11558.95</v>
      </c>
      <c r="O56" s="150" t="s">
        <v>1659</v>
      </c>
    </row>
    <row r="57" spans="1:15">
      <c r="A57" s="163">
        <v>46178</v>
      </c>
      <c r="B57" s="179" t="s">
        <v>81</v>
      </c>
      <c r="C57" s="191">
        <v>0.31</v>
      </c>
      <c r="D57" s="191">
        <v>0.98</v>
      </c>
      <c r="E57" s="144">
        <v>311.423</v>
      </c>
      <c r="F57" s="10">
        <f t="shared" si="0"/>
        <v>288.1</v>
      </c>
      <c r="G57" s="247">
        <f t="shared" si="1"/>
        <v>23.323</v>
      </c>
      <c r="H57" s="110">
        <f t="shared" si="2"/>
        <v>0.814872376157188</v>
      </c>
      <c r="K57" s="144">
        <v>253.77</v>
      </c>
      <c r="L57" s="246">
        <f t="shared" si="3"/>
        <v>11305.18</v>
      </c>
      <c r="O57" s="150" t="s">
        <v>1659</v>
      </c>
    </row>
    <row r="58" spans="1:15">
      <c r="A58" s="163">
        <v>46178</v>
      </c>
      <c r="B58" s="179" t="s">
        <v>60</v>
      </c>
      <c r="C58" s="191">
        <v>0.22</v>
      </c>
      <c r="D58" s="191">
        <v>1</v>
      </c>
      <c r="E58" s="144">
        <v>330.135</v>
      </c>
      <c r="F58" s="10">
        <f t="shared" si="0"/>
        <v>335.4</v>
      </c>
      <c r="G58" s="10">
        <f t="shared" si="1"/>
        <v>-5.26499999999999</v>
      </c>
      <c r="H58" s="110">
        <f t="shared" si="2"/>
        <v>0.901843185363563</v>
      </c>
      <c r="K58" s="144">
        <v>297.73</v>
      </c>
      <c r="L58" s="246">
        <f t="shared" si="3"/>
        <v>11007.45</v>
      </c>
      <c r="O58" s="150" t="s">
        <v>1659</v>
      </c>
    </row>
    <row r="59" spans="1:15">
      <c r="A59" s="163">
        <v>46178</v>
      </c>
      <c r="B59" s="179" t="s">
        <v>111</v>
      </c>
      <c r="C59" s="191">
        <v>0.24</v>
      </c>
      <c r="D59" s="191">
        <v>0.74</v>
      </c>
      <c r="E59" s="144">
        <v>205.766</v>
      </c>
      <c r="F59" s="10">
        <f t="shared" si="0"/>
        <v>215</v>
      </c>
      <c r="G59" s="10">
        <f t="shared" si="1"/>
        <v>-9.23400000000001</v>
      </c>
      <c r="H59" s="110">
        <f t="shared" si="2"/>
        <v>1.31882818347054</v>
      </c>
      <c r="K59" s="144">
        <v>271.37</v>
      </c>
      <c r="L59" s="246">
        <f t="shared" si="3"/>
        <v>10736.08</v>
      </c>
      <c r="O59" s="150" t="s">
        <v>1659</v>
      </c>
    </row>
    <row r="60" spans="1:15">
      <c r="A60" s="163">
        <v>46178</v>
      </c>
      <c r="B60" s="179" t="s">
        <v>57</v>
      </c>
      <c r="C60" s="191">
        <v>0.32</v>
      </c>
      <c r="D60" s="191">
        <v>0.95</v>
      </c>
      <c r="E60" s="144">
        <v>259.513</v>
      </c>
      <c r="F60" s="10">
        <f t="shared" si="0"/>
        <v>270.9</v>
      </c>
      <c r="G60" s="10">
        <f t="shared" si="1"/>
        <v>-11.387</v>
      </c>
      <c r="H60" s="110">
        <f t="shared" si="2"/>
        <v>0.961454724811474</v>
      </c>
      <c r="K60" s="144">
        <v>249.51</v>
      </c>
      <c r="L60" s="246">
        <f t="shared" si="3"/>
        <v>10486.57</v>
      </c>
      <c r="O60" s="150" t="s">
        <v>1659</v>
      </c>
    </row>
    <row r="61" spans="1:15">
      <c r="A61" s="163">
        <v>46180</v>
      </c>
      <c r="B61" s="179" t="s">
        <v>138</v>
      </c>
      <c r="C61" s="255">
        <v>0.55</v>
      </c>
      <c r="D61" s="255">
        <v>0.99</v>
      </c>
      <c r="E61" s="144">
        <v>196.201</v>
      </c>
      <c r="F61" s="10">
        <f t="shared" si="0"/>
        <v>189.2</v>
      </c>
      <c r="G61" s="10">
        <f t="shared" si="1"/>
        <v>7.001</v>
      </c>
      <c r="H61" s="110">
        <f t="shared" si="2"/>
        <v>0.966559803466853</v>
      </c>
      <c r="K61" s="144">
        <v>189.64</v>
      </c>
      <c r="L61" s="246">
        <f t="shared" si="3"/>
        <v>10296.93</v>
      </c>
      <c r="O61" s="150" t="s">
        <v>1659</v>
      </c>
    </row>
    <row r="62" spans="1:15">
      <c r="A62" s="163">
        <v>46180</v>
      </c>
      <c r="B62" s="179" t="s">
        <v>130</v>
      </c>
      <c r="C62" s="255">
        <v>0.58</v>
      </c>
      <c r="D62" s="255">
        <v>0.99</v>
      </c>
      <c r="E62" s="144">
        <v>172.363</v>
      </c>
      <c r="F62" s="10">
        <f t="shared" si="0"/>
        <v>176.3</v>
      </c>
      <c r="G62" s="10">
        <f t="shared" si="1"/>
        <v>-3.93700000000001</v>
      </c>
      <c r="H62" s="110">
        <f t="shared" si="2"/>
        <v>1.42263710889228</v>
      </c>
      <c r="K62" s="144">
        <v>245.21</v>
      </c>
      <c r="L62" s="246">
        <f t="shared" si="3"/>
        <v>10051.72</v>
      </c>
      <c r="O62" s="150" t="s">
        <v>1659</v>
      </c>
    </row>
    <row r="63" spans="1:15">
      <c r="A63" s="163">
        <v>46180</v>
      </c>
      <c r="B63" s="179" t="s">
        <v>69</v>
      </c>
      <c r="C63" s="255">
        <v>0.47</v>
      </c>
      <c r="D63" s="255">
        <v>0.98</v>
      </c>
      <c r="E63" s="144">
        <v>241.847</v>
      </c>
      <c r="F63" s="10">
        <f t="shared" si="0"/>
        <v>219.3</v>
      </c>
      <c r="G63" s="247">
        <f t="shared" si="1"/>
        <v>22.547</v>
      </c>
      <c r="H63" s="110">
        <f t="shared" si="2"/>
        <v>0.748283005371164</v>
      </c>
      <c r="K63" s="144">
        <v>180.97</v>
      </c>
      <c r="L63" s="246">
        <f t="shared" si="3"/>
        <v>9870.75</v>
      </c>
      <c r="O63" s="150" t="s">
        <v>1659</v>
      </c>
    </row>
    <row r="64" spans="1:15">
      <c r="A64" s="163">
        <v>46180</v>
      </c>
      <c r="B64" s="179" t="s">
        <v>135</v>
      </c>
      <c r="C64" s="255">
        <v>0.27</v>
      </c>
      <c r="D64" s="255">
        <v>0.76</v>
      </c>
      <c r="E64" s="144">
        <v>216.855</v>
      </c>
      <c r="F64" s="10">
        <f t="shared" si="0"/>
        <v>210.7</v>
      </c>
      <c r="G64" s="10">
        <f t="shared" si="1"/>
        <v>6.155</v>
      </c>
      <c r="H64" s="110">
        <f t="shared" si="2"/>
        <v>0.8525973576814</v>
      </c>
      <c r="K64" s="144">
        <v>184.89</v>
      </c>
      <c r="L64" s="246">
        <f t="shared" si="3"/>
        <v>9685.86</v>
      </c>
      <c r="O64" s="150" t="s">
        <v>1659</v>
      </c>
    </row>
    <row r="65" spans="1:15">
      <c r="A65" s="163">
        <v>46180</v>
      </c>
      <c r="B65" s="179" t="s">
        <v>84</v>
      </c>
      <c r="C65" s="255">
        <v>0.38</v>
      </c>
      <c r="D65" s="255">
        <v>1</v>
      </c>
      <c r="E65" s="144">
        <v>286.697</v>
      </c>
      <c r="F65" s="10">
        <f t="shared" si="0"/>
        <v>266.6</v>
      </c>
      <c r="G65" s="247">
        <f t="shared" si="1"/>
        <v>20.097</v>
      </c>
      <c r="H65" s="110">
        <f t="shared" si="2"/>
        <v>0.868931310756653</v>
      </c>
      <c r="K65" s="144">
        <v>249.12</v>
      </c>
      <c r="L65" s="246">
        <f t="shared" si="3"/>
        <v>9436.74</v>
      </c>
      <c r="O65" s="150" t="s">
        <v>1659</v>
      </c>
    </row>
    <row r="66" spans="1:15">
      <c r="A66" s="163">
        <v>46180</v>
      </c>
      <c r="B66" s="179" t="s">
        <v>102</v>
      </c>
      <c r="C66" s="255">
        <v>0.34</v>
      </c>
      <c r="D66" s="255">
        <v>0.91</v>
      </c>
      <c r="E66" s="144">
        <v>260.611</v>
      </c>
      <c r="F66" s="10">
        <f t="shared" si="0"/>
        <v>245.1</v>
      </c>
      <c r="G66" s="10">
        <f t="shared" si="1"/>
        <v>15.511</v>
      </c>
      <c r="H66" s="110">
        <f t="shared" si="2"/>
        <v>0.976781486583452</v>
      </c>
      <c r="K66" s="144">
        <v>254.56</v>
      </c>
      <c r="L66" s="246">
        <f t="shared" si="3"/>
        <v>9182.18</v>
      </c>
      <c r="O66" s="150" t="s">
        <v>1659</v>
      </c>
    </row>
    <row r="67" spans="1:15">
      <c r="A67" s="163">
        <v>46180</v>
      </c>
      <c r="B67" s="179" t="s">
        <v>111</v>
      </c>
      <c r="C67" s="255">
        <v>0.22</v>
      </c>
      <c r="D67" s="255">
        <v>0.93</v>
      </c>
      <c r="E67" s="144">
        <v>290.157</v>
      </c>
      <c r="F67" s="10">
        <f t="shared" ref="F67:F130" si="5">(D67-C67)*430</f>
        <v>305.3</v>
      </c>
      <c r="G67" s="10">
        <f t="shared" ref="G67:G130" si="6">E67-F67</f>
        <v>-15.143</v>
      </c>
      <c r="H67" s="110">
        <f t="shared" ref="H67:H130" si="7">K67/E67</f>
        <v>0.962685718421406</v>
      </c>
      <c r="K67" s="144">
        <v>279.33</v>
      </c>
      <c r="L67" s="246">
        <f t="shared" ref="L67:L130" si="8">L66+J67-K67</f>
        <v>8902.85</v>
      </c>
      <c r="O67" s="150" t="s">
        <v>1659</v>
      </c>
    </row>
    <row r="68" spans="1:15">
      <c r="A68" s="163">
        <v>46180</v>
      </c>
      <c r="B68" s="179" t="s">
        <v>57</v>
      </c>
      <c r="C68" s="255">
        <v>0.22</v>
      </c>
      <c r="D68" s="255">
        <v>0.67</v>
      </c>
      <c r="E68" s="144">
        <v>184.417</v>
      </c>
      <c r="F68" s="10">
        <f t="shared" si="5"/>
        <v>193.5</v>
      </c>
      <c r="G68" s="10">
        <f t="shared" si="6"/>
        <v>-9.083</v>
      </c>
      <c r="H68" s="110">
        <f t="shared" si="7"/>
        <v>1.22906239663372</v>
      </c>
      <c r="K68" s="144">
        <v>226.66</v>
      </c>
      <c r="L68" s="246">
        <f t="shared" si="8"/>
        <v>8676.19</v>
      </c>
      <c r="O68" s="150" t="s">
        <v>1659</v>
      </c>
    </row>
    <row r="69" spans="1:15">
      <c r="A69" s="163">
        <v>46180</v>
      </c>
      <c r="B69" s="179" t="s">
        <v>108</v>
      </c>
      <c r="C69" s="255">
        <v>0.34</v>
      </c>
      <c r="D69" s="255">
        <v>0.99</v>
      </c>
      <c r="E69" s="144">
        <v>316.001</v>
      </c>
      <c r="F69" s="10">
        <f t="shared" si="5"/>
        <v>279.5</v>
      </c>
      <c r="G69" s="247">
        <f t="shared" si="6"/>
        <v>36.501</v>
      </c>
      <c r="H69" s="110">
        <f t="shared" si="7"/>
        <v>0.449365666564346</v>
      </c>
      <c r="K69" s="144">
        <v>142</v>
      </c>
      <c r="L69" s="246">
        <f t="shared" si="8"/>
        <v>8534.19</v>
      </c>
      <c r="O69" s="150" t="s">
        <v>1659</v>
      </c>
    </row>
    <row r="70" spans="1:15">
      <c r="A70" s="163">
        <v>46180</v>
      </c>
      <c r="B70" s="179" t="s">
        <v>105</v>
      </c>
      <c r="C70" s="255">
        <v>0.39</v>
      </c>
      <c r="D70" s="255">
        <v>1</v>
      </c>
      <c r="E70" s="144">
        <v>282.855</v>
      </c>
      <c r="F70" s="10">
        <f t="shared" si="5"/>
        <v>262.3</v>
      </c>
      <c r="G70" s="247">
        <f t="shared" si="6"/>
        <v>20.555</v>
      </c>
      <c r="H70" s="110">
        <f t="shared" si="7"/>
        <v>0.720934754556221</v>
      </c>
      <c r="K70" s="144">
        <v>203.92</v>
      </c>
      <c r="L70" s="246">
        <f t="shared" si="8"/>
        <v>8330.27</v>
      </c>
      <c r="O70" s="150" t="s">
        <v>1659</v>
      </c>
    </row>
    <row r="71" spans="1:15">
      <c r="A71" s="163">
        <v>46179</v>
      </c>
      <c r="B71" s="179" t="s">
        <v>114</v>
      </c>
      <c r="C71" s="255">
        <v>0.23</v>
      </c>
      <c r="D71" s="255">
        <v>0.99</v>
      </c>
      <c r="E71" s="144">
        <v>322.266</v>
      </c>
      <c r="F71" s="10">
        <f t="shared" si="5"/>
        <v>326.8</v>
      </c>
      <c r="G71" s="10">
        <f t="shared" si="6"/>
        <v>-4.53399999999999</v>
      </c>
      <c r="H71" s="110">
        <f t="shared" si="7"/>
        <v>0.800642947130631</v>
      </c>
      <c r="K71" s="144">
        <v>258.02</v>
      </c>
      <c r="L71" s="246">
        <f t="shared" si="8"/>
        <v>8072.25</v>
      </c>
      <c r="O71" s="150" t="s">
        <v>1659</v>
      </c>
    </row>
    <row r="72" spans="1:15">
      <c r="A72" s="163">
        <v>46179</v>
      </c>
      <c r="B72" s="179" t="s">
        <v>60</v>
      </c>
      <c r="C72" s="255">
        <v>0.5</v>
      </c>
      <c r="D72" s="255">
        <v>1</v>
      </c>
      <c r="E72" s="144">
        <v>205.438</v>
      </c>
      <c r="F72" s="10">
        <f t="shared" si="5"/>
        <v>215</v>
      </c>
      <c r="G72" s="10">
        <f t="shared" si="6"/>
        <v>-9.56200000000001</v>
      </c>
      <c r="H72" s="110">
        <f t="shared" si="7"/>
        <v>0.949970307343335</v>
      </c>
      <c r="K72" s="144">
        <v>195.16</v>
      </c>
      <c r="L72" s="246">
        <f t="shared" si="8"/>
        <v>7877.09</v>
      </c>
      <c r="O72" s="150" t="s">
        <v>1659</v>
      </c>
    </row>
    <row r="73" spans="1:15">
      <c r="A73" s="163">
        <v>46179</v>
      </c>
      <c r="B73" s="179" t="s">
        <v>166</v>
      </c>
      <c r="C73" s="255">
        <v>0.39</v>
      </c>
      <c r="D73" s="255">
        <v>0.84</v>
      </c>
      <c r="E73" s="144">
        <v>201.083</v>
      </c>
      <c r="F73" s="10">
        <f t="shared" si="5"/>
        <v>193.5</v>
      </c>
      <c r="G73" s="10">
        <f t="shared" si="6"/>
        <v>7.583</v>
      </c>
      <c r="H73" s="110">
        <f t="shared" si="7"/>
        <v>1.08238886429982</v>
      </c>
      <c r="K73" s="144">
        <v>217.65</v>
      </c>
      <c r="L73" s="246">
        <f t="shared" si="8"/>
        <v>7659.44</v>
      </c>
      <c r="O73" s="150" t="s">
        <v>1659</v>
      </c>
    </row>
    <row r="74" spans="1:15">
      <c r="A74" s="163">
        <v>46179</v>
      </c>
      <c r="B74" s="179" t="s">
        <v>81</v>
      </c>
      <c r="C74" s="255">
        <v>0.4</v>
      </c>
      <c r="D74" s="255">
        <v>0.98</v>
      </c>
      <c r="E74" s="144">
        <v>272.464</v>
      </c>
      <c r="F74" s="10">
        <f t="shared" si="5"/>
        <v>249.4</v>
      </c>
      <c r="G74" s="247">
        <f t="shared" si="6"/>
        <v>23.064</v>
      </c>
      <c r="H74" s="110">
        <f t="shared" si="7"/>
        <v>0.569286217628751</v>
      </c>
      <c r="K74" s="144">
        <v>155.11</v>
      </c>
      <c r="L74" s="246">
        <f t="shared" si="8"/>
        <v>7504.33</v>
      </c>
      <c r="O74" s="150" t="s">
        <v>1659</v>
      </c>
    </row>
    <row r="75" spans="1:15">
      <c r="A75" s="163">
        <v>46179</v>
      </c>
      <c r="B75" s="179" t="s">
        <v>166</v>
      </c>
      <c r="C75" s="255">
        <v>0.31</v>
      </c>
      <c r="D75" s="255">
        <v>1</v>
      </c>
      <c r="E75" s="144">
        <v>305.882</v>
      </c>
      <c r="F75" s="10">
        <f t="shared" si="5"/>
        <v>296.7</v>
      </c>
      <c r="G75" s="10">
        <f t="shared" si="6"/>
        <v>9.18200000000002</v>
      </c>
      <c r="H75" s="110">
        <f t="shared" si="7"/>
        <v>0.577281435324733</v>
      </c>
      <c r="K75" s="144">
        <v>176.58</v>
      </c>
      <c r="L75" s="246">
        <f t="shared" si="8"/>
        <v>7327.75</v>
      </c>
      <c r="O75" s="150" t="s">
        <v>1659</v>
      </c>
    </row>
    <row r="76" spans="1:15">
      <c r="A76" s="163">
        <v>46181</v>
      </c>
      <c r="B76" s="179" t="s">
        <v>114</v>
      </c>
      <c r="C76" s="191">
        <v>0.56</v>
      </c>
      <c r="D76" s="191">
        <v>1</v>
      </c>
      <c r="E76" s="144">
        <v>187.721</v>
      </c>
      <c r="F76" s="10">
        <f t="shared" si="5"/>
        <v>189.2</v>
      </c>
      <c r="G76" s="10">
        <f t="shared" si="6"/>
        <v>-1.47899999999998</v>
      </c>
      <c r="H76" s="110">
        <f t="shared" si="7"/>
        <v>0.914388906941685</v>
      </c>
      <c r="K76" s="144">
        <v>171.65</v>
      </c>
      <c r="L76" s="246">
        <f t="shared" si="8"/>
        <v>7156.1</v>
      </c>
      <c r="O76" s="150" t="s">
        <v>1659</v>
      </c>
    </row>
    <row r="77" spans="1:15">
      <c r="A77" s="163">
        <v>46181</v>
      </c>
      <c r="B77" s="179" t="s">
        <v>114</v>
      </c>
      <c r="C77" s="191">
        <v>0.29</v>
      </c>
      <c r="D77" s="191">
        <v>0.55</v>
      </c>
      <c r="E77" s="144">
        <v>108.966</v>
      </c>
      <c r="F77" s="10">
        <f t="shared" si="5"/>
        <v>111.8</v>
      </c>
      <c r="G77" s="10">
        <f t="shared" si="6"/>
        <v>-2.834</v>
      </c>
      <c r="H77" s="110">
        <f t="shared" si="7"/>
        <v>2.40478681423563</v>
      </c>
      <c r="K77" s="144">
        <v>262.04</v>
      </c>
      <c r="L77" s="246">
        <f t="shared" si="8"/>
        <v>6894.06</v>
      </c>
      <c r="O77" s="150" t="s">
        <v>1659</v>
      </c>
    </row>
    <row r="78" spans="1:15">
      <c r="A78" s="163">
        <v>46181</v>
      </c>
      <c r="B78" s="179" t="s">
        <v>154</v>
      </c>
      <c r="C78" s="191">
        <v>0.25</v>
      </c>
      <c r="D78" s="191">
        <v>0.93</v>
      </c>
      <c r="E78" s="144">
        <v>302.552</v>
      </c>
      <c r="F78" s="10">
        <f t="shared" si="5"/>
        <v>292.4</v>
      </c>
      <c r="G78" s="10">
        <f t="shared" si="6"/>
        <v>10.152</v>
      </c>
      <c r="H78" s="110">
        <f t="shared" si="7"/>
        <v>0.890359343187287</v>
      </c>
      <c r="K78" s="144">
        <v>269.38</v>
      </c>
      <c r="L78" s="246">
        <f t="shared" si="8"/>
        <v>6624.68</v>
      </c>
      <c r="O78" s="150" t="s">
        <v>1659</v>
      </c>
    </row>
    <row r="79" spans="1:15">
      <c r="A79" s="163">
        <v>46181</v>
      </c>
      <c r="B79" s="179" t="s">
        <v>338</v>
      </c>
      <c r="C79" s="191">
        <v>0.24</v>
      </c>
      <c r="D79" s="191">
        <v>0.99</v>
      </c>
      <c r="E79" s="144">
        <v>335.598</v>
      </c>
      <c r="F79" s="10">
        <f t="shared" si="5"/>
        <v>322.5</v>
      </c>
      <c r="G79" s="10">
        <f t="shared" si="6"/>
        <v>13.098</v>
      </c>
      <c r="H79" s="110">
        <f t="shared" si="7"/>
        <v>0.772442028855953</v>
      </c>
      <c r="K79" s="144">
        <v>259.23</v>
      </c>
      <c r="L79" s="246">
        <f t="shared" si="8"/>
        <v>6365.45</v>
      </c>
      <c r="O79" s="150" t="s">
        <v>1659</v>
      </c>
    </row>
    <row r="80" spans="1:15">
      <c r="A80" s="163">
        <v>46181</v>
      </c>
      <c r="B80" s="179" t="s">
        <v>78</v>
      </c>
      <c r="C80" s="191">
        <v>0.29</v>
      </c>
      <c r="D80" s="191">
        <v>0.98</v>
      </c>
      <c r="E80" s="144">
        <v>327.727</v>
      </c>
      <c r="F80" s="10">
        <f t="shared" si="5"/>
        <v>296.7</v>
      </c>
      <c r="G80" s="247">
        <f t="shared" si="6"/>
        <v>31.027</v>
      </c>
      <c r="H80" s="110">
        <f t="shared" si="7"/>
        <v>0.908469549350527</v>
      </c>
      <c r="K80" s="144">
        <v>297.73</v>
      </c>
      <c r="L80" s="246">
        <f t="shared" si="8"/>
        <v>6067.72</v>
      </c>
      <c r="O80" s="150" t="s">
        <v>1659</v>
      </c>
    </row>
    <row r="81" spans="1:15">
      <c r="A81" s="163">
        <v>46181</v>
      </c>
      <c r="B81" s="179" t="s">
        <v>160</v>
      </c>
      <c r="C81" s="191">
        <v>0.27</v>
      </c>
      <c r="D81" s="191">
        <v>0.99</v>
      </c>
      <c r="E81" s="144">
        <v>323.114</v>
      </c>
      <c r="F81" s="10">
        <f t="shared" si="5"/>
        <v>309.6</v>
      </c>
      <c r="G81" s="10">
        <f t="shared" si="6"/>
        <v>13.514</v>
      </c>
      <c r="H81" s="110">
        <f t="shared" si="7"/>
        <v>0.993302673359867</v>
      </c>
      <c r="K81" s="144">
        <v>320.95</v>
      </c>
      <c r="L81" s="246">
        <f t="shared" si="8"/>
        <v>5746.77</v>
      </c>
      <c r="O81" s="150" t="s">
        <v>1659</v>
      </c>
    </row>
    <row r="82" spans="1:15">
      <c r="A82" s="163">
        <v>46181</v>
      </c>
      <c r="B82" s="179" t="s">
        <v>163</v>
      </c>
      <c r="C82" s="191">
        <v>0.27</v>
      </c>
      <c r="D82" s="191">
        <v>1</v>
      </c>
      <c r="E82" s="144">
        <v>323.873</v>
      </c>
      <c r="F82" s="10">
        <f t="shared" si="5"/>
        <v>313.9</v>
      </c>
      <c r="G82" s="10">
        <f t="shared" si="6"/>
        <v>9.97300000000001</v>
      </c>
      <c r="H82" s="110">
        <f t="shared" si="7"/>
        <v>0.698483664893338</v>
      </c>
      <c r="K82" s="144">
        <v>226.22</v>
      </c>
      <c r="L82" s="246">
        <f t="shared" si="8"/>
        <v>5520.55</v>
      </c>
      <c r="O82" s="150" t="s">
        <v>1659</v>
      </c>
    </row>
    <row r="83" spans="1:15">
      <c r="A83" s="163">
        <v>46181</v>
      </c>
      <c r="B83" s="179" t="s">
        <v>154</v>
      </c>
      <c r="C83" s="191">
        <v>0.24</v>
      </c>
      <c r="D83" s="191">
        <v>0.24</v>
      </c>
      <c r="E83" s="144">
        <v>1.297</v>
      </c>
      <c r="F83" s="10">
        <f t="shared" si="5"/>
        <v>0</v>
      </c>
      <c r="G83" s="10">
        <f t="shared" si="6"/>
        <v>1.297</v>
      </c>
      <c r="H83" s="110">
        <f t="shared" si="7"/>
        <v>215.867386276022</v>
      </c>
      <c r="K83" s="144">
        <v>279.98</v>
      </c>
      <c r="L83" s="246">
        <f t="shared" si="8"/>
        <v>5240.57</v>
      </c>
      <c r="O83" s="150" t="s">
        <v>1659</v>
      </c>
    </row>
    <row r="84" spans="1:15">
      <c r="A84" s="163">
        <v>46181</v>
      </c>
      <c r="B84" s="179" t="s">
        <v>135</v>
      </c>
      <c r="C84" s="191">
        <v>0.55</v>
      </c>
      <c r="D84" s="191">
        <v>1</v>
      </c>
      <c r="E84" s="144">
        <v>196.37</v>
      </c>
      <c r="F84" s="10">
        <f t="shared" si="5"/>
        <v>193.5</v>
      </c>
      <c r="G84" s="10">
        <f t="shared" si="6"/>
        <v>2.87</v>
      </c>
      <c r="H84" s="110">
        <f t="shared" si="7"/>
        <v>1.24922340479707</v>
      </c>
      <c r="K84" s="144">
        <v>245.31</v>
      </c>
      <c r="L84" s="246">
        <f t="shared" si="8"/>
        <v>4995.26</v>
      </c>
      <c r="O84" s="150" t="s">
        <v>1659</v>
      </c>
    </row>
    <row r="85" spans="1:15">
      <c r="A85" s="163">
        <v>46181</v>
      </c>
      <c r="B85" s="179" t="s">
        <v>51</v>
      </c>
      <c r="C85" s="191">
        <v>0.25</v>
      </c>
      <c r="D85" s="191">
        <v>0.99</v>
      </c>
      <c r="E85" s="144">
        <v>308.363</v>
      </c>
      <c r="F85" s="10">
        <f t="shared" si="5"/>
        <v>318.2</v>
      </c>
      <c r="G85" s="10">
        <f t="shared" si="6"/>
        <v>-9.83699999999999</v>
      </c>
      <c r="H85" s="110">
        <f t="shared" si="7"/>
        <v>0.870046017194021</v>
      </c>
      <c r="K85" s="144">
        <v>268.29</v>
      </c>
      <c r="L85" s="246">
        <f t="shared" si="8"/>
        <v>4726.97</v>
      </c>
      <c r="O85" s="150" t="s">
        <v>1659</v>
      </c>
    </row>
    <row r="86" spans="1:15">
      <c r="A86" s="163">
        <v>46181</v>
      </c>
      <c r="B86" s="179" t="s">
        <v>166</v>
      </c>
      <c r="C86" s="191">
        <v>0.23</v>
      </c>
      <c r="D86" s="191">
        <v>0.99</v>
      </c>
      <c r="E86" s="144">
        <v>341.472</v>
      </c>
      <c r="F86" s="10">
        <f t="shared" si="5"/>
        <v>326.8</v>
      </c>
      <c r="G86" s="10">
        <f t="shared" si="6"/>
        <v>14.672</v>
      </c>
      <c r="H86" s="110">
        <f t="shared" si="7"/>
        <v>0.899985943210571</v>
      </c>
      <c r="K86" s="144">
        <v>307.32</v>
      </c>
      <c r="L86" s="246">
        <f t="shared" si="8"/>
        <v>4419.65</v>
      </c>
      <c r="O86" s="150" t="s">
        <v>1659</v>
      </c>
    </row>
    <row r="87" spans="1:15">
      <c r="A87" s="163">
        <v>46181</v>
      </c>
      <c r="B87" s="179" t="s">
        <v>93</v>
      </c>
      <c r="C87" s="191">
        <v>0.33</v>
      </c>
      <c r="D87" s="191">
        <v>0.98</v>
      </c>
      <c r="E87" s="144">
        <v>298.108</v>
      </c>
      <c r="F87" s="10">
        <f t="shared" si="5"/>
        <v>279.5</v>
      </c>
      <c r="G87" s="10">
        <f t="shared" si="6"/>
        <v>18.608</v>
      </c>
      <c r="H87" s="110">
        <f t="shared" si="7"/>
        <v>0.93090423604868</v>
      </c>
      <c r="K87" s="144">
        <v>277.51</v>
      </c>
      <c r="L87" s="246">
        <f t="shared" si="8"/>
        <v>4142.14</v>
      </c>
      <c r="O87" s="150" t="s">
        <v>1659</v>
      </c>
    </row>
    <row r="88" spans="1:15">
      <c r="A88" s="163">
        <v>46181</v>
      </c>
      <c r="B88" s="179" t="s">
        <v>57</v>
      </c>
      <c r="C88" s="191">
        <v>0.31</v>
      </c>
      <c r="D88" s="191">
        <v>0.97</v>
      </c>
      <c r="E88" s="144">
        <v>272.583</v>
      </c>
      <c r="F88" s="10">
        <f t="shared" si="5"/>
        <v>283.8</v>
      </c>
      <c r="G88" s="10">
        <f t="shared" si="6"/>
        <v>-11.217</v>
      </c>
      <c r="H88" s="110">
        <f t="shared" si="7"/>
        <v>0.648316292652146</v>
      </c>
      <c r="K88" s="144">
        <v>176.72</v>
      </c>
      <c r="L88" s="246">
        <f t="shared" si="8"/>
        <v>3965.42</v>
      </c>
      <c r="O88" s="150" t="s">
        <v>1659</v>
      </c>
    </row>
    <row r="89" spans="1:15">
      <c r="A89" s="163">
        <v>46181</v>
      </c>
      <c r="B89" s="179" t="s">
        <v>144</v>
      </c>
      <c r="C89" s="191">
        <v>0.19</v>
      </c>
      <c r="D89" s="191">
        <v>1</v>
      </c>
      <c r="E89" s="144">
        <v>357.475</v>
      </c>
      <c r="F89" s="10">
        <f t="shared" si="5"/>
        <v>348.3</v>
      </c>
      <c r="G89" s="10">
        <f t="shared" si="6"/>
        <v>9.17500000000001</v>
      </c>
      <c r="H89" s="110">
        <f t="shared" si="7"/>
        <v>0.815385691307084</v>
      </c>
      <c r="K89" s="144">
        <v>291.48</v>
      </c>
      <c r="L89" s="246">
        <f t="shared" si="8"/>
        <v>3673.94</v>
      </c>
      <c r="O89" s="150" t="s">
        <v>1659</v>
      </c>
    </row>
    <row r="90" spans="1:15">
      <c r="A90" s="163">
        <v>46181</v>
      </c>
      <c r="B90" s="179" t="s">
        <v>66</v>
      </c>
      <c r="C90" s="191">
        <v>0.37</v>
      </c>
      <c r="D90" s="191">
        <v>0.98</v>
      </c>
      <c r="E90" s="144">
        <v>293.332</v>
      </c>
      <c r="F90" s="10">
        <f t="shared" si="5"/>
        <v>262.3</v>
      </c>
      <c r="G90" s="247">
        <f t="shared" si="6"/>
        <v>31.032</v>
      </c>
      <c r="H90" s="110">
        <f t="shared" si="7"/>
        <v>0.991334051518416</v>
      </c>
      <c r="K90" s="144">
        <v>290.79</v>
      </c>
      <c r="L90" s="246">
        <f t="shared" si="8"/>
        <v>3383.15</v>
      </c>
      <c r="O90" s="150" t="s">
        <v>1659</v>
      </c>
    </row>
    <row r="91" spans="1:15">
      <c r="A91" s="163">
        <v>46181</v>
      </c>
      <c r="B91" s="179" t="s">
        <v>99</v>
      </c>
      <c r="C91" s="191">
        <v>0.17</v>
      </c>
      <c r="D91" s="191">
        <v>1</v>
      </c>
      <c r="E91" s="144">
        <v>381.541</v>
      </c>
      <c r="F91" s="10">
        <f t="shared" si="5"/>
        <v>356.9</v>
      </c>
      <c r="G91" s="247">
        <f t="shared" si="6"/>
        <v>24.641</v>
      </c>
      <c r="H91" s="110">
        <f t="shared" si="7"/>
        <v>0.773023082709329</v>
      </c>
      <c r="K91" s="144">
        <v>294.94</v>
      </c>
      <c r="L91" s="246">
        <f t="shared" si="8"/>
        <v>3088.21</v>
      </c>
      <c r="O91" s="150" t="s">
        <v>1659</v>
      </c>
    </row>
    <row r="92" spans="1:15">
      <c r="A92" s="163">
        <v>46181</v>
      </c>
      <c r="B92" s="179" t="s">
        <v>72</v>
      </c>
      <c r="C92" s="191">
        <v>0.26</v>
      </c>
      <c r="D92" s="191">
        <v>1</v>
      </c>
      <c r="E92" s="144">
        <v>344.452</v>
      </c>
      <c r="F92" s="10">
        <f t="shared" si="5"/>
        <v>318.2</v>
      </c>
      <c r="G92" s="247">
        <f t="shared" si="6"/>
        <v>26.252</v>
      </c>
      <c r="H92" s="110">
        <f t="shared" si="7"/>
        <v>0.00336766806405537</v>
      </c>
      <c r="K92" s="144">
        <v>1.16</v>
      </c>
      <c r="L92" s="246">
        <f t="shared" si="8"/>
        <v>3087.05</v>
      </c>
      <c r="O92" s="150" t="s">
        <v>1659</v>
      </c>
    </row>
    <row r="93" spans="1:15">
      <c r="A93" s="163">
        <v>46181</v>
      </c>
      <c r="B93" s="179" t="s">
        <v>172</v>
      </c>
      <c r="C93" s="191">
        <v>0.28</v>
      </c>
      <c r="D93" s="191">
        <v>0.99</v>
      </c>
      <c r="E93" s="144">
        <v>288.045</v>
      </c>
      <c r="F93" s="10">
        <f t="shared" si="5"/>
        <v>305.3</v>
      </c>
      <c r="G93" s="10">
        <f t="shared" si="6"/>
        <v>-17.255</v>
      </c>
      <c r="H93" s="110">
        <f t="shared" si="7"/>
        <v>1.0485167248173</v>
      </c>
      <c r="K93" s="144">
        <v>302.02</v>
      </c>
      <c r="L93" s="246">
        <f t="shared" si="8"/>
        <v>2785.03</v>
      </c>
      <c r="O93" s="150" t="s">
        <v>1659</v>
      </c>
    </row>
    <row r="94" spans="1:15">
      <c r="A94" s="163">
        <v>46181</v>
      </c>
      <c r="B94" s="179" t="s">
        <v>60</v>
      </c>
      <c r="C94" s="191">
        <v>0.28</v>
      </c>
      <c r="D94" s="191">
        <v>0.99</v>
      </c>
      <c r="E94" s="144">
        <v>299.326</v>
      </c>
      <c r="F94" s="10">
        <f t="shared" si="5"/>
        <v>305.3</v>
      </c>
      <c r="G94" s="10">
        <f t="shared" si="6"/>
        <v>-5.97399999999999</v>
      </c>
      <c r="H94" s="110">
        <f t="shared" si="7"/>
        <v>0.909643666103178</v>
      </c>
      <c r="K94" s="144">
        <v>272.28</v>
      </c>
      <c r="L94" s="246">
        <f t="shared" si="8"/>
        <v>2512.75</v>
      </c>
      <c r="O94" s="150" t="s">
        <v>1659</v>
      </c>
    </row>
    <row r="95" spans="1:15">
      <c r="A95" s="163">
        <v>46181</v>
      </c>
      <c r="B95" s="179" t="s">
        <v>81</v>
      </c>
      <c r="C95" s="191">
        <v>0.27</v>
      </c>
      <c r="D95" s="191">
        <v>0.98</v>
      </c>
      <c r="E95" s="144">
        <v>340.323</v>
      </c>
      <c r="F95" s="10">
        <f t="shared" si="5"/>
        <v>305.3</v>
      </c>
      <c r="G95" s="247">
        <f t="shared" si="6"/>
        <v>35.023</v>
      </c>
      <c r="H95" s="110">
        <f t="shared" si="7"/>
        <v>0.288138033573987</v>
      </c>
      <c r="K95" s="144">
        <v>98.06</v>
      </c>
      <c r="L95" s="246">
        <f t="shared" si="8"/>
        <v>2414.69</v>
      </c>
      <c r="O95" s="150" t="s">
        <v>1659</v>
      </c>
    </row>
    <row r="96" spans="1:15">
      <c r="A96" s="163">
        <v>46181</v>
      </c>
      <c r="B96" s="179" t="s">
        <v>90</v>
      </c>
      <c r="C96" s="191">
        <v>0.41</v>
      </c>
      <c r="D96" s="191">
        <v>1</v>
      </c>
      <c r="E96" s="144">
        <v>276.874</v>
      </c>
      <c r="F96" s="10">
        <f t="shared" si="5"/>
        <v>253.7</v>
      </c>
      <c r="G96" s="247">
        <f t="shared" si="6"/>
        <v>23.174</v>
      </c>
      <c r="H96" s="110">
        <f t="shared" si="7"/>
        <v>0.540137391015408</v>
      </c>
      <c r="J96" s="144">
        <v>20000</v>
      </c>
      <c r="K96" s="144">
        <v>149.55</v>
      </c>
      <c r="L96" s="246">
        <f t="shared" si="8"/>
        <v>22265.14</v>
      </c>
      <c r="O96" s="150" t="s">
        <v>1659</v>
      </c>
    </row>
    <row r="97" spans="1:15">
      <c r="A97" s="163">
        <v>46182</v>
      </c>
      <c r="B97" s="179" t="s">
        <v>160</v>
      </c>
      <c r="C97" s="255">
        <v>0.39</v>
      </c>
      <c r="D97" s="255">
        <v>0.98</v>
      </c>
      <c r="E97" s="180">
        <v>261.398</v>
      </c>
      <c r="F97" s="10">
        <f t="shared" si="5"/>
        <v>253.7</v>
      </c>
      <c r="G97" s="10">
        <f t="shared" si="6"/>
        <v>7.69800000000004</v>
      </c>
      <c r="H97" s="110">
        <f t="shared" si="7"/>
        <v>0.559453400561596</v>
      </c>
      <c r="K97" s="172">
        <v>146.24</v>
      </c>
      <c r="L97" s="246">
        <f t="shared" si="8"/>
        <v>22118.9</v>
      </c>
      <c r="O97" s="150" t="s">
        <v>1659</v>
      </c>
    </row>
    <row r="98" spans="1:15">
      <c r="A98" s="163">
        <v>46182</v>
      </c>
      <c r="B98" s="179" t="s">
        <v>338</v>
      </c>
      <c r="C98" s="255">
        <v>0.4</v>
      </c>
      <c r="D98" s="255">
        <v>1</v>
      </c>
      <c r="E98" s="180">
        <v>266.816</v>
      </c>
      <c r="F98" s="10">
        <f t="shared" si="5"/>
        <v>258</v>
      </c>
      <c r="G98" s="10">
        <f t="shared" si="6"/>
        <v>8.81599999999997</v>
      </c>
      <c r="H98" s="110">
        <f t="shared" si="7"/>
        <v>0.735488126649077</v>
      </c>
      <c r="K98" s="172">
        <v>196.24</v>
      </c>
      <c r="L98" s="246">
        <f t="shared" si="8"/>
        <v>21922.66</v>
      </c>
      <c r="O98" s="150" t="s">
        <v>1659</v>
      </c>
    </row>
    <row r="99" spans="1:15">
      <c r="A99" s="163">
        <v>46182</v>
      </c>
      <c r="B99" s="179" t="s">
        <v>166</v>
      </c>
      <c r="C99" s="255">
        <v>0.27</v>
      </c>
      <c r="D99" s="255">
        <v>0.97</v>
      </c>
      <c r="E99" s="180">
        <v>312.736</v>
      </c>
      <c r="F99" s="10">
        <f t="shared" si="5"/>
        <v>301</v>
      </c>
      <c r="G99" s="10">
        <f t="shared" si="6"/>
        <v>11.736</v>
      </c>
      <c r="H99" s="110">
        <f t="shared" si="7"/>
        <v>0.827311214570756</v>
      </c>
      <c r="K99" s="172">
        <v>258.73</v>
      </c>
      <c r="L99" s="246">
        <f t="shared" si="8"/>
        <v>21663.93</v>
      </c>
      <c r="O99" s="150" t="s">
        <v>1659</v>
      </c>
    </row>
    <row r="100" spans="1:15">
      <c r="A100" s="163">
        <v>46182</v>
      </c>
      <c r="B100" s="179" t="s">
        <v>154</v>
      </c>
      <c r="C100" s="255">
        <v>0.46</v>
      </c>
      <c r="D100" s="255">
        <v>0.99</v>
      </c>
      <c r="E100" s="180">
        <v>241.558</v>
      </c>
      <c r="F100" s="10">
        <f t="shared" si="5"/>
        <v>227.9</v>
      </c>
      <c r="G100" s="10">
        <f t="shared" si="6"/>
        <v>13.658</v>
      </c>
      <c r="H100" s="110">
        <f t="shared" si="7"/>
        <v>0.00463656761523113</v>
      </c>
      <c r="K100" s="172">
        <v>1.12</v>
      </c>
      <c r="L100" s="246">
        <f t="shared" si="8"/>
        <v>21662.81</v>
      </c>
      <c r="O100" s="150" t="s">
        <v>1659</v>
      </c>
    </row>
    <row r="101" spans="1:15">
      <c r="A101" s="163">
        <v>46182</v>
      </c>
      <c r="B101" s="179" t="s">
        <v>87</v>
      </c>
      <c r="C101" s="255">
        <v>0.52</v>
      </c>
      <c r="D101" s="255">
        <v>0.97</v>
      </c>
      <c r="E101" s="180">
        <v>224.777</v>
      </c>
      <c r="F101" s="10">
        <f t="shared" si="5"/>
        <v>193.5</v>
      </c>
      <c r="G101" s="247">
        <f t="shared" si="6"/>
        <v>31.277</v>
      </c>
      <c r="H101" s="110">
        <f t="shared" si="7"/>
        <v>0.499828719130516</v>
      </c>
      <c r="K101" s="172">
        <v>112.35</v>
      </c>
      <c r="L101" s="246">
        <f t="shared" si="8"/>
        <v>21550.46</v>
      </c>
      <c r="O101" s="150" t="s">
        <v>1659</v>
      </c>
    </row>
    <row r="102" spans="1:15">
      <c r="A102" s="163">
        <v>46182</v>
      </c>
      <c r="B102" s="179" t="s">
        <v>114</v>
      </c>
      <c r="C102" s="255">
        <v>0.36</v>
      </c>
      <c r="D102" s="255">
        <v>0.9</v>
      </c>
      <c r="E102" s="180">
        <v>224.582</v>
      </c>
      <c r="F102" s="10">
        <f t="shared" si="5"/>
        <v>232.2</v>
      </c>
      <c r="G102" s="10">
        <f t="shared" si="6"/>
        <v>-7.61799999999999</v>
      </c>
      <c r="H102" s="110">
        <f t="shared" si="7"/>
        <v>1.22391821250145</v>
      </c>
      <c r="K102" s="172">
        <v>274.87</v>
      </c>
      <c r="L102" s="246">
        <f t="shared" si="8"/>
        <v>21275.59</v>
      </c>
      <c r="O102" s="150" t="s">
        <v>1659</v>
      </c>
    </row>
    <row r="103" spans="1:15">
      <c r="A103" s="163">
        <v>46182</v>
      </c>
      <c r="B103" s="179" t="s">
        <v>99</v>
      </c>
      <c r="C103" s="255">
        <v>0.36</v>
      </c>
      <c r="D103" s="255">
        <v>0.9</v>
      </c>
      <c r="E103" s="180">
        <v>252.107</v>
      </c>
      <c r="F103" s="10">
        <f t="shared" si="5"/>
        <v>232.2</v>
      </c>
      <c r="G103" s="10">
        <f t="shared" si="6"/>
        <v>19.907</v>
      </c>
      <c r="H103" s="110">
        <f t="shared" si="7"/>
        <v>0.808585243567216</v>
      </c>
      <c r="K103" s="172">
        <v>203.85</v>
      </c>
      <c r="L103" s="246">
        <f t="shared" si="8"/>
        <v>21071.74</v>
      </c>
      <c r="O103" s="150" t="s">
        <v>1659</v>
      </c>
    </row>
    <row r="104" spans="1:15">
      <c r="A104" s="163">
        <v>46182</v>
      </c>
      <c r="B104" s="179" t="s">
        <v>78</v>
      </c>
      <c r="C104" s="255">
        <v>0.48</v>
      </c>
      <c r="D104" s="255">
        <v>0.73</v>
      </c>
      <c r="E104" s="180">
        <v>114.403</v>
      </c>
      <c r="F104" s="10">
        <f t="shared" si="5"/>
        <v>107.5</v>
      </c>
      <c r="G104" s="10">
        <f t="shared" si="6"/>
        <v>6.90300000000001</v>
      </c>
      <c r="H104" s="110">
        <f t="shared" si="7"/>
        <v>0.807583717210213</v>
      </c>
      <c r="K104" s="172">
        <v>92.39</v>
      </c>
      <c r="L104" s="246">
        <f t="shared" si="8"/>
        <v>20979.35</v>
      </c>
      <c r="O104" s="150" t="s">
        <v>1659</v>
      </c>
    </row>
    <row r="105" spans="1:15">
      <c r="A105" s="163">
        <v>46182</v>
      </c>
      <c r="B105" s="179" t="s">
        <v>75</v>
      </c>
      <c r="C105" s="255">
        <v>0.36</v>
      </c>
      <c r="D105" s="255">
        <v>0.47</v>
      </c>
      <c r="E105" s="180">
        <v>52.152</v>
      </c>
      <c r="F105" s="10">
        <f t="shared" si="5"/>
        <v>47.3</v>
      </c>
      <c r="G105" s="10">
        <f t="shared" si="6"/>
        <v>4.852</v>
      </c>
      <c r="H105" s="110">
        <f t="shared" si="7"/>
        <v>0.794408651633686</v>
      </c>
      <c r="K105" s="172">
        <v>41.43</v>
      </c>
      <c r="L105" s="246">
        <f t="shared" si="8"/>
        <v>20937.92</v>
      </c>
      <c r="O105" s="150" t="s">
        <v>1659</v>
      </c>
    </row>
    <row r="106" spans="1:15">
      <c r="A106" s="163">
        <v>46182</v>
      </c>
      <c r="B106" s="179" t="s">
        <v>111</v>
      </c>
      <c r="C106" s="255">
        <v>0.73</v>
      </c>
      <c r="D106" s="255">
        <v>0.81</v>
      </c>
      <c r="E106" s="180">
        <v>34.299</v>
      </c>
      <c r="F106" s="10">
        <f t="shared" si="5"/>
        <v>34.4</v>
      </c>
      <c r="G106" s="10">
        <f t="shared" si="6"/>
        <v>-0.100999999999999</v>
      </c>
      <c r="H106" s="110">
        <f t="shared" si="7"/>
        <v>7.59963847342488</v>
      </c>
      <c r="K106" s="172">
        <v>260.66</v>
      </c>
      <c r="L106" s="246">
        <f t="shared" si="8"/>
        <v>20677.26</v>
      </c>
      <c r="O106" s="150" t="s">
        <v>1659</v>
      </c>
    </row>
    <row r="107" spans="1:15">
      <c r="A107" s="163">
        <v>46182</v>
      </c>
      <c r="B107" s="179" t="s">
        <v>102</v>
      </c>
      <c r="C107" s="255">
        <v>0.83</v>
      </c>
      <c r="D107" s="255">
        <v>0.84</v>
      </c>
      <c r="E107" s="180">
        <v>8.03</v>
      </c>
      <c r="F107" s="10">
        <f t="shared" si="5"/>
        <v>4.3</v>
      </c>
      <c r="G107" s="10">
        <f t="shared" si="6"/>
        <v>3.73</v>
      </c>
      <c r="H107" s="110">
        <f t="shared" si="7"/>
        <v>25.6239103362391</v>
      </c>
      <c r="K107" s="172">
        <v>205.76</v>
      </c>
      <c r="L107" s="246">
        <f t="shared" si="8"/>
        <v>20471.5</v>
      </c>
      <c r="O107" s="150" t="s">
        <v>1659</v>
      </c>
    </row>
    <row r="108" spans="1:15">
      <c r="A108" s="163">
        <v>46182</v>
      </c>
      <c r="B108" s="179" t="s">
        <v>57</v>
      </c>
      <c r="C108" s="255">
        <v>0.79</v>
      </c>
      <c r="D108" s="255">
        <v>0.81</v>
      </c>
      <c r="E108" s="180">
        <v>12.026</v>
      </c>
      <c r="F108" s="10">
        <f t="shared" si="5"/>
        <v>8.60000000000001</v>
      </c>
      <c r="G108" s="10">
        <f t="shared" si="6"/>
        <v>3.42599999999999</v>
      </c>
      <c r="H108" s="110">
        <f t="shared" si="7"/>
        <v>16.8568102444703</v>
      </c>
      <c r="K108" s="172">
        <v>202.72</v>
      </c>
      <c r="L108" s="246">
        <f t="shared" si="8"/>
        <v>20268.78</v>
      </c>
      <c r="O108" s="150" t="s">
        <v>1659</v>
      </c>
    </row>
    <row r="109" spans="1:15">
      <c r="A109" s="163">
        <v>46182</v>
      </c>
      <c r="B109" s="179" t="s">
        <v>111</v>
      </c>
      <c r="C109" s="255">
        <v>0.23</v>
      </c>
      <c r="D109" s="255">
        <v>0.72</v>
      </c>
      <c r="E109" s="180">
        <v>199.106</v>
      </c>
      <c r="F109" s="10">
        <f t="shared" si="5"/>
        <v>210.7</v>
      </c>
      <c r="G109" s="10">
        <f t="shared" si="6"/>
        <v>-11.594</v>
      </c>
      <c r="H109" s="110">
        <f t="shared" si="7"/>
        <v>0.899972878768093</v>
      </c>
      <c r="K109" s="172">
        <v>179.19</v>
      </c>
      <c r="L109" s="246">
        <f t="shared" si="8"/>
        <v>20089.59</v>
      </c>
      <c r="O109" s="150" t="s">
        <v>1659</v>
      </c>
    </row>
    <row r="110" spans="1:15">
      <c r="A110" s="163">
        <v>46182</v>
      </c>
      <c r="B110" s="179" t="s">
        <v>102</v>
      </c>
      <c r="C110" s="255">
        <v>0.34</v>
      </c>
      <c r="D110" s="255">
        <v>0.82</v>
      </c>
      <c r="E110" s="180">
        <v>225.253</v>
      </c>
      <c r="F110" s="10">
        <f t="shared" si="5"/>
        <v>206.4</v>
      </c>
      <c r="G110" s="10">
        <f t="shared" si="6"/>
        <v>18.853</v>
      </c>
      <c r="H110" s="110">
        <f t="shared" si="7"/>
        <v>0.20829911255344</v>
      </c>
      <c r="K110" s="172">
        <v>46.92</v>
      </c>
      <c r="L110" s="246">
        <f t="shared" si="8"/>
        <v>20042.67</v>
      </c>
      <c r="O110" s="150" t="s">
        <v>1659</v>
      </c>
    </row>
    <row r="111" spans="1:15">
      <c r="A111" s="163">
        <v>46182</v>
      </c>
      <c r="B111" s="179" t="s">
        <v>57</v>
      </c>
      <c r="C111" s="255">
        <v>0.22</v>
      </c>
      <c r="D111" s="255">
        <v>0.78</v>
      </c>
      <c r="E111" s="180">
        <v>228.627</v>
      </c>
      <c r="F111" s="10">
        <f t="shared" si="5"/>
        <v>240.8</v>
      </c>
      <c r="G111" s="10">
        <f t="shared" si="6"/>
        <v>-12.173</v>
      </c>
      <c r="H111" s="110">
        <f t="shared" si="7"/>
        <v>0.134979683064555</v>
      </c>
      <c r="K111" s="172">
        <v>30.86</v>
      </c>
      <c r="L111" s="246">
        <f t="shared" si="8"/>
        <v>20011.81</v>
      </c>
      <c r="O111" s="150" t="s">
        <v>1659</v>
      </c>
    </row>
    <row r="112" spans="1:15">
      <c r="A112" s="163">
        <v>46182</v>
      </c>
      <c r="B112" s="179" t="s">
        <v>105</v>
      </c>
      <c r="C112" s="255">
        <v>0.37</v>
      </c>
      <c r="D112" s="255">
        <v>1</v>
      </c>
      <c r="E112" s="180">
        <v>289.634</v>
      </c>
      <c r="F112" s="10">
        <f t="shared" si="5"/>
        <v>270.9</v>
      </c>
      <c r="G112" s="10">
        <f t="shared" si="6"/>
        <v>18.734</v>
      </c>
      <c r="H112" s="110">
        <f t="shared" si="7"/>
        <v>0.0373574925595752</v>
      </c>
      <c r="K112" s="172">
        <v>10.82</v>
      </c>
      <c r="L112" s="246">
        <f t="shared" si="8"/>
        <v>20000.99</v>
      </c>
      <c r="O112" s="150" t="s">
        <v>1659</v>
      </c>
    </row>
    <row r="113" spans="1:15">
      <c r="A113" s="163">
        <v>46182</v>
      </c>
      <c r="B113" s="179" t="s">
        <v>130</v>
      </c>
      <c r="C113" s="255">
        <v>0.9</v>
      </c>
      <c r="D113" s="255">
        <v>1</v>
      </c>
      <c r="E113" s="180">
        <v>46.038</v>
      </c>
      <c r="F113" s="10">
        <f t="shared" si="5"/>
        <v>43</v>
      </c>
      <c r="G113" s="10">
        <f t="shared" si="6"/>
        <v>3.038</v>
      </c>
      <c r="H113" s="110">
        <f t="shared" si="7"/>
        <v>0.156826969025588</v>
      </c>
      <c r="K113" s="172">
        <v>7.22</v>
      </c>
      <c r="L113" s="246">
        <f t="shared" si="8"/>
        <v>19993.77</v>
      </c>
      <c r="O113" s="150" t="s">
        <v>1659</v>
      </c>
    </row>
    <row r="114" spans="1:15">
      <c r="A114" s="163">
        <v>46182</v>
      </c>
      <c r="B114" s="179" t="s">
        <v>339</v>
      </c>
      <c r="C114" s="255">
        <v>0.5</v>
      </c>
      <c r="D114" s="255">
        <v>1</v>
      </c>
      <c r="E114" s="180">
        <v>226.51</v>
      </c>
      <c r="F114" s="10">
        <f t="shared" si="5"/>
        <v>215</v>
      </c>
      <c r="G114" s="10">
        <f t="shared" si="6"/>
        <v>11.51</v>
      </c>
      <c r="H114" s="110">
        <f t="shared" si="7"/>
        <v>1.00167763012671</v>
      </c>
      <c r="K114" s="172">
        <v>226.89</v>
      </c>
      <c r="L114" s="246">
        <f t="shared" si="8"/>
        <v>19766.88</v>
      </c>
      <c r="O114" s="150" t="s">
        <v>1659</v>
      </c>
    </row>
    <row r="115" spans="1:15">
      <c r="A115" s="163">
        <v>46182</v>
      </c>
      <c r="B115" s="179" t="s">
        <v>138</v>
      </c>
      <c r="C115" s="255">
        <v>0.32</v>
      </c>
      <c r="D115" s="255">
        <v>0.99</v>
      </c>
      <c r="E115" s="180">
        <v>331.699</v>
      </c>
      <c r="F115" s="10">
        <f t="shared" si="5"/>
        <v>288.1</v>
      </c>
      <c r="G115" s="247">
        <f t="shared" si="6"/>
        <v>43.599</v>
      </c>
      <c r="H115" s="110">
        <f t="shared" si="7"/>
        <v>0.310401900518241</v>
      </c>
      <c r="K115" s="172">
        <v>102.96</v>
      </c>
      <c r="L115" s="246">
        <f t="shared" si="8"/>
        <v>19663.92</v>
      </c>
      <c r="O115" s="150" t="s">
        <v>1659</v>
      </c>
    </row>
    <row r="116" spans="1:15">
      <c r="A116" s="163">
        <v>46182</v>
      </c>
      <c r="B116" s="179" t="s">
        <v>130</v>
      </c>
      <c r="C116" s="255">
        <v>0.65</v>
      </c>
      <c r="D116" s="255">
        <v>0.89</v>
      </c>
      <c r="E116" s="180">
        <v>102.66</v>
      </c>
      <c r="F116" s="10">
        <f t="shared" si="5"/>
        <v>103.2</v>
      </c>
      <c r="G116" s="10">
        <f t="shared" si="6"/>
        <v>-0.540000000000006</v>
      </c>
      <c r="H116" s="110">
        <f t="shared" si="7"/>
        <v>1.968731735827</v>
      </c>
      <c r="K116" s="172">
        <v>202.11</v>
      </c>
      <c r="L116" s="246">
        <f t="shared" si="8"/>
        <v>19461.81</v>
      </c>
      <c r="O116" s="150" t="s">
        <v>1659</v>
      </c>
    </row>
    <row r="117" spans="1:15">
      <c r="A117" s="163">
        <v>46182</v>
      </c>
      <c r="B117" s="179" t="s">
        <v>130</v>
      </c>
      <c r="C117" s="255">
        <v>0.28</v>
      </c>
      <c r="D117" s="255">
        <v>0.64</v>
      </c>
      <c r="E117" s="180">
        <v>145.925</v>
      </c>
      <c r="F117" s="10">
        <f t="shared" si="5"/>
        <v>154.8</v>
      </c>
      <c r="G117" s="10">
        <f t="shared" si="6"/>
        <v>-8.875</v>
      </c>
      <c r="H117" s="110">
        <f t="shared" si="7"/>
        <v>1.38626006510194</v>
      </c>
      <c r="K117" s="172">
        <v>202.29</v>
      </c>
      <c r="L117" s="246">
        <f t="shared" si="8"/>
        <v>19259.52</v>
      </c>
      <c r="O117" s="150" t="s">
        <v>1659</v>
      </c>
    </row>
    <row r="118" spans="1:15">
      <c r="A118" s="163">
        <v>46182</v>
      </c>
      <c r="B118" s="179" t="s">
        <v>130</v>
      </c>
      <c r="C118" s="255">
        <v>0.27</v>
      </c>
      <c r="D118" s="255">
        <v>0.27</v>
      </c>
      <c r="E118" s="180">
        <v>1.472</v>
      </c>
      <c r="F118" s="10">
        <f t="shared" si="5"/>
        <v>0</v>
      </c>
      <c r="G118" s="10">
        <f t="shared" si="6"/>
        <v>1.472</v>
      </c>
      <c r="H118" s="110">
        <f t="shared" si="7"/>
        <v>191.202445652174</v>
      </c>
      <c r="K118" s="172">
        <v>281.45</v>
      </c>
      <c r="L118" s="246">
        <f t="shared" si="8"/>
        <v>18978.07</v>
      </c>
      <c r="O118" s="150" t="s">
        <v>1659</v>
      </c>
    </row>
    <row r="119" spans="1:15">
      <c r="A119" s="163">
        <v>46182</v>
      </c>
      <c r="B119" s="179" t="s">
        <v>69</v>
      </c>
      <c r="C119" s="255">
        <v>0.39</v>
      </c>
      <c r="D119" s="255">
        <v>1</v>
      </c>
      <c r="E119" s="180">
        <v>287.486</v>
      </c>
      <c r="F119" s="10">
        <f t="shared" si="5"/>
        <v>262.3</v>
      </c>
      <c r="G119" s="247">
        <f t="shared" si="6"/>
        <v>25.186</v>
      </c>
      <c r="H119" s="110">
        <f t="shared" si="7"/>
        <v>0.756175952915968</v>
      </c>
      <c r="K119" s="172">
        <v>217.39</v>
      </c>
      <c r="L119" s="246">
        <f t="shared" si="8"/>
        <v>18760.68</v>
      </c>
      <c r="O119" s="150" t="s">
        <v>1659</v>
      </c>
    </row>
    <row r="120" spans="1:15">
      <c r="A120" s="163">
        <v>46182</v>
      </c>
      <c r="B120" s="179" t="s">
        <v>127</v>
      </c>
      <c r="C120" s="255">
        <v>0.48</v>
      </c>
      <c r="D120" s="255">
        <v>0.99</v>
      </c>
      <c r="E120" s="180">
        <v>218.051</v>
      </c>
      <c r="F120" s="10">
        <f t="shared" si="5"/>
        <v>219.3</v>
      </c>
      <c r="G120" s="10">
        <f t="shared" si="6"/>
        <v>-1.24900000000002</v>
      </c>
      <c r="H120" s="110">
        <f t="shared" si="7"/>
        <v>1.10125612815351</v>
      </c>
      <c r="K120" s="172">
        <v>240.13</v>
      </c>
      <c r="L120" s="246">
        <f t="shared" si="8"/>
        <v>18520.55</v>
      </c>
      <c r="O120" s="150" t="s">
        <v>1659</v>
      </c>
    </row>
    <row r="121" spans="1:15">
      <c r="A121" s="163">
        <v>46182</v>
      </c>
      <c r="B121" s="179" t="s">
        <v>60</v>
      </c>
      <c r="C121" s="255">
        <v>0.43</v>
      </c>
      <c r="D121" s="255">
        <v>1</v>
      </c>
      <c r="E121" s="180">
        <v>235.88</v>
      </c>
      <c r="F121" s="10">
        <f t="shared" si="5"/>
        <v>245.1</v>
      </c>
      <c r="G121" s="10">
        <f t="shared" si="6"/>
        <v>-9.22</v>
      </c>
      <c r="H121" s="110">
        <f t="shared" si="7"/>
        <v>0.997286755977616</v>
      </c>
      <c r="K121" s="172">
        <v>235.24</v>
      </c>
      <c r="L121" s="246">
        <f t="shared" si="8"/>
        <v>18285.31</v>
      </c>
      <c r="O121" s="150" t="s">
        <v>1659</v>
      </c>
    </row>
    <row r="122" spans="1:15">
      <c r="A122" s="163">
        <v>46183</v>
      </c>
      <c r="B122" s="179" t="s">
        <v>99</v>
      </c>
      <c r="C122" s="191">
        <v>0.29</v>
      </c>
      <c r="D122" s="191">
        <v>0.98</v>
      </c>
      <c r="E122" s="144">
        <v>326.915</v>
      </c>
      <c r="F122" s="10">
        <f t="shared" si="5"/>
        <v>296.7</v>
      </c>
      <c r="G122" s="247">
        <f t="shared" si="6"/>
        <v>30.215</v>
      </c>
      <c r="H122" s="110">
        <f t="shared" si="7"/>
        <v>0.481960142544698</v>
      </c>
      <c r="K122" s="144">
        <v>157.56</v>
      </c>
      <c r="L122" s="246">
        <f t="shared" si="8"/>
        <v>18127.75</v>
      </c>
      <c r="O122" s="150" t="s">
        <v>1659</v>
      </c>
    </row>
    <row r="123" spans="1:15">
      <c r="A123" s="163">
        <v>46183</v>
      </c>
      <c r="B123" s="179" t="s">
        <v>66</v>
      </c>
      <c r="C123" s="191">
        <v>0.41</v>
      </c>
      <c r="D123" s="191">
        <v>1</v>
      </c>
      <c r="E123" s="144">
        <v>277.127</v>
      </c>
      <c r="F123" s="10">
        <f t="shared" si="5"/>
        <v>253.7</v>
      </c>
      <c r="G123" s="247">
        <f t="shared" si="6"/>
        <v>23.427</v>
      </c>
      <c r="H123" s="110">
        <f t="shared" si="7"/>
        <v>0.897675073161402</v>
      </c>
      <c r="K123" s="144">
        <v>248.77</v>
      </c>
      <c r="L123" s="246">
        <f t="shared" si="8"/>
        <v>17878.98</v>
      </c>
      <c r="O123" s="150" t="s">
        <v>1659</v>
      </c>
    </row>
    <row r="124" spans="1:15">
      <c r="A124" s="163">
        <v>46183</v>
      </c>
      <c r="B124" s="179" t="s">
        <v>138</v>
      </c>
      <c r="C124" s="191">
        <v>0.57</v>
      </c>
      <c r="D124" s="191">
        <v>0.97</v>
      </c>
      <c r="E124" s="144">
        <v>190.706</v>
      </c>
      <c r="F124" s="10">
        <f t="shared" si="5"/>
        <v>172</v>
      </c>
      <c r="G124" s="10">
        <f t="shared" si="6"/>
        <v>18.706</v>
      </c>
      <c r="H124" s="110">
        <f t="shared" si="7"/>
        <v>1.49843214162113</v>
      </c>
      <c r="K124" s="144">
        <v>285.76</v>
      </c>
      <c r="L124" s="246">
        <f t="shared" si="8"/>
        <v>17593.22</v>
      </c>
      <c r="O124" s="150" t="s">
        <v>1659</v>
      </c>
    </row>
    <row r="125" spans="1:15">
      <c r="A125" s="163">
        <v>46183</v>
      </c>
      <c r="B125" s="179" t="s">
        <v>130</v>
      </c>
      <c r="C125" s="191">
        <v>0.55</v>
      </c>
      <c r="D125" s="191">
        <v>0.97</v>
      </c>
      <c r="E125" s="144">
        <v>185.289</v>
      </c>
      <c r="F125" s="10">
        <f t="shared" si="5"/>
        <v>180.6</v>
      </c>
      <c r="G125" s="10">
        <f t="shared" si="6"/>
        <v>4.68899999999999</v>
      </c>
      <c r="H125" s="110">
        <f t="shared" si="7"/>
        <v>1.38173340025582</v>
      </c>
      <c r="K125" s="144">
        <v>256.02</v>
      </c>
      <c r="L125" s="246">
        <f t="shared" si="8"/>
        <v>17337.2</v>
      </c>
      <c r="O125" s="150" t="s">
        <v>1659</v>
      </c>
    </row>
    <row r="126" spans="1:15">
      <c r="A126" s="163">
        <v>46183</v>
      </c>
      <c r="B126" s="179" t="s">
        <v>105</v>
      </c>
      <c r="C126" s="191">
        <v>0.5</v>
      </c>
      <c r="D126" s="191">
        <v>0.95</v>
      </c>
      <c r="E126" s="144">
        <v>215.211</v>
      </c>
      <c r="F126" s="10">
        <f t="shared" si="5"/>
        <v>193.5</v>
      </c>
      <c r="G126" s="247">
        <f t="shared" si="6"/>
        <v>21.711</v>
      </c>
      <c r="H126" s="110">
        <f t="shared" si="7"/>
        <v>0.422701441840798</v>
      </c>
      <c r="K126" s="144">
        <v>90.97</v>
      </c>
      <c r="L126" s="246">
        <f t="shared" si="8"/>
        <v>17246.23</v>
      </c>
      <c r="O126" s="150" t="s">
        <v>1659</v>
      </c>
    </row>
    <row r="127" spans="1:15">
      <c r="A127" s="163">
        <v>46183</v>
      </c>
      <c r="B127" s="179" t="s">
        <v>69</v>
      </c>
      <c r="C127" s="191">
        <v>0.42</v>
      </c>
      <c r="D127" s="191">
        <v>0.96</v>
      </c>
      <c r="E127" s="144">
        <v>254.032</v>
      </c>
      <c r="F127" s="10">
        <f t="shared" si="5"/>
        <v>232.2</v>
      </c>
      <c r="G127" s="247">
        <f t="shared" si="6"/>
        <v>21.832</v>
      </c>
      <c r="H127" s="110">
        <f t="shared" si="7"/>
        <v>0.571148516722303</v>
      </c>
      <c r="K127" s="144">
        <v>145.09</v>
      </c>
      <c r="L127" s="246">
        <f t="shared" si="8"/>
        <v>17101.14</v>
      </c>
      <c r="O127" s="150" t="s">
        <v>1659</v>
      </c>
    </row>
    <row r="128" spans="1:15">
      <c r="A128" s="163">
        <v>46183</v>
      </c>
      <c r="B128" s="179" t="s">
        <v>111</v>
      </c>
      <c r="C128" s="191">
        <v>0.28</v>
      </c>
      <c r="D128" s="191">
        <v>1</v>
      </c>
      <c r="E128" s="144">
        <v>294.61</v>
      </c>
      <c r="F128" s="10">
        <f t="shared" si="5"/>
        <v>309.6</v>
      </c>
      <c r="G128" s="10">
        <f t="shared" si="6"/>
        <v>-14.99</v>
      </c>
      <c r="H128" s="110">
        <f t="shared" si="7"/>
        <v>0.899969451138794</v>
      </c>
      <c r="K128" s="144">
        <v>265.14</v>
      </c>
      <c r="L128" s="246">
        <f t="shared" si="8"/>
        <v>16836</v>
      </c>
      <c r="O128" s="150" t="s">
        <v>1659</v>
      </c>
    </row>
    <row r="129" spans="1:15">
      <c r="A129" s="163">
        <v>46183</v>
      </c>
      <c r="B129" s="179" t="s">
        <v>60</v>
      </c>
      <c r="C129" s="191">
        <v>0.56</v>
      </c>
      <c r="D129" s="191">
        <v>0.99</v>
      </c>
      <c r="E129" s="144">
        <v>184.051</v>
      </c>
      <c r="F129" s="10">
        <f t="shared" si="5"/>
        <v>184.9</v>
      </c>
      <c r="G129" s="10">
        <f t="shared" si="6"/>
        <v>-0.849000000000018</v>
      </c>
      <c r="H129" s="110">
        <f t="shared" si="7"/>
        <v>1.24215570684213</v>
      </c>
      <c r="K129" s="144">
        <v>228.62</v>
      </c>
      <c r="L129" s="246">
        <f t="shared" si="8"/>
        <v>16607.38</v>
      </c>
      <c r="O129" s="150" t="s">
        <v>1659</v>
      </c>
    </row>
    <row r="130" spans="1:15">
      <c r="A130" s="163">
        <v>46183</v>
      </c>
      <c r="B130" s="179" t="s">
        <v>84</v>
      </c>
      <c r="C130" s="191">
        <v>0.37</v>
      </c>
      <c r="D130" s="191">
        <v>0.98</v>
      </c>
      <c r="E130" s="144">
        <v>295.518</v>
      </c>
      <c r="F130" s="10">
        <f t="shared" si="5"/>
        <v>262.3</v>
      </c>
      <c r="G130" s="247">
        <f t="shared" si="6"/>
        <v>33.218</v>
      </c>
      <c r="H130" s="110">
        <f t="shared" si="7"/>
        <v>0.655391549753315</v>
      </c>
      <c r="K130" s="144">
        <v>193.68</v>
      </c>
      <c r="L130" s="246">
        <f t="shared" si="8"/>
        <v>16413.7</v>
      </c>
      <c r="O130" s="150" t="s">
        <v>1659</v>
      </c>
    </row>
    <row r="131" spans="1:15">
      <c r="A131" s="163">
        <v>46183</v>
      </c>
      <c r="B131" s="179" t="s">
        <v>60</v>
      </c>
      <c r="C131" s="191">
        <v>0.3</v>
      </c>
      <c r="D131" s="191">
        <v>0.55</v>
      </c>
      <c r="E131" s="144">
        <v>105.214</v>
      </c>
      <c r="F131" s="10">
        <f t="shared" ref="F131:F194" si="9">(D131-C131)*430</f>
        <v>107.5</v>
      </c>
      <c r="G131" s="10">
        <f t="shared" ref="G131:G194" si="10">E131-F131</f>
        <v>-2.286</v>
      </c>
      <c r="H131" s="110">
        <f t="shared" ref="H131:H194" si="11">K131/E131</f>
        <v>1.58486513201665</v>
      </c>
      <c r="K131" s="144">
        <v>166.75</v>
      </c>
      <c r="L131" s="246">
        <f t="shared" ref="L131:L194" si="12">L130+J131-K131</f>
        <v>16246.95</v>
      </c>
      <c r="O131" s="150" t="s">
        <v>1659</v>
      </c>
    </row>
    <row r="132" spans="1:15">
      <c r="A132" s="163">
        <v>46183</v>
      </c>
      <c r="B132" s="179" t="s">
        <v>81</v>
      </c>
      <c r="C132" s="191">
        <v>0.31</v>
      </c>
      <c r="D132" s="191">
        <v>1</v>
      </c>
      <c r="E132" s="144">
        <v>317.521</v>
      </c>
      <c r="F132" s="10">
        <f t="shared" si="9"/>
        <v>296.7</v>
      </c>
      <c r="G132" s="247">
        <f t="shared" si="10"/>
        <v>20.821</v>
      </c>
      <c r="H132" s="110">
        <f t="shared" si="11"/>
        <v>0.540531177465427</v>
      </c>
      <c r="K132" s="144">
        <v>171.63</v>
      </c>
      <c r="L132" s="246">
        <f t="shared" si="12"/>
        <v>16075.32</v>
      </c>
      <c r="O132" s="150" t="s">
        <v>1659</v>
      </c>
    </row>
    <row r="133" spans="1:15">
      <c r="A133" s="163">
        <v>46183</v>
      </c>
      <c r="B133" s="179" t="s">
        <v>108</v>
      </c>
      <c r="C133" s="191">
        <v>0.37</v>
      </c>
      <c r="D133" s="191">
        <v>0.95</v>
      </c>
      <c r="E133" s="144">
        <v>276.418</v>
      </c>
      <c r="F133" s="10">
        <f t="shared" si="9"/>
        <v>249.4</v>
      </c>
      <c r="G133" s="247">
        <f t="shared" si="10"/>
        <v>27.018</v>
      </c>
      <c r="H133" s="110">
        <f t="shared" si="11"/>
        <v>0.90225672713065</v>
      </c>
      <c r="K133" s="144">
        <v>249.4</v>
      </c>
      <c r="L133" s="246">
        <f t="shared" si="12"/>
        <v>15825.92</v>
      </c>
      <c r="O133" s="150" t="s">
        <v>1659</v>
      </c>
    </row>
    <row r="134" spans="1:15">
      <c r="A134" s="163">
        <v>46183</v>
      </c>
      <c r="B134" s="179" t="s">
        <v>163</v>
      </c>
      <c r="C134" s="191">
        <v>0.45</v>
      </c>
      <c r="D134" s="191">
        <v>0.95</v>
      </c>
      <c r="E134" s="144">
        <v>225.109</v>
      </c>
      <c r="F134" s="10">
        <f t="shared" si="9"/>
        <v>215</v>
      </c>
      <c r="G134" s="10">
        <f t="shared" si="10"/>
        <v>10.109</v>
      </c>
      <c r="H134" s="110">
        <f t="shared" si="11"/>
        <v>1.15504044707231</v>
      </c>
      <c r="K134" s="144">
        <v>260.01</v>
      </c>
      <c r="L134" s="246">
        <f t="shared" si="12"/>
        <v>15565.91</v>
      </c>
      <c r="O134" s="150" t="s">
        <v>1659</v>
      </c>
    </row>
    <row r="135" spans="1:15">
      <c r="A135" s="163">
        <v>46184</v>
      </c>
      <c r="B135" s="179" t="s">
        <v>114</v>
      </c>
      <c r="C135" s="191">
        <v>0.2</v>
      </c>
      <c r="D135" s="191">
        <v>0.33</v>
      </c>
      <c r="E135" s="144">
        <v>53.593</v>
      </c>
      <c r="F135" s="10">
        <f t="shared" si="9"/>
        <v>55.9</v>
      </c>
      <c r="G135" s="10">
        <f t="shared" si="10"/>
        <v>-2.30699999999999</v>
      </c>
      <c r="H135" s="110">
        <f t="shared" si="11"/>
        <v>0.633291661224414</v>
      </c>
      <c r="K135" s="144">
        <v>33.94</v>
      </c>
      <c r="L135" s="246">
        <f t="shared" si="12"/>
        <v>15531.97</v>
      </c>
      <c r="O135" s="150" t="s">
        <v>1659</v>
      </c>
    </row>
    <row r="136" spans="1:15">
      <c r="A136" s="163">
        <v>46184</v>
      </c>
      <c r="B136" s="179" t="s">
        <v>114</v>
      </c>
      <c r="C136" s="191">
        <v>0.34</v>
      </c>
      <c r="D136" s="191">
        <v>1</v>
      </c>
      <c r="E136" s="144">
        <v>278.93</v>
      </c>
      <c r="F136" s="10">
        <f t="shared" si="9"/>
        <v>283.8</v>
      </c>
      <c r="G136" s="10">
        <f t="shared" si="10"/>
        <v>-4.87</v>
      </c>
      <c r="H136" s="110">
        <f t="shared" si="11"/>
        <v>0.899974904097802</v>
      </c>
      <c r="K136" s="144">
        <v>251.03</v>
      </c>
      <c r="L136" s="246">
        <f t="shared" si="12"/>
        <v>15280.94</v>
      </c>
      <c r="O136" s="150" t="s">
        <v>1659</v>
      </c>
    </row>
    <row r="137" spans="1:15">
      <c r="A137" s="163">
        <v>46184</v>
      </c>
      <c r="B137" s="179" t="s">
        <v>51</v>
      </c>
      <c r="C137" s="191">
        <v>0.26</v>
      </c>
      <c r="D137" s="191">
        <v>0.99</v>
      </c>
      <c r="E137" s="144">
        <v>304.002</v>
      </c>
      <c r="F137" s="10">
        <f t="shared" si="9"/>
        <v>313.9</v>
      </c>
      <c r="G137" s="10">
        <f t="shared" si="10"/>
        <v>-9.89799999999997</v>
      </c>
      <c r="H137" s="110">
        <f t="shared" si="11"/>
        <v>0.899994078986323</v>
      </c>
      <c r="K137" s="144">
        <v>273.6</v>
      </c>
      <c r="L137" s="246">
        <f t="shared" si="12"/>
        <v>15007.34</v>
      </c>
      <c r="O137" s="150" t="s">
        <v>1659</v>
      </c>
    </row>
    <row r="138" spans="1:15">
      <c r="A138" s="163">
        <v>46184</v>
      </c>
      <c r="B138" s="179" t="s">
        <v>78</v>
      </c>
      <c r="C138" s="191">
        <v>0.32</v>
      </c>
      <c r="D138" s="191">
        <v>0.97</v>
      </c>
      <c r="E138" s="144">
        <v>311.652</v>
      </c>
      <c r="F138" s="10">
        <f t="shared" si="9"/>
        <v>279.5</v>
      </c>
      <c r="G138" s="10">
        <f t="shared" si="10"/>
        <v>32.152</v>
      </c>
      <c r="H138" s="110">
        <f t="shared" si="11"/>
        <v>0.899978180791396</v>
      </c>
      <c r="K138" s="144">
        <v>280.48</v>
      </c>
      <c r="L138" s="246">
        <f t="shared" si="12"/>
        <v>14726.86</v>
      </c>
      <c r="O138" s="150" t="s">
        <v>1659</v>
      </c>
    </row>
    <row r="139" spans="1:15">
      <c r="A139" s="163">
        <v>46184</v>
      </c>
      <c r="B139" s="179" t="s">
        <v>87</v>
      </c>
      <c r="C139" s="191">
        <v>0.36</v>
      </c>
      <c r="D139" s="191">
        <v>0.98</v>
      </c>
      <c r="E139" s="144">
        <v>291.59</v>
      </c>
      <c r="F139" s="10">
        <f t="shared" si="9"/>
        <v>266.6</v>
      </c>
      <c r="G139" s="10">
        <f t="shared" si="10"/>
        <v>24.99</v>
      </c>
      <c r="H139" s="110">
        <f t="shared" si="11"/>
        <v>0.89996227579821</v>
      </c>
      <c r="K139" s="144">
        <v>262.42</v>
      </c>
      <c r="L139" s="246">
        <f t="shared" si="12"/>
        <v>14464.44</v>
      </c>
      <c r="O139" s="150" t="s">
        <v>1659</v>
      </c>
    </row>
    <row r="140" spans="1:15">
      <c r="A140" s="163">
        <v>46184</v>
      </c>
      <c r="B140" s="179" t="s">
        <v>102</v>
      </c>
      <c r="C140" s="191">
        <v>0.36</v>
      </c>
      <c r="D140" s="191">
        <v>0.54</v>
      </c>
      <c r="E140" s="144">
        <v>83.902</v>
      </c>
      <c r="F140" s="10">
        <f t="shared" si="9"/>
        <v>77.4</v>
      </c>
      <c r="G140" s="10">
        <f t="shared" si="10"/>
        <v>6.502</v>
      </c>
      <c r="H140" s="110">
        <f t="shared" si="11"/>
        <v>0.899859359729208</v>
      </c>
      <c r="K140" s="144">
        <v>75.5</v>
      </c>
      <c r="L140" s="246">
        <f t="shared" si="12"/>
        <v>14388.94</v>
      </c>
      <c r="O140" s="150" t="s">
        <v>1659</v>
      </c>
    </row>
    <row r="141" spans="1:15">
      <c r="A141" s="163">
        <v>46184</v>
      </c>
      <c r="B141" s="179" t="s">
        <v>57</v>
      </c>
      <c r="C141" s="191">
        <v>0.26</v>
      </c>
      <c r="D141" s="191">
        <v>0.98</v>
      </c>
      <c r="E141" s="144">
        <v>302.737</v>
      </c>
      <c r="F141" s="10">
        <f t="shared" si="9"/>
        <v>309.6</v>
      </c>
      <c r="G141" s="10">
        <f t="shared" si="10"/>
        <v>-6.863</v>
      </c>
      <c r="H141" s="110">
        <f t="shared" si="11"/>
        <v>0.899956067477712</v>
      </c>
      <c r="K141" s="144">
        <v>272.45</v>
      </c>
      <c r="L141" s="246">
        <f t="shared" si="12"/>
        <v>14116.49</v>
      </c>
      <c r="O141" s="150" t="s">
        <v>1659</v>
      </c>
    </row>
    <row r="142" spans="1:15">
      <c r="A142" s="163">
        <v>46184</v>
      </c>
      <c r="B142" s="179" t="s">
        <v>69</v>
      </c>
      <c r="C142" s="191">
        <v>0.33</v>
      </c>
      <c r="D142" s="191">
        <v>1</v>
      </c>
      <c r="E142" s="144">
        <v>307.809</v>
      </c>
      <c r="F142" s="10">
        <f t="shared" si="9"/>
        <v>288.1</v>
      </c>
      <c r="G142" s="10">
        <f t="shared" si="10"/>
        <v>19.709</v>
      </c>
      <c r="H142" s="110">
        <f t="shared" si="11"/>
        <v>0.899973684979971</v>
      </c>
      <c r="K142" s="144">
        <v>277.02</v>
      </c>
      <c r="L142" s="246">
        <f t="shared" si="12"/>
        <v>13839.47</v>
      </c>
      <c r="O142" s="150" t="s">
        <v>1659</v>
      </c>
    </row>
    <row r="143" spans="1:15">
      <c r="A143" s="163">
        <v>46184</v>
      </c>
      <c r="B143" s="179" t="s">
        <v>127</v>
      </c>
      <c r="C143" s="191">
        <v>0.48</v>
      </c>
      <c r="D143" s="191">
        <v>0.99</v>
      </c>
      <c r="E143" s="144">
        <v>219.816</v>
      </c>
      <c r="F143" s="10">
        <f t="shared" si="9"/>
        <v>219.3</v>
      </c>
      <c r="G143" s="10">
        <f t="shared" si="10"/>
        <v>0.515999999999991</v>
      </c>
      <c r="H143" s="110">
        <f t="shared" si="11"/>
        <v>0.899979983258726</v>
      </c>
      <c r="K143" s="144">
        <v>197.83</v>
      </c>
      <c r="L143" s="246">
        <f t="shared" si="12"/>
        <v>13641.64</v>
      </c>
      <c r="O143" s="150" t="s">
        <v>1659</v>
      </c>
    </row>
    <row r="144" spans="1:15">
      <c r="A144" s="163">
        <v>46184</v>
      </c>
      <c r="B144" s="179" t="s">
        <v>117</v>
      </c>
      <c r="C144" s="191">
        <v>0.42</v>
      </c>
      <c r="D144" s="191">
        <v>0.96</v>
      </c>
      <c r="E144" s="144">
        <v>230.58</v>
      </c>
      <c r="F144" s="10">
        <f t="shared" si="9"/>
        <v>232.2</v>
      </c>
      <c r="G144" s="10">
        <f t="shared" si="10"/>
        <v>-1.61999999999998</v>
      </c>
      <c r="H144" s="110">
        <f t="shared" si="11"/>
        <v>0.899947957325006</v>
      </c>
      <c r="K144" s="144">
        <v>207.51</v>
      </c>
      <c r="L144" s="246">
        <f t="shared" si="12"/>
        <v>13434.13</v>
      </c>
      <c r="O144" s="150" t="s">
        <v>1659</v>
      </c>
    </row>
    <row r="145" spans="1:15">
      <c r="A145" s="163">
        <v>46184</v>
      </c>
      <c r="B145" s="179" t="s">
        <v>148</v>
      </c>
      <c r="C145" s="191">
        <v>0.39</v>
      </c>
      <c r="D145" s="191">
        <v>0.99</v>
      </c>
      <c r="E145" s="144">
        <v>274.761</v>
      </c>
      <c r="F145" s="10">
        <f t="shared" si="9"/>
        <v>258</v>
      </c>
      <c r="G145" s="10">
        <f t="shared" si="10"/>
        <v>16.761</v>
      </c>
      <c r="H145" s="110">
        <f t="shared" si="11"/>
        <v>0.899945771051932</v>
      </c>
      <c r="K145" s="144">
        <v>247.27</v>
      </c>
      <c r="L145" s="246">
        <f t="shared" si="12"/>
        <v>13186.86</v>
      </c>
      <c r="O145" s="150" t="s">
        <v>1659</v>
      </c>
    </row>
    <row r="146" spans="1:15">
      <c r="A146" s="163">
        <v>46184</v>
      </c>
      <c r="B146" s="179" t="s">
        <v>166</v>
      </c>
      <c r="C146" s="191">
        <v>0.24</v>
      </c>
      <c r="D146" s="191">
        <v>1</v>
      </c>
      <c r="E146" s="144">
        <v>338.74</v>
      </c>
      <c r="F146" s="10">
        <f t="shared" si="9"/>
        <v>326.8</v>
      </c>
      <c r="G146" s="10">
        <f t="shared" si="10"/>
        <v>11.94</v>
      </c>
      <c r="H146" s="110">
        <f t="shared" si="11"/>
        <v>0.899952766133318</v>
      </c>
      <c r="K146" s="144">
        <v>304.85</v>
      </c>
      <c r="L146" s="246">
        <f t="shared" si="12"/>
        <v>12882.01</v>
      </c>
      <c r="O146" s="150" t="s">
        <v>1659</v>
      </c>
    </row>
    <row r="147" spans="1:15">
      <c r="A147" s="163">
        <v>46184</v>
      </c>
      <c r="B147" s="179" t="s">
        <v>111</v>
      </c>
      <c r="C147" s="191">
        <v>0.22</v>
      </c>
      <c r="D147" s="191">
        <v>0.82</v>
      </c>
      <c r="E147" s="144">
        <v>245.246</v>
      </c>
      <c r="F147" s="10">
        <f t="shared" si="9"/>
        <v>258</v>
      </c>
      <c r="G147" s="10">
        <f t="shared" si="10"/>
        <v>-12.754</v>
      </c>
      <c r="H147" s="110">
        <f t="shared" si="11"/>
        <v>0.899953516061424</v>
      </c>
      <c r="K147" s="144">
        <v>220.71</v>
      </c>
      <c r="L147" s="246">
        <f t="shared" si="12"/>
        <v>12661.3</v>
      </c>
      <c r="O147" s="150" t="s">
        <v>1659</v>
      </c>
    </row>
    <row r="148" spans="1:15">
      <c r="A148" s="163">
        <v>46184</v>
      </c>
      <c r="B148" s="179" t="s">
        <v>180</v>
      </c>
      <c r="C148" s="191">
        <v>0.27</v>
      </c>
      <c r="D148" s="191">
        <v>0.53</v>
      </c>
      <c r="E148" s="144">
        <v>114.225</v>
      </c>
      <c r="F148" s="10">
        <f t="shared" si="9"/>
        <v>111.8</v>
      </c>
      <c r="G148" s="10">
        <f t="shared" si="10"/>
        <v>2.425</v>
      </c>
      <c r="H148" s="110">
        <f t="shared" si="11"/>
        <v>0.899978113372729</v>
      </c>
      <c r="K148" s="144">
        <v>102.8</v>
      </c>
      <c r="L148" s="246">
        <f t="shared" si="12"/>
        <v>12558.5</v>
      </c>
      <c r="O148" s="150" t="s">
        <v>1659</v>
      </c>
    </row>
    <row r="149" spans="1:15">
      <c r="A149" s="163">
        <v>46185</v>
      </c>
      <c r="B149" s="179" t="s">
        <v>338</v>
      </c>
      <c r="C149" s="191">
        <v>0.26</v>
      </c>
      <c r="D149" s="191">
        <v>1</v>
      </c>
      <c r="E149" s="144">
        <v>327.102</v>
      </c>
      <c r="F149" s="10">
        <f t="shared" si="9"/>
        <v>318.2</v>
      </c>
      <c r="G149" s="10">
        <f t="shared" si="10"/>
        <v>8.90199999999999</v>
      </c>
      <c r="H149" s="110">
        <f t="shared" si="11"/>
        <v>0.619959523329115</v>
      </c>
      <c r="K149" s="144">
        <v>202.79</v>
      </c>
      <c r="L149" s="246">
        <f t="shared" si="12"/>
        <v>12355.71</v>
      </c>
      <c r="O149" s="150" t="s">
        <v>1659</v>
      </c>
    </row>
    <row r="150" spans="1:15">
      <c r="A150" s="163">
        <v>46185</v>
      </c>
      <c r="B150" s="179" t="s">
        <v>160</v>
      </c>
      <c r="C150" s="191">
        <v>0.27</v>
      </c>
      <c r="D150" s="191">
        <v>0.52</v>
      </c>
      <c r="E150" s="144">
        <v>115.234</v>
      </c>
      <c r="F150" s="10">
        <f t="shared" si="9"/>
        <v>107.5</v>
      </c>
      <c r="G150" s="10">
        <f t="shared" si="10"/>
        <v>7.73399999999999</v>
      </c>
      <c r="H150" s="110">
        <f t="shared" si="11"/>
        <v>0.619955915788743</v>
      </c>
      <c r="K150" s="144">
        <v>71.44</v>
      </c>
      <c r="L150" s="246">
        <f t="shared" si="12"/>
        <v>12284.27</v>
      </c>
      <c r="O150" s="150" t="s">
        <v>1659</v>
      </c>
    </row>
    <row r="151" spans="1:15">
      <c r="A151" s="163">
        <v>46185</v>
      </c>
      <c r="B151" s="179" t="s">
        <v>81</v>
      </c>
      <c r="C151" s="191">
        <v>0.36</v>
      </c>
      <c r="D151" s="191">
        <v>0.98</v>
      </c>
      <c r="E151" s="144">
        <v>305.582</v>
      </c>
      <c r="F151" s="10">
        <f t="shared" si="9"/>
        <v>266.6</v>
      </c>
      <c r="G151" s="10">
        <f t="shared" si="10"/>
        <v>38.982</v>
      </c>
      <c r="H151" s="110">
        <f t="shared" si="11"/>
        <v>0.899954840272006</v>
      </c>
      <c r="K151" s="144">
        <v>275.01</v>
      </c>
      <c r="L151" s="246">
        <f t="shared" si="12"/>
        <v>12009.26</v>
      </c>
      <c r="O151" s="150" t="s">
        <v>1659</v>
      </c>
    </row>
    <row r="152" spans="1:15">
      <c r="A152" s="163">
        <v>46185</v>
      </c>
      <c r="B152" s="179" t="s">
        <v>57</v>
      </c>
      <c r="C152" s="191">
        <v>0.36</v>
      </c>
      <c r="D152" s="191">
        <v>0.95</v>
      </c>
      <c r="E152" s="144">
        <v>242.702</v>
      </c>
      <c r="F152" s="10">
        <f t="shared" si="9"/>
        <v>253.7</v>
      </c>
      <c r="G152" s="10">
        <f t="shared" si="10"/>
        <v>-10.998</v>
      </c>
      <c r="H152" s="110">
        <f t="shared" si="11"/>
        <v>0.870697398455719</v>
      </c>
      <c r="K152" s="144">
        <v>211.32</v>
      </c>
      <c r="L152" s="246">
        <f t="shared" si="12"/>
        <v>11797.94</v>
      </c>
      <c r="O152" s="150" t="s">
        <v>1659</v>
      </c>
    </row>
    <row r="153" spans="1:15">
      <c r="A153" s="163">
        <v>46185</v>
      </c>
      <c r="B153" s="179" t="s">
        <v>111</v>
      </c>
      <c r="C153" s="191">
        <v>0.32</v>
      </c>
      <c r="D153" s="191">
        <v>0.92</v>
      </c>
      <c r="E153" s="144">
        <v>246.726</v>
      </c>
      <c r="F153" s="10">
        <f t="shared" si="9"/>
        <v>258</v>
      </c>
      <c r="G153" s="10">
        <f t="shared" si="10"/>
        <v>-11.274</v>
      </c>
      <c r="H153" s="110">
        <f t="shared" si="11"/>
        <v>0.863022137918177</v>
      </c>
      <c r="K153" s="144">
        <v>212.93</v>
      </c>
      <c r="L153" s="246">
        <f t="shared" si="12"/>
        <v>11585.01</v>
      </c>
      <c r="O153" s="150" t="s">
        <v>1659</v>
      </c>
    </row>
    <row r="154" spans="1:15">
      <c r="A154" s="163">
        <v>46185</v>
      </c>
      <c r="B154" s="179" t="s">
        <v>51</v>
      </c>
      <c r="C154" s="191">
        <v>0.35</v>
      </c>
      <c r="D154" s="191">
        <v>0.94</v>
      </c>
      <c r="E154" s="144">
        <v>243.058</v>
      </c>
      <c r="F154" s="10">
        <f t="shared" si="9"/>
        <v>253.7</v>
      </c>
      <c r="G154" s="10">
        <f t="shared" si="10"/>
        <v>-10.642</v>
      </c>
      <c r="H154" s="110">
        <f t="shared" si="11"/>
        <v>0.834368751491414</v>
      </c>
      <c r="K154" s="144">
        <v>202.8</v>
      </c>
      <c r="L154" s="246">
        <f t="shared" si="12"/>
        <v>11382.21</v>
      </c>
      <c r="O154" s="150" t="s">
        <v>1659</v>
      </c>
    </row>
    <row r="155" spans="1:15">
      <c r="A155" s="163">
        <v>46185</v>
      </c>
      <c r="B155" s="179" t="s">
        <v>78</v>
      </c>
      <c r="C155" s="191">
        <v>0.51</v>
      </c>
      <c r="D155" s="191">
        <v>0.86</v>
      </c>
      <c r="E155" s="144">
        <v>163.859</v>
      </c>
      <c r="F155" s="10">
        <f t="shared" si="9"/>
        <v>150.5</v>
      </c>
      <c r="G155" s="10">
        <f t="shared" si="10"/>
        <v>13.359</v>
      </c>
      <c r="H155" s="110">
        <f t="shared" si="11"/>
        <v>0.830287015055627</v>
      </c>
      <c r="K155" s="144">
        <v>136.05</v>
      </c>
      <c r="L155" s="246">
        <f t="shared" si="12"/>
        <v>11246.16</v>
      </c>
      <c r="O155" s="150" t="s">
        <v>1659</v>
      </c>
    </row>
    <row r="156" spans="1:15">
      <c r="A156" s="163">
        <v>46185</v>
      </c>
      <c r="B156" s="179" t="s">
        <v>163</v>
      </c>
      <c r="C156" s="191">
        <v>0.23</v>
      </c>
      <c r="D156" s="191">
        <v>0.94</v>
      </c>
      <c r="E156" s="144">
        <v>314.644</v>
      </c>
      <c r="F156" s="10">
        <f t="shared" si="9"/>
        <v>305.3</v>
      </c>
      <c r="G156" s="10">
        <f t="shared" si="10"/>
        <v>9.34399999999999</v>
      </c>
      <c r="H156" s="110">
        <f t="shared" si="11"/>
        <v>0.830684837467106</v>
      </c>
      <c r="K156" s="144">
        <v>261.37</v>
      </c>
      <c r="L156" s="246">
        <f t="shared" si="12"/>
        <v>10984.79</v>
      </c>
      <c r="O156" s="150" t="s">
        <v>1659</v>
      </c>
    </row>
    <row r="157" spans="1:15">
      <c r="A157" s="163">
        <v>46185</v>
      </c>
      <c r="B157" s="179" t="s">
        <v>144</v>
      </c>
      <c r="C157" s="191">
        <v>0.2</v>
      </c>
      <c r="D157" s="191">
        <v>1</v>
      </c>
      <c r="E157" s="144">
        <v>352.164</v>
      </c>
      <c r="F157" s="10">
        <f t="shared" si="9"/>
        <v>344</v>
      </c>
      <c r="G157" s="10">
        <f t="shared" si="10"/>
        <v>8.16399999999999</v>
      </c>
      <c r="H157" s="110">
        <f t="shared" si="11"/>
        <v>0.899950023284606</v>
      </c>
      <c r="K157" s="144">
        <v>316.93</v>
      </c>
      <c r="L157" s="246">
        <f t="shared" si="12"/>
        <v>10667.86</v>
      </c>
      <c r="O157" s="150" t="s">
        <v>1659</v>
      </c>
    </row>
    <row r="158" spans="1:15">
      <c r="A158" s="163">
        <v>46185</v>
      </c>
      <c r="B158" s="179" t="s">
        <v>141</v>
      </c>
      <c r="C158" s="191">
        <v>0.2</v>
      </c>
      <c r="D158" s="191">
        <v>1</v>
      </c>
      <c r="E158" s="144">
        <v>354.214</v>
      </c>
      <c r="F158" s="10">
        <f t="shared" si="9"/>
        <v>344</v>
      </c>
      <c r="G158" s="10">
        <f t="shared" si="10"/>
        <v>10.214</v>
      </c>
      <c r="H158" s="110">
        <f t="shared" si="11"/>
        <v>0.899992659804525</v>
      </c>
      <c r="K158" s="144">
        <v>318.79</v>
      </c>
      <c r="L158" s="246">
        <f t="shared" si="12"/>
        <v>10349.07</v>
      </c>
      <c r="O158" s="150" t="s">
        <v>1659</v>
      </c>
    </row>
    <row r="159" spans="1:15">
      <c r="A159" s="163">
        <v>46185</v>
      </c>
      <c r="B159" s="179" t="s">
        <v>60</v>
      </c>
      <c r="C159" s="191">
        <v>0.27</v>
      </c>
      <c r="D159" s="191">
        <v>0.55</v>
      </c>
      <c r="E159" s="144">
        <v>119.988</v>
      </c>
      <c r="F159" s="10">
        <f t="shared" si="9"/>
        <v>120.4</v>
      </c>
      <c r="G159" s="10">
        <f t="shared" si="10"/>
        <v>-0.412000000000006</v>
      </c>
      <c r="H159" s="110">
        <f t="shared" si="11"/>
        <v>0.8998399839984</v>
      </c>
      <c r="K159" s="144">
        <v>107.97</v>
      </c>
      <c r="L159" s="246">
        <f t="shared" si="12"/>
        <v>10241.1</v>
      </c>
      <c r="O159" s="150" t="s">
        <v>1659</v>
      </c>
    </row>
    <row r="160" spans="1:15">
      <c r="A160" s="163">
        <v>46185</v>
      </c>
      <c r="B160" s="179" t="s">
        <v>60</v>
      </c>
      <c r="C160" s="191">
        <v>0.56</v>
      </c>
      <c r="D160" s="191">
        <v>1</v>
      </c>
      <c r="E160" s="144">
        <v>183.014</v>
      </c>
      <c r="F160" s="10">
        <f t="shared" si="9"/>
        <v>189.2</v>
      </c>
      <c r="G160" s="10">
        <f t="shared" si="10"/>
        <v>-6.18599999999998</v>
      </c>
      <c r="H160" s="110">
        <f t="shared" si="11"/>
        <v>0.899985793436568</v>
      </c>
      <c r="K160" s="144">
        <v>164.71</v>
      </c>
      <c r="L160" s="246">
        <f t="shared" si="12"/>
        <v>10076.39</v>
      </c>
      <c r="O160" s="150" t="s">
        <v>1659</v>
      </c>
    </row>
    <row r="161" spans="1:15">
      <c r="A161" s="163">
        <v>46185</v>
      </c>
      <c r="B161" s="179" t="s">
        <v>180</v>
      </c>
      <c r="C161" s="191">
        <v>0.29</v>
      </c>
      <c r="D161" s="191">
        <v>1</v>
      </c>
      <c r="E161" s="144">
        <v>307.278</v>
      </c>
      <c r="F161" s="10">
        <f t="shared" si="9"/>
        <v>305.3</v>
      </c>
      <c r="G161" s="10">
        <f t="shared" si="10"/>
        <v>1.97800000000001</v>
      </c>
      <c r="H161" s="110">
        <f t="shared" si="11"/>
        <v>0.899966805303341</v>
      </c>
      <c r="K161" s="144">
        <v>276.54</v>
      </c>
      <c r="L161" s="246">
        <f t="shared" si="12"/>
        <v>9799.85</v>
      </c>
      <c r="O161" s="150" t="s">
        <v>1659</v>
      </c>
    </row>
    <row r="162" spans="1:15">
      <c r="A162" s="163">
        <v>46185</v>
      </c>
      <c r="B162" s="179" t="s">
        <v>172</v>
      </c>
      <c r="C162" s="191">
        <v>0.29</v>
      </c>
      <c r="D162" s="191">
        <v>0.99</v>
      </c>
      <c r="E162" s="144">
        <v>288.17</v>
      </c>
      <c r="F162" s="10">
        <f t="shared" si="9"/>
        <v>301</v>
      </c>
      <c r="G162" s="10">
        <f t="shared" si="10"/>
        <v>-12.83</v>
      </c>
      <c r="H162" s="110">
        <f t="shared" si="11"/>
        <v>0.899954887739876</v>
      </c>
      <c r="K162" s="144">
        <v>259.34</v>
      </c>
      <c r="L162" s="246">
        <f t="shared" si="12"/>
        <v>9540.51</v>
      </c>
      <c r="O162" s="150" t="s">
        <v>1659</v>
      </c>
    </row>
    <row r="163" spans="1:15">
      <c r="A163" s="163">
        <v>46185</v>
      </c>
      <c r="B163" s="179" t="s">
        <v>166</v>
      </c>
      <c r="C163" s="191">
        <v>0.38</v>
      </c>
      <c r="D163" s="191">
        <v>0.97</v>
      </c>
      <c r="E163" s="144">
        <v>262.693</v>
      </c>
      <c r="F163" s="10">
        <f t="shared" si="9"/>
        <v>253.7</v>
      </c>
      <c r="G163" s="10">
        <f t="shared" si="10"/>
        <v>8.99299999999999</v>
      </c>
      <c r="H163" s="110">
        <f t="shared" si="11"/>
        <v>0.899947847868044</v>
      </c>
      <c r="K163" s="144">
        <v>236.41</v>
      </c>
      <c r="L163" s="246">
        <f t="shared" si="12"/>
        <v>9304.1</v>
      </c>
      <c r="O163" s="150" t="s">
        <v>1659</v>
      </c>
    </row>
    <row r="164" spans="1:15">
      <c r="A164" s="163">
        <v>46185</v>
      </c>
      <c r="B164" s="179" t="s">
        <v>105</v>
      </c>
      <c r="C164" s="191">
        <v>0.38</v>
      </c>
      <c r="D164" s="191">
        <v>1</v>
      </c>
      <c r="E164" s="144">
        <v>290.901</v>
      </c>
      <c r="F164" s="10">
        <f t="shared" si="9"/>
        <v>266.6</v>
      </c>
      <c r="G164" s="10">
        <f t="shared" si="10"/>
        <v>24.301</v>
      </c>
      <c r="H164" s="110">
        <f t="shared" si="11"/>
        <v>0.899962530207871</v>
      </c>
      <c r="K164" s="144">
        <v>261.8</v>
      </c>
      <c r="L164" s="246">
        <f t="shared" si="12"/>
        <v>9042.3</v>
      </c>
      <c r="O164" s="150" t="s">
        <v>1659</v>
      </c>
    </row>
    <row r="165" spans="1:15">
      <c r="A165" s="163">
        <v>46185</v>
      </c>
      <c r="B165" s="179" t="s">
        <v>130</v>
      </c>
      <c r="C165" s="191">
        <v>0.3</v>
      </c>
      <c r="D165" s="191">
        <v>1</v>
      </c>
      <c r="E165" s="144">
        <v>287.021</v>
      </c>
      <c r="F165" s="10">
        <f t="shared" si="9"/>
        <v>301</v>
      </c>
      <c r="G165" s="10">
        <f t="shared" si="10"/>
        <v>-13.979</v>
      </c>
      <c r="H165" s="110">
        <f t="shared" si="11"/>
        <v>0.89996899181593</v>
      </c>
      <c r="K165" s="144">
        <v>258.31</v>
      </c>
      <c r="L165" s="246">
        <f t="shared" si="12"/>
        <v>8783.99</v>
      </c>
      <c r="O165" s="150" t="s">
        <v>1659</v>
      </c>
    </row>
    <row r="166" spans="1:15">
      <c r="A166" s="163">
        <v>46185</v>
      </c>
      <c r="B166" s="179" t="s">
        <v>138</v>
      </c>
      <c r="C166" s="191">
        <v>0.29</v>
      </c>
      <c r="D166" s="191">
        <v>1</v>
      </c>
      <c r="E166" s="144">
        <v>317.146</v>
      </c>
      <c r="F166" s="10">
        <f t="shared" si="9"/>
        <v>305.3</v>
      </c>
      <c r="G166" s="10">
        <f t="shared" si="10"/>
        <v>11.846</v>
      </c>
      <c r="H166" s="110">
        <f t="shared" si="11"/>
        <v>0.899964054410272</v>
      </c>
      <c r="K166" s="144">
        <v>285.42</v>
      </c>
      <c r="L166" s="246">
        <f t="shared" si="12"/>
        <v>8498.57</v>
      </c>
      <c r="O166" s="150" t="s">
        <v>1659</v>
      </c>
    </row>
    <row r="167" spans="1:15">
      <c r="A167" s="163">
        <v>46185</v>
      </c>
      <c r="B167" s="179" t="s">
        <v>138</v>
      </c>
      <c r="C167" s="191">
        <v>0.99</v>
      </c>
      <c r="D167" s="191">
        <v>0.99</v>
      </c>
      <c r="E167" s="144">
        <v>0.036</v>
      </c>
      <c r="F167" s="10">
        <f t="shared" si="9"/>
        <v>0</v>
      </c>
      <c r="G167" s="10">
        <f t="shared" si="10"/>
        <v>0.036</v>
      </c>
      <c r="H167" s="110">
        <f t="shared" si="11"/>
        <v>0.833333333333333</v>
      </c>
      <c r="K167" s="144">
        <v>0.03</v>
      </c>
      <c r="L167" s="246">
        <f t="shared" si="12"/>
        <v>8498.54</v>
      </c>
      <c r="O167" s="150" t="s">
        <v>1659</v>
      </c>
    </row>
    <row r="168" spans="1:15">
      <c r="A168" s="163">
        <v>46185</v>
      </c>
      <c r="B168" s="179" t="s">
        <v>138</v>
      </c>
      <c r="C168" s="191">
        <v>0.99</v>
      </c>
      <c r="D168" s="191">
        <v>0.99</v>
      </c>
      <c r="E168" s="144">
        <v>0.335</v>
      </c>
      <c r="F168" s="10">
        <f t="shared" si="9"/>
        <v>0</v>
      </c>
      <c r="G168" s="10">
        <f t="shared" si="10"/>
        <v>0.335</v>
      </c>
      <c r="H168" s="110">
        <f t="shared" si="11"/>
        <v>0.865671641791045</v>
      </c>
      <c r="K168" s="144">
        <v>0.29</v>
      </c>
      <c r="L168" s="246">
        <f t="shared" si="12"/>
        <v>8498.25</v>
      </c>
      <c r="O168" s="150" t="s">
        <v>1659</v>
      </c>
    </row>
    <row r="169" spans="1:15">
      <c r="A169" s="163">
        <v>46185</v>
      </c>
      <c r="B169" s="179" t="s">
        <v>338</v>
      </c>
      <c r="C169" s="191">
        <v>0.38</v>
      </c>
      <c r="D169" s="191">
        <v>0.99</v>
      </c>
      <c r="E169" s="144">
        <v>271.053</v>
      </c>
      <c r="F169" s="10">
        <f t="shared" si="9"/>
        <v>262.3</v>
      </c>
      <c r="G169" s="10">
        <f t="shared" si="10"/>
        <v>8.75299999999999</v>
      </c>
      <c r="H169" s="110">
        <f t="shared" si="11"/>
        <v>0.899971592271622</v>
      </c>
      <c r="K169" s="144">
        <v>243.94</v>
      </c>
      <c r="L169" s="246">
        <f t="shared" si="12"/>
        <v>8254.31</v>
      </c>
      <c r="O169" s="150" t="s">
        <v>1659</v>
      </c>
    </row>
    <row r="170" spans="1:15">
      <c r="A170" s="163">
        <v>46186</v>
      </c>
      <c r="B170" s="179" t="s">
        <v>163</v>
      </c>
      <c r="C170" s="191">
        <v>0.38</v>
      </c>
      <c r="D170" s="191">
        <v>0.93</v>
      </c>
      <c r="E170" s="144">
        <v>248.038</v>
      </c>
      <c r="F170" s="10">
        <f t="shared" si="9"/>
        <v>236.5</v>
      </c>
      <c r="G170" s="10">
        <f t="shared" si="10"/>
        <v>11.538</v>
      </c>
      <c r="H170" s="110">
        <f t="shared" si="11"/>
        <v>0.899983067110685</v>
      </c>
      <c r="K170" s="144">
        <v>223.23</v>
      </c>
      <c r="L170" s="246">
        <f t="shared" si="12"/>
        <v>8031.08</v>
      </c>
      <c r="O170" s="150" t="s">
        <v>1659</v>
      </c>
    </row>
    <row r="171" spans="1:15">
      <c r="A171" s="163">
        <v>46186</v>
      </c>
      <c r="B171" s="179" t="s">
        <v>114</v>
      </c>
      <c r="C171" s="191">
        <v>0.2</v>
      </c>
      <c r="D171" s="191">
        <v>0.99</v>
      </c>
      <c r="E171" s="144">
        <v>338.248</v>
      </c>
      <c r="F171" s="10">
        <f t="shared" si="9"/>
        <v>339.7</v>
      </c>
      <c r="G171" s="10">
        <f t="shared" si="10"/>
        <v>-1.452</v>
      </c>
      <c r="H171" s="110">
        <f t="shared" si="11"/>
        <v>0.899990539485821</v>
      </c>
      <c r="K171" s="144">
        <v>304.42</v>
      </c>
      <c r="L171" s="246">
        <f t="shared" si="12"/>
        <v>7726.66</v>
      </c>
      <c r="O171" s="150" t="s">
        <v>1659</v>
      </c>
    </row>
    <row r="172" spans="1:15">
      <c r="A172" s="163">
        <v>46186</v>
      </c>
      <c r="B172" s="179" t="s">
        <v>84</v>
      </c>
      <c r="C172" s="191">
        <v>0.36</v>
      </c>
      <c r="D172" s="191">
        <v>0.98</v>
      </c>
      <c r="E172" s="144">
        <v>306.525</v>
      </c>
      <c r="F172" s="10">
        <f t="shared" si="9"/>
        <v>266.6</v>
      </c>
      <c r="G172" s="10">
        <f t="shared" si="10"/>
        <v>39.925</v>
      </c>
      <c r="H172" s="110">
        <f t="shared" si="11"/>
        <v>0.899959220291983</v>
      </c>
      <c r="K172" s="144">
        <v>275.86</v>
      </c>
      <c r="L172" s="246">
        <f t="shared" si="12"/>
        <v>7450.8</v>
      </c>
      <c r="O172" s="150" t="s">
        <v>1659</v>
      </c>
    </row>
    <row r="173" spans="1:15">
      <c r="A173" s="163">
        <v>46186</v>
      </c>
      <c r="B173" s="179" t="s">
        <v>99</v>
      </c>
      <c r="C173" s="191">
        <v>0.37</v>
      </c>
      <c r="D173" s="191">
        <v>1</v>
      </c>
      <c r="E173" s="144">
        <v>296.995</v>
      </c>
      <c r="F173" s="10">
        <f t="shared" si="9"/>
        <v>270.9</v>
      </c>
      <c r="G173" s="10">
        <f t="shared" si="10"/>
        <v>26.095</v>
      </c>
      <c r="H173" s="110">
        <f t="shared" si="11"/>
        <v>0.899947810569201</v>
      </c>
      <c r="K173" s="144">
        <v>267.28</v>
      </c>
      <c r="L173" s="246">
        <f t="shared" si="12"/>
        <v>7183.52</v>
      </c>
      <c r="O173" s="150" t="s">
        <v>1659</v>
      </c>
    </row>
    <row r="174" spans="1:15">
      <c r="A174" s="163">
        <v>46186</v>
      </c>
      <c r="B174" s="179" t="s">
        <v>66</v>
      </c>
      <c r="C174" s="191">
        <v>0.39</v>
      </c>
      <c r="D174" s="191">
        <v>0.97</v>
      </c>
      <c r="E174" s="144">
        <v>287.353</v>
      </c>
      <c r="F174" s="10">
        <f t="shared" si="9"/>
        <v>249.4</v>
      </c>
      <c r="G174" s="10">
        <f t="shared" si="10"/>
        <v>37.953</v>
      </c>
      <c r="H174" s="110">
        <f t="shared" si="11"/>
        <v>0.899973203690235</v>
      </c>
      <c r="K174" s="144">
        <v>258.61</v>
      </c>
      <c r="L174" s="246">
        <f t="shared" si="12"/>
        <v>6924.91</v>
      </c>
      <c r="O174" s="150" t="s">
        <v>1659</v>
      </c>
    </row>
    <row r="175" spans="1:15">
      <c r="A175" s="163">
        <v>46186</v>
      </c>
      <c r="B175" s="179" t="s">
        <v>57</v>
      </c>
      <c r="C175" s="191">
        <v>0.26</v>
      </c>
      <c r="D175" s="191">
        <v>0.98</v>
      </c>
      <c r="E175" s="144">
        <v>301.255</v>
      </c>
      <c r="F175" s="10">
        <f t="shared" si="9"/>
        <v>309.6</v>
      </c>
      <c r="G175" s="10">
        <f t="shared" si="10"/>
        <v>-8.34500000000003</v>
      </c>
      <c r="H175" s="110">
        <f t="shared" si="11"/>
        <v>0.899968465253689</v>
      </c>
      <c r="K175" s="144">
        <v>271.12</v>
      </c>
      <c r="L175" s="246">
        <f t="shared" si="12"/>
        <v>6653.79</v>
      </c>
      <c r="O175" s="150" t="s">
        <v>1659</v>
      </c>
    </row>
    <row r="176" spans="1:15">
      <c r="A176" s="163">
        <v>46186</v>
      </c>
      <c r="B176" s="179" t="s">
        <v>51</v>
      </c>
      <c r="C176" s="191">
        <v>0.25</v>
      </c>
      <c r="D176" s="191">
        <v>0.99</v>
      </c>
      <c r="E176" s="144">
        <v>310.64</v>
      </c>
      <c r="F176" s="10">
        <f t="shared" si="9"/>
        <v>318.2</v>
      </c>
      <c r="G176" s="10">
        <f t="shared" si="10"/>
        <v>-7.56</v>
      </c>
      <c r="H176" s="110">
        <f t="shared" si="11"/>
        <v>0.899980685037342</v>
      </c>
      <c r="K176" s="144">
        <v>279.57</v>
      </c>
      <c r="L176" s="246">
        <f t="shared" si="12"/>
        <v>6374.22</v>
      </c>
      <c r="O176" s="150" t="s">
        <v>1659</v>
      </c>
    </row>
    <row r="177" spans="1:15">
      <c r="A177" s="163">
        <v>46187</v>
      </c>
      <c r="B177" s="179" t="s">
        <v>108</v>
      </c>
      <c r="C177" s="191">
        <v>0.46</v>
      </c>
      <c r="D177" s="191">
        <v>1</v>
      </c>
      <c r="E177" s="144">
        <v>261.591</v>
      </c>
      <c r="F177" s="10">
        <f t="shared" si="9"/>
        <v>232.2</v>
      </c>
      <c r="G177" s="10">
        <f t="shared" si="10"/>
        <v>29.391</v>
      </c>
      <c r="H177" s="110">
        <f t="shared" si="11"/>
        <v>0.769942390984399</v>
      </c>
      <c r="J177" s="144">
        <v>20000</v>
      </c>
      <c r="K177" s="144">
        <v>201.41</v>
      </c>
      <c r="L177" s="246">
        <f t="shared" si="12"/>
        <v>26172.81</v>
      </c>
      <c r="O177" s="150" t="s">
        <v>1659</v>
      </c>
    </row>
    <row r="178" spans="1:15">
      <c r="A178" s="163">
        <v>46187</v>
      </c>
      <c r="B178" s="179" t="s">
        <v>135</v>
      </c>
      <c r="C178" s="191">
        <v>0.39</v>
      </c>
      <c r="D178" s="191">
        <v>0.99</v>
      </c>
      <c r="E178" s="144">
        <v>273.8</v>
      </c>
      <c r="F178" s="10">
        <f t="shared" si="9"/>
        <v>258</v>
      </c>
      <c r="G178" s="10">
        <f t="shared" si="10"/>
        <v>15.8</v>
      </c>
      <c r="H178" s="110">
        <f t="shared" si="11"/>
        <v>0.769576333089847</v>
      </c>
      <c r="K178" s="144">
        <v>210.71</v>
      </c>
      <c r="L178" s="246">
        <f t="shared" si="12"/>
        <v>25962.1</v>
      </c>
      <c r="O178" s="150" t="s">
        <v>1659</v>
      </c>
    </row>
    <row r="179" spans="1:15">
      <c r="A179" s="163">
        <v>46187</v>
      </c>
      <c r="B179" s="179" t="s">
        <v>81</v>
      </c>
      <c r="C179" s="191">
        <v>0.28</v>
      </c>
      <c r="D179" s="191">
        <v>0.98</v>
      </c>
      <c r="E179" s="144">
        <v>335.598</v>
      </c>
      <c r="F179" s="10">
        <f t="shared" si="9"/>
        <v>301</v>
      </c>
      <c r="G179" s="10">
        <f t="shared" si="10"/>
        <v>34.598</v>
      </c>
      <c r="H179" s="110">
        <f t="shared" si="11"/>
        <v>0.61996793783038</v>
      </c>
      <c r="K179" s="144">
        <v>208.06</v>
      </c>
      <c r="L179" s="246">
        <f t="shared" si="12"/>
        <v>25754.04</v>
      </c>
      <c r="O179" s="150" t="s">
        <v>1659</v>
      </c>
    </row>
    <row r="180" spans="1:15">
      <c r="A180" s="163">
        <v>46187</v>
      </c>
      <c r="B180" s="179" t="s">
        <v>130</v>
      </c>
      <c r="C180" s="191">
        <v>0.39</v>
      </c>
      <c r="D180" s="191">
        <v>0.99</v>
      </c>
      <c r="E180" s="144">
        <v>256.039</v>
      </c>
      <c r="F180" s="10">
        <f t="shared" si="9"/>
        <v>258</v>
      </c>
      <c r="G180" s="10">
        <f t="shared" si="10"/>
        <v>-1.96100000000001</v>
      </c>
      <c r="H180" s="110">
        <f t="shared" si="11"/>
        <v>0.769960826280371</v>
      </c>
      <c r="K180" s="144">
        <v>197.14</v>
      </c>
      <c r="L180" s="246">
        <f t="shared" si="12"/>
        <v>25556.9</v>
      </c>
      <c r="O180" s="150" t="s">
        <v>1659</v>
      </c>
    </row>
    <row r="181" spans="1:15">
      <c r="A181" s="163">
        <v>46187</v>
      </c>
      <c r="B181" s="179" t="s">
        <v>138</v>
      </c>
      <c r="C181" s="191">
        <v>0.36</v>
      </c>
      <c r="D181" s="191">
        <v>0.99</v>
      </c>
      <c r="E181" s="144">
        <v>284.203</v>
      </c>
      <c r="F181" s="10">
        <f t="shared" si="9"/>
        <v>270.9</v>
      </c>
      <c r="G181" s="10">
        <f t="shared" si="10"/>
        <v>13.303</v>
      </c>
      <c r="H181" s="110">
        <f t="shared" si="11"/>
        <v>0.769977797560195</v>
      </c>
      <c r="K181" s="144">
        <v>218.83</v>
      </c>
      <c r="L181" s="246">
        <f t="shared" si="12"/>
        <v>25338.07</v>
      </c>
      <c r="O181" s="150" t="s">
        <v>1659</v>
      </c>
    </row>
    <row r="182" spans="1:15">
      <c r="A182" s="163">
        <v>46187</v>
      </c>
      <c r="B182" s="179" t="s">
        <v>78</v>
      </c>
      <c r="C182" s="191">
        <v>0.31</v>
      </c>
      <c r="D182" s="191">
        <v>0.98</v>
      </c>
      <c r="E182" s="144">
        <v>309.932</v>
      </c>
      <c r="F182" s="10">
        <f t="shared" si="9"/>
        <v>288.1</v>
      </c>
      <c r="G182" s="10">
        <f t="shared" si="10"/>
        <v>21.832</v>
      </c>
      <c r="H182" s="110">
        <f t="shared" si="11"/>
        <v>0.899971606675013</v>
      </c>
      <c r="K182" s="144">
        <v>278.93</v>
      </c>
      <c r="L182" s="246">
        <f t="shared" si="12"/>
        <v>25059.14</v>
      </c>
      <c r="O182" s="150" t="s">
        <v>1659</v>
      </c>
    </row>
    <row r="183" spans="1:15">
      <c r="A183" s="163">
        <v>46187</v>
      </c>
      <c r="B183" s="179" t="s">
        <v>151</v>
      </c>
      <c r="C183" s="191">
        <v>0.33</v>
      </c>
      <c r="D183" s="191">
        <v>0.93</v>
      </c>
      <c r="E183" s="144">
        <v>271.574</v>
      </c>
      <c r="F183" s="10">
        <f t="shared" si="9"/>
        <v>258</v>
      </c>
      <c r="G183" s="10">
        <f t="shared" si="10"/>
        <v>13.574</v>
      </c>
      <c r="H183" s="110">
        <f t="shared" si="11"/>
        <v>0.899938874855472</v>
      </c>
      <c r="K183" s="144">
        <v>244.4</v>
      </c>
      <c r="L183" s="246">
        <f t="shared" si="12"/>
        <v>24814.74</v>
      </c>
      <c r="O183" s="150" t="s">
        <v>1659</v>
      </c>
    </row>
    <row r="184" spans="1:15">
      <c r="A184" s="163">
        <v>46187</v>
      </c>
      <c r="B184" s="179" t="s">
        <v>144</v>
      </c>
      <c r="C184" s="191">
        <v>0.21</v>
      </c>
      <c r="D184" s="191">
        <v>1</v>
      </c>
      <c r="E184" s="144">
        <v>351.154</v>
      </c>
      <c r="F184" s="10">
        <f t="shared" si="9"/>
        <v>339.7</v>
      </c>
      <c r="G184" s="10">
        <f t="shared" si="10"/>
        <v>11.454</v>
      </c>
      <c r="H184" s="110">
        <f t="shared" si="11"/>
        <v>0.8134607608058</v>
      </c>
      <c r="K184" s="144">
        <v>285.65</v>
      </c>
      <c r="L184" s="246">
        <f t="shared" si="12"/>
        <v>24529.09</v>
      </c>
      <c r="O184" s="150" t="s">
        <v>1659</v>
      </c>
    </row>
    <row r="185" spans="1:15">
      <c r="A185" s="163">
        <v>46187</v>
      </c>
      <c r="B185" s="179" t="s">
        <v>141</v>
      </c>
      <c r="C185" s="191">
        <v>0.2</v>
      </c>
      <c r="D185" s="191">
        <v>0.99</v>
      </c>
      <c r="E185" s="144">
        <v>355.386</v>
      </c>
      <c r="F185" s="10">
        <f t="shared" si="9"/>
        <v>339.7</v>
      </c>
      <c r="G185" s="10">
        <f t="shared" si="10"/>
        <v>15.686</v>
      </c>
      <c r="H185" s="110">
        <f t="shared" si="11"/>
        <v>0.815957859904442</v>
      </c>
      <c r="K185" s="144">
        <v>289.98</v>
      </c>
      <c r="L185" s="246">
        <f t="shared" si="12"/>
        <v>24239.11</v>
      </c>
      <c r="O185" s="150" t="s">
        <v>1659</v>
      </c>
    </row>
    <row r="186" spans="1:15">
      <c r="A186" s="163">
        <v>46187</v>
      </c>
      <c r="B186" s="179" t="s">
        <v>60</v>
      </c>
      <c r="C186" s="191">
        <v>0.31</v>
      </c>
      <c r="D186" s="191">
        <v>1</v>
      </c>
      <c r="E186" s="144">
        <v>286.892</v>
      </c>
      <c r="F186" s="10">
        <f t="shared" si="9"/>
        <v>296.7</v>
      </c>
      <c r="G186" s="10">
        <f t="shared" si="10"/>
        <v>-9.80799999999999</v>
      </c>
      <c r="H186" s="110">
        <f t="shared" si="11"/>
        <v>0.899955383907533</v>
      </c>
      <c r="K186" s="144">
        <v>258.19</v>
      </c>
      <c r="L186" s="246">
        <f t="shared" si="12"/>
        <v>23980.92</v>
      </c>
      <c r="O186" s="150" t="s">
        <v>1659</v>
      </c>
    </row>
    <row r="187" spans="1:15">
      <c r="A187" s="163">
        <v>46187</v>
      </c>
      <c r="B187" s="179" t="s">
        <v>99</v>
      </c>
      <c r="C187" s="191">
        <v>0.34</v>
      </c>
      <c r="D187" s="191">
        <v>0.91</v>
      </c>
      <c r="E187" s="144">
        <v>268.609</v>
      </c>
      <c r="F187" s="10">
        <f t="shared" si="9"/>
        <v>245.1</v>
      </c>
      <c r="G187" s="10">
        <f t="shared" si="10"/>
        <v>23.509</v>
      </c>
      <c r="H187" s="110">
        <f t="shared" si="11"/>
        <v>0.899969844644074</v>
      </c>
      <c r="K187" s="144">
        <v>241.74</v>
      </c>
      <c r="L187" s="246">
        <f t="shared" si="12"/>
        <v>23739.18</v>
      </c>
      <c r="O187" s="150" t="s">
        <v>1659</v>
      </c>
    </row>
    <row r="188" spans="1:15">
      <c r="A188" s="163">
        <v>46187</v>
      </c>
      <c r="B188" s="179" t="s">
        <v>172</v>
      </c>
      <c r="C188" s="191">
        <v>0.42</v>
      </c>
      <c r="D188" s="191">
        <v>0.99</v>
      </c>
      <c r="E188" s="144">
        <v>241.286</v>
      </c>
      <c r="F188" s="10">
        <f t="shared" si="9"/>
        <v>245.1</v>
      </c>
      <c r="G188" s="10">
        <f t="shared" si="10"/>
        <v>-3.81399999999999</v>
      </c>
      <c r="H188" s="110">
        <f t="shared" si="11"/>
        <v>0.899969331001384</v>
      </c>
      <c r="K188" s="144">
        <v>217.15</v>
      </c>
      <c r="L188" s="246">
        <f t="shared" si="12"/>
        <v>23522.03</v>
      </c>
      <c r="O188" s="150" t="s">
        <v>1659</v>
      </c>
    </row>
    <row r="189" spans="1:15">
      <c r="A189" s="163">
        <v>46187</v>
      </c>
      <c r="B189" s="179" t="s">
        <v>72</v>
      </c>
      <c r="C189" s="191">
        <v>0.36</v>
      </c>
      <c r="D189" s="191">
        <v>0.98</v>
      </c>
      <c r="E189" s="144">
        <v>296.447</v>
      </c>
      <c r="F189" s="10">
        <f t="shared" si="9"/>
        <v>266.6</v>
      </c>
      <c r="G189" s="10">
        <f t="shared" si="10"/>
        <v>29.847</v>
      </c>
      <c r="H189" s="110">
        <f t="shared" si="11"/>
        <v>0.899958508603562</v>
      </c>
      <c r="K189" s="144">
        <v>266.79</v>
      </c>
      <c r="L189" s="246">
        <f t="shared" si="12"/>
        <v>23255.24</v>
      </c>
      <c r="O189" s="150" t="s">
        <v>1659</v>
      </c>
    </row>
    <row r="190" spans="1:15">
      <c r="A190" s="163">
        <v>46187</v>
      </c>
      <c r="B190" s="179" t="s">
        <v>105</v>
      </c>
      <c r="C190" s="191">
        <v>0.35</v>
      </c>
      <c r="D190" s="191">
        <v>0.98</v>
      </c>
      <c r="E190" s="144">
        <v>300.098</v>
      </c>
      <c r="F190" s="10">
        <f t="shared" si="9"/>
        <v>270.9</v>
      </c>
      <c r="G190" s="10">
        <f t="shared" si="10"/>
        <v>29.198</v>
      </c>
      <c r="H190" s="110">
        <f t="shared" si="11"/>
        <v>0.89997267559264</v>
      </c>
      <c r="K190" s="144">
        <v>270.08</v>
      </c>
      <c r="L190" s="246">
        <f t="shared" si="12"/>
        <v>22985.16</v>
      </c>
      <c r="O190" s="150" t="s">
        <v>1659</v>
      </c>
    </row>
    <row r="191" spans="1:15">
      <c r="A191" s="163">
        <v>46188</v>
      </c>
      <c r="B191" s="179" t="s">
        <v>93</v>
      </c>
      <c r="C191" s="255">
        <v>0.28</v>
      </c>
      <c r="D191" s="255">
        <v>1</v>
      </c>
      <c r="E191" s="180">
        <v>343.01</v>
      </c>
      <c r="F191" s="10">
        <f t="shared" si="9"/>
        <v>309.6</v>
      </c>
      <c r="G191" s="10">
        <f t="shared" si="10"/>
        <v>33.41</v>
      </c>
      <c r="H191" s="110">
        <f t="shared" si="11"/>
        <v>0.791288883706014</v>
      </c>
      <c r="K191" s="172">
        <v>271.42</v>
      </c>
      <c r="L191" s="246">
        <f t="shared" si="12"/>
        <v>22713.74</v>
      </c>
      <c r="O191" s="150" t="s">
        <v>1659</v>
      </c>
    </row>
    <row r="192" spans="1:15">
      <c r="A192" s="163">
        <v>46188</v>
      </c>
      <c r="B192" s="179" t="s">
        <v>84</v>
      </c>
      <c r="C192" s="255">
        <v>0.39</v>
      </c>
      <c r="D192" s="255">
        <v>0.98</v>
      </c>
      <c r="E192" s="180">
        <v>289.486</v>
      </c>
      <c r="F192" s="10">
        <f t="shared" si="9"/>
        <v>253.7</v>
      </c>
      <c r="G192" s="10">
        <f t="shared" si="10"/>
        <v>35.786</v>
      </c>
      <c r="H192" s="110">
        <f t="shared" si="11"/>
        <v>0.743455642069047</v>
      </c>
      <c r="K192" s="172">
        <v>215.22</v>
      </c>
      <c r="L192" s="246">
        <f t="shared" si="12"/>
        <v>22498.52</v>
      </c>
      <c r="O192" s="150" t="s">
        <v>1659</v>
      </c>
    </row>
    <row r="193" spans="1:15">
      <c r="A193" s="163">
        <v>46188</v>
      </c>
      <c r="B193" s="179" t="s">
        <v>166</v>
      </c>
      <c r="C193" s="255">
        <v>0.4</v>
      </c>
      <c r="D193" s="255">
        <v>1</v>
      </c>
      <c r="E193" s="180">
        <v>265.071</v>
      </c>
      <c r="F193" s="10">
        <f t="shared" si="9"/>
        <v>258</v>
      </c>
      <c r="G193" s="10">
        <f t="shared" si="10"/>
        <v>7.07100000000003</v>
      </c>
      <c r="H193" s="110">
        <f t="shared" si="11"/>
        <v>0.731690754552554</v>
      </c>
      <c r="K193" s="172">
        <v>193.95</v>
      </c>
      <c r="L193" s="246">
        <f t="shared" si="12"/>
        <v>22304.57</v>
      </c>
      <c r="O193" s="150" t="s">
        <v>1659</v>
      </c>
    </row>
    <row r="194" spans="1:15">
      <c r="A194" s="163">
        <v>46188</v>
      </c>
      <c r="B194" s="179" t="s">
        <v>138</v>
      </c>
      <c r="C194" s="255">
        <v>0.23</v>
      </c>
      <c r="D194" s="255">
        <v>1</v>
      </c>
      <c r="E194" s="180">
        <v>340.03</v>
      </c>
      <c r="F194" s="10">
        <f t="shared" si="9"/>
        <v>331.1</v>
      </c>
      <c r="G194" s="10">
        <f t="shared" si="10"/>
        <v>8.92999999999995</v>
      </c>
      <c r="H194" s="110">
        <f t="shared" si="11"/>
        <v>0.376113872305385</v>
      </c>
      <c r="K194" s="172">
        <v>127.89</v>
      </c>
      <c r="L194" s="246">
        <f t="shared" si="12"/>
        <v>22176.68</v>
      </c>
      <c r="O194" s="150" t="s">
        <v>1659</v>
      </c>
    </row>
    <row r="195" spans="1:15">
      <c r="A195" s="163">
        <v>46188</v>
      </c>
      <c r="B195" s="179" t="s">
        <v>138</v>
      </c>
      <c r="C195" s="255">
        <v>0.22</v>
      </c>
      <c r="D195" s="255">
        <v>0.22</v>
      </c>
      <c r="E195" s="180">
        <v>3.168</v>
      </c>
      <c r="F195" s="10">
        <f t="shared" ref="F195:F258" si="13">(D195-C195)*430</f>
        <v>0</v>
      </c>
      <c r="G195" s="10">
        <f t="shared" ref="G195:G258" si="14">E195-F195</f>
        <v>3.168</v>
      </c>
      <c r="H195" s="110">
        <f t="shared" ref="H195:H258" si="15">K195/E195</f>
        <v>74.7253787878788</v>
      </c>
      <c r="K195" s="172">
        <v>236.73</v>
      </c>
      <c r="L195" s="246">
        <f t="shared" ref="L195:L258" si="16">L194+J195-K195</f>
        <v>21939.95</v>
      </c>
      <c r="O195" s="150" t="s">
        <v>1659</v>
      </c>
    </row>
    <row r="196" spans="1:15">
      <c r="A196" s="163">
        <v>46188</v>
      </c>
      <c r="B196" s="179" t="s">
        <v>69</v>
      </c>
      <c r="C196" s="255">
        <v>0.34</v>
      </c>
      <c r="D196" s="255">
        <v>0.98</v>
      </c>
      <c r="E196" s="180">
        <v>314.429</v>
      </c>
      <c r="F196" s="10">
        <f t="shared" si="13"/>
        <v>275.2</v>
      </c>
      <c r="G196" s="10">
        <f t="shared" si="14"/>
        <v>39.229</v>
      </c>
      <c r="H196" s="110">
        <f t="shared" si="15"/>
        <v>0.752983980485261</v>
      </c>
      <c r="K196" s="172">
        <v>236.76</v>
      </c>
      <c r="L196" s="246">
        <f t="shared" si="16"/>
        <v>21703.19</v>
      </c>
      <c r="O196" s="150" t="s">
        <v>1659</v>
      </c>
    </row>
    <row r="197" spans="1:15">
      <c r="A197" s="163">
        <v>46188</v>
      </c>
      <c r="B197" s="179" t="s">
        <v>63</v>
      </c>
      <c r="C197" s="255">
        <v>0.41</v>
      </c>
      <c r="D197" s="255">
        <v>0.98</v>
      </c>
      <c r="E197" s="180">
        <v>278.174</v>
      </c>
      <c r="F197" s="10">
        <f t="shared" si="13"/>
        <v>245.1</v>
      </c>
      <c r="G197" s="10">
        <f t="shared" si="14"/>
        <v>33.074</v>
      </c>
      <c r="H197" s="110">
        <f t="shared" si="15"/>
        <v>0.899940325120249</v>
      </c>
      <c r="K197" s="172">
        <v>250.34</v>
      </c>
      <c r="L197" s="246">
        <f t="shared" si="16"/>
        <v>21452.85</v>
      </c>
      <c r="O197" s="150" t="s">
        <v>1659</v>
      </c>
    </row>
    <row r="198" spans="1:15">
      <c r="A198" s="163">
        <v>46188</v>
      </c>
      <c r="B198" s="179" t="s">
        <v>180</v>
      </c>
      <c r="C198" s="255">
        <v>0.36</v>
      </c>
      <c r="D198" s="255">
        <v>0.99</v>
      </c>
      <c r="E198" s="180">
        <v>283.969</v>
      </c>
      <c r="F198" s="10">
        <f t="shared" si="13"/>
        <v>270.9</v>
      </c>
      <c r="G198" s="10">
        <f t="shared" si="14"/>
        <v>13.069</v>
      </c>
      <c r="H198" s="110">
        <f t="shared" si="15"/>
        <v>0.996517225471795</v>
      </c>
      <c r="K198" s="172">
        <v>282.98</v>
      </c>
      <c r="L198" s="246">
        <f t="shared" si="16"/>
        <v>21169.87</v>
      </c>
      <c r="O198" s="150" t="s">
        <v>1659</v>
      </c>
    </row>
    <row r="199" spans="1:15">
      <c r="A199" s="163">
        <v>46188</v>
      </c>
      <c r="B199" s="179" t="s">
        <v>132</v>
      </c>
      <c r="C199" s="255">
        <v>0.41</v>
      </c>
      <c r="D199" s="255">
        <v>0.99</v>
      </c>
      <c r="E199" s="180">
        <v>263.038</v>
      </c>
      <c r="F199" s="10">
        <f t="shared" si="13"/>
        <v>249.4</v>
      </c>
      <c r="G199" s="10">
        <f t="shared" si="14"/>
        <v>13.638</v>
      </c>
      <c r="H199" s="110">
        <f t="shared" si="15"/>
        <v>0.0107969190763312</v>
      </c>
      <c r="K199" s="172">
        <v>2.84</v>
      </c>
      <c r="L199" s="246">
        <f t="shared" si="16"/>
        <v>21167.03</v>
      </c>
      <c r="O199" s="150" t="s">
        <v>1659</v>
      </c>
    </row>
    <row r="200" spans="1:15">
      <c r="A200" s="163">
        <v>46188</v>
      </c>
      <c r="B200" s="179" t="s">
        <v>78</v>
      </c>
      <c r="C200" s="255">
        <v>0.44</v>
      </c>
      <c r="D200" s="255">
        <v>0.74</v>
      </c>
      <c r="E200" s="180">
        <v>142.116</v>
      </c>
      <c r="F200" s="10">
        <f t="shared" si="13"/>
        <v>129</v>
      </c>
      <c r="G200" s="10">
        <f t="shared" si="14"/>
        <v>13.116</v>
      </c>
      <c r="H200" s="110">
        <f t="shared" si="15"/>
        <v>2.15331137943652</v>
      </c>
      <c r="K200" s="172">
        <v>306.02</v>
      </c>
      <c r="L200" s="246">
        <f t="shared" si="16"/>
        <v>20861.01</v>
      </c>
      <c r="O200" s="150" t="s">
        <v>1659</v>
      </c>
    </row>
    <row r="201" spans="1:15">
      <c r="A201" s="163">
        <v>46188</v>
      </c>
      <c r="B201" s="179" t="s">
        <v>195</v>
      </c>
      <c r="C201" s="255">
        <v>0.42</v>
      </c>
      <c r="D201" s="255">
        <v>0.95</v>
      </c>
      <c r="E201" s="180">
        <v>239.143</v>
      </c>
      <c r="F201" s="10">
        <f t="shared" si="13"/>
        <v>227.9</v>
      </c>
      <c r="G201" s="10">
        <f t="shared" si="14"/>
        <v>11.243</v>
      </c>
      <c r="H201" s="110">
        <f t="shared" si="15"/>
        <v>0.997562128099087</v>
      </c>
      <c r="K201" s="172">
        <v>238.56</v>
      </c>
      <c r="L201" s="246">
        <f t="shared" si="16"/>
        <v>20622.45</v>
      </c>
      <c r="O201" s="150" t="s">
        <v>1659</v>
      </c>
    </row>
    <row r="202" spans="1:15">
      <c r="A202" s="163">
        <v>46188</v>
      </c>
      <c r="B202" s="179" t="s">
        <v>189</v>
      </c>
      <c r="C202" s="255">
        <v>0.5</v>
      </c>
      <c r="D202" s="255">
        <v>0.98</v>
      </c>
      <c r="E202" s="180">
        <v>215.509</v>
      </c>
      <c r="F202" s="10">
        <f t="shared" si="13"/>
        <v>206.4</v>
      </c>
      <c r="G202" s="10">
        <f t="shared" si="14"/>
        <v>9.10899999999998</v>
      </c>
      <c r="H202" s="110">
        <f t="shared" si="15"/>
        <v>1.18060034615724</v>
      </c>
      <c r="K202" s="172">
        <v>254.43</v>
      </c>
      <c r="L202" s="246">
        <f t="shared" si="16"/>
        <v>20368.02</v>
      </c>
      <c r="O202" s="150" t="s">
        <v>1659</v>
      </c>
    </row>
    <row r="203" spans="1:15">
      <c r="A203" s="163">
        <v>46188</v>
      </c>
      <c r="B203" s="179" t="s">
        <v>166</v>
      </c>
      <c r="C203" s="255">
        <v>0.21</v>
      </c>
      <c r="D203" s="255">
        <v>1</v>
      </c>
      <c r="E203" s="180">
        <v>349.336</v>
      </c>
      <c r="F203" s="10">
        <f t="shared" si="13"/>
        <v>339.7</v>
      </c>
      <c r="G203" s="10">
        <f t="shared" si="14"/>
        <v>9.63600000000002</v>
      </c>
      <c r="H203" s="110">
        <f t="shared" si="15"/>
        <v>0.833581423042572</v>
      </c>
      <c r="K203" s="172">
        <v>291.2</v>
      </c>
      <c r="L203" s="246">
        <f t="shared" si="16"/>
        <v>20076.82</v>
      </c>
      <c r="O203" s="150" t="s">
        <v>1659</v>
      </c>
    </row>
    <row r="204" spans="1:15">
      <c r="A204" s="163">
        <v>46189</v>
      </c>
      <c r="B204" s="179" t="s">
        <v>57</v>
      </c>
      <c r="C204" s="191">
        <v>0.26</v>
      </c>
      <c r="D204" s="191">
        <v>1</v>
      </c>
      <c r="E204" s="144">
        <v>304.245</v>
      </c>
      <c r="F204" s="10">
        <f t="shared" si="13"/>
        <v>318.2</v>
      </c>
      <c r="G204" s="10">
        <f t="shared" si="14"/>
        <v>-13.955</v>
      </c>
      <c r="H204" s="110">
        <f t="shared" si="15"/>
        <v>0.00844713964075005</v>
      </c>
      <c r="K204" s="144">
        <v>2.57</v>
      </c>
      <c r="L204" s="246">
        <f t="shared" si="16"/>
        <v>20074.25</v>
      </c>
      <c r="O204" s="150" t="s">
        <v>1659</v>
      </c>
    </row>
    <row r="205" spans="1:15">
      <c r="A205" s="163">
        <v>46189</v>
      </c>
      <c r="B205" s="179" t="s">
        <v>151</v>
      </c>
      <c r="C205" s="191">
        <v>0.35</v>
      </c>
      <c r="D205" s="191">
        <v>0.92</v>
      </c>
      <c r="E205" s="144">
        <v>254.991</v>
      </c>
      <c r="F205" s="10">
        <f t="shared" si="13"/>
        <v>245.1</v>
      </c>
      <c r="G205" s="10">
        <f t="shared" si="14"/>
        <v>9.89100000000002</v>
      </c>
      <c r="H205" s="110">
        <f t="shared" si="15"/>
        <v>1.19337545246695</v>
      </c>
      <c r="K205" s="144">
        <v>304.3</v>
      </c>
      <c r="L205" s="246">
        <f t="shared" si="16"/>
        <v>19769.95</v>
      </c>
      <c r="O205" s="150" t="s">
        <v>1659</v>
      </c>
    </row>
    <row r="206" spans="1:15">
      <c r="A206" s="163">
        <v>46189</v>
      </c>
      <c r="B206" s="179" t="s">
        <v>93</v>
      </c>
      <c r="C206" s="191">
        <v>0.55</v>
      </c>
      <c r="D206" s="191">
        <v>1</v>
      </c>
      <c r="E206" s="144">
        <v>207.037</v>
      </c>
      <c r="F206" s="10">
        <f t="shared" si="13"/>
        <v>193.5</v>
      </c>
      <c r="G206" s="10">
        <f t="shared" si="14"/>
        <v>13.537</v>
      </c>
      <c r="H206" s="110">
        <f t="shared" si="15"/>
        <v>1.46287861589957</v>
      </c>
      <c r="K206" s="144">
        <v>302.87</v>
      </c>
      <c r="L206" s="246">
        <f t="shared" si="16"/>
        <v>19467.08</v>
      </c>
      <c r="O206" s="150" t="s">
        <v>1659</v>
      </c>
    </row>
    <row r="207" spans="1:15">
      <c r="A207" s="163">
        <v>46189</v>
      </c>
      <c r="B207" s="179" t="s">
        <v>90</v>
      </c>
      <c r="C207" s="191">
        <v>0.64</v>
      </c>
      <c r="D207" s="191">
        <v>1</v>
      </c>
      <c r="E207" s="144">
        <v>165.723</v>
      </c>
      <c r="F207" s="10">
        <f t="shared" si="13"/>
        <v>154.8</v>
      </c>
      <c r="G207" s="10">
        <f t="shared" si="14"/>
        <v>10.923</v>
      </c>
      <c r="H207" s="110">
        <f t="shared" si="15"/>
        <v>1.55434067691268</v>
      </c>
      <c r="K207" s="144">
        <v>257.59</v>
      </c>
      <c r="L207" s="246">
        <f t="shared" si="16"/>
        <v>19209.49</v>
      </c>
      <c r="O207" s="150" t="s">
        <v>1659</v>
      </c>
    </row>
    <row r="208" spans="1:15">
      <c r="A208" s="163">
        <v>46189</v>
      </c>
      <c r="B208" s="179" t="s">
        <v>138</v>
      </c>
      <c r="C208" s="191">
        <v>0.51</v>
      </c>
      <c r="D208" s="191">
        <v>0.99</v>
      </c>
      <c r="E208" s="144">
        <v>220.133</v>
      </c>
      <c r="F208" s="10">
        <f t="shared" si="13"/>
        <v>206.4</v>
      </c>
      <c r="G208" s="10">
        <f t="shared" si="14"/>
        <v>13.733</v>
      </c>
      <c r="H208" s="110">
        <f t="shared" si="15"/>
        <v>1.48183143826687</v>
      </c>
      <c r="K208" s="144">
        <v>326.2</v>
      </c>
      <c r="L208" s="246">
        <f t="shared" si="16"/>
        <v>18883.29</v>
      </c>
      <c r="O208" s="150" t="s">
        <v>1659</v>
      </c>
    </row>
    <row r="209" spans="1:15">
      <c r="A209" s="163">
        <v>46189</v>
      </c>
      <c r="B209" s="179" t="s">
        <v>141</v>
      </c>
      <c r="C209" s="191">
        <v>0.11</v>
      </c>
      <c r="D209" s="191">
        <v>0.99</v>
      </c>
      <c r="E209" s="144">
        <v>393.597</v>
      </c>
      <c r="F209" s="10">
        <f t="shared" si="13"/>
        <v>378.4</v>
      </c>
      <c r="G209" s="10">
        <f t="shared" si="14"/>
        <v>15.197</v>
      </c>
      <c r="H209" s="110">
        <f t="shared" si="15"/>
        <v>0.671321173687808</v>
      </c>
      <c r="K209" s="144">
        <v>264.23</v>
      </c>
      <c r="L209" s="246">
        <f t="shared" si="16"/>
        <v>18619.06</v>
      </c>
      <c r="O209" s="150" t="s">
        <v>1659</v>
      </c>
    </row>
    <row r="210" spans="1:15">
      <c r="A210" s="163">
        <v>46189</v>
      </c>
      <c r="B210" s="179" t="s">
        <v>87</v>
      </c>
      <c r="C210" s="191">
        <v>0.34</v>
      </c>
      <c r="D210" s="191">
        <v>0.98</v>
      </c>
      <c r="E210" s="144">
        <v>299.284</v>
      </c>
      <c r="F210" s="10">
        <f t="shared" si="13"/>
        <v>275.2</v>
      </c>
      <c r="G210" s="10">
        <f t="shared" si="14"/>
        <v>24.084</v>
      </c>
      <c r="H210" s="110">
        <f t="shared" si="15"/>
        <v>0.857479851913233</v>
      </c>
      <c r="K210" s="144">
        <v>256.63</v>
      </c>
      <c r="L210" s="246">
        <f t="shared" si="16"/>
        <v>18362.43</v>
      </c>
      <c r="O210" s="150" t="s">
        <v>1659</v>
      </c>
    </row>
    <row r="211" spans="1:15">
      <c r="A211" s="163">
        <v>46189</v>
      </c>
      <c r="B211" s="179" t="s">
        <v>144</v>
      </c>
      <c r="C211" s="191">
        <v>0.27</v>
      </c>
      <c r="D211" s="191">
        <v>0.99</v>
      </c>
      <c r="E211" s="144">
        <v>322.622</v>
      </c>
      <c r="F211" s="10">
        <f t="shared" si="13"/>
        <v>309.6</v>
      </c>
      <c r="G211" s="10">
        <f t="shared" si="14"/>
        <v>13.022</v>
      </c>
      <c r="H211" s="110">
        <f t="shared" si="15"/>
        <v>0.744121603610417</v>
      </c>
      <c r="K211" s="144">
        <v>240.07</v>
      </c>
      <c r="L211" s="246">
        <f t="shared" si="16"/>
        <v>18122.36</v>
      </c>
      <c r="O211" s="150" t="s">
        <v>1659</v>
      </c>
    </row>
    <row r="212" spans="1:15">
      <c r="A212" s="163">
        <v>46189</v>
      </c>
      <c r="B212" s="179" t="s">
        <v>78</v>
      </c>
      <c r="C212" s="191">
        <v>0.27</v>
      </c>
      <c r="D212" s="191">
        <v>0.98</v>
      </c>
      <c r="E212" s="144">
        <v>334.906</v>
      </c>
      <c r="F212" s="10">
        <f t="shared" si="13"/>
        <v>305.3</v>
      </c>
      <c r="G212" s="10">
        <f t="shared" si="14"/>
        <v>29.606</v>
      </c>
      <c r="H212" s="110">
        <f t="shared" si="15"/>
        <v>0.716469695974393</v>
      </c>
      <c r="K212" s="144">
        <v>239.95</v>
      </c>
      <c r="L212" s="246">
        <f t="shared" si="16"/>
        <v>17882.41</v>
      </c>
      <c r="O212" s="150" t="s">
        <v>1659</v>
      </c>
    </row>
    <row r="213" spans="1:15">
      <c r="A213" s="163">
        <v>46189</v>
      </c>
      <c r="B213" s="179" t="s">
        <v>111</v>
      </c>
      <c r="C213" s="191">
        <v>0.24</v>
      </c>
      <c r="D213" s="191">
        <v>0.97</v>
      </c>
      <c r="E213" s="144">
        <v>302.371</v>
      </c>
      <c r="F213" s="10">
        <f t="shared" si="13"/>
        <v>313.9</v>
      </c>
      <c r="G213" s="10">
        <f t="shared" si="14"/>
        <v>-11.529</v>
      </c>
      <c r="H213" s="110">
        <f t="shared" si="15"/>
        <v>0.853157214150828</v>
      </c>
      <c r="K213" s="144">
        <v>257.97</v>
      </c>
      <c r="L213" s="246">
        <f t="shared" si="16"/>
        <v>17624.44</v>
      </c>
      <c r="O213" s="150" t="s">
        <v>1659</v>
      </c>
    </row>
    <row r="214" spans="1:15">
      <c r="A214" s="163">
        <v>46189</v>
      </c>
      <c r="B214" s="179" t="s">
        <v>81</v>
      </c>
      <c r="C214" s="191">
        <v>0.37</v>
      </c>
      <c r="D214" s="191">
        <v>0.98</v>
      </c>
      <c r="E214" s="144">
        <v>296.985</v>
      </c>
      <c r="F214" s="10">
        <f t="shared" si="13"/>
        <v>262.3</v>
      </c>
      <c r="G214" s="10">
        <f t="shared" si="14"/>
        <v>34.685</v>
      </c>
      <c r="H214" s="110">
        <f t="shared" si="15"/>
        <v>1.01489974241123</v>
      </c>
      <c r="K214" s="144">
        <v>301.41</v>
      </c>
      <c r="L214" s="246">
        <f t="shared" si="16"/>
        <v>17323.03</v>
      </c>
      <c r="O214" s="150" t="s">
        <v>1659</v>
      </c>
    </row>
    <row r="215" spans="1:15">
      <c r="A215" s="163">
        <v>46189</v>
      </c>
      <c r="B215" s="179" t="s">
        <v>51</v>
      </c>
      <c r="C215" s="191">
        <v>0.29</v>
      </c>
      <c r="D215" s="191">
        <v>0.99</v>
      </c>
      <c r="E215" s="144">
        <v>297.873</v>
      </c>
      <c r="F215" s="10">
        <f t="shared" si="13"/>
        <v>301</v>
      </c>
      <c r="G215" s="10">
        <f t="shared" si="14"/>
        <v>-3.12700000000001</v>
      </c>
      <c r="H215" s="110">
        <f t="shared" si="15"/>
        <v>0.974744270209116</v>
      </c>
      <c r="K215" s="144">
        <v>290.35</v>
      </c>
      <c r="L215" s="246">
        <f t="shared" si="16"/>
        <v>17032.68</v>
      </c>
      <c r="O215" s="150" t="s">
        <v>1659</v>
      </c>
    </row>
    <row r="216" spans="1:15">
      <c r="A216" s="163">
        <v>46189</v>
      </c>
      <c r="B216" s="179" t="s">
        <v>114</v>
      </c>
      <c r="C216" s="191">
        <v>0.23</v>
      </c>
      <c r="D216" s="191">
        <v>0.97</v>
      </c>
      <c r="E216" s="144">
        <v>314.662</v>
      </c>
      <c r="F216" s="10">
        <f t="shared" si="13"/>
        <v>318.2</v>
      </c>
      <c r="G216" s="10">
        <f t="shared" si="14"/>
        <v>-3.53800000000001</v>
      </c>
      <c r="H216" s="110">
        <f t="shared" si="15"/>
        <v>0.855997864375107</v>
      </c>
      <c r="K216" s="144">
        <v>269.35</v>
      </c>
      <c r="L216" s="246">
        <f t="shared" si="16"/>
        <v>16763.33</v>
      </c>
      <c r="O216" s="150" t="s">
        <v>1659</v>
      </c>
    </row>
    <row r="217" spans="1:15">
      <c r="A217" s="163">
        <v>46189</v>
      </c>
      <c r="B217" s="179" t="s">
        <v>69</v>
      </c>
      <c r="C217" s="191">
        <v>0.35</v>
      </c>
      <c r="D217" s="191">
        <v>0.97</v>
      </c>
      <c r="E217" s="144">
        <v>310.193</v>
      </c>
      <c r="F217" s="10">
        <f t="shared" si="13"/>
        <v>266.6</v>
      </c>
      <c r="G217" s="10">
        <f t="shared" si="14"/>
        <v>43.593</v>
      </c>
      <c r="H217" s="110">
        <f t="shared" si="15"/>
        <v>1.14193421514992</v>
      </c>
      <c r="K217" s="144">
        <v>354.22</v>
      </c>
      <c r="L217" s="246">
        <f t="shared" si="16"/>
        <v>16409.11</v>
      </c>
      <c r="O217" s="150" t="s">
        <v>1659</v>
      </c>
    </row>
    <row r="218" spans="1:15">
      <c r="A218" s="163">
        <v>46189</v>
      </c>
      <c r="B218" s="179" t="s">
        <v>99</v>
      </c>
      <c r="C218" s="191">
        <v>0.23</v>
      </c>
      <c r="D218" s="191">
        <v>0.98</v>
      </c>
      <c r="E218" s="144">
        <v>362.449</v>
      </c>
      <c r="F218" s="10">
        <f t="shared" si="13"/>
        <v>322.5</v>
      </c>
      <c r="G218" s="10">
        <f t="shared" si="14"/>
        <v>39.949</v>
      </c>
      <c r="H218" s="110">
        <f t="shared" si="15"/>
        <v>0.546587243998466</v>
      </c>
      <c r="K218" s="144">
        <v>198.11</v>
      </c>
      <c r="L218" s="246">
        <f t="shared" si="16"/>
        <v>16211</v>
      </c>
      <c r="O218" s="150" t="s">
        <v>1659</v>
      </c>
    </row>
    <row r="219" spans="1:15">
      <c r="A219" s="163">
        <v>46189</v>
      </c>
      <c r="B219" s="179" t="s">
        <v>108</v>
      </c>
      <c r="C219" s="191">
        <v>0.29</v>
      </c>
      <c r="D219" s="191">
        <v>1</v>
      </c>
      <c r="E219" s="144">
        <v>338.123</v>
      </c>
      <c r="F219" s="10">
        <f t="shared" si="13"/>
        <v>305.3</v>
      </c>
      <c r="G219" s="10">
        <f t="shared" si="14"/>
        <v>32.823</v>
      </c>
      <c r="H219" s="110">
        <f t="shared" si="15"/>
        <v>0.441082091428267</v>
      </c>
      <c r="K219" s="144">
        <v>149.14</v>
      </c>
      <c r="L219" s="246">
        <f t="shared" si="16"/>
        <v>16061.86</v>
      </c>
      <c r="O219" s="150" t="s">
        <v>1659</v>
      </c>
    </row>
    <row r="220" spans="1:15">
      <c r="A220" s="163">
        <v>46189</v>
      </c>
      <c r="B220" s="179" t="s">
        <v>160</v>
      </c>
      <c r="C220" s="191">
        <v>0.24</v>
      </c>
      <c r="D220" s="191">
        <v>0.99</v>
      </c>
      <c r="E220" s="144">
        <v>336.54</v>
      </c>
      <c r="F220" s="10">
        <f t="shared" si="13"/>
        <v>322.5</v>
      </c>
      <c r="G220" s="10">
        <f t="shared" si="14"/>
        <v>14.04</v>
      </c>
      <c r="H220" s="110">
        <f t="shared" si="15"/>
        <v>0.553663754679979</v>
      </c>
      <c r="K220" s="144">
        <v>186.33</v>
      </c>
      <c r="L220" s="246">
        <f t="shared" si="16"/>
        <v>15875.53</v>
      </c>
      <c r="O220" s="150" t="s">
        <v>1659</v>
      </c>
    </row>
    <row r="221" spans="1:15">
      <c r="A221" s="163">
        <v>46189</v>
      </c>
      <c r="B221" s="179" t="s">
        <v>66</v>
      </c>
      <c r="C221" s="191">
        <v>0.38</v>
      </c>
      <c r="D221" s="191">
        <v>1</v>
      </c>
      <c r="E221" s="144">
        <v>286.217</v>
      </c>
      <c r="F221" s="10">
        <f t="shared" si="13"/>
        <v>266.6</v>
      </c>
      <c r="G221" s="10">
        <f t="shared" si="14"/>
        <v>19.617</v>
      </c>
      <c r="H221" s="110">
        <f t="shared" si="15"/>
        <v>0.80176928693963</v>
      </c>
      <c r="K221" s="144">
        <v>229.48</v>
      </c>
      <c r="L221" s="246">
        <f t="shared" si="16"/>
        <v>15646.05</v>
      </c>
      <c r="O221" s="150" t="s">
        <v>1659</v>
      </c>
    </row>
    <row r="222" spans="1:15">
      <c r="A222" s="163">
        <v>46189</v>
      </c>
      <c r="B222" s="179" t="s">
        <v>75</v>
      </c>
      <c r="C222" s="191">
        <v>0.53</v>
      </c>
      <c r="D222" s="191">
        <v>0.53</v>
      </c>
      <c r="E222" s="144">
        <v>3.336</v>
      </c>
      <c r="F222" s="10">
        <f t="shared" si="13"/>
        <v>0</v>
      </c>
      <c r="G222" s="10">
        <f t="shared" si="14"/>
        <v>3.336</v>
      </c>
      <c r="H222" s="110">
        <f t="shared" si="15"/>
        <v>82.0773381294964</v>
      </c>
      <c r="K222" s="144">
        <v>273.81</v>
      </c>
      <c r="L222" s="246">
        <f t="shared" si="16"/>
        <v>15372.24</v>
      </c>
      <c r="O222" s="150" t="s">
        <v>1659</v>
      </c>
    </row>
    <row r="223" spans="1:15">
      <c r="A223" s="163">
        <v>46190</v>
      </c>
      <c r="B223" s="179" t="s">
        <v>132</v>
      </c>
      <c r="C223" s="191">
        <v>0.42</v>
      </c>
      <c r="D223" s="191">
        <v>0.99</v>
      </c>
      <c r="E223" s="144">
        <v>253.509</v>
      </c>
      <c r="F223" s="10">
        <f t="shared" si="13"/>
        <v>245.1</v>
      </c>
      <c r="G223" s="10">
        <f t="shared" si="14"/>
        <v>8.40899999999999</v>
      </c>
      <c r="H223" s="110">
        <f t="shared" si="15"/>
        <v>0.704432584247502</v>
      </c>
      <c r="K223" s="144">
        <v>178.58</v>
      </c>
      <c r="L223" s="246">
        <f t="shared" si="16"/>
        <v>15193.66</v>
      </c>
      <c r="O223" s="150" t="s">
        <v>1659</v>
      </c>
    </row>
    <row r="224" spans="1:15">
      <c r="A224" s="163">
        <v>46190</v>
      </c>
      <c r="B224" s="179" t="s">
        <v>72</v>
      </c>
      <c r="C224" s="191">
        <v>0.4</v>
      </c>
      <c r="D224" s="191">
        <v>1</v>
      </c>
      <c r="E224" s="144">
        <v>273.368</v>
      </c>
      <c r="F224" s="10">
        <f t="shared" si="13"/>
        <v>258</v>
      </c>
      <c r="G224" s="10">
        <f t="shared" si="14"/>
        <v>15.368</v>
      </c>
      <c r="H224" s="110">
        <f t="shared" si="15"/>
        <v>0.638187351848058</v>
      </c>
      <c r="K224" s="144">
        <v>174.46</v>
      </c>
      <c r="L224" s="246">
        <f t="shared" si="16"/>
        <v>15019.2</v>
      </c>
      <c r="O224" s="150" t="s">
        <v>1659</v>
      </c>
    </row>
    <row r="225" spans="1:15">
      <c r="A225" s="163">
        <v>46190</v>
      </c>
      <c r="B225" s="179" t="s">
        <v>78</v>
      </c>
      <c r="C225" s="191">
        <v>0.44</v>
      </c>
      <c r="D225" s="191">
        <v>0.83</v>
      </c>
      <c r="E225" s="144">
        <v>181.555</v>
      </c>
      <c r="F225" s="10">
        <f t="shared" si="13"/>
        <v>167.7</v>
      </c>
      <c r="G225" s="10">
        <f t="shared" si="14"/>
        <v>13.855</v>
      </c>
      <c r="H225" s="110">
        <f t="shared" si="15"/>
        <v>1.34994905125169</v>
      </c>
      <c r="K225" s="144">
        <v>245.09</v>
      </c>
      <c r="L225" s="246">
        <f t="shared" si="16"/>
        <v>14774.11</v>
      </c>
      <c r="O225" s="150" t="s">
        <v>1659</v>
      </c>
    </row>
    <row r="226" spans="1:15">
      <c r="A226" s="163">
        <v>46190</v>
      </c>
      <c r="B226" s="179" t="s">
        <v>51</v>
      </c>
      <c r="C226" s="191">
        <v>0.32</v>
      </c>
      <c r="D226" s="191">
        <v>0.99</v>
      </c>
      <c r="E226" s="144">
        <v>280.398</v>
      </c>
      <c r="F226" s="10">
        <f t="shared" si="13"/>
        <v>288.1</v>
      </c>
      <c r="G226" s="10">
        <f t="shared" si="14"/>
        <v>-7.702</v>
      </c>
      <c r="H226" s="110">
        <f t="shared" si="15"/>
        <v>0.856461173046883</v>
      </c>
      <c r="K226" s="144">
        <v>240.15</v>
      </c>
      <c r="L226" s="246">
        <f t="shared" si="16"/>
        <v>14533.96</v>
      </c>
      <c r="O226" s="150" t="s">
        <v>1659</v>
      </c>
    </row>
    <row r="227" spans="1:15">
      <c r="A227" s="163">
        <v>46190</v>
      </c>
      <c r="B227" s="179" t="s">
        <v>111</v>
      </c>
      <c r="C227" s="191">
        <v>0.34</v>
      </c>
      <c r="D227" s="191">
        <v>0.95</v>
      </c>
      <c r="E227" s="144">
        <v>245.584</v>
      </c>
      <c r="F227" s="10">
        <f t="shared" si="13"/>
        <v>262.3</v>
      </c>
      <c r="G227" s="10">
        <f t="shared" si="14"/>
        <v>-16.716</v>
      </c>
      <c r="H227" s="110">
        <f t="shared" si="15"/>
        <v>0.935891589028601</v>
      </c>
      <c r="K227" s="144">
        <v>229.84</v>
      </c>
      <c r="L227" s="246">
        <f t="shared" si="16"/>
        <v>14304.12</v>
      </c>
      <c r="O227" s="150" t="s">
        <v>1659</v>
      </c>
    </row>
    <row r="228" spans="1:15">
      <c r="A228" s="163">
        <v>46190</v>
      </c>
      <c r="B228" s="179" t="s">
        <v>130</v>
      </c>
      <c r="C228" s="191">
        <v>0.2</v>
      </c>
      <c r="D228" s="191">
        <v>0.99</v>
      </c>
      <c r="E228" s="144">
        <v>328.1</v>
      </c>
      <c r="F228" s="10">
        <f t="shared" si="13"/>
        <v>339.7</v>
      </c>
      <c r="G228" s="10">
        <f t="shared" si="14"/>
        <v>-11.6</v>
      </c>
      <c r="H228" s="110">
        <f t="shared" si="15"/>
        <v>0.660316976531545</v>
      </c>
      <c r="K228" s="144">
        <v>216.65</v>
      </c>
      <c r="L228" s="246">
        <f t="shared" si="16"/>
        <v>14087.47</v>
      </c>
      <c r="O228" s="150" t="s">
        <v>1659</v>
      </c>
    </row>
    <row r="229" spans="1:15">
      <c r="A229" s="163">
        <v>46190</v>
      </c>
      <c r="B229" s="179" t="s">
        <v>102</v>
      </c>
      <c r="C229" s="191">
        <v>0.43</v>
      </c>
      <c r="D229" s="191">
        <v>1</v>
      </c>
      <c r="E229" s="144">
        <v>264.967</v>
      </c>
      <c r="F229" s="10">
        <f t="shared" si="13"/>
        <v>245.1</v>
      </c>
      <c r="G229" s="10">
        <f t="shared" si="14"/>
        <v>19.867</v>
      </c>
      <c r="H229" s="110">
        <f t="shared" si="15"/>
        <v>1.11440292564734</v>
      </c>
      <c r="K229" s="144">
        <v>295.28</v>
      </c>
      <c r="L229" s="246">
        <f t="shared" si="16"/>
        <v>13792.19</v>
      </c>
      <c r="O229" s="150" t="s">
        <v>1659</v>
      </c>
    </row>
    <row r="230" spans="1:15">
      <c r="A230" s="163">
        <v>46190</v>
      </c>
      <c r="B230" s="179" t="s">
        <v>96</v>
      </c>
      <c r="C230" s="191">
        <v>0.39</v>
      </c>
      <c r="D230" s="191">
        <v>0.98</v>
      </c>
      <c r="E230" s="144">
        <v>277.228</v>
      </c>
      <c r="F230" s="10">
        <f t="shared" si="13"/>
        <v>253.7</v>
      </c>
      <c r="G230" s="10">
        <f t="shared" si="14"/>
        <v>23.528</v>
      </c>
      <c r="H230" s="110">
        <f t="shared" si="15"/>
        <v>0.797213845643297</v>
      </c>
      <c r="K230" s="144">
        <v>221.01</v>
      </c>
      <c r="L230" s="246">
        <f t="shared" si="16"/>
        <v>13571.18</v>
      </c>
      <c r="O230" s="150" t="s">
        <v>1659</v>
      </c>
    </row>
    <row r="231" spans="1:15">
      <c r="A231" s="163">
        <v>46190</v>
      </c>
      <c r="B231" s="179" t="s">
        <v>338</v>
      </c>
      <c r="C231" s="191">
        <v>0.34</v>
      </c>
      <c r="D231" s="191">
        <v>0.94</v>
      </c>
      <c r="E231" s="144">
        <v>272.341</v>
      </c>
      <c r="F231" s="10">
        <f t="shared" si="13"/>
        <v>258</v>
      </c>
      <c r="G231" s="10">
        <f t="shared" si="14"/>
        <v>14.341</v>
      </c>
      <c r="H231" s="110">
        <f t="shared" si="15"/>
        <v>0.926558983039645</v>
      </c>
      <c r="K231" s="144">
        <v>252.34</v>
      </c>
      <c r="L231" s="246">
        <f t="shared" si="16"/>
        <v>13318.84</v>
      </c>
      <c r="O231" s="150" t="s">
        <v>1659</v>
      </c>
    </row>
    <row r="232" spans="1:15">
      <c r="A232" s="163">
        <v>46190</v>
      </c>
      <c r="B232" s="179" t="s">
        <v>163</v>
      </c>
      <c r="C232" s="191">
        <v>0.35</v>
      </c>
      <c r="D232" s="191">
        <v>0.94</v>
      </c>
      <c r="E232" s="144">
        <v>266.839</v>
      </c>
      <c r="F232" s="10">
        <f t="shared" si="13"/>
        <v>253.7</v>
      </c>
      <c r="G232" s="10">
        <f t="shared" si="14"/>
        <v>13.139</v>
      </c>
      <c r="H232" s="110">
        <f t="shared" si="15"/>
        <v>0.921979170960767</v>
      </c>
      <c r="K232" s="144">
        <v>246.02</v>
      </c>
      <c r="L232" s="246">
        <f t="shared" si="16"/>
        <v>13072.82</v>
      </c>
      <c r="O232" s="150" t="s">
        <v>1659</v>
      </c>
    </row>
    <row r="233" spans="1:15">
      <c r="A233" s="163">
        <v>46190</v>
      </c>
      <c r="B233" s="179" t="s">
        <v>144</v>
      </c>
      <c r="C233" s="191">
        <v>0.49</v>
      </c>
      <c r="D233" s="191">
        <v>0.99</v>
      </c>
      <c r="E233" s="144">
        <v>226.596</v>
      </c>
      <c r="F233" s="10">
        <f t="shared" si="13"/>
        <v>215</v>
      </c>
      <c r="G233" s="10">
        <f t="shared" si="14"/>
        <v>11.596</v>
      </c>
      <c r="H233" s="110">
        <f t="shared" si="15"/>
        <v>0.721063037299864</v>
      </c>
      <c r="K233" s="144">
        <v>163.39</v>
      </c>
      <c r="L233" s="246">
        <f t="shared" si="16"/>
        <v>12909.43</v>
      </c>
      <c r="O233" s="150" t="s">
        <v>1659</v>
      </c>
    </row>
    <row r="234" spans="1:15">
      <c r="A234" s="163">
        <v>46190</v>
      </c>
      <c r="B234" s="179" t="s">
        <v>60</v>
      </c>
      <c r="C234" s="191">
        <v>0.3</v>
      </c>
      <c r="D234" s="191">
        <v>1</v>
      </c>
      <c r="E234" s="144">
        <v>288.048</v>
      </c>
      <c r="F234" s="10">
        <f t="shared" si="13"/>
        <v>301</v>
      </c>
      <c r="G234" s="10">
        <f t="shared" si="14"/>
        <v>-12.952</v>
      </c>
      <c r="H234" s="110">
        <f t="shared" si="15"/>
        <v>0.792055490751541</v>
      </c>
      <c r="K234" s="144">
        <v>228.15</v>
      </c>
      <c r="L234" s="246">
        <f t="shared" si="16"/>
        <v>12681.28</v>
      </c>
      <c r="O234" s="150" t="s">
        <v>1659</v>
      </c>
    </row>
    <row r="235" spans="1:15">
      <c r="A235" s="163">
        <v>46191</v>
      </c>
      <c r="B235" s="179" t="s">
        <v>105</v>
      </c>
      <c r="C235" s="191">
        <v>0.37</v>
      </c>
      <c r="D235" s="191">
        <v>1</v>
      </c>
      <c r="E235" s="144">
        <v>292.098</v>
      </c>
      <c r="F235" s="10">
        <f t="shared" si="13"/>
        <v>270.9</v>
      </c>
      <c r="G235" s="10">
        <f t="shared" si="14"/>
        <v>21.198</v>
      </c>
      <c r="H235" s="110">
        <f t="shared" si="15"/>
        <v>0.899971927229902</v>
      </c>
      <c r="K235" s="144">
        <v>262.88</v>
      </c>
      <c r="L235" s="246">
        <f t="shared" si="16"/>
        <v>12418.4</v>
      </c>
      <c r="O235" s="150" t="s">
        <v>1659</v>
      </c>
    </row>
    <row r="236" spans="1:15">
      <c r="A236" s="163">
        <v>46191</v>
      </c>
      <c r="B236" s="179" t="s">
        <v>166</v>
      </c>
      <c r="C236" s="191">
        <v>0.29</v>
      </c>
      <c r="D236" s="191">
        <v>1</v>
      </c>
      <c r="E236" s="144">
        <v>315.16</v>
      </c>
      <c r="F236" s="10">
        <f t="shared" si="13"/>
        <v>305.3</v>
      </c>
      <c r="G236" s="10">
        <f t="shared" si="14"/>
        <v>9.86000000000001</v>
      </c>
      <c r="H236" s="110">
        <f t="shared" si="15"/>
        <v>0.899955578119051</v>
      </c>
      <c r="K236" s="144">
        <v>283.63</v>
      </c>
      <c r="L236" s="246">
        <f t="shared" si="16"/>
        <v>12134.77</v>
      </c>
      <c r="O236" s="150" t="s">
        <v>1659</v>
      </c>
    </row>
    <row r="237" spans="1:15">
      <c r="A237" s="163">
        <v>46191</v>
      </c>
      <c r="B237" s="179" t="s">
        <v>138</v>
      </c>
      <c r="C237" s="191">
        <v>0.28</v>
      </c>
      <c r="D237" s="191">
        <v>1</v>
      </c>
      <c r="E237" s="144">
        <v>316.692</v>
      </c>
      <c r="F237" s="10">
        <f t="shared" si="13"/>
        <v>309.6</v>
      </c>
      <c r="G237" s="10">
        <f t="shared" si="14"/>
        <v>7.09199999999998</v>
      </c>
      <c r="H237" s="110">
        <f t="shared" si="15"/>
        <v>0.899959582180794</v>
      </c>
      <c r="K237" s="144">
        <v>285.01</v>
      </c>
      <c r="L237" s="246">
        <f t="shared" si="16"/>
        <v>11849.76</v>
      </c>
      <c r="O237" s="150" t="s">
        <v>1659</v>
      </c>
    </row>
    <row r="238" spans="1:15">
      <c r="A238" s="163">
        <v>46191</v>
      </c>
      <c r="B238" s="179" t="s">
        <v>180</v>
      </c>
      <c r="C238" s="191">
        <v>0.33</v>
      </c>
      <c r="D238" s="191">
        <v>0.98</v>
      </c>
      <c r="E238" s="144">
        <v>291.234</v>
      </c>
      <c r="F238" s="10">
        <f t="shared" si="13"/>
        <v>279.5</v>
      </c>
      <c r="G238" s="10">
        <f t="shared" si="14"/>
        <v>11.734</v>
      </c>
      <c r="H238" s="110">
        <f t="shared" si="15"/>
        <v>0.899963603150731</v>
      </c>
      <c r="K238" s="144">
        <v>262.1</v>
      </c>
      <c r="L238" s="246">
        <f t="shared" si="16"/>
        <v>11587.66</v>
      </c>
      <c r="O238" s="150" t="s">
        <v>1659</v>
      </c>
    </row>
    <row r="239" spans="1:15">
      <c r="A239" s="163">
        <v>46191</v>
      </c>
      <c r="B239" s="179" t="s">
        <v>81</v>
      </c>
      <c r="C239" s="191">
        <v>0.31</v>
      </c>
      <c r="D239" s="191">
        <v>1</v>
      </c>
      <c r="E239" s="144">
        <v>305.953</v>
      </c>
      <c r="F239" s="10">
        <f t="shared" si="13"/>
        <v>296.7</v>
      </c>
      <c r="G239" s="10">
        <f t="shared" si="14"/>
        <v>9.25299999999999</v>
      </c>
      <c r="H239" s="110">
        <f t="shared" si="15"/>
        <v>0.899974832735747</v>
      </c>
      <c r="K239" s="144">
        <v>275.35</v>
      </c>
      <c r="L239" s="246">
        <f t="shared" si="16"/>
        <v>11312.31</v>
      </c>
      <c r="O239" s="150" t="s">
        <v>1659</v>
      </c>
    </row>
    <row r="240" spans="1:15">
      <c r="A240" s="163">
        <v>46191</v>
      </c>
      <c r="B240" s="179" t="s">
        <v>189</v>
      </c>
      <c r="C240" s="191">
        <v>0.23</v>
      </c>
      <c r="D240" s="191">
        <v>0.99</v>
      </c>
      <c r="E240" s="144">
        <v>344.604</v>
      </c>
      <c r="F240" s="10">
        <f t="shared" si="13"/>
        <v>326.8</v>
      </c>
      <c r="G240" s="10">
        <f t="shared" si="14"/>
        <v>17.804</v>
      </c>
      <c r="H240" s="110">
        <f t="shared" si="15"/>
        <v>0.899989553226312</v>
      </c>
      <c r="K240" s="144">
        <v>310.14</v>
      </c>
      <c r="L240" s="246">
        <f t="shared" si="16"/>
        <v>11002.17</v>
      </c>
      <c r="O240" s="150" t="s">
        <v>1659</v>
      </c>
    </row>
    <row r="241" spans="1:15">
      <c r="A241" s="163">
        <v>46191</v>
      </c>
      <c r="B241" s="179" t="s">
        <v>144</v>
      </c>
      <c r="C241" s="191">
        <v>0.28</v>
      </c>
      <c r="D241" s="191">
        <v>1</v>
      </c>
      <c r="E241" s="144">
        <v>318.763</v>
      </c>
      <c r="F241" s="10">
        <f t="shared" si="13"/>
        <v>309.6</v>
      </c>
      <c r="G241" s="10">
        <f t="shared" si="14"/>
        <v>9.16299999999995</v>
      </c>
      <c r="H241" s="110">
        <f t="shared" si="15"/>
        <v>0.899947609979828</v>
      </c>
      <c r="K241" s="144">
        <v>286.87</v>
      </c>
      <c r="L241" s="246">
        <f t="shared" si="16"/>
        <v>10715.3</v>
      </c>
      <c r="O241" s="150" t="s">
        <v>1659</v>
      </c>
    </row>
    <row r="242" spans="1:15">
      <c r="A242" s="163">
        <v>46191</v>
      </c>
      <c r="B242" s="179" t="s">
        <v>198</v>
      </c>
      <c r="C242" s="191">
        <v>0.25</v>
      </c>
      <c r="D242" s="191">
        <v>0.93</v>
      </c>
      <c r="E242" s="144">
        <v>306.781</v>
      </c>
      <c r="F242" s="10">
        <f t="shared" si="13"/>
        <v>292.4</v>
      </c>
      <c r="G242" s="10">
        <f t="shared" si="14"/>
        <v>14.381</v>
      </c>
      <c r="H242" s="110">
        <f t="shared" si="15"/>
        <v>0.899957950459774</v>
      </c>
      <c r="K242" s="144">
        <v>276.09</v>
      </c>
      <c r="L242" s="246">
        <f t="shared" si="16"/>
        <v>10439.21</v>
      </c>
      <c r="O242" s="150" t="s">
        <v>1659</v>
      </c>
    </row>
    <row r="243" spans="1:15">
      <c r="A243" s="163">
        <v>46191</v>
      </c>
      <c r="B243" s="179" t="s">
        <v>127</v>
      </c>
      <c r="C243" s="191">
        <v>0.49</v>
      </c>
      <c r="D243" s="191">
        <v>1</v>
      </c>
      <c r="E243" s="144">
        <v>226.888</v>
      </c>
      <c r="F243" s="10">
        <f t="shared" si="13"/>
        <v>219.3</v>
      </c>
      <c r="G243" s="10">
        <f t="shared" si="14"/>
        <v>7.58799999999999</v>
      </c>
      <c r="H243" s="110">
        <f t="shared" si="15"/>
        <v>0.899959451359261</v>
      </c>
      <c r="K243" s="144">
        <v>204.19</v>
      </c>
      <c r="L243" s="246">
        <f t="shared" si="16"/>
        <v>10235.02</v>
      </c>
      <c r="O243" s="150" t="s">
        <v>1659</v>
      </c>
    </row>
    <row r="244" spans="1:15">
      <c r="A244" s="163">
        <v>46192</v>
      </c>
      <c r="B244" s="179" t="s">
        <v>69</v>
      </c>
      <c r="C244" s="191">
        <v>0.42</v>
      </c>
      <c r="D244" s="191">
        <v>0.98</v>
      </c>
      <c r="E244" s="144">
        <v>274.227</v>
      </c>
      <c r="F244" s="10">
        <f t="shared" si="13"/>
        <v>240.8</v>
      </c>
      <c r="G244" s="10">
        <f t="shared" si="14"/>
        <v>33.427</v>
      </c>
      <c r="H244" s="110">
        <f t="shared" si="15"/>
        <v>0.619960835366321</v>
      </c>
      <c r="K244" s="144">
        <v>170.01</v>
      </c>
      <c r="L244" s="246">
        <f t="shared" si="16"/>
        <v>10065.01</v>
      </c>
      <c r="O244" s="150" t="s">
        <v>1659</v>
      </c>
    </row>
    <row r="245" spans="1:15">
      <c r="A245" s="163">
        <v>46192</v>
      </c>
      <c r="B245" s="179" t="s">
        <v>186</v>
      </c>
      <c r="C245" s="191">
        <v>0.37</v>
      </c>
      <c r="D245" s="191">
        <v>0.99</v>
      </c>
      <c r="E245" s="144">
        <v>282.989</v>
      </c>
      <c r="F245" s="10">
        <f t="shared" si="13"/>
        <v>266.6</v>
      </c>
      <c r="G245" s="10">
        <f t="shared" si="14"/>
        <v>16.389</v>
      </c>
      <c r="H245" s="110">
        <f t="shared" si="15"/>
        <v>0.619953425751531</v>
      </c>
      <c r="K245" s="144">
        <v>175.44</v>
      </c>
      <c r="L245" s="246">
        <f t="shared" si="16"/>
        <v>9889.56999999999</v>
      </c>
      <c r="O245" s="150" t="s">
        <v>1659</v>
      </c>
    </row>
    <row r="246" spans="1:15">
      <c r="A246" s="163">
        <v>46192</v>
      </c>
      <c r="B246" s="179" t="s">
        <v>66</v>
      </c>
      <c r="C246" s="191">
        <v>0.38</v>
      </c>
      <c r="D246" s="191">
        <v>1</v>
      </c>
      <c r="E246" s="144">
        <v>287.303</v>
      </c>
      <c r="F246" s="10">
        <f t="shared" si="13"/>
        <v>266.6</v>
      </c>
      <c r="G246" s="10">
        <f t="shared" si="14"/>
        <v>20.703</v>
      </c>
      <c r="H246" s="110">
        <f t="shared" si="15"/>
        <v>0.805560679839751</v>
      </c>
      <c r="K246" s="144">
        <v>231.44</v>
      </c>
      <c r="L246" s="246">
        <f t="shared" si="16"/>
        <v>9658.12999999999</v>
      </c>
      <c r="O246" s="150" t="s">
        <v>1659</v>
      </c>
    </row>
    <row r="247" spans="1:15">
      <c r="A247" s="163">
        <v>46192</v>
      </c>
      <c r="B247" s="179" t="s">
        <v>99</v>
      </c>
      <c r="C247" s="191">
        <v>0.3</v>
      </c>
      <c r="D247" s="191">
        <v>0.98</v>
      </c>
      <c r="E247" s="144">
        <v>325.734</v>
      </c>
      <c r="F247" s="10">
        <f t="shared" si="13"/>
        <v>292.4</v>
      </c>
      <c r="G247" s="10">
        <f t="shared" si="14"/>
        <v>33.334</v>
      </c>
      <c r="H247" s="110">
        <f t="shared" si="15"/>
        <v>0.825059711298176</v>
      </c>
      <c r="K247" s="144">
        <v>268.75</v>
      </c>
      <c r="L247" s="246">
        <f t="shared" si="16"/>
        <v>9389.37999999999</v>
      </c>
      <c r="O247" s="150" t="s">
        <v>1659</v>
      </c>
    </row>
    <row r="248" spans="1:15">
      <c r="A248" s="163">
        <v>46192</v>
      </c>
      <c r="B248" s="179" t="s">
        <v>57</v>
      </c>
      <c r="C248" s="191">
        <v>0.22</v>
      </c>
      <c r="D248" s="191">
        <v>0.96</v>
      </c>
      <c r="E248" s="144">
        <v>306.154</v>
      </c>
      <c r="F248" s="10">
        <f t="shared" si="13"/>
        <v>318.2</v>
      </c>
      <c r="G248" s="10">
        <f t="shared" si="14"/>
        <v>-12.046</v>
      </c>
      <c r="H248" s="110">
        <f t="shared" si="15"/>
        <v>0.899971909561854</v>
      </c>
      <c r="K248" s="144">
        <v>275.53</v>
      </c>
      <c r="L248" s="246">
        <f t="shared" si="16"/>
        <v>9113.84999999999</v>
      </c>
      <c r="O248" s="150" t="s">
        <v>1659</v>
      </c>
    </row>
    <row r="249" spans="1:15">
      <c r="A249" s="163">
        <v>46192</v>
      </c>
      <c r="B249" s="179" t="s">
        <v>78</v>
      </c>
      <c r="C249" s="191">
        <v>0.3</v>
      </c>
      <c r="D249" s="191">
        <v>0.98</v>
      </c>
      <c r="E249" s="144">
        <v>309.099</v>
      </c>
      <c r="F249" s="10">
        <f t="shared" si="13"/>
        <v>292.4</v>
      </c>
      <c r="G249" s="10">
        <f t="shared" si="14"/>
        <v>16.699</v>
      </c>
      <c r="H249" s="110">
        <f t="shared" si="15"/>
        <v>0.899970559594175</v>
      </c>
      <c r="K249" s="144">
        <v>278.18</v>
      </c>
      <c r="L249" s="246">
        <f t="shared" si="16"/>
        <v>8835.66999999999</v>
      </c>
      <c r="O249" s="150" t="s">
        <v>1659</v>
      </c>
    </row>
    <row r="250" spans="1:15">
      <c r="A250" s="163">
        <v>46192</v>
      </c>
      <c r="B250" s="179" t="s">
        <v>87</v>
      </c>
      <c r="C250" s="191">
        <v>0.35</v>
      </c>
      <c r="D250" s="191">
        <v>0.98</v>
      </c>
      <c r="E250" s="144">
        <v>309.142</v>
      </c>
      <c r="F250" s="10">
        <f t="shared" si="13"/>
        <v>270.9</v>
      </c>
      <c r="G250" s="10">
        <f t="shared" si="14"/>
        <v>38.242</v>
      </c>
      <c r="H250" s="110">
        <f t="shared" si="15"/>
        <v>0.899974768876439</v>
      </c>
      <c r="K250" s="144">
        <v>278.22</v>
      </c>
      <c r="L250" s="246">
        <f t="shared" si="16"/>
        <v>8557.44999999999</v>
      </c>
      <c r="O250" s="150" t="s">
        <v>1659</v>
      </c>
    </row>
    <row r="251" spans="1:15">
      <c r="A251" s="163">
        <v>46192</v>
      </c>
      <c r="B251" s="179" t="s">
        <v>111</v>
      </c>
      <c r="C251" s="191">
        <v>0.21</v>
      </c>
      <c r="D251" s="191">
        <v>0.96</v>
      </c>
      <c r="E251" s="144">
        <v>310.397</v>
      </c>
      <c r="F251" s="10">
        <f t="shared" si="13"/>
        <v>322.5</v>
      </c>
      <c r="G251" s="10">
        <f t="shared" si="14"/>
        <v>-12.103</v>
      </c>
      <c r="H251" s="110">
        <f t="shared" si="15"/>
        <v>0.899944264925241</v>
      </c>
      <c r="K251" s="144">
        <v>279.34</v>
      </c>
      <c r="L251" s="246">
        <f t="shared" si="16"/>
        <v>8278.10999999999</v>
      </c>
      <c r="O251" s="150" t="s">
        <v>1659</v>
      </c>
    </row>
    <row r="252" spans="1:15">
      <c r="A252" s="163">
        <v>46192</v>
      </c>
      <c r="B252" s="179" t="s">
        <v>114</v>
      </c>
      <c r="C252" s="191">
        <v>0.29</v>
      </c>
      <c r="D252" s="191">
        <v>1</v>
      </c>
      <c r="E252" s="144">
        <v>296.7</v>
      </c>
      <c r="F252" s="10">
        <f t="shared" si="13"/>
        <v>305.3</v>
      </c>
      <c r="G252" s="10">
        <f t="shared" si="14"/>
        <v>-8.60000000000002</v>
      </c>
      <c r="H252" s="110">
        <f t="shared" si="15"/>
        <v>0.899966295921807</v>
      </c>
      <c r="K252" s="144">
        <v>267.02</v>
      </c>
      <c r="L252" s="246">
        <f t="shared" si="16"/>
        <v>8011.08999999999</v>
      </c>
      <c r="O252" s="150" t="s">
        <v>1659</v>
      </c>
    </row>
    <row r="253" spans="1:15">
      <c r="A253" s="163">
        <v>46192</v>
      </c>
      <c r="B253" s="179" t="s">
        <v>51</v>
      </c>
      <c r="C253" s="191">
        <v>0.27</v>
      </c>
      <c r="D253" s="191">
        <v>1</v>
      </c>
      <c r="E253" s="144">
        <v>305.867</v>
      </c>
      <c r="F253" s="10">
        <f t="shared" si="13"/>
        <v>313.9</v>
      </c>
      <c r="G253" s="10">
        <f t="shared" si="14"/>
        <v>-8.03299999999996</v>
      </c>
      <c r="H253" s="110">
        <f t="shared" si="15"/>
        <v>0.899966325232863</v>
      </c>
      <c r="K253" s="144">
        <v>275.27</v>
      </c>
      <c r="L253" s="246">
        <f t="shared" si="16"/>
        <v>7735.81999999999</v>
      </c>
      <c r="O253" s="150" t="s">
        <v>1659</v>
      </c>
    </row>
    <row r="254" spans="1:15">
      <c r="A254" s="163">
        <v>46192</v>
      </c>
      <c r="B254" s="179" t="s">
        <v>84</v>
      </c>
      <c r="C254" s="191">
        <v>0.67</v>
      </c>
      <c r="D254" s="191">
        <v>0.98</v>
      </c>
      <c r="E254" s="144">
        <v>161.16</v>
      </c>
      <c r="F254" s="10">
        <f t="shared" si="13"/>
        <v>133.3</v>
      </c>
      <c r="G254" s="10">
        <f t="shared" si="14"/>
        <v>27.86</v>
      </c>
      <c r="H254" s="110">
        <f t="shared" si="15"/>
        <v>0.899913129808886</v>
      </c>
      <c r="K254" s="144">
        <v>145.03</v>
      </c>
      <c r="L254" s="246">
        <f t="shared" si="16"/>
        <v>7590.78999999999</v>
      </c>
      <c r="O254" s="150" t="s">
        <v>1659</v>
      </c>
    </row>
    <row r="255" spans="1:15">
      <c r="A255" s="163">
        <v>46192</v>
      </c>
      <c r="B255" s="179" t="s">
        <v>60</v>
      </c>
      <c r="C255" s="191">
        <v>0.33</v>
      </c>
      <c r="D255" s="191">
        <v>1</v>
      </c>
      <c r="E255" s="144">
        <v>280.112</v>
      </c>
      <c r="F255" s="10">
        <f t="shared" si="13"/>
        <v>288.1</v>
      </c>
      <c r="G255" s="10">
        <f t="shared" si="14"/>
        <v>-7.988</v>
      </c>
      <c r="H255" s="110">
        <f t="shared" si="15"/>
        <v>0.899961443993831</v>
      </c>
      <c r="K255" s="144">
        <v>252.09</v>
      </c>
      <c r="L255" s="246">
        <f t="shared" si="16"/>
        <v>7338.69999999999</v>
      </c>
      <c r="O255" s="150" t="s">
        <v>1659</v>
      </c>
    </row>
    <row r="256" spans="1:15">
      <c r="A256" s="163">
        <v>46192</v>
      </c>
      <c r="B256" s="179" t="s">
        <v>108</v>
      </c>
      <c r="C256" s="191">
        <v>0.37</v>
      </c>
      <c r="D256" s="191">
        <v>0.99</v>
      </c>
      <c r="E256" s="144">
        <v>301.855</v>
      </c>
      <c r="F256" s="10">
        <f t="shared" si="13"/>
        <v>266.6</v>
      </c>
      <c r="G256" s="10">
        <f t="shared" si="14"/>
        <v>35.255</v>
      </c>
      <c r="H256" s="110">
        <f t="shared" si="15"/>
        <v>0.899968527935598</v>
      </c>
      <c r="K256" s="144">
        <v>271.66</v>
      </c>
      <c r="L256" s="246">
        <f t="shared" si="16"/>
        <v>7067.03999999999</v>
      </c>
      <c r="O256" s="150" t="s">
        <v>1659</v>
      </c>
    </row>
    <row r="257" spans="1:15">
      <c r="A257" s="163">
        <v>46192</v>
      </c>
      <c r="B257" s="179" t="s">
        <v>90</v>
      </c>
      <c r="C257" s="191">
        <v>0.42</v>
      </c>
      <c r="D257" s="191">
        <v>1</v>
      </c>
      <c r="E257" s="144">
        <v>276.062</v>
      </c>
      <c r="F257" s="10">
        <f t="shared" si="13"/>
        <v>249.4</v>
      </c>
      <c r="G257" s="10">
        <f t="shared" si="14"/>
        <v>26.662</v>
      </c>
      <c r="H257" s="110">
        <f t="shared" si="15"/>
        <v>0.899978990226833</v>
      </c>
      <c r="K257" s="144">
        <v>248.45</v>
      </c>
      <c r="L257" s="246">
        <f t="shared" si="16"/>
        <v>6818.58999999999</v>
      </c>
      <c r="O257" s="150" t="s">
        <v>1659</v>
      </c>
    </row>
    <row r="258" spans="1:15">
      <c r="A258" s="163">
        <v>46192</v>
      </c>
      <c r="B258" s="179" t="s">
        <v>93</v>
      </c>
      <c r="C258" s="191">
        <v>0.36</v>
      </c>
      <c r="D258" s="191">
        <v>0.88</v>
      </c>
      <c r="E258" s="144">
        <v>245.783</v>
      </c>
      <c r="F258" s="10">
        <f t="shared" si="13"/>
        <v>223.6</v>
      </c>
      <c r="G258" s="10">
        <f t="shared" si="14"/>
        <v>22.183</v>
      </c>
      <c r="H258" s="110">
        <f t="shared" si="15"/>
        <v>0.899940191144221</v>
      </c>
      <c r="K258" s="144">
        <v>221.19</v>
      </c>
      <c r="L258" s="246">
        <f t="shared" si="16"/>
        <v>6597.39999999999</v>
      </c>
      <c r="O258" s="150" t="s">
        <v>1659</v>
      </c>
    </row>
    <row r="259" spans="1:15">
      <c r="A259" s="163">
        <v>46192</v>
      </c>
      <c r="B259" s="179" t="s">
        <v>151</v>
      </c>
      <c r="C259" s="191">
        <v>0.15</v>
      </c>
      <c r="D259" s="191">
        <v>1</v>
      </c>
      <c r="E259" s="144">
        <v>368.178</v>
      </c>
      <c r="F259" s="10">
        <f t="shared" ref="F259:F316" si="17">(D259-C259)*430</f>
        <v>365.5</v>
      </c>
      <c r="G259" s="10">
        <f t="shared" ref="G259:G316" si="18">E259-F259</f>
        <v>2.678</v>
      </c>
      <c r="H259" s="110">
        <f t="shared" ref="H259:H297" si="19">K259/E259</f>
        <v>0.816045499731108</v>
      </c>
      <c r="K259" s="144">
        <v>300.45</v>
      </c>
      <c r="L259" s="246">
        <f t="shared" ref="L259:L297" si="20">L258+J259-K259</f>
        <v>6296.94999999999</v>
      </c>
      <c r="O259" s="150" t="s">
        <v>1659</v>
      </c>
    </row>
    <row r="260" spans="1:15">
      <c r="A260" s="163">
        <v>46193</v>
      </c>
      <c r="B260" s="179" t="s">
        <v>138</v>
      </c>
      <c r="C260" s="191">
        <v>0.53</v>
      </c>
      <c r="D260" s="191">
        <v>0.99</v>
      </c>
      <c r="E260" s="144">
        <v>210.575</v>
      </c>
      <c r="F260" s="10">
        <f t="shared" si="17"/>
        <v>197.8</v>
      </c>
      <c r="G260" s="10">
        <f t="shared" si="18"/>
        <v>12.775</v>
      </c>
      <c r="H260" s="110">
        <f t="shared" si="19"/>
        <v>0.899916894218212</v>
      </c>
      <c r="K260" s="172">
        <v>189.5</v>
      </c>
      <c r="L260" s="246">
        <f t="shared" si="20"/>
        <v>6107.44999999999</v>
      </c>
      <c r="O260" s="150" t="s">
        <v>1659</v>
      </c>
    </row>
    <row r="261" spans="1:15">
      <c r="A261" s="163">
        <v>46193</v>
      </c>
      <c r="B261" s="179" t="s">
        <v>166</v>
      </c>
      <c r="C261" s="191">
        <v>0.37</v>
      </c>
      <c r="D261" s="191">
        <v>0.93</v>
      </c>
      <c r="E261" s="144">
        <v>252.574</v>
      </c>
      <c r="F261" s="10">
        <f t="shared" si="17"/>
        <v>240.8</v>
      </c>
      <c r="G261" s="10">
        <f t="shared" si="18"/>
        <v>11.774</v>
      </c>
      <c r="H261" s="110">
        <f t="shared" si="19"/>
        <v>0.851908747535376</v>
      </c>
      <c r="K261" s="172">
        <v>215.17</v>
      </c>
      <c r="L261" s="246">
        <f t="shared" si="20"/>
        <v>5892.27999999999</v>
      </c>
      <c r="O261" s="150" t="s">
        <v>1659</v>
      </c>
    </row>
    <row r="262" spans="1:15">
      <c r="A262" s="163">
        <v>46193</v>
      </c>
      <c r="B262" s="179" t="s">
        <v>78</v>
      </c>
      <c r="C262" s="191">
        <v>0.46</v>
      </c>
      <c r="D262" s="191">
        <v>0.86</v>
      </c>
      <c r="E262" s="144">
        <v>189.883</v>
      </c>
      <c r="F262" s="10">
        <f t="shared" si="17"/>
        <v>172</v>
      </c>
      <c r="G262" s="10">
        <f t="shared" si="18"/>
        <v>17.883</v>
      </c>
      <c r="H262" s="110">
        <f t="shared" si="19"/>
        <v>1.49776441282263</v>
      </c>
      <c r="K262" s="172">
        <v>284.4</v>
      </c>
      <c r="L262" s="246">
        <f t="shared" si="20"/>
        <v>5607.87999999999</v>
      </c>
      <c r="O262" s="150" t="s">
        <v>1659</v>
      </c>
    </row>
    <row r="263" spans="1:15">
      <c r="A263" s="163">
        <v>46193</v>
      </c>
      <c r="B263" s="179" t="s">
        <v>87</v>
      </c>
      <c r="C263" s="191">
        <v>0.42</v>
      </c>
      <c r="D263" s="191">
        <v>0.95</v>
      </c>
      <c r="E263" s="144">
        <v>264.267</v>
      </c>
      <c r="F263" s="10">
        <f t="shared" si="17"/>
        <v>227.9</v>
      </c>
      <c r="G263" s="10">
        <f t="shared" si="18"/>
        <v>36.367</v>
      </c>
      <c r="H263" s="110">
        <f t="shared" si="19"/>
        <v>0.899961024267124</v>
      </c>
      <c r="K263" s="172">
        <v>237.83</v>
      </c>
      <c r="L263" s="246">
        <f t="shared" si="20"/>
        <v>5370.04999999999</v>
      </c>
      <c r="O263" s="150" t="s">
        <v>1659</v>
      </c>
    </row>
    <row r="264" spans="1:15">
      <c r="A264" s="163">
        <v>46193</v>
      </c>
      <c r="B264" s="179" t="s">
        <v>130</v>
      </c>
      <c r="C264" s="191">
        <v>0.23</v>
      </c>
      <c r="D264" s="191">
        <v>0.98</v>
      </c>
      <c r="E264" s="144">
        <v>316.003</v>
      </c>
      <c r="F264" s="10">
        <f t="shared" si="17"/>
        <v>322.5</v>
      </c>
      <c r="G264" s="10">
        <f t="shared" si="18"/>
        <v>-6.49700000000001</v>
      </c>
      <c r="H264" s="110">
        <f t="shared" si="19"/>
        <v>0.540786005196153</v>
      </c>
      <c r="K264" s="172">
        <v>170.89</v>
      </c>
      <c r="L264" s="246">
        <f t="shared" si="20"/>
        <v>5199.15999999999</v>
      </c>
      <c r="O264" s="150" t="s">
        <v>1659</v>
      </c>
    </row>
    <row r="265" spans="1:15">
      <c r="A265" s="163">
        <v>46193</v>
      </c>
      <c r="B265" s="179" t="s">
        <v>96</v>
      </c>
      <c r="C265" s="191">
        <v>0.39</v>
      </c>
      <c r="D265" s="191">
        <v>0.98</v>
      </c>
      <c r="E265" s="144">
        <v>272.748</v>
      </c>
      <c r="F265" s="10">
        <f t="shared" si="17"/>
        <v>253.7</v>
      </c>
      <c r="G265" s="10">
        <f t="shared" si="18"/>
        <v>19.048</v>
      </c>
      <c r="H265" s="110">
        <f t="shared" si="19"/>
        <v>0.899951603678121</v>
      </c>
      <c r="K265" s="172">
        <v>245.46</v>
      </c>
      <c r="L265" s="246">
        <f t="shared" si="20"/>
        <v>4953.69999999999</v>
      </c>
      <c r="O265" s="150" t="s">
        <v>1659</v>
      </c>
    </row>
    <row r="266" spans="1:15">
      <c r="A266" s="163">
        <v>46193</v>
      </c>
      <c r="B266" s="179" t="s">
        <v>102</v>
      </c>
      <c r="C266" s="191">
        <v>0.4</v>
      </c>
      <c r="D266" s="191">
        <v>1</v>
      </c>
      <c r="E266" s="144">
        <v>273.669</v>
      </c>
      <c r="F266" s="10">
        <f t="shared" si="17"/>
        <v>258</v>
      </c>
      <c r="G266" s="10">
        <f t="shared" si="18"/>
        <v>15.669</v>
      </c>
      <c r="H266" s="110">
        <f t="shared" si="19"/>
        <v>0.899955786004261</v>
      </c>
      <c r="K266" s="172">
        <v>246.29</v>
      </c>
      <c r="L266" s="246">
        <f t="shared" si="20"/>
        <v>4707.40999999999</v>
      </c>
      <c r="O266" s="150" t="s">
        <v>1659</v>
      </c>
    </row>
    <row r="267" spans="1:15">
      <c r="A267" s="163">
        <v>46193</v>
      </c>
      <c r="B267" s="179" t="s">
        <v>51</v>
      </c>
      <c r="C267" s="191">
        <v>0.3</v>
      </c>
      <c r="D267" s="191">
        <v>0.96</v>
      </c>
      <c r="E267" s="144">
        <v>277.21</v>
      </c>
      <c r="F267" s="10">
        <f t="shared" si="17"/>
        <v>283.8</v>
      </c>
      <c r="G267" s="10">
        <f t="shared" si="18"/>
        <v>-6.58999999999997</v>
      </c>
      <c r="H267" s="110">
        <f t="shared" si="19"/>
        <v>0.899967533638758</v>
      </c>
      <c r="K267" s="172">
        <v>249.48</v>
      </c>
      <c r="L267" s="246">
        <f t="shared" si="20"/>
        <v>4457.92999999999</v>
      </c>
      <c r="O267" s="150" t="s">
        <v>1659</v>
      </c>
    </row>
    <row r="268" spans="1:15">
      <c r="A268" s="163">
        <v>46193</v>
      </c>
      <c r="B268" s="179" t="s">
        <v>154</v>
      </c>
      <c r="C268" s="191">
        <v>0.28</v>
      </c>
      <c r="D268" s="191">
        <v>0.99</v>
      </c>
      <c r="E268" s="144">
        <v>315.709</v>
      </c>
      <c r="F268" s="10">
        <f t="shared" si="17"/>
        <v>305.3</v>
      </c>
      <c r="G268" s="10">
        <f t="shared" si="18"/>
        <v>10.409</v>
      </c>
      <c r="H268" s="110">
        <f t="shared" si="19"/>
        <v>0.899974343461859</v>
      </c>
      <c r="K268" s="172">
        <v>284.13</v>
      </c>
      <c r="L268" s="246">
        <f t="shared" si="20"/>
        <v>4173.79999999999</v>
      </c>
      <c r="O268" s="150" t="s">
        <v>1659</v>
      </c>
    </row>
    <row r="269" spans="1:15">
      <c r="A269" s="163">
        <v>46193</v>
      </c>
      <c r="B269" s="179" t="s">
        <v>163</v>
      </c>
      <c r="C269" s="191">
        <v>0.22</v>
      </c>
      <c r="D269" s="191">
        <v>0.61</v>
      </c>
      <c r="E269" s="144">
        <v>172.805</v>
      </c>
      <c r="F269" s="10">
        <f t="shared" si="17"/>
        <v>167.7</v>
      </c>
      <c r="G269" s="10">
        <f t="shared" si="18"/>
        <v>5.10499999999999</v>
      </c>
      <c r="H269" s="110">
        <f t="shared" si="19"/>
        <v>0.899973959086832</v>
      </c>
      <c r="K269" s="172">
        <v>155.52</v>
      </c>
      <c r="L269" s="246">
        <f t="shared" si="20"/>
        <v>4018.27999999999</v>
      </c>
      <c r="O269" s="150" t="s">
        <v>1659</v>
      </c>
    </row>
    <row r="270" spans="1:15">
      <c r="A270" s="163">
        <v>46193</v>
      </c>
      <c r="B270" s="179" t="s">
        <v>221</v>
      </c>
      <c r="C270" s="191">
        <v>0.22</v>
      </c>
      <c r="D270" s="191">
        <v>0.99</v>
      </c>
      <c r="E270" s="144">
        <v>347.102</v>
      </c>
      <c r="F270" s="10">
        <f t="shared" si="17"/>
        <v>331.1</v>
      </c>
      <c r="G270" s="10">
        <f t="shared" si="18"/>
        <v>16.002</v>
      </c>
      <c r="H270" s="110">
        <f t="shared" si="19"/>
        <v>0.899966004229304</v>
      </c>
      <c r="K270" s="172">
        <v>312.38</v>
      </c>
      <c r="L270" s="246">
        <f t="shared" si="20"/>
        <v>3705.89999999999</v>
      </c>
      <c r="O270" s="150" t="s">
        <v>1659</v>
      </c>
    </row>
    <row r="271" spans="1:15">
      <c r="A271" s="163">
        <v>46193</v>
      </c>
      <c r="B271" s="179" t="s">
        <v>338</v>
      </c>
      <c r="C271" s="191">
        <v>0.24</v>
      </c>
      <c r="D271" s="191">
        <v>0.95</v>
      </c>
      <c r="E271" s="144">
        <v>312.877</v>
      </c>
      <c r="F271" s="10">
        <f t="shared" si="17"/>
        <v>305.3</v>
      </c>
      <c r="G271" s="10">
        <f t="shared" si="18"/>
        <v>7.577</v>
      </c>
      <c r="H271" s="110">
        <f t="shared" si="19"/>
        <v>0.899970275859203</v>
      </c>
      <c r="K271" s="172">
        <v>281.58</v>
      </c>
      <c r="L271" s="246">
        <f t="shared" si="20"/>
        <v>3424.31999999999</v>
      </c>
      <c r="O271" s="150" t="s">
        <v>1659</v>
      </c>
    </row>
    <row r="272" spans="1:15">
      <c r="A272" s="163">
        <v>46193</v>
      </c>
      <c r="B272" s="179" t="s">
        <v>163</v>
      </c>
      <c r="C272" s="191">
        <v>0.62</v>
      </c>
      <c r="D272" s="191">
        <v>0.99</v>
      </c>
      <c r="E272" s="144">
        <v>168.811</v>
      </c>
      <c r="F272" s="10">
        <f t="shared" si="17"/>
        <v>159.1</v>
      </c>
      <c r="G272" s="10">
        <f t="shared" si="18"/>
        <v>9.71100000000001</v>
      </c>
      <c r="H272" s="110">
        <f t="shared" si="19"/>
        <v>1.94211277701098</v>
      </c>
      <c r="K272" s="172">
        <v>327.85</v>
      </c>
      <c r="L272" s="246">
        <f t="shared" si="20"/>
        <v>3096.46999999999</v>
      </c>
      <c r="O272" s="150" t="s">
        <v>1659</v>
      </c>
    </row>
    <row r="273" spans="1:15">
      <c r="A273" s="163">
        <v>46193</v>
      </c>
      <c r="B273" s="179" t="s">
        <v>135</v>
      </c>
      <c r="C273" s="191">
        <v>0.17</v>
      </c>
      <c r="D273" s="191">
        <v>0.99</v>
      </c>
      <c r="E273" s="144">
        <v>364.289</v>
      </c>
      <c r="F273" s="10">
        <f t="shared" si="17"/>
        <v>352.6</v>
      </c>
      <c r="G273" s="10">
        <f t="shared" si="18"/>
        <v>11.689</v>
      </c>
      <c r="H273" s="110">
        <f t="shared" si="19"/>
        <v>0.417031532656764</v>
      </c>
      <c r="K273" s="172">
        <v>151.92</v>
      </c>
      <c r="L273" s="246">
        <f t="shared" si="20"/>
        <v>2944.54999999999</v>
      </c>
      <c r="O273" s="150" t="s">
        <v>1659</v>
      </c>
    </row>
    <row r="274" spans="1:15">
      <c r="A274" s="163">
        <v>46193</v>
      </c>
      <c r="B274" s="179" t="s">
        <v>81</v>
      </c>
      <c r="C274" s="191">
        <v>0.32</v>
      </c>
      <c r="D274" s="191">
        <v>1</v>
      </c>
      <c r="E274" s="144">
        <v>314.75</v>
      </c>
      <c r="F274" s="10">
        <f t="shared" si="17"/>
        <v>292.4</v>
      </c>
      <c r="G274" s="10">
        <f t="shared" si="18"/>
        <v>22.35</v>
      </c>
      <c r="H274" s="110">
        <f t="shared" si="19"/>
        <v>0.899952343129468</v>
      </c>
      <c r="K274" s="172">
        <v>283.26</v>
      </c>
      <c r="L274" s="246">
        <f t="shared" si="20"/>
        <v>2661.28999999999</v>
      </c>
      <c r="O274" s="150" t="s">
        <v>1659</v>
      </c>
    </row>
    <row r="275" spans="1:15">
      <c r="A275" s="163">
        <v>46193</v>
      </c>
      <c r="B275" s="179" t="s">
        <v>223</v>
      </c>
      <c r="C275" s="191">
        <v>0.19</v>
      </c>
      <c r="D275" s="191">
        <v>0.92</v>
      </c>
      <c r="E275" s="144">
        <v>324.248</v>
      </c>
      <c r="F275" s="10">
        <f t="shared" si="17"/>
        <v>313.9</v>
      </c>
      <c r="G275" s="10">
        <f t="shared" si="18"/>
        <v>10.348</v>
      </c>
      <c r="H275" s="110">
        <f t="shared" si="19"/>
        <v>0.888609952875577</v>
      </c>
      <c r="K275" s="172">
        <v>288.13</v>
      </c>
      <c r="L275" s="246">
        <f t="shared" si="20"/>
        <v>2373.15999999999</v>
      </c>
      <c r="O275" s="150" t="s">
        <v>1659</v>
      </c>
    </row>
    <row r="276" spans="1:15">
      <c r="A276" s="163">
        <v>46193</v>
      </c>
      <c r="B276" s="179" t="s">
        <v>160</v>
      </c>
      <c r="C276" s="191">
        <v>0.23</v>
      </c>
      <c r="D276" s="191">
        <v>0.95</v>
      </c>
      <c r="E276" s="144">
        <v>320.16</v>
      </c>
      <c r="F276" s="10">
        <f t="shared" si="17"/>
        <v>309.6</v>
      </c>
      <c r="G276" s="10">
        <f t="shared" si="18"/>
        <v>10.5600000000001</v>
      </c>
      <c r="H276" s="110">
        <f t="shared" si="19"/>
        <v>0.91148175912044</v>
      </c>
      <c r="K276" s="172">
        <v>291.82</v>
      </c>
      <c r="L276" s="246">
        <f t="shared" si="20"/>
        <v>2081.33999999999</v>
      </c>
      <c r="O276" s="150" t="s">
        <v>1659</v>
      </c>
    </row>
    <row r="277" spans="1:15">
      <c r="A277" s="163">
        <v>46193</v>
      </c>
      <c r="B277" s="179" t="s">
        <v>213</v>
      </c>
      <c r="C277" s="191">
        <v>0.36</v>
      </c>
      <c r="D277" s="191">
        <v>1</v>
      </c>
      <c r="E277" s="144">
        <v>283.713</v>
      </c>
      <c r="F277" s="10">
        <f t="shared" si="17"/>
        <v>275.2</v>
      </c>
      <c r="G277" s="10">
        <f t="shared" si="18"/>
        <v>8.51300000000003</v>
      </c>
      <c r="H277" s="110">
        <f t="shared" si="19"/>
        <v>0.899958761142422</v>
      </c>
      <c r="K277" s="172">
        <v>255.33</v>
      </c>
      <c r="L277" s="246">
        <f t="shared" si="20"/>
        <v>1826.00999999999</v>
      </c>
      <c r="O277" s="150" t="s">
        <v>1659</v>
      </c>
    </row>
    <row r="278" spans="1:15">
      <c r="A278" s="163">
        <v>46193</v>
      </c>
      <c r="B278" s="179" t="s">
        <v>670</v>
      </c>
      <c r="C278" s="191">
        <v>0.35</v>
      </c>
      <c r="D278" s="191">
        <v>0.99</v>
      </c>
      <c r="E278" s="144">
        <v>291.619</v>
      </c>
      <c r="F278" s="10">
        <f t="shared" si="17"/>
        <v>275.2</v>
      </c>
      <c r="G278" s="10">
        <f t="shared" si="18"/>
        <v>16.419</v>
      </c>
      <c r="H278" s="110">
        <f t="shared" si="19"/>
        <v>0.899975653163888</v>
      </c>
      <c r="K278" s="172">
        <v>262.45</v>
      </c>
      <c r="L278" s="246">
        <f t="shared" si="20"/>
        <v>1563.55999999999</v>
      </c>
      <c r="O278" s="150" t="s">
        <v>1659</v>
      </c>
    </row>
    <row r="279" spans="1:15">
      <c r="A279" s="163">
        <v>46193</v>
      </c>
      <c r="B279" s="179" t="s">
        <v>151</v>
      </c>
      <c r="C279" s="191">
        <v>0.38</v>
      </c>
      <c r="D279" s="191">
        <v>0.99</v>
      </c>
      <c r="E279" s="144">
        <v>276.865</v>
      </c>
      <c r="F279" s="10">
        <f t="shared" si="17"/>
        <v>262.3</v>
      </c>
      <c r="G279" s="10">
        <f t="shared" si="18"/>
        <v>14.565</v>
      </c>
      <c r="H279" s="110">
        <f t="shared" si="19"/>
        <v>0.899969299116898</v>
      </c>
      <c r="K279" s="172">
        <v>249.17</v>
      </c>
      <c r="L279" s="246">
        <f t="shared" si="20"/>
        <v>1314.38999999999</v>
      </c>
      <c r="O279" s="150" t="s">
        <v>1659</v>
      </c>
    </row>
    <row r="280" spans="1:15">
      <c r="A280" s="163">
        <v>46194</v>
      </c>
      <c r="B280" s="179" t="s">
        <v>69</v>
      </c>
      <c r="C280" s="191">
        <v>0.19</v>
      </c>
      <c r="D280" s="191">
        <v>0.98</v>
      </c>
      <c r="E280" s="144">
        <v>381.926</v>
      </c>
      <c r="F280" s="10">
        <f t="shared" si="17"/>
        <v>339.7</v>
      </c>
      <c r="G280" s="10">
        <f t="shared" si="18"/>
        <v>42.226</v>
      </c>
      <c r="H280" s="110">
        <f t="shared" si="19"/>
        <v>0.898865225200693</v>
      </c>
      <c r="J280" s="144">
        <v>10000</v>
      </c>
      <c r="K280" s="172">
        <v>343.3</v>
      </c>
      <c r="L280" s="246">
        <f t="shared" si="20"/>
        <v>10971.09</v>
      </c>
      <c r="O280" s="150" t="s">
        <v>1659</v>
      </c>
    </row>
    <row r="281" spans="1:15">
      <c r="A281" s="163">
        <v>46194</v>
      </c>
      <c r="B281" s="179" t="s">
        <v>75</v>
      </c>
      <c r="C281" s="191">
        <v>0.34</v>
      </c>
      <c r="D281" s="191">
        <v>1</v>
      </c>
      <c r="E281" s="144">
        <v>297.9</v>
      </c>
      <c r="F281" s="10">
        <f t="shared" si="17"/>
        <v>283.8</v>
      </c>
      <c r="G281" s="10">
        <f t="shared" si="18"/>
        <v>14.1</v>
      </c>
      <c r="H281" s="110">
        <f t="shared" si="19"/>
        <v>0.899966431688486</v>
      </c>
      <c r="K281" s="172">
        <v>268.1</v>
      </c>
      <c r="L281" s="246">
        <f t="shared" si="20"/>
        <v>10702.99</v>
      </c>
      <c r="O281" s="150" t="s">
        <v>1659</v>
      </c>
    </row>
    <row r="282" spans="1:15">
      <c r="A282" s="163">
        <v>46194</v>
      </c>
      <c r="B282" s="179" t="s">
        <v>93</v>
      </c>
      <c r="C282" s="191">
        <v>0.35</v>
      </c>
      <c r="D282" s="191">
        <v>1</v>
      </c>
      <c r="E282" s="144">
        <v>312.809</v>
      </c>
      <c r="F282" s="10">
        <f t="shared" si="17"/>
        <v>279.5</v>
      </c>
      <c r="G282" s="10">
        <f t="shared" si="18"/>
        <v>33.309</v>
      </c>
      <c r="H282" s="110">
        <f t="shared" si="19"/>
        <v>0.899974105604378</v>
      </c>
      <c r="K282" s="172">
        <v>281.52</v>
      </c>
      <c r="L282" s="246">
        <f t="shared" si="20"/>
        <v>10421.47</v>
      </c>
      <c r="O282" s="150" t="s">
        <v>1659</v>
      </c>
    </row>
    <row r="283" spans="1:15">
      <c r="A283" s="163">
        <v>46194</v>
      </c>
      <c r="B283" s="179" t="s">
        <v>144</v>
      </c>
      <c r="C283" s="191">
        <v>0.23</v>
      </c>
      <c r="D283" s="191">
        <v>0.99</v>
      </c>
      <c r="E283" s="144">
        <v>339.641</v>
      </c>
      <c r="F283" s="10">
        <f t="shared" si="17"/>
        <v>326.8</v>
      </c>
      <c r="G283" s="10">
        <f t="shared" si="18"/>
        <v>12.841</v>
      </c>
      <c r="H283" s="110">
        <f t="shared" si="19"/>
        <v>0.899979684431503</v>
      </c>
      <c r="K283" s="172">
        <v>305.67</v>
      </c>
      <c r="L283" s="246">
        <f t="shared" si="20"/>
        <v>10115.8</v>
      </c>
      <c r="O283" s="150" t="s">
        <v>1659</v>
      </c>
    </row>
    <row r="284" spans="1:15">
      <c r="A284" s="163">
        <v>46194</v>
      </c>
      <c r="B284" s="179" t="s">
        <v>105</v>
      </c>
      <c r="C284" s="191">
        <v>0.33</v>
      </c>
      <c r="D284" s="191">
        <v>0.58</v>
      </c>
      <c r="E284" s="144">
        <v>121.756</v>
      </c>
      <c r="F284" s="10">
        <f t="shared" si="17"/>
        <v>107.5</v>
      </c>
      <c r="G284" s="10">
        <f t="shared" si="18"/>
        <v>14.256</v>
      </c>
      <c r="H284" s="110">
        <f t="shared" si="19"/>
        <v>0.859259502611781</v>
      </c>
      <c r="K284" s="172">
        <v>104.62</v>
      </c>
      <c r="L284" s="246">
        <f t="shared" si="20"/>
        <v>10011.18</v>
      </c>
      <c r="O284" s="150" t="s">
        <v>1659</v>
      </c>
    </row>
    <row r="285" spans="1:15">
      <c r="A285" s="163">
        <v>46194</v>
      </c>
      <c r="B285" s="179" t="s">
        <v>105</v>
      </c>
      <c r="C285" s="191">
        <v>0.59</v>
      </c>
      <c r="D285" s="191">
        <v>0.61</v>
      </c>
      <c r="E285" s="144">
        <v>11.407</v>
      </c>
      <c r="F285" s="10">
        <f t="shared" si="17"/>
        <v>8.60000000000001</v>
      </c>
      <c r="G285" s="10">
        <f t="shared" si="18"/>
        <v>2.80699999999999</v>
      </c>
      <c r="H285" s="110">
        <f t="shared" si="19"/>
        <v>0.899447707547997</v>
      </c>
      <c r="K285" s="172">
        <v>10.26</v>
      </c>
      <c r="L285" s="246">
        <f t="shared" si="20"/>
        <v>10000.92</v>
      </c>
      <c r="O285" s="150" t="s">
        <v>1659</v>
      </c>
    </row>
    <row r="286" spans="1:15">
      <c r="A286" s="163">
        <v>46194</v>
      </c>
      <c r="B286" s="179" t="s">
        <v>198</v>
      </c>
      <c r="C286" s="191">
        <v>0.31</v>
      </c>
      <c r="D286" s="191">
        <v>0.99</v>
      </c>
      <c r="E286" s="144">
        <v>309.356</v>
      </c>
      <c r="F286" s="10">
        <f t="shared" si="17"/>
        <v>292.4</v>
      </c>
      <c r="G286" s="10">
        <f t="shared" si="18"/>
        <v>16.956</v>
      </c>
      <c r="H286" s="110">
        <f t="shared" si="19"/>
        <v>0.899966381773749</v>
      </c>
      <c r="K286" s="172">
        <v>278.41</v>
      </c>
      <c r="L286" s="246">
        <f t="shared" si="20"/>
        <v>9722.50999999999</v>
      </c>
      <c r="O286" s="150" t="s">
        <v>1659</v>
      </c>
    </row>
    <row r="287" spans="1:15">
      <c r="A287" s="163">
        <v>46194</v>
      </c>
      <c r="B287" s="179" t="s">
        <v>189</v>
      </c>
      <c r="C287" s="191">
        <v>0.29</v>
      </c>
      <c r="D287" s="191">
        <v>0.98</v>
      </c>
      <c r="E287" s="144">
        <v>305.951</v>
      </c>
      <c r="F287" s="10">
        <f t="shared" si="17"/>
        <v>296.7</v>
      </c>
      <c r="G287" s="10">
        <f t="shared" si="18"/>
        <v>9.25100000000003</v>
      </c>
      <c r="H287" s="110">
        <f t="shared" si="19"/>
        <v>0.899948030893836</v>
      </c>
      <c r="K287" s="172">
        <v>275.34</v>
      </c>
      <c r="L287" s="246">
        <f t="shared" si="20"/>
        <v>9447.16999999999</v>
      </c>
      <c r="O287" s="150" t="s">
        <v>1659</v>
      </c>
    </row>
    <row r="288" spans="1:15">
      <c r="A288" s="163">
        <v>46194</v>
      </c>
      <c r="B288" s="179" t="s">
        <v>51</v>
      </c>
      <c r="C288" s="191">
        <v>0.26</v>
      </c>
      <c r="D288" s="191">
        <v>0.99</v>
      </c>
      <c r="E288" s="144">
        <v>307.84</v>
      </c>
      <c r="F288" s="10">
        <f t="shared" si="17"/>
        <v>313.9</v>
      </c>
      <c r="G288" s="10">
        <f t="shared" si="18"/>
        <v>-6.06</v>
      </c>
      <c r="H288" s="110">
        <f t="shared" si="19"/>
        <v>0.899980509355509</v>
      </c>
      <c r="K288" s="172">
        <v>277.05</v>
      </c>
      <c r="L288" s="246">
        <f t="shared" si="20"/>
        <v>9170.11999999999</v>
      </c>
      <c r="O288" s="150" t="s">
        <v>1659</v>
      </c>
    </row>
    <row r="289" spans="1:15">
      <c r="A289" s="163">
        <v>46194</v>
      </c>
      <c r="B289" s="179" t="s">
        <v>154</v>
      </c>
      <c r="C289" s="191">
        <v>0.41</v>
      </c>
      <c r="D289" s="191">
        <v>0.99</v>
      </c>
      <c r="E289" s="144">
        <v>263.446</v>
      </c>
      <c r="F289" s="10">
        <f t="shared" si="17"/>
        <v>249.4</v>
      </c>
      <c r="G289" s="10">
        <f t="shared" si="18"/>
        <v>14.046</v>
      </c>
      <c r="H289" s="110">
        <f t="shared" si="19"/>
        <v>1.02943297677702</v>
      </c>
      <c r="K289" s="172">
        <v>271.2</v>
      </c>
      <c r="L289" s="246">
        <f t="shared" si="20"/>
        <v>8898.91999999999</v>
      </c>
      <c r="O289" s="150" t="s">
        <v>1659</v>
      </c>
    </row>
    <row r="290" spans="1:15">
      <c r="A290" s="163">
        <v>46194</v>
      </c>
      <c r="B290" s="179" t="s">
        <v>338</v>
      </c>
      <c r="C290" s="191">
        <v>0.27</v>
      </c>
      <c r="D290" s="191">
        <v>0.95</v>
      </c>
      <c r="E290" s="144">
        <v>301.345</v>
      </c>
      <c r="F290" s="10">
        <f t="shared" si="17"/>
        <v>292.4</v>
      </c>
      <c r="G290" s="10">
        <f t="shared" si="18"/>
        <v>8.94500000000005</v>
      </c>
      <c r="H290" s="110">
        <f t="shared" si="19"/>
        <v>0.786772636015198</v>
      </c>
      <c r="K290" s="172">
        <v>237.09</v>
      </c>
      <c r="L290" s="246">
        <f t="shared" si="20"/>
        <v>8661.82999999999</v>
      </c>
      <c r="O290" s="150" t="s">
        <v>1659</v>
      </c>
    </row>
    <row r="291" spans="1:15">
      <c r="A291" s="163">
        <v>46194</v>
      </c>
      <c r="B291" s="179" t="s">
        <v>204</v>
      </c>
      <c r="C291" s="191">
        <v>0.35</v>
      </c>
      <c r="D291" s="191">
        <v>0.95</v>
      </c>
      <c r="E291" s="144">
        <v>265.317</v>
      </c>
      <c r="F291" s="10">
        <f t="shared" si="17"/>
        <v>258</v>
      </c>
      <c r="G291" s="10">
        <f t="shared" si="18"/>
        <v>7.31700000000001</v>
      </c>
      <c r="H291" s="110">
        <f t="shared" si="19"/>
        <v>0.899942333133572</v>
      </c>
      <c r="K291" s="172">
        <v>238.77</v>
      </c>
      <c r="L291" s="246">
        <f t="shared" si="20"/>
        <v>8423.05999999999</v>
      </c>
      <c r="O291" s="150" t="s">
        <v>1659</v>
      </c>
    </row>
    <row r="292" spans="1:15">
      <c r="A292" s="163">
        <v>46194</v>
      </c>
      <c r="B292" s="179" t="s">
        <v>160</v>
      </c>
      <c r="C292" s="191">
        <v>0.35</v>
      </c>
      <c r="D292" s="191">
        <v>1</v>
      </c>
      <c r="E292" s="144">
        <v>288.387</v>
      </c>
      <c r="F292" s="10">
        <f t="shared" si="17"/>
        <v>279.5</v>
      </c>
      <c r="G292" s="10">
        <f t="shared" si="18"/>
        <v>8.887</v>
      </c>
      <c r="H292" s="110">
        <f t="shared" si="19"/>
        <v>0.899936543602867</v>
      </c>
      <c r="K292" s="172">
        <v>259.53</v>
      </c>
      <c r="L292" s="246">
        <f t="shared" si="20"/>
        <v>8163.52999999999</v>
      </c>
      <c r="O292" s="150" t="s">
        <v>1659</v>
      </c>
    </row>
    <row r="293" spans="1:15">
      <c r="A293" s="163">
        <v>46194</v>
      </c>
      <c r="B293" s="179" t="s">
        <v>163</v>
      </c>
      <c r="C293" s="191">
        <v>0.32</v>
      </c>
      <c r="D293" s="191">
        <v>0.94</v>
      </c>
      <c r="E293" s="144">
        <v>279.765</v>
      </c>
      <c r="F293" s="10">
        <f t="shared" si="17"/>
        <v>266.6</v>
      </c>
      <c r="G293" s="10">
        <f t="shared" si="18"/>
        <v>13.165</v>
      </c>
      <c r="H293" s="110">
        <f t="shared" si="19"/>
        <v>0.899969617357425</v>
      </c>
      <c r="K293" s="172">
        <v>251.78</v>
      </c>
      <c r="L293" s="246">
        <f t="shared" si="20"/>
        <v>7911.74999999999</v>
      </c>
      <c r="O293" s="150" t="s">
        <v>1659</v>
      </c>
    </row>
    <row r="294" spans="1:15">
      <c r="A294" s="163">
        <v>46194</v>
      </c>
      <c r="B294" s="179" t="s">
        <v>108</v>
      </c>
      <c r="C294" s="191">
        <v>0.32</v>
      </c>
      <c r="D294" s="191">
        <v>0.99</v>
      </c>
      <c r="E294" s="144">
        <v>324.312</v>
      </c>
      <c r="F294" s="10">
        <f t="shared" si="17"/>
        <v>288.1</v>
      </c>
      <c r="G294" s="10">
        <f t="shared" si="18"/>
        <v>36.212</v>
      </c>
      <c r="H294" s="110">
        <f t="shared" si="19"/>
        <v>0.899966698734552</v>
      </c>
      <c r="K294" s="172">
        <v>291.87</v>
      </c>
      <c r="L294" s="246">
        <f t="shared" si="20"/>
        <v>7619.87999999999</v>
      </c>
      <c r="O294" s="150" t="s">
        <v>1659</v>
      </c>
    </row>
    <row r="295" spans="1:15">
      <c r="A295" s="163">
        <v>46194</v>
      </c>
      <c r="B295" s="179" t="s">
        <v>207</v>
      </c>
      <c r="C295" s="191">
        <v>0.27</v>
      </c>
      <c r="D295" s="191">
        <v>0.99</v>
      </c>
      <c r="E295" s="144">
        <v>323.157</v>
      </c>
      <c r="F295" s="10">
        <f t="shared" si="17"/>
        <v>309.6</v>
      </c>
      <c r="G295" s="10">
        <f t="shared" si="18"/>
        <v>13.557</v>
      </c>
      <c r="H295" s="110">
        <f t="shared" si="19"/>
        <v>0.899965032476474</v>
      </c>
      <c r="K295" s="172">
        <v>290.83</v>
      </c>
      <c r="L295" s="246">
        <f t="shared" si="20"/>
        <v>7329.04999999999</v>
      </c>
      <c r="O295" s="150" t="s">
        <v>1659</v>
      </c>
    </row>
    <row r="296" spans="1:15">
      <c r="A296" s="163">
        <v>46194</v>
      </c>
      <c r="B296" s="179" t="s">
        <v>186</v>
      </c>
      <c r="C296" s="191">
        <v>0.24</v>
      </c>
      <c r="D296" s="191">
        <v>1</v>
      </c>
      <c r="E296" s="144">
        <v>337.66</v>
      </c>
      <c r="F296" s="10">
        <f t="shared" si="17"/>
        <v>326.8</v>
      </c>
      <c r="G296" s="10">
        <f t="shared" si="18"/>
        <v>10.86</v>
      </c>
      <c r="H296" s="110">
        <f t="shared" si="19"/>
        <v>0.899988153764141</v>
      </c>
      <c r="K296" s="172">
        <v>303.89</v>
      </c>
      <c r="L296" s="246">
        <f t="shared" si="20"/>
        <v>7025.15999999999</v>
      </c>
      <c r="O296" s="150" t="s">
        <v>1659</v>
      </c>
    </row>
    <row r="297" spans="1:15">
      <c r="A297" s="163">
        <v>46194</v>
      </c>
      <c r="B297" s="179" t="s">
        <v>114</v>
      </c>
      <c r="C297" s="191">
        <v>0.3</v>
      </c>
      <c r="D297" s="191">
        <v>0.98</v>
      </c>
      <c r="E297" s="144">
        <v>289.299</v>
      </c>
      <c r="F297" s="10">
        <f t="shared" si="17"/>
        <v>292.4</v>
      </c>
      <c r="G297" s="10">
        <f t="shared" si="18"/>
        <v>-3.101</v>
      </c>
      <c r="H297" s="110">
        <f t="shared" ref="H296:H327" si="21">K297/E297</f>
        <v>0.899968544654492</v>
      </c>
      <c r="I297" s="144">
        <v>1.05</v>
      </c>
      <c r="K297" s="172">
        <v>260.36</v>
      </c>
      <c r="L297" s="246">
        <f t="shared" si="20"/>
        <v>6764.79999999999</v>
      </c>
      <c r="M297" s="144">
        <f>I297*E297</f>
        <v>303.76395</v>
      </c>
      <c r="O297" s="150" t="s">
        <v>1659</v>
      </c>
    </row>
    <row r="298" spans="1:15">
      <c r="A298" s="178">
        <v>46195</v>
      </c>
      <c r="B298" s="179" t="s">
        <v>66</v>
      </c>
      <c r="C298" s="256">
        <v>0.4</v>
      </c>
      <c r="D298" s="256">
        <v>0.96</v>
      </c>
      <c r="E298" s="180">
        <v>270.29</v>
      </c>
      <c r="F298" s="10">
        <f t="shared" si="17"/>
        <v>240.8</v>
      </c>
      <c r="G298" s="10">
        <f t="shared" si="18"/>
        <v>29.49</v>
      </c>
      <c r="H298" s="110">
        <f t="shared" si="21"/>
        <v>1.03248362869511</v>
      </c>
      <c r="J298" s="144">
        <v>10000</v>
      </c>
      <c r="K298" s="172">
        <v>279.07</v>
      </c>
      <c r="L298" s="246">
        <f t="shared" ref="L298:L315" si="22">L297+J298-K298</f>
        <v>16485.73</v>
      </c>
      <c r="O298" s="150" t="s">
        <v>1659</v>
      </c>
    </row>
    <row r="299" spans="1:15">
      <c r="A299" s="178">
        <v>46195</v>
      </c>
      <c r="B299" s="179" t="s">
        <v>99</v>
      </c>
      <c r="C299" s="256">
        <v>0.34</v>
      </c>
      <c r="D299" s="256">
        <v>1</v>
      </c>
      <c r="E299" s="180">
        <v>310.092</v>
      </c>
      <c r="F299" s="10">
        <f t="shared" si="17"/>
        <v>283.8</v>
      </c>
      <c r="G299" s="10">
        <f t="shared" si="18"/>
        <v>26.292</v>
      </c>
      <c r="H299" s="110">
        <f t="shared" si="21"/>
        <v>0.784444616436413</v>
      </c>
      <c r="K299" s="172">
        <v>243.25</v>
      </c>
      <c r="L299" s="246">
        <f t="shared" si="22"/>
        <v>16242.48</v>
      </c>
      <c r="O299" s="150" t="s">
        <v>1659</v>
      </c>
    </row>
    <row r="300" spans="1:15">
      <c r="A300" s="178">
        <v>46195</v>
      </c>
      <c r="B300" s="179" t="s">
        <v>138</v>
      </c>
      <c r="C300" s="256">
        <v>0.28</v>
      </c>
      <c r="D300" s="256">
        <v>0.99</v>
      </c>
      <c r="E300" s="180">
        <v>317.175</v>
      </c>
      <c r="F300" s="10">
        <f t="shared" si="17"/>
        <v>305.3</v>
      </c>
      <c r="G300" s="10">
        <f t="shared" si="18"/>
        <v>11.875</v>
      </c>
      <c r="H300" s="110">
        <f t="shared" si="21"/>
        <v>0.882288957200284</v>
      </c>
      <c r="K300" s="172">
        <v>279.84</v>
      </c>
      <c r="L300" s="246">
        <f t="shared" si="22"/>
        <v>15962.64</v>
      </c>
      <c r="O300" s="150" t="s">
        <v>1659</v>
      </c>
    </row>
    <row r="301" spans="1:15">
      <c r="A301" s="178">
        <v>46195</v>
      </c>
      <c r="B301" s="179" t="s">
        <v>78</v>
      </c>
      <c r="C301" s="256">
        <v>0.28</v>
      </c>
      <c r="D301" s="256">
        <v>0.98</v>
      </c>
      <c r="E301" s="180">
        <v>309.749</v>
      </c>
      <c r="F301" s="10">
        <f t="shared" si="17"/>
        <v>301</v>
      </c>
      <c r="G301" s="10">
        <f t="shared" si="18"/>
        <v>8.74900000000002</v>
      </c>
      <c r="H301" s="110">
        <f t="shared" si="21"/>
        <v>0.770075125343423</v>
      </c>
      <c r="K301" s="172">
        <v>238.53</v>
      </c>
      <c r="L301" s="246">
        <f t="shared" si="22"/>
        <v>15724.11</v>
      </c>
      <c r="O301" s="150" t="s">
        <v>1659</v>
      </c>
    </row>
    <row r="302" spans="1:15">
      <c r="A302" s="178">
        <v>46195</v>
      </c>
      <c r="B302" s="179" t="s">
        <v>201</v>
      </c>
      <c r="C302" s="256">
        <v>0.27</v>
      </c>
      <c r="D302" s="256">
        <v>0.99</v>
      </c>
      <c r="E302" s="180">
        <v>325.995</v>
      </c>
      <c r="F302" s="10">
        <f t="shared" si="17"/>
        <v>309.6</v>
      </c>
      <c r="G302" s="10">
        <f t="shared" si="18"/>
        <v>16.395</v>
      </c>
      <c r="H302" s="110">
        <f t="shared" si="21"/>
        <v>0.877958250893419</v>
      </c>
      <c r="K302" s="172">
        <v>286.21</v>
      </c>
      <c r="L302" s="246">
        <f t="shared" si="22"/>
        <v>15437.9</v>
      </c>
      <c r="O302" s="150" t="s">
        <v>1659</v>
      </c>
    </row>
    <row r="303" spans="1:15">
      <c r="A303" s="178">
        <v>46195</v>
      </c>
      <c r="B303" s="179" t="s">
        <v>60</v>
      </c>
      <c r="C303" s="256">
        <v>0.25</v>
      </c>
      <c r="D303" s="256">
        <v>0.99</v>
      </c>
      <c r="E303" s="180">
        <v>310.529</v>
      </c>
      <c r="F303" s="10">
        <f t="shared" si="17"/>
        <v>318.2</v>
      </c>
      <c r="G303" s="10">
        <f t="shared" si="18"/>
        <v>-7.67099999999999</v>
      </c>
      <c r="H303" s="110">
        <f t="shared" si="21"/>
        <v>0.899948152990542</v>
      </c>
      <c r="K303" s="172">
        <v>279.46</v>
      </c>
      <c r="L303" s="246">
        <f t="shared" si="22"/>
        <v>15158.44</v>
      </c>
      <c r="O303" s="150" t="s">
        <v>1659</v>
      </c>
    </row>
    <row r="304" spans="1:15">
      <c r="A304" s="178">
        <v>46195</v>
      </c>
      <c r="B304" s="179" t="s">
        <v>127</v>
      </c>
      <c r="C304" s="256">
        <v>0.24</v>
      </c>
      <c r="D304" s="256">
        <v>1</v>
      </c>
      <c r="E304" s="180">
        <v>322.515</v>
      </c>
      <c r="F304" s="10">
        <f t="shared" si="17"/>
        <v>326.8</v>
      </c>
      <c r="G304" s="10">
        <f t="shared" si="18"/>
        <v>-4.28500000000003</v>
      </c>
      <c r="H304" s="110">
        <f t="shared" si="21"/>
        <v>0.899958141481792</v>
      </c>
      <c r="K304" s="172">
        <v>290.25</v>
      </c>
      <c r="L304" s="246">
        <f t="shared" si="22"/>
        <v>14868.19</v>
      </c>
      <c r="O304" s="150" t="s">
        <v>1659</v>
      </c>
    </row>
    <row r="305" spans="1:17">
      <c r="A305" s="178">
        <v>46195</v>
      </c>
      <c r="B305" s="179" t="s">
        <v>84</v>
      </c>
      <c r="C305" s="256">
        <v>0.37</v>
      </c>
      <c r="D305" s="256">
        <v>0.98</v>
      </c>
      <c r="E305" s="180">
        <v>307.422</v>
      </c>
      <c r="F305" s="10">
        <f t="shared" si="17"/>
        <v>262.3</v>
      </c>
      <c r="G305" s="10">
        <f t="shared" si="18"/>
        <v>45.122</v>
      </c>
      <c r="H305" s="110">
        <f t="shared" si="21"/>
        <v>0.899968121995173</v>
      </c>
      <c r="K305" s="172">
        <v>276.67</v>
      </c>
      <c r="L305" s="246">
        <f t="shared" si="22"/>
        <v>14591.52</v>
      </c>
      <c r="O305" s="150" t="s">
        <v>1659</v>
      </c>
    </row>
    <row r="306" spans="1:17">
      <c r="A306" s="178">
        <v>46195</v>
      </c>
      <c r="B306" s="179" t="s">
        <v>87</v>
      </c>
      <c r="C306" s="256">
        <v>0.32</v>
      </c>
      <c r="D306" s="256">
        <v>0.98</v>
      </c>
      <c r="E306" s="180">
        <v>320.042</v>
      </c>
      <c r="F306" s="10">
        <f t="shared" si="17"/>
        <v>283.8</v>
      </c>
      <c r="G306" s="10">
        <f t="shared" si="18"/>
        <v>36.242</v>
      </c>
      <c r="H306" s="110">
        <f t="shared" si="21"/>
        <v>0.899975628198799</v>
      </c>
      <c r="K306" s="172">
        <v>288.03</v>
      </c>
      <c r="L306" s="246">
        <f t="shared" si="22"/>
        <v>14303.49</v>
      </c>
      <c r="O306" s="150" t="s">
        <v>1659</v>
      </c>
    </row>
    <row r="307" spans="1:17">
      <c r="A307" s="178">
        <v>46195</v>
      </c>
      <c r="B307" s="179" t="s">
        <v>166</v>
      </c>
      <c r="C307" s="256">
        <v>0.25</v>
      </c>
      <c r="D307" s="256">
        <v>0.99</v>
      </c>
      <c r="E307" s="180">
        <v>326.804</v>
      </c>
      <c r="F307" s="10">
        <f t="shared" si="17"/>
        <v>318.2</v>
      </c>
      <c r="G307" s="10">
        <f t="shared" si="18"/>
        <v>8.60399999999998</v>
      </c>
      <c r="H307" s="110">
        <f t="shared" si="21"/>
        <v>0.899988984222959</v>
      </c>
      <c r="K307" s="172">
        <v>294.12</v>
      </c>
      <c r="L307" s="246">
        <f t="shared" si="22"/>
        <v>14009.37</v>
      </c>
      <c r="O307" s="150" t="s">
        <v>1659</v>
      </c>
    </row>
    <row r="308" spans="1:17">
      <c r="A308" s="178">
        <v>46195</v>
      </c>
      <c r="B308" s="179" t="s">
        <v>130</v>
      </c>
      <c r="C308" s="256">
        <v>0.28</v>
      </c>
      <c r="D308" s="256">
        <v>1</v>
      </c>
      <c r="E308" s="180">
        <v>298.035</v>
      </c>
      <c r="F308" s="10">
        <f t="shared" si="17"/>
        <v>309.6</v>
      </c>
      <c r="G308" s="10">
        <f t="shared" si="18"/>
        <v>-11.5649999999999</v>
      </c>
      <c r="H308" s="110">
        <f t="shared" si="21"/>
        <v>1.07007566225443</v>
      </c>
      <c r="K308" s="172">
        <v>318.92</v>
      </c>
      <c r="L308" s="246">
        <f t="shared" si="22"/>
        <v>13690.45</v>
      </c>
      <c r="O308" s="150" t="s">
        <v>1659</v>
      </c>
    </row>
    <row r="309" spans="1:17">
      <c r="A309" s="178">
        <v>46195</v>
      </c>
      <c r="B309" s="179" t="s">
        <v>141</v>
      </c>
      <c r="C309" s="256">
        <v>0.19</v>
      </c>
      <c r="D309" s="256">
        <v>0.99</v>
      </c>
      <c r="E309" s="180">
        <v>354.367</v>
      </c>
      <c r="F309" s="10">
        <f t="shared" si="17"/>
        <v>344</v>
      </c>
      <c r="G309" s="10">
        <f t="shared" si="18"/>
        <v>10.367</v>
      </c>
      <c r="H309" s="110">
        <f t="shared" si="21"/>
        <v>0.75689892117494</v>
      </c>
      <c r="K309" s="172">
        <v>268.22</v>
      </c>
      <c r="L309" s="246">
        <f t="shared" si="22"/>
        <v>13422.23</v>
      </c>
      <c r="O309" s="150" t="s">
        <v>1659</v>
      </c>
    </row>
    <row r="310" spans="1:17">
      <c r="A310" s="178">
        <v>46195</v>
      </c>
      <c r="B310" s="179" t="s">
        <v>81</v>
      </c>
      <c r="C310" s="256">
        <v>0.3</v>
      </c>
      <c r="D310" s="256">
        <v>0.98</v>
      </c>
      <c r="E310" s="180">
        <v>323.952</v>
      </c>
      <c r="F310" s="10">
        <f t="shared" si="17"/>
        <v>292.4</v>
      </c>
      <c r="G310" s="10">
        <f t="shared" si="18"/>
        <v>31.552</v>
      </c>
      <c r="H310" s="110">
        <f t="shared" si="21"/>
        <v>0.899948140465254</v>
      </c>
      <c r="K310" s="172">
        <v>291.54</v>
      </c>
      <c r="L310" s="246">
        <f t="shared" si="22"/>
        <v>13130.69</v>
      </c>
      <c r="O310" s="150" t="s">
        <v>1659</v>
      </c>
    </row>
    <row r="311" spans="1:17">
      <c r="A311" s="178">
        <v>46195</v>
      </c>
      <c r="B311" s="179" t="s">
        <v>144</v>
      </c>
      <c r="C311" s="256">
        <v>0.45</v>
      </c>
      <c r="D311" s="256">
        <v>0.87</v>
      </c>
      <c r="E311" s="180">
        <v>189.353</v>
      </c>
      <c r="F311" s="10">
        <f t="shared" si="17"/>
        <v>180.6</v>
      </c>
      <c r="G311" s="10">
        <f t="shared" si="18"/>
        <v>8.75300000000001</v>
      </c>
      <c r="H311" s="110">
        <f t="shared" si="21"/>
        <v>1.26472778355769</v>
      </c>
      <c r="K311" s="172">
        <v>239.48</v>
      </c>
      <c r="L311" s="246">
        <f t="shared" si="22"/>
        <v>12891.21</v>
      </c>
      <c r="O311" s="150" t="s">
        <v>1659</v>
      </c>
    </row>
    <row r="312" spans="1:17">
      <c r="A312" s="178">
        <v>46195</v>
      </c>
      <c r="B312" s="179" t="s">
        <v>96</v>
      </c>
      <c r="C312" s="256">
        <v>0.43</v>
      </c>
      <c r="D312" s="256">
        <v>0.98</v>
      </c>
      <c r="E312" s="180">
        <v>266.101</v>
      </c>
      <c r="F312" s="10">
        <f t="shared" si="17"/>
        <v>236.5</v>
      </c>
      <c r="G312" s="10">
        <f t="shared" si="18"/>
        <v>29.601</v>
      </c>
      <c r="H312" s="110">
        <f t="shared" si="21"/>
        <v>0.640395939887486</v>
      </c>
      <c r="K312" s="172">
        <v>170.41</v>
      </c>
      <c r="L312" s="246">
        <f t="shared" si="22"/>
        <v>12720.8</v>
      </c>
      <c r="O312" s="150" t="s">
        <v>1659</v>
      </c>
    </row>
    <row r="313" spans="1:17">
      <c r="A313" s="178">
        <v>46195</v>
      </c>
      <c r="B313" s="179" t="s">
        <v>102</v>
      </c>
      <c r="C313" s="256">
        <v>0.47</v>
      </c>
      <c r="D313" s="256">
        <v>1</v>
      </c>
      <c r="E313" s="180">
        <v>239.936</v>
      </c>
      <c r="F313" s="10">
        <f t="shared" si="17"/>
        <v>227.9</v>
      </c>
      <c r="G313" s="10">
        <f t="shared" si="18"/>
        <v>12.036</v>
      </c>
      <c r="H313" s="110">
        <f t="shared" si="21"/>
        <v>0.89994831955188</v>
      </c>
      <c r="K313" s="172">
        <v>215.93</v>
      </c>
      <c r="L313" s="246">
        <f t="shared" si="22"/>
        <v>12504.87</v>
      </c>
      <c r="O313" s="150" t="s">
        <v>1659</v>
      </c>
    </row>
    <row r="314" spans="1:17">
      <c r="A314" s="178">
        <v>46195</v>
      </c>
      <c r="B314" s="179" t="s">
        <v>51</v>
      </c>
      <c r="C314" s="256">
        <v>0.32</v>
      </c>
      <c r="D314" s="256">
        <v>0.89</v>
      </c>
      <c r="E314" s="180">
        <v>236.545</v>
      </c>
      <c r="F314" s="10">
        <f t="shared" si="17"/>
        <v>245.1</v>
      </c>
      <c r="G314" s="10">
        <f t="shared" si="18"/>
        <v>-8.55500000000004</v>
      </c>
      <c r="H314" s="110">
        <f t="shared" si="21"/>
        <v>0.899955610983111</v>
      </c>
      <c r="K314" s="172">
        <v>212.88</v>
      </c>
      <c r="L314" s="246">
        <f t="shared" si="22"/>
        <v>12291.99</v>
      </c>
      <c r="O314" s="150" t="s">
        <v>1659</v>
      </c>
    </row>
    <row r="315" spans="1:17">
      <c r="A315" s="178">
        <v>46195</v>
      </c>
      <c r="B315" s="179" t="s">
        <v>186</v>
      </c>
      <c r="C315" s="256">
        <v>0.32</v>
      </c>
      <c r="D315" s="256">
        <v>0.99</v>
      </c>
      <c r="E315" s="180">
        <v>303.821</v>
      </c>
      <c r="F315" s="10">
        <f t="shared" si="17"/>
        <v>288.1</v>
      </c>
      <c r="G315" s="10">
        <f t="shared" si="18"/>
        <v>15.7210000000001</v>
      </c>
      <c r="H315" s="110">
        <f t="shared" si="21"/>
        <v>0.899970706435697</v>
      </c>
      <c r="K315" s="172">
        <v>273.43</v>
      </c>
      <c r="L315" s="246">
        <f t="shared" si="22"/>
        <v>12018.56</v>
      </c>
      <c r="O315" s="150" t="s">
        <v>1659</v>
      </c>
    </row>
    <row r="316" spans="1:17">
      <c r="A316" s="257">
        <v>46196</v>
      </c>
      <c r="B316" s="196" t="s">
        <v>90</v>
      </c>
      <c r="C316" s="258">
        <v>0.35</v>
      </c>
      <c r="D316" s="258">
        <v>1</v>
      </c>
      <c r="E316" s="196">
        <v>312.279</v>
      </c>
      <c r="F316" s="10">
        <f t="shared" ref="F316:F340" si="23">(D316-C316)*430</f>
        <v>279.5</v>
      </c>
      <c r="G316" s="10">
        <f t="shared" ref="G316:G340" si="24">E316-F316</f>
        <v>32.779</v>
      </c>
      <c r="H316" s="110">
        <f t="shared" si="21"/>
        <v>0.899964454862479</v>
      </c>
      <c r="J316" s="144">
        <v>20000</v>
      </c>
      <c r="K316" s="172">
        <v>281.04</v>
      </c>
      <c r="L316" s="246">
        <f t="shared" ref="L316:L340" si="25">L315+J316-K316</f>
        <v>31737.52</v>
      </c>
      <c r="O316" s="150" t="s">
        <v>1659</v>
      </c>
      <c r="P316" s="144" t="str">
        <f>MIN(MAX(C316,0),100)&amp;"%"</f>
        <v>0.35%</v>
      </c>
      <c r="Q316" s="144" t="str">
        <f>MIN(MAX(D316,0),100)&amp;"%"</f>
        <v>1%</v>
      </c>
    </row>
    <row r="317" spans="1:17">
      <c r="A317" s="203">
        <v>46196</v>
      </c>
      <c r="B317" s="55" t="s">
        <v>72</v>
      </c>
      <c r="C317" s="195">
        <v>0.5</v>
      </c>
      <c r="D317" s="195">
        <v>0.98</v>
      </c>
      <c r="E317" s="55">
        <v>237.73</v>
      </c>
      <c r="F317" s="10">
        <f t="shared" si="23"/>
        <v>206.4</v>
      </c>
      <c r="G317" s="10">
        <f t="shared" si="24"/>
        <v>31.33</v>
      </c>
      <c r="H317" s="110">
        <f t="shared" si="21"/>
        <v>0.899970554831111</v>
      </c>
      <c r="K317" s="172">
        <v>213.95</v>
      </c>
      <c r="L317" s="246">
        <f t="shared" si="25"/>
        <v>31523.57</v>
      </c>
      <c r="O317" s="150" t="s">
        <v>1659</v>
      </c>
    </row>
    <row r="318" spans="1:17">
      <c r="A318" s="203">
        <v>46196</v>
      </c>
      <c r="B318" s="55" t="s">
        <v>78</v>
      </c>
      <c r="C318" s="195">
        <v>0.39</v>
      </c>
      <c r="D318" s="195">
        <v>0.42</v>
      </c>
      <c r="E318" s="55">
        <v>16.482</v>
      </c>
      <c r="F318" s="10">
        <f t="shared" si="23"/>
        <v>12.9</v>
      </c>
      <c r="G318" s="10">
        <f t="shared" si="24"/>
        <v>3.582</v>
      </c>
      <c r="H318" s="110">
        <f t="shared" si="21"/>
        <v>0.899162722970513</v>
      </c>
      <c r="K318" s="172">
        <v>14.82</v>
      </c>
      <c r="L318" s="246">
        <f t="shared" si="25"/>
        <v>31508.75</v>
      </c>
      <c r="O318" s="150" t="s">
        <v>1659</v>
      </c>
    </row>
    <row r="319" spans="1:17">
      <c r="A319" s="203">
        <v>46196</v>
      </c>
      <c r="B319" s="55" t="s">
        <v>78</v>
      </c>
      <c r="C319" s="195">
        <v>0.43</v>
      </c>
      <c r="D319" s="195">
        <v>0.76</v>
      </c>
      <c r="E319" s="55">
        <v>153.728</v>
      </c>
      <c r="F319" s="10">
        <f t="shared" si="23"/>
        <v>141.9</v>
      </c>
      <c r="G319" s="10">
        <f t="shared" si="24"/>
        <v>11.828</v>
      </c>
      <c r="H319" s="110">
        <f t="shared" si="21"/>
        <v>0.899901124063281</v>
      </c>
      <c r="K319" s="172">
        <v>138.34</v>
      </c>
      <c r="L319" s="246">
        <f t="shared" si="25"/>
        <v>31370.41</v>
      </c>
      <c r="O319" s="150" t="s">
        <v>1659</v>
      </c>
    </row>
    <row r="320" spans="1:17">
      <c r="A320" s="203">
        <v>46196</v>
      </c>
      <c r="B320" s="55" t="s">
        <v>195</v>
      </c>
      <c r="C320" s="195">
        <v>0.29</v>
      </c>
      <c r="D320" s="195">
        <v>0.99</v>
      </c>
      <c r="E320" s="55">
        <v>311.966</v>
      </c>
      <c r="F320" s="10">
        <f t="shared" si="23"/>
        <v>301</v>
      </c>
      <c r="G320" s="10">
        <f t="shared" si="24"/>
        <v>10.966</v>
      </c>
      <c r="H320" s="110">
        <f t="shared" si="21"/>
        <v>0.899969868511312</v>
      </c>
      <c r="K320" s="172">
        <v>280.76</v>
      </c>
      <c r="L320" s="246">
        <f t="shared" si="25"/>
        <v>31089.65</v>
      </c>
      <c r="O320" s="150" t="s">
        <v>1659</v>
      </c>
    </row>
    <row r="321" spans="1:15">
      <c r="A321" s="203">
        <v>46196</v>
      </c>
      <c r="B321" s="55" t="s">
        <v>166</v>
      </c>
      <c r="C321" s="195">
        <v>0.32</v>
      </c>
      <c r="D321" s="195">
        <v>0.99</v>
      </c>
      <c r="E321" s="55">
        <v>298.161</v>
      </c>
      <c r="F321" s="10">
        <f t="shared" si="23"/>
        <v>288.1</v>
      </c>
      <c r="G321" s="10">
        <f t="shared" si="24"/>
        <v>10.061</v>
      </c>
      <c r="H321" s="110">
        <f t="shared" si="21"/>
        <v>0.899950026998836</v>
      </c>
      <c r="K321" s="172">
        <v>268.33</v>
      </c>
      <c r="L321" s="246">
        <f t="shared" si="25"/>
        <v>30821.32</v>
      </c>
      <c r="O321" s="150" t="s">
        <v>1659</v>
      </c>
    </row>
    <row r="322" spans="1:15">
      <c r="A322" s="203">
        <v>46196</v>
      </c>
      <c r="B322" s="55" t="s">
        <v>132</v>
      </c>
      <c r="C322" s="195">
        <v>0.41</v>
      </c>
      <c r="D322" s="195">
        <v>1</v>
      </c>
      <c r="E322" s="55">
        <v>265.31</v>
      </c>
      <c r="F322" s="10">
        <f t="shared" si="23"/>
        <v>253.7</v>
      </c>
      <c r="G322" s="10">
        <f t="shared" si="24"/>
        <v>11.61</v>
      </c>
      <c r="H322" s="110">
        <f t="shared" si="21"/>
        <v>0.899966077418868</v>
      </c>
      <c r="K322" s="172">
        <v>238.77</v>
      </c>
      <c r="L322" s="246">
        <f t="shared" si="25"/>
        <v>30582.55</v>
      </c>
      <c r="O322" s="150" t="s">
        <v>1659</v>
      </c>
    </row>
    <row r="323" spans="1:15">
      <c r="A323" s="203">
        <v>46196</v>
      </c>
      <c r="B323" s="55" t="s">
        <v>99</v>
      </c>
      <c r="C323" s="195">
        <v>0.34</v>
      </c>
      <c r="D323" s="195">
        <v>0.97</v>
      </c>
      <c r="E323" s="55">
        <v>305.281</v>
      </c>
      <c r="F323" s="10">
        <f t="shared" si="23"/>
        <v>270.9</v>
      </c>
      <c r="G323" s="10">
        <f t="shared" si="24"/>
        <v>34.381</v>
      </c>
      <c r="H323" s="110">
        <f t="shared" si="21"/>
        <v>0.89995774384911</v>
      </c>
      <c r="K323" s="172">
        <v>274.74</v>
      </c>
      <c r="L323" s="246">
        <f t="shared" si="25"/>
        <v>30307.81</v>
      </c>
      <c r="O323" s="150" t="s">
        <v>1659</v>
      </c>
    </row>
    <row r="324" spans="1:15">
      <c r="A324" s="203">
        <v>46196</v>
      </c>
      <c r="B324" s="55" t="s">
        <v>66</v>
      </c>
      <c r="C324" s="195">
        <v>0.48</v>
      </c>
      <c r="D324" s="195">
        <v>1</v>
      </c>
      <c r="E324" s="55">
        <v>248.992</v>
      </c>
      <c r="F324" s="10">
        <f t="shared" si="23"/>
        <v>223.6</v>
      </c>
      <c r="G324" s="10">
        <f t="shared" si="24"/>
        <v>25.392</v>
      </c>
      <c r="H324" s="110">
        <f t="shared" si="21"/>
        <v>0.899948592725871</v>
      </c>
      <c r="K324" s="172">
        <v>224.08</v>
      </c>
      <c r="L324" s="246">
        <f t="shared" si="25"/>
        <v>30083.73</v>
      </c>
      <c r="O324" s="150" t="s">
        <v>1659</v>
      </c>
    </row>
    <row r="325" spans="1:15">
      <c r="A325" s="203">
        <v>46196</v>
      </c>
      <c r="B325" s="55" t="s">
        <v>84</v>
      </c>
      <c r="C325" s="195">
        <v>0.38</v>
      </c>
      <c r="D325" s="195">
        <v>1</v>
      </c>
      <c r="E325" s="55">
        <v>310.025</v>
      </c>
      <c r="F325" s="10">
        <f t="shared" si="23"/>
        <v>266.6</v>
      </c>
      <c r="G325" s="10">
        <f t="shared" si="24"/>
        <v>43.425</v>
      </c>
      <c r="H325" s="110">
        <f t="shared" si="21"/>
        <v>0.899991936134183</v>
      </c>
      <c r="K325" s="172">
        <v>279.02</v>
      </c>
      <c r="L325" s="246">
        <f t="shared" si="25"/>
        <v>29804.71</v>
      </c>
      <c r="O325" s="150" t="s">
        <v>1659</v>
      </c>
    </row>
    <row r="326" spans="1:15">
      <c r="A326" s="203">
        <v>46196</v>
      </c>
      <c r="B326" s="55" t="s">
        <v>338</v>
      </c>
      <c r="C326" s="195">
        <v>0.3</v>
      </c>
      <c r="D326" s="195">
        <v>0.99</v>
      </c>
      <c r="E326" s="55">
        <v>309.681</v>
      </c>
      <c r="F326" s="10">
        <f t="shared" si="23"/>
        <v>296.7</v>
      </c>
      <c r="G326" s="10">
        <f t="shared" si="24"/>
        <v>12.981</v>
      </c>
      <c r="H326" s="110">
        <f t="shared" si="21"/>
        <v>0.899958344231645</v>
      </c>
      <c r="K326" s="172">
        <v>278.7</v>
      </c>
      <c r="L326" s="246">
        <f t="shared" si="25"/>
        <v>29526.01</v>
      </c>
      <c r="O326" s="150" t="s">
        <v>1659</v>
      </c>
    </row>
    <row r="327" spans="1:15">
      <c r="A327" s="203">
        <v>46196</v>
      </c>
      <c r="B327" s="55" t="s">
        <v>154</v>
      </c>
      <c r="C327" s="195">
        <v>0.31</v>
      </c>
      <c r="D327" s="195">
        <v>0.99</v>
      </c>
      <c r="E327" s="55">
        <v>306.304</v>
      </c>
      <c r="F327" s="10">
        <f t="shared" si="23"/>
        <v>292.4</v>
      </c>
      <c r="G327" s="10">
        <f t="shared" si="24"/>
        <v>13.904</v>
      </c>
      <c r="H327" s="110">
        <f t="shared" si="21"/>
        <v>0.899955599665692</v>
      </c>
      <c r="K327" s="172">
        <v>275.66</v>
      </c>
      <c r="L327" s="246">
        <f t="shared" si="25"/>
        <v>29250.35</v>
      </c>
      <c r="O327" s="150" t="s">
        <v>1659</v>
      </c>
    </row>
    <row r="328" spans="1:15">
      <c r="A328" s="203">
        <v>46196</v>
      </c>
      <c r="B328" s="55" t="s">
        <v>204</v>
      </c>
      <c r="C328" s="195">
        <v>0.28</v>
      </c>
      <c r="D328" s="195">
        <v>0.99</v>
      </c>
      <c r="E328" s="55">
        <v>311.107</v>
      </c>
      <c r="F328" s="10">
        <f t="shared" si="23"/>
        <v>305.3</v>
      </c>
      <c r="G328" s="10">
        <f t="shared" si="24"/>
        <v>5.80700000000002</v>
      </c>
      <c r="H328" s="110">
        <f t="shared" ref="H328:H351" si="26">K328/E328</f>
        <v>0.899979749732407</v>
      </c>
      <c r="K328" s="172">
        <v>279.99</v>
      </c>
      <c r="L328" s="246">
        <f t="shared" si="25"/>
        <v>28970.36</v>
      </c>
      <c r="O328" s="150" t="s">
        <v>1659</v>
      </c>
    </row>
    <row r="329" spans="1:15">
      <c r="A329" s="203">
        <v>46196</v>
      </c>
      <c r="B329" s="55" t="s">
        <v>160</v>
      </c>
      <c r="C329" s="195">
        <v>0.27</v>
      </c>
      <c r="D329" s="195">
        <v>1</v>
      </c>
      <c r="E329" s="55">
        <v>321.375</v>
      </c>
      <c r="F329" s="10">
        <f t="shared" si="23"/>
        <v>313.9</v>
      </c>
      <c r="G329" s="10">
        <f t="shared" si="24"/>
        <v>7.47500000000002</v>
      </c>
      <c r="H329" s="110">
        <f t="shared" si="26"/>
        <v>0.899945546479969</v>
      </c>
      <c r="K329" s="172">
        <v>289.22</v>
      </c>
      <c r="L329" s="246">
        <f t="shared" si="25"/>
        <v>28681.14</v>
      </c>
      <c r="O329" s="150" t="s">
        <v>1659</v>
      </c>
    </row>
    <row r="330" spans="1:15">
      <c r="A330" s="203">
        <v>46196</v>
      </c>
      <c r="B330" s="55" t="s">
        <v>223</v>
      </c>
      <c r="C330" s="195">
        <v>0.24</v>
      </c>
      <c r="D330" s="195">
        <v>0.99</v>
      </c>
      <c r="E330" s="55">
        <v>335.055</v>
      </c>
      <c r="F330" s="10">
        <f t="shared" si="23"/>
        <v>322.5</v>
      </c>
      <c r="G330" s="10">
        <f t="shared" si="24"/>
        <v>12.555</v>
      </c>
      <c r="H330" s="110">
        <f t="shared" si="26"/>
        <v>0.899971646446106</v>
      </c>
      <c r="K330" s="172">
        <v>301.54</v>
      </c>
      <c r="L330" s="246">
        <f t="shared" si="25"/>
        <v>28379.6</v>
      </c>
      <c r="O330" s="150" t="s">
        <v>1659</v>
      </c>
    </row>
    <row r="331" spans="1:15">
      <c r="A331" s="203">
        <v>46196</v>
      </c>
      <c r="B331" s="55" t="s">
        <v>163</v>
      </c>
      <c r="C331" s="195">
        <v>0.26</v>
      </c>
      <c r="D331" s="195">
        <v>0.99</v>
      </c>
      <c r="E331" s="55">
        <v>322.662</v>
      </c>
      <c r="F331" s="10">
        <f t="shared" si="23"/>
        <v>313.9</v>
      </c>
      <c r="G331" s="10">
        <f t="shared" si="24"/>
        <v>8.762</v>
      </c>
      <c r="H331" s="110">
        <f t="shared" si="26"/>
        <v>0.899982024533413</v>
      </c>
      <c r="K331" s="172">
        <v>290.39</v>
      </c>
      <c r="L331" s="246">
        <f t="shared" si="25"/>
        <v>28089.21</v>
      </c>
      <c r="O331" s="150" t="s">
        <v>1659</v>
      </c>
    </row>
    <row r="332" spans="1:15">
      <c r="A332" s="203">
        <v>46196</v>
      </c>
      <c r="B332" s="55" t="s">
        <v>221</v>
      </c>
      <c r="C332" s="195">
        <v>0.26</v>
      </c>
      <c r="D332" s="195">
        <v>0.99</v>
      </c>
      <c r="E332" s="55">
        <v>328.507</v>
      </c>
      <c r="F332" s="10">
        <f t="shared" si="23"/>
        <v>313.9</v>
      </c>
      <c r="G332" s="10">
        <f t="shared" si="24"/>
        <v>14.607</v>
      </c>
      <c r="H332" s="110">
        <f t="shared" si="26"/>
        <v>0.899980822326465</v>
      </c>
      <c r="K332" s="172">
        <v>295.65</v>
      </c>
      <c r="L332" s="246">
        <f t="shared" si="25"/>
        <v>27793.56</v>
      </c>
      <c r="O332" s="150" t="s">
        <v>1659</v>
      </c>
    </row>
    <row r="333" spans="1:15">
      <c r="A333" s="203">
        <v>46197</v>
      </c>
      <c r="B333" s="55" t="s">
        <v>138</v>
      </c>
      <c r="C333" s="195">
        <v>0.5</v>
      </c>
      <c r="D333" s="195">
        <v>0.99</v>
      </c>
      <c r="E333" s="55">
        <v>222.722</v>
      </c>
      <c r="F333" s="10">
        <f t="shared" si="23"/>
        <v>210.7</v>
      </c>
      <c r="G333" s="10">
        <f t="shared" si="24"/>
        <v>12.022</v>
      </c>
      <c r="H333" s="110">
        <f t="shared" si="26"/>
        <v>0.769928430958774</v>
      </c>
      <c r="K333" s="172">
        <v>171.48</v>
      </c>
      <c r="L333" s="246">
        <f t="shared" si="25"/>
        <v>27622.08</v>
      </c>
      <c r="O333" s="150" t="s">
        <v>1659</v>
      </c>
    </row>
    <row r="334" spans="1:15">
      <c r="A334" s="203">
        <v>46197</v>
      </c>
      <c r="B334" s="55" t="s">
        <v>213</v>
      </c>
      <c r="C334" s="195">
        <v>0.38</v>
      </c>
      <c r="D334" s="195">
        <v>0.99</v>
      </c>
      <c r="E334" s="55">
        <v>277.104</v>
      </c>
      <c r="F334" s="10">
        <f t="shared" si="23"/>
        <v>262.3</v>
      </c>
      <c r="G334" s="10">
        <f t="shared" si="24"/>
        <v>14.804</v>
      </c>
      <c r="H334" s="110">
        <f t="shared" si="26"/>
        <v>0.619947745250881</v>
      </c>
      <c r="K334" s="172">
        <v>171.79</v>
      </c>
      <c r="L334" s="246">
        <f t="shared" si="25"/>
        <v>27450.29</v>
      </c>
      <c r="O334" s="150" t="s">
        <v>1659</v>
      </c>
    </row>
    <row r="335" spans="1:15">
      <c r="A335" s="203">
        <v>46197</v>
      </c>
      <c r="B335" s="55" t="s">
        <v>670</v>
      </c>
      <c r="C335" s="195">
        <v>0.36</v>
      </c>
      <c r="D335" s="195">
        <v>1</v>
      </c>
      <c r="E335" s="55">
        <v>282.502</v>
      </c>
      <c r="F335" s="10">
        <f t="shared" si="23"/>
        <v>275.2</v>
      </c>
      <c r="G335" s="10">
        <f t="shared" si="24"/>
        <v>7.30200000000002</v>
      </c>
      <c r="H335" s="110">
        <f t="shared" si="26"/>
        <v>0.619960212671061</v>
      </c>
      <c r="K335" s="172">
        <v>175.14</v>
      </c>
      <c r="L335" s="246">
        <f t="shared" si="25"/>
        <v>27275.15</v>
      </c>
      <c r="O335" s="150" t="s">
        <v>1659</v>
      </c>
    </row>
    <row r="336" spans="1:15">
      <c r="A336" s="203">
        <v>46197</v>
      </c>
      <c r="B336" s="55" t="s">
        <v>114</v>
      </c>
      <c r="C336" s="195">
        <v>0.26</v>
      </c>
      <c r="D336" s="195">
        <v>0.98</v>
      </c>
      <c r="E336" s="55">
        <v>299.719</v>
      </c>
      <c r="F336" s="10">
        <f t="shared" si="23"/>
        <v>309.6</v>
      </c>
      <c r="G336" s="10">
        <f t="shared" si="24"/>
        <v>-9.88100000000003</v>
      </c>
      <c r="H336" s="110">
        <f t="shared" si="26"/>
        <v>0.899976311144772</v>
      </c>
      <c r="K336" s="172">
        <v>269.74</v>
      </c>
      <c r="L336" s="246">
        <f t="shared" si="25"/>
        <v>27005.41</v>
      </c>
      <c r="O336" s="150" t="s">
        <v>1659</v>
      </c>
    </row>
    <row r="337" spans="1:17">
      <c r="A337" s="203">
        <v>46197</v>
      </c>
      <c r="B337" s="55" t="s">
        <v>51</v>
      </c>
      <c r="C337" s="195">
        <v>0.24</v>
      </c>
      <c r="D337" s="195">
        <v>1</v>
      </c>
      <c r="E337" s="55">
        <v>317.904</v>
      </c>
      <c r="F337" s="10">
        <f t="shared" si="23"/>
        <v>326.8</v>
      </c>
      <c r="G337" s="10">
        <f t="shared" si="24"/>
        <v>-8.89600000000001</v>
      </c>
      <c r="H337" s="110">
        <f t="shared" si="26"/>
        <v>0.899957219789622</v>
      </c>
      <c r="K337" s="172">
        <v>286.1</v>
      </c>
      <c r="L337" s="246">
        <f t="shared" si="25"/>
        <v>26719.31</v>
      </c>
      <c r="O337" s="150" t="s">
        <v>1659</v>
      </c>
    </row>
    <row r="338" spans="1:17">
      <c r="A338" s="203">
        <v>46197</v>
      </c>
      <c r="B338" s="55" t="s">
        <v>105</v>
      </c>
      <c r="C338" s="195">
        <v>0.33</v>
      </c>
      <c r="D338" s="195">
        <v>0.98</v>
      </c>
      <c r="E338" s="55">
        <v>307.585</v>
      </c>
      <c r="F338" s="10">
        <f t="shared" si="23"/>
        <v>279.5</v>
      </c>
      <c r="G338" s="10">
        <f t="shared" si="24"/>
        <v>28.085</v>
      </c>
      <c r="H338" s="110">
        <f t="shared" si="26"/>
        <v>0.899946356291757</v>
      </c>
      <c r="K338" s="172">
        <v>276.81</v>
      </c>
      <c r="L338" s="246">
        <f t="shared" si="25"/>
        <v>26442.5</v>
      </c>
      <c r="O338" s="150" t="s">
        <v>1659</v>
      </c>
    </row>
    <row r="339" spans="1:17">
      <c r="A339" s="203">
        <v>46197</v>
      </c>
      <c r="B339" s="55" t="s">
        <v>54</v>
      </c>
      <c r="C339" s="195">
        <v>0.24</v>
      </c>
      <c r="D339" s="195">
        <v>0.99</v>
      </c>
      <c r="E339" s="55">
        <v>314.059</v>
      </c>
      <c r="F339" s="10">
        <f t="shared" si="23"/>
        <v>322.5</v>
      </c>
      <c r="G339" s="10">
        <f t="shared" si="24"/>
        <v>-8.44099999999997</v>
      </c>
      <c r="H339" s="110">
        <f t="shared" si="26"/>
        <v>0.892443776487857</v>
      </c>
      <c r="K339" s="172">
        <v>280.28</v>
      </c>
      <c r="L339" s="246">
        <f t="shared" si="25"/>
        <v>26162.22</v>
      </c>
      <c r="O339" s="150" t="s">
        <v>1659</v>
      </c>
    </row>
    <row r="340" spans="1:17">
      <c r="A340" s="203">
        <v>46197</v>
      </c>
      <c r="B340" s="55" t="s">
        <v>57</v>
      </c>
      <c r="C340" s="195">
        <v>0.25</v>
      </c>
      <c r="D340" s="195">
        <v>0.96</v>
      </c>
      <c r="E340" s="55">
        <v>297.524</v>
      </c>
      <c r="F340" s="10">
        <f t="shared" si="23"/>
        <v>305.3</v>
      </c>
      <c r="G340" s="10">
        <f t="shared" si="24"/>
        <v>-7.77600000000001</v>
      </c>
      <c r="H340" s="110">
        <f t="shared" si="26"/>
        <v>0.841646388190533</v>
      </c>
      <c r="K340" s="259">
        <v>250.41</v>
      </c>
      <c r="L340" s="246">
        <f t="shared" si="25"/>
        <v>25911.81</v>
      </c>
      <c r="O340" s="150" t="s">
        <v>1659</v>
      </c>
    </row>
    <row r="341" spans="1:17">
      <c r="A341" s="197">
        <v>46197</v>
      </c>
      <c r="B341" s="55" t="s">
        <v>186</v>
      </c>
      <c r="C341" s="195">
        <v>0.25</v>
      </c>
      <c r="D341" s="195">
        <v>0.99</v>
      </c>
      <c r="E341" s="55">
        <v>324.974</v>
      </c>
      <c r="F341" s="10">
        <f t="shared" ref="F341:F351" si="27">(D341-C341)*430</f>
        <v>318.2</v>
      </c>
      <c r="G341" s="10">
        <f t="shared" ref="G341:G351" si="28">E341-F341</f>
        <v>6.774</v>
      </c>
      <c r="H341" s="110">
        <f t="shared" si="26"/>
        <v>0.899948918990442</v>
      </c>
      <c r="K341" s="55">
        <v>292.46</v>
      </c>
      <c r="L341" s="246">
        <f t="shared" ref="L341:L351" si="29">L340+J341-K341</f>
        <v>25619.35</v>
      </c>
      <c r="O341" s="150" t="s">
        <v>1659</v>
      </c>
      <c r="P341" s="144" t="str">
        <f>MIN(MAX(C341,0),100)&amp;"%"</f>
        <v>0.25%</v>
      </c>
      <c r="Q341" s="144" t="str">
        <f>MIN(MAX(D341,0),100)&amp;"%"</f>
        <v>0.99%</v>
      </c>
    </row>
    <row r="342" spans="1:17">
      <c r="A342" s="197">
        <v>46197</v>
      </c>
      <c r="B342" s="55" t="s">
        <v>96</v>
      </c>
      <c r="C342" s="195">
        <v>0.35</v>
      </c>
      <c r="D342" s="195">
        <v>0.98</v>
      </c>
      <c r="E342" s="55">
        <v>315.393</v>
      </c>
      <c r="F342" s="10">
        <f t="shared" si="27"/>
        <v>270.9</v>
      </c>
      <c r="G342" s="10">
        <f t="shared" si="28"/>
        <v>44.493</v>
      </c>
      <c r="H342" s="110">
        <f t="shared" si="26"/>
        <v>0.899956562130421</v>
      </c>
      <c r="K342" s="55">
        <v>283.84</v>
      </c>
      <c r="L342" s="246">
        <f t="shared" si="29"/>
        <v>25335.51</v>
      </c>
      <c r="O342" s="150" t="s">
        <v>1659</v>
      </c>
    </row>
    <row r="343" spans="1:17">
      <c r="A343" s="197">
        <v>46197</v>
      </c>
      <c r="B343" s="55" t="s">
        <v>93</v>
      </c>
      <c r="C343" s="195">
        <v>0.35</v>
      </c>
      <c r="D343" s="195">
        <v>0.98</v>
      </c>
      <c r="E343" s="55">
        <v>291.48</v>
      </c>
      <c r="F343" s="10">
        <f t="shared" si="27"/>
        <v>270.9</v>
      </c>
      <c r="G343" s="10">
        <f t="shared" si="28"/>
        <v>20.58</v>
      </c>
      <c r="H343" s="110">
        <f t="shared" si="26"/>
        <v>0.899958830794566</v>
      </c>
      <c r="K343" s="55">
        <v>262.32</v>
      </c>
      <c r="L343" s="246">
        <f t="shared" si="29"/>
        <v>25073.19</v>
      </c>
      <c r="O343" s="150" t="s">
        <v>1659</v>
      </c>
    </row>
    <row r="344" spans="1:17">
      <c r="A344" s="197">
        <v>46197</v>
      </c>
      <c r="B344" s="55" t="s">
        <v>223</v>
      </c>
      <c r="C344" s="195">
        <v>0.58</v>
      </c>
      <c r="D344" s="195">
        <v>0.93</v>
      </c>
      <c r="E344" s="55">
        <v>147.385</v>
      </c>
      <c r="F344" s="10">
        <f t="shared" si="27"/>
        <v>150.5</v>
      </c>
      <c r="G344" s="10">
        <f t="shared" si="28"/>
        <v>-3.11500000000001</v>
      </c>
      <c r="H344" s="110">
        <f t="shared" si="26"/>
        <v>0.899888048308851</v>
      </c>
      <c r="K344" s="55">
        <v>132.63</v>
      </c>
      <c r="L344" s="246">
        <f t="shared" si="29"/>
        <v>24940.56</v>
      </c>
      <c r="O344" s="150" t="s">
        <v>1659</v>
      </c>
    </row>
    <row r="345" spans="1:17">
      <c r="A345" s="197">
        <v>46197</v>
      </c>
      <c r="B345" s="55" t="s">
        <v>111</v>
      </c>
      <c r="C345" s="195">
        <v>0.26</v>
      </c>
      <c r="D345" s="195">
        <v>0.96</v>
      </c>
      <c r="E345" s="55">
        <v>289.779</v>
      </c>
      <c r="F345" s="10">
        <f t="shared" si="27"/>
        <v>301</v>
      </c>
      <c r="G345" s="10">
        <f t="shared" si="28"/>
        <v>-11.221</v>
      </c>
      <c r="H345" s="110">
        <f t="shared" si="26"/>
        <v>0.899961694946839</v>
      </c>
      <c r="K345" s="55">
        <v>260.79</v>
      </c>
      <c r="L345" s="246">
        <f t="shared" si="29"/>
        <v>24679.77</v>
      </c>
      <c r="O345" s="150" t="s">
        <v>1659</v>
      </c>
    </row>
    <row r="346" spans="1:17">
      <c r="A346" s="197">
        <v>46197</v>
      </c>
      <c r="B346" s="55" t="s">
        <v>78</v>
      </c>
      <c r="C346" s="195">
        <v>0.39</v>
      </c>
      <c r="D346" s="195">
        <v>0.98</v>
      </c>
      <c r="E346" s="55">
        <v>276.622</v>
      </c>
      <c r="F346" s="10">
        <f t="shared" si="27"/>
        <v>253.7</v>
      </c>
      <c r="G346" s="10">
        <f t="shared" si="28"/>
        <v>22.922</v>
      </c>
      <c r="H346" s="110">
        <f t="shared" si="26"/>
        <v>0.899964572593648</v>
      </c>
      <c r="K346" s="55">
        <v>248.95</v>
      </c>
      <c r="L346" s="246">
        <f t="shared" si="29"/>
        <v>24430.82</v>
      </c>
      <c r="O346" s="150" t="s">
        <v>1659</v>
      </c>
    </row>
    <row r="347" spans="1:17">
      <c r="A347" s="197">
        <v>46198</v>
      </c>
      <c r="B347" s="55" t="s">
        <v>60</v>
      </c>
      <c r="C347" s="195">
        <v>0.29</v>
      </c>
      <c r="D347" s="195">
        <v>1</v>
      </c>
      <c r="E347" s="55">
        <v>293.432</v>
      </c>
      <c r="F347" s="10">
        <f t="shared" si="27"/>
        <v>305.3</v>
      </c>
      <c r="G347" s="10">
        <f t="shared" si="28"/>
        <v>-11.868</v>
      </c>
      <c r="H347" s="110">
        <f t="shared" si="26"/>
        <v>0.619973281714332</v>
      </c>
      <c r="K347" s="55">
        <v>181.92</v>
      </c>
      <c r="L347" s="246">
        <f t="shared" si="29"/>
        <v>24248.9</v>
      </c>
      <c r="O347" s="150" t="s">
        <v>1659</v>
      </c>
    </row>
    <row r="348" spans="1:17">
      <c r="A348" s="197">
        <v>46198</v>
      </c>
      <c r="B348" s="55" t="s">
        <v>81</v>
      </c>
      <c r="C348" s="195">
        <v>0.31</v>
      </c>
      <c r="D348" s="195">
        <v>0.98</v>
      </c>
      <c r="E348" s="55">
        <v>316.285</v>
      </c>
      <c r="F348" s="10">
        <f t="shared" si="27"/>
        <v>288.1</v>
      </c>
      <c r="G348" s="10">
        <f t="shared" si="28"/>
        <v>28.185</v>
      </c>
      <c r="H348" s="110">
        <f t="shared" si="26"/>
        <v>0.61997881657366</v>
      </c>
      <c r="K348" s="55">
        <v>196.09</v>
      </c>
      <c r="L348" s="246">
        <f t="shared" si="29"/>
        <v>24052.81</v>
      </c>
      <c r="O348" s="150" t="s">
        <v>1659</v>
      </c>
    </row>
    <row r="349" spans="1:17">
      <c r="A349" s="197">
        <v>46198</v>
      </c>
      <c r="B349" s="55" t="s">
        <v>130</v>
      </c>
      <c r="C349" s="195">
        <v>0.29</v>
      </c>
      <c r="D349" s="195">
        <v>0.99</v>
      </c>
      <c r="E349" s="55">
        <v>294.014</v>
      </c>
      <c r="F349" s="10">
        <f t="shared" si="27"/>
        <v>301</v>
      </c>
      <c r="G349" s="10">
        <f t="shared" si="28"/>
        <v>-6.98599999999999</v>
      </c>
      <c r="H349" s="110">
        <f t="shared" si="26"/>
        <v>0.899991156883686</v>
      </c>
      <c r="K349" s="55">
        <v>264.61</v>
      </c>
      <c r="L349" s="246">
        <f t="shared" si="29"/>
        <v>23788.2</v>
      </c>
      <c r="O349" s="150" t="s">
        <v>1659</v>
      </c>
    </row>
    <row r="350" spans="1:17">
      <c r="A350" s="197">
        <v>46198</v>
      </c>
      <c r="B350" s="55" t="s">
        <v>138</v>
      </c>
      <c r="C350" s="195">
        <v>0.27</v>
      </c>
      <c r="D350" s="195">
        <v>1</v>
      </c>
      <c r="E350" s="55">
        <v>323.364</v>
      </c>
      <c r="F350" s="10">
        <f t="shared" si="27"/>
        <v>313.9</v>
      </c>
      <c r="G350" s="10">
        <f t="shared" si="28"/>
        <v>9.464</v>
      </c>
      <c r="H350" s="110">
        <f t="shared" si="26"/>
        <v>0.899945572172536</v>
      </c>
      <c r="K350" s="55">
        <v>291.01</v>
      </c>
      <c r="L350" s="246">
        <f t="shared" si="29"/>
        <v>23497.19</v>
      </c>
      <c r="O350" s="150" t="s">
        <v>1659</v>
      </c>
    </row>
    <row r="351" spans="1:17">
      <c r="A351" s="197">
        <v>46198</v>
      </c>
      <c r="B351" s="55" t="s">
        <v>66</v>
      </c>
      <c r="C351" s="195">
        <v>0.4</v>
      </c>
      <c r="D351" s="195">
        <v>0.98</v>
      </c>
      <c r="E351" s="55">
        <v>276.593</v>
      </c>
      <c r="F351" s="10">
        <f t="shared" si="27"/>
        <v>249.4</v>
      </c>
      <c r="G351" s="10">
        <f t="shared" si="28"/>
        <v>27.193</v>
      </c>
      <c r="H351" s="110">
        <f t="shared" si="26"/>
        <v>0.899950468739267</v>
      </c>
      <c r="K351" s="55">
        <v>248.92</v>
      </c>
      <c r="L351" s="246">
        <f t="shared" si="29"/>
        <v>23248.27</v>
      </c>
      <c r="O351" s="150" t="s">
        <v>1659</v>
      </c>
    </row>
    <row r="352" spans="1:17">
      <c r="A352" s="197">
        <v>46198</v>
      </c>
      <c r="B352" s="55" t="s">
        <v>84</v>
      </c>
      <c r="C352" s="195">
        <v>0.3</v>
      </c>
      <c r="D352" s="195">
        <v>1</v>
      </c>
      <c r="E352" s="55">
        <v>329.59</v>
      </c>
      <c r="F352" s="10">
        <f t="shared" ref="F352:F369" si="30">(D352-C352)*430</f>
        <v>301</v>
      </c>
      <c r="G352" s="10">
        <f t="shared" ref="G352:G369" si="31">E352-F352</f>
        <v>28.59</v>
      </c>
      <c r="H352" s="110">
        <f t="shared" ref="H352:H369" si="32">K352/E352</f>
        <v>0.899966625201007</v>
      </c>
      <c r="K352" s="55">
        <v>296.62</v>
      </c>
      <c r="L352" s="246">
        <f t="shared" ref="L352:L369" si="33">L351+J352-K352</f>
        <v>22951.65</v>
      </c>
      <c r="O352" s="150" t="s">
        <v>1659</v>
      </c>
      <c r="P352" s="144" t="str">
        <f>MIN(MAX(C352,0),100)&amp;"%"</f>
        <v>0.3%</v>
      </c>
      <c r="Q352" s="144" t="str">
        <f>MIN(MAX(D352,0),100)&amp;"%"</f>
        <v>1%</v>
      </c>
    </row>
    <row r="353" spans="1:15">
      <c r="A353" s="197">
        <v>46198</v>
      </c>
      <c r="B353" s="55" t="s">
        <v>90</v>
      </c>
      <c r="C353" s="195">
        <v>0.32</v>
      </c>
      <c r="D353" s="195">
        <v>0.98</v>
      </c>
      <c r="E353" s="55">
        <v>321.519</v>
      </c>
      <c r="F353" s="10">
        <f t="shared" si="30"/>
        <v>283.8</v>
      </c>
      <c r="G353" s="10">
        <f t="shared" si="31"/>
        <v>37.719</v>
      </c>
      <c r="H353" s="110">
        <f t="shared" si="32"/>
        <v>0.884831067526336</v>
      </c>
      <c r="K353" s="55">
        <v>284.49</v>
      </c>
      <c r="L353" s="246">
        <f t="shared" si="33"/>
        <v>22667.16</v>
      </c>
      <c r="O353" s="150" t="s">
        <v>1659</v>
      </c>
    </row>
    <row r="354" spans="1:15">
      <c r="A354" s="197">
        <v>46198</v>
      </c>
      <c r="B354" s="55" t="s">
        <v>148</v>
      </c>
      <c r="C354" s="195">
        <v>0.32</v>
      </c>
      <c r="D354" s="195">
        <v>0.99</v>
      </c>
      <c r="E354" s="55">
        <v>303.83</v>
      </c>
      <c r="F354" s="10">
        <f t="shared" si="30"/>
        <v>288.1</v>
      </c>
      <c r="G354" s="10">
        <f t="shared" si="31"/>
        <v>15.73</v>
      </c>
      <c r="H354" s="110">
        <f t="shared" si="32"/>
        <v>0.879570812625481</v>
      </c>
      <c r="K354" s="55">
        <v>267.24</v>
      </c>
      <c r="L354" s="246">
        <f t="shared" si="33"/>
        <v>22399.92</v>
      </c>
      <c r="O354" s="150" t="s">
        <v>1659</v>
      </c>
    </row>
    <row r="355" spans="1:15">
      <c r="A355" s="197">
        <v>46198</v>
      </c>
      <c r="B355" s="55" t="s">
        <v>141</v>
      </c>
      <c r="C355" s="195">
        <v>0.21</v>
      </c>
      <c r="D355" s="195">
        <v>1</v>
      </c>
      <c r="E355" s="55">
        <v>350.432</v>
      </c>
      <c r="F355" s="10">
        <f t="shared" si="30"/>
        <v>339.7</v>
      </c>
      <c r="G355" s="10">
        <f t="shared" si="31"/>
        <v>10.732</v>
      </c>
      <c r="H355" s="110">
        <f t="shared" si="32"/>
        <v>0.867072641767875</v>
      </c>
      <c r="K355" s="55">
        <v>303.85</v>
      </c>
      <c r="L355" s="246">
        <f t="shared" si="33"/>
        <v>22096.07</v>
      </c>
      <c r="O355" s="150" t="s">
        <v>1659</v>
      </c>
    </row>
    <row r="356" spans="1:15">
      <c r="A356" s="197">
        <v>46198</v>
      </c>
      <c r="B356" s="55" t="s">
        <v>75</v>
      </c>
      <c r="C356" s="195">
        <v>0.38</v>
      </c>
      <c r="D356" s="195">
        <v>0.98</v>
      </c>
      <c r="E356" s="55">
        <v>293.952</v>
      </c>
      <c r="F356" s="10">
        <f t="shared" si="30"/>
        <v>258</v>
      </c>
      <c r="G356" s="10">
        <f t="shared" si="31"/>
        <v>35.952</v>
      </c>
      <c r="H356" s="110">
        <f t="shared" si="32"/>
        <v>0.899942847811888</v>
      </c>
      <c r="K356" s="55">
        <v>264.54</v>
      </c>
      <c r="L356" s="246">
        <f t="shared" si="33"/>
        <v>21831.53</v>
      </c>
      <c r="O356" s="150" t="s">
        <v>1659</v>
      </c>
    </row>
    <row r="357" spans="1:15">
      <c r="A357" s="197">
        <v>46198</v>
      </c>
      <c r="B357" s="55" t="s">
        <v>207</v>
      </c>
      <c r="C357" s="195">
        <v>0.3</v>
      </c>
      <c r="D357" s="195">
        <v>0.99</v>
      </c>
      <c r="E357" s="55">
        <v>312.185</v>
      </c>
      <c r="F357" s="10">
        <f t="shared" si="30"/>
        <v>296.7</v>
      </c>
      <c r="G357" s="10">
        <f t="shared" si="31"/>
        <v>15.485</v>
      </c>
      <c r="H357" s="110">
        <f t="shared" si="32"/>
        <v>0.899947146723898</v>
      </c>
      <c r="K357" s="55">
        <v>280.95</v>
      </c>
      <c r="L357" s="246">
        <f t="shared" si="33"/>
        <v>21550.58</v>
      </c>
      <c r="O357" s="150" t="s">
        <v>1659</v>
      </c>
    </row>
    <row r="358" spans="1:15">
      <c r="A358" s="197">
        <v>46198</v>
      </c>
      <c r="B358" s="55" t="s">
        <v>189</v>
      </c>
      <c r="C358" s="195">
        <v>0.3</v>
      </c>
      <c r="D358" s="195">
        <v>0.99</v>
      </c>
      <c r="E358" s="55">
        <v>313.999</v>
      </c>
      <c r="F358" s="10">
        <f t="shared" si="30"/>
        <v>296.7</v>
      </c>
      <c r="G358" s="10">
        <f t="shared" si="31"/>
        <v>17.299</v>
      </c>
      <c r="H358" s="110">
        <f t="shared" si="32"/>
        <v>0.899939171780802</v>
      </c>
      <c r="K358" s="55">
        <v>282.58</v>
      </c>
      <c r="L358" s="246">
        <f t="shared" si="33"/>
        <v>21268</v>
      </c>
      <c r="O358" s="150" t="s">
        <v>1659</v>
      </c>
    </row>
    <row r="359" spans="1:15">
      <c r="A359" s="197">
        <v>46198</v>
      </c>
      <c r="B359" s="55" t="s">
        <v>201</v>
      </c>
      <c r="C359" s="195">
        <v>0.22</v>
      </c>
      <c r="D359" s="195">
        <v>0.99</v>
      </c>
      <c r="E359" s="55">
        <v>348.537</v>
      </c>
      <c r="F359" s="10">
        <f t="shared" si="30"/>
        <v>331.1</v>
      </c>
      <c r="G359" s="10">
        <f t="shared" si="31"/>
        <v>17.437</v>
      </c>
      <c r="H359" s="110">
        <f t="shared" si="32"/>
        <v>0.899961840493262</v>
      </c>
      <c r="K359" s="55">
        <v>313.67</v>
      </c>
      <c r="L359" s="246">
        <f t="shared" si="33"/>
        <v>20954.33</v>
      </c>
      <c r="O359" s="150" t="s">
        <v>1659</v>
      </c>
    </row>
    <row r="360" spans="1:15">
      <c r="A360" s="197">
        <v>46198</v>
      </c>
      <c r="B360" s="55" t="s">
        <v>154</v>
      </c>
      <c r="C360" s="195">
        <v>0.24</v>
      </c>
      <c r="D360" s="195">
        <v>0.99</v>
      </c>
      <c r="E360" s="55">
        <v>339.918</v>
      </c>
      <c r="F360" s="10">
        <f t="shared" si="30"/>
        <v>322.5</v>
      </c>
      <c r="G360" s="10">
        <f t="shared" si="31"/>
        <v>17.418</v>
      </c>
      <c r="H360" s="110">
        <f t="shared" si="32"/>
        <v>0.899981760306898</v>
      </c>
      <c r="K360" s="55">
        <v>305.92</v>
      </c>
      <c r="L360" s="246">
        <f t="shared" si="33"/>
        <v>20648.41</v>
      </c>
      <c r="O360" s="150" t="s">
        <v>1659</v>
      </c>
    </row>
    <row r="361" spans="1:15">
      <c r="A361" s="197">
        <v>46198</v>
      </c>
      <c r="B361" s="55" t="s">
        <v>180</v>
      </c>
      <c r="C361" s="195">
        <v>0.37</v>
      </c>
      <c r="D361" s="195">
        <v>0.98</v>
      </c>
      <c r="E361" s="55">
        <v>273.832</v>
      </c>
      <c r="F361" s="10">
        <f t="shared" si="30"/>
        <v>262.3</v>
      </c>
      <c r="G361" s="10">
        <f t="shared" si="31"/>
        <v>11.532</v>
      </c>
      <c r="H361" s="110">
        <f t="shared" si="32"/>
        <v>0.899967863507552</v>
      </c>
      <c r="K361" s="55">
        <v>246.44</v>
      </c>
      <c r="L361" s="246">
        <f t="shared" si="33"/>
        <v>20401.97</v>
      </c>
      <c r="O361" s="150" t="s">
        <v>1659</v>
      </c>
    </row>
    <row r="362" spans="1:15">
      <c r="A362" s="197">
        <v>46198</v>
      </c>
      <c r="B362" s="55" t="s">
        <v>127</v>
      </c>
      <c r="C362" s="195">
        <v>0.28</v>
      </c>
      <c r="D362" s="195">
        <v>0.99</v>
      </c>
      <c r="E362" s="55">
        <v>305.779</v>
      </c>
      <c r="F362" s="10">
        <f t="shared" si="30"/>
        <v>305.3</v>
      </c>
      <c r="G362" s="10">
        <f t="shared" si="31"/>
        <v>0.478999999999985</v>
      </c>
      <c r="H362" s="110">
        <f t="shared" si="32"/>
        <v>0.899963699273004</v>
      </c>
      <c r="K362" s="55">
        <v>275.19</v>
      </c>
      <c r="L362" s="246">
        <f t="shared" si="33"/>
        <v>20126.78</v>
      </c>
      <c r="O362" s="150" t="s">
        <v>1659</v>
      </c>
    </row>
    <row r="363" spans="1:15">
      <c r="A363" s="197">
        <v>46198</v>
      </c>
      <c r="B363" s="55" t="s">
        <v>183</v>
      </c>
      <c r="C363" s="195">
        <v>0.26</v>
      </c>
      <c r="D363" s="195">
        <v>0.99</v>
      </c>
      <c r="E363" s="55">
        <v>325.853</v>
      </c>
      <c r="F363" s="10">
        <f t="shared" si="30"/>
        <v>313.9</v>
      </c>
      <c r="G363" s="10">
        <f t="shared" si="31"/>
        <v>11.953</v>
      </c>
      <c r="H363" s="110">
        <f t="shared" si="32"/>
        <v>0.899976369712723</v>
      </c>
      <c r="K363" s="55">
        <v>293.26</v>
      </c>
      <c r="L363" s="246">
        <f t="shared" si="33"/>
        <v>19833.52</v>
      </c>
      <c r="O363" s="150" t="s">
        <v>1659</v>
      </c>
    </row>
    <row r="364" spans="1:15">
      <c r="A364" s="197">
        <v>46198</v>
      </c>
      <c r="B364" s="55" t="s">
        <v>198</v>
      </c>
      <c r="C364" s="195">
        <v>0.24</v>
      </c>
      <c r="D364" s="195">
        <v>0.99</v>
      </c>
      <c r="E364" s="55">
        <v>337.515</v>
      </c>
      <c r="F364" s="10">
        <f t="shared" si="30"/>
        <v>322.5</v>
      </c>
      <c r="G364" s="10">
        <f t="shared" si="31"/>
        <v>15.015</v>
      </c>
      <c r="H364" s="110">
        <f t="shared" si="32"/>
        <v>0.899960001777699</v>
      </c>
      <c r="K364" s="55">
        <v>303.75</v>
      </c>
      <c r="L364" s="246">
        <f t="shared" si="33"/>
        <v>19529.77</v>
      </c>
      <c r="O364" s="150" t="s">
        <v>1659</v>
      </c>
    </row>
    <row r="365" spans="1:15">
      <c r="A365" s="203">
        <v>46199</v>
      </c>
      <c r="B365" s="55" t="s">
        <v>141</v>
      </c>
      <c r="C365" s="195">
        <v>0.64</v>
      </c>
      <c r="D365" s="195">
        <v>0.99</v>
      </c>
      <c r="E365" s="55">
        <v>163.007</v>
      </c>
      <c r="F365" s="10">
        <f t="shared" si="30"/>
        <v>150.5</v>
      </c>
      <c r="G365" s="10">
        <f t="shared" si="31"/>
        <v>12.507</v>
      </c>
      <c r="H365" s="110">
        <f t="shared" si="32"/>
        <v>0.899961351353009</v>
      </c>
      <c r="K365" s="55">
        <v>146.7</v>
      </c>
      <c r="L365" s="246">
        <f t="shared" si="33"/>
        <v>19383.07</v>
      </c>
      <c r="O365" s="150" t="s">
        <v>1659</v>
      </c>
    </row>
    <row r="366" spans="1:15">
      <c r="A366" s="203">
        <v>46199</v>
      </c>
      <c r="B366" s="55" t="s">
        <v>223</v>
      </c>
      <c r="C366" s="195">
        <v>0.24</v>
      </c>
      <c r="D366" s="195">
        <v>0.61</v>
      </c>
      <c r="E366" s="55">
        <v>163.849</v>
      </c>
      <c r="F366" s="10">
        <f t="shared" si="30"/>
        <v>159.1</v>
      </c>
      <c r="G366" s="10">
        <f t="shared" si="31"/>
        <v>4.749</v>
      </c>
      <c r="H366" s="110">
        <f t="shared" si="32"/>
        <v>0.899974976960494</v>
      </c>
      <c r="K366" s="55">
        <v>147.46</v>
      </c>
      <c r="L366" s="246">
        <f t="shared" si="33"/>
        <v>19235.61</v>
      </c>
      <c r="O366" s="150" t="s">
        <v>1659</v>
      </c>
    </row>
    <row r="367" spans="1:15">
      <c r="A367" s="203">
        <v>46199</v>
      </c>
      <c r="B367" s="55" t="s">
        <v>81</v>
      </c>
      <c r="C367" s="195">
        <v>0.24</v>
      </c>
      <c r="D367" s="195">
        <v>0.96</v>
      </c>
      <c r="E367" s="55">
        <v>350.985</v>
      </c>
      <c r="F367" s="10">
        <f t="shared" si="30"/>
        <v>309.6</v>
      </c>
      <c r="G367" s="10">
        <f t="shared" si="31"/>
        <v>41.385</v>
      </c>
      <c r="H367" s="110">
        <f t="shared" si="32"/>
        <v>0.892374317990797</v>
      </c>
      <c r="K367" s="55">
        <v>313.21</v>
      </c>
      <c r="L367" s="246">
        <f t="shared" si="33"/>
        <v>18922.4</v>
      </c>
      <c r="O367" s="150" t="s">
        <v>1659</v>
      </c>
    </row>
    <row r="368" spans="1:15">
      <c r="A368" s="203">
        <v>46199</v>
      </c>
      <c r="B368" s="55" t="s">
        <v>160</v>
      </c>
      <c r="C368" s="195">
        <v>0.3</v>
      </c>
      <c r="D368" s="195">
        <v>0.99</v>
      </c>
      <c r="E368" s="55">
        <v>310.37</v>
      </c>
      <c r="F368" s="10">
        <f t="shared" si="30"/>
        <v>296.7</v>
      </c>
      <c r="G368" s="10">
        <f t="shared" si="31"/>
        <v>13.67</v>
      </c>
      <c r="H368" s="110">
        <f t="shared" si="32"/>
        <v>0.899152624287141</v>
      </c>
      <c r="K368" s="55">
        <v>279.07</v>
      </c>
      <c r="L368" s="246">
        <f t="shared" si="33"/>
        <v>18643.33</v>
      </c>
      <c r="O368" s="150" t="s">
        <v>1659</v>
      </c>
    </row>
    <row r="369" spans="1:15">
      <c r="A369" s="203">
        <v>46199</v>
      </c>
      <c r="B369" s="55" t="s">
        <v>223</v>
      </c>
      <c r="C369" s="195">
        <v>0.62</v>
      </c>
      <c r="D369" s="195">
        <v>0.99</v>
      </c>
      <c r="E369" s="55">
        <v>177.246</v>
      </c>
      <c r="F369" s="10">
        <f t="shared" si="30"/>
        <v>159.1</v>
      </c>
      <c r="G369" s="10">
        <f t="shared" si="31"/>
        <v>18.146</v>
      </c>
      <c r="H369" s="110">
        <f t="shared" si="32"/>
        <v>0.896832650666306</v>
      </c>
      <c r="K369" s="55">
        <v>158.96</v>
      </c>
      <c r="L369" s="246">
        <f t="shared" si="33"/>
        <v>18484.37</v>
      </c>
      <c r="O369" s="150" t="s">
        <v>1659</v>
      </c>
    </row>
    <row r="370" spans="1:15">
      <c r="A370" s="203">
        <v>46199</v>
      </c>
      <c r="B370" s="55" t="s">
        <v>163</v>
      </c>
      <c r="C370" s="195">
        <v>0.29</v>
      </c>
      <c r="D370" s="195">
        <v>1</v>
      </c>
      <c r="E370" s="144">
        <v>316.164</v>
      </c>
      <c r="F370" s="10">
        <f t="shared" ref="F370:F390" si="34">(D370-C370)*430</f>
        <v>305.3</v>
      </c>
      <c r="G370" s="10">
        <f t="shared" ref="G370:G390" si="35">E370-F370</f>
        <v>10.864</v>
      </c>
      <c r="H370" s="110">
        <f t="shared" ref="H370:H390" si="36">K370/E370</f>
        <v>0.794049923457446</v>
      </c>
      <c r="K370" s="55">
        <v>251.05</v>
      </c>
      <c r="L370" s="246">
        <f t="shared" ref="L370:L390" si="37">L369+J370-K370</f>
        <v>18233.32</v>
      </c>
      <c r="O370" s="150" t="s">
        <v>1659</v>
      </c>
    </row>
    <row r="371" spans="1:15">
      <c r="A371" s="203">
        <v>46199</v>
      </c>
      <c r="B371" s="55" t="s">
        <v>96</v>
      </c>
      <c r="C371" s="195">
        <v>0.35</v>
      </c>
      <c r="D371" s="195">
        <v>1</v>
      </c>
      <c r="E371" s="144">
        <v>295.794</v>
      </c>
      <c r="F371" s="10">
        <f t="shared" si="34"/>
        <v>279.5</v>
      </c>
      <c r="G371" s="10">
        <f t="shared" si="35"/>
        <v>16.294</v>
      </c>
      <c r="H371" s="110">
        <f t="shared" si="36"/>
        <v>0.770434829644956</v>
      </c>
      <c r="K371" s="55">
        <v>227.89</v>
      </c>
      <c r="L371" s="246">
        <f t="shared" si="37"/>
        <v>18005.43</v>
      </c>
      <c r="O371" s="150" t="s">
        <v>1659</v>
      </c>
    </row>
    <row r="372" spans="1:15">
      <c r="A372" s="203">
        <v>46199</v>
      </c>
      <c r="B372" s="55" t="s">
        <v>93</v>
      </c>
      <c r="C372" s="195">
        <v>0.35</v>
      </c>
      <c r="D372" s="195">
        <v>0.98</v>
      </c>
      <c r="E372" s="144">
        <v>311.943</v>
      </c>
      <c r="F372" s="10">
        <f t="shared" si="34"/>
        <v>270.9</v>
      </c>
      <c r="G372" s="10">
        <f t="shared" si="35"/>
        <v>41.043</v>
      </c>
      <c r="H372" s="110">
        <f t="shared" si="36"/>
        <v>0.775558355212331</v>
      </c>
      <c r="K372" s="55">
        <v>241.93</v>
      </c>
      <c r="L372" s="246">
        <f t="shared" si="37"/>
        <v>17763.5</v>
      </c>
      <c r="O372" s="150" t="s">
        <v>1659</v>
      </c>
    </row>
    <row r="373" spans="1:15">
      <c r="A373" s="203">
        <v>46199</v>
      </c>
      <c r="B373" s="55" t="s">
        <v>87</v>
      </c>
      <c r="C373" s="195">
        <v>0.32</v>
      </c>
      <c r="D373" s="195">
        <v>1</v>
      </c>
      <c r="E373" s="144">
        <v>316.529</v>
      </c>
      <c r="F373" s="10">
        <f t="shared" si="34"/>
        <v>292.4</v>
      </c>
      <c r="G373" s="10">
        <f t="shared" si="35"/>
        <v>24.129</v>
      </c>
      <c r="H373" s="110">
        <f t="shared" si="36"/>
        <v>0.899949135782187</v>
      </c>
      <c r="K373" s="55">
        <v>284.86</v>
      </c>
      <c r="L373" s="246">
        <f t="shared" si="37"/>
        <v>17478.64</v>
      </c>
      <c r="O373" s="150" t="s">
        <v>1659</v>
      </c>
    </row>
    <row r="374" spans="1:15">
      <c r="A374" s="203">
        <v>46199</v>
      </c>
      <c r="B374" s="55" t="s">
        <v>186</v>
      </c>
      <c r="C374" s="195">
        <v>0.27</v>
      </c>
      <c r="D374" s="195">
        <v>0.99</v>
      </c>
      <c r="E374" s="144">
        <v>324.353</v>
      </c>
      <c r="F374" s="10">
        <f t="shared" si="34"/>
        <v>309.6</v>
      </c>
      <c r="G374" s="10">
        <f t="shared" si="35"/>
        <v>14.753</v>
      </c>
      <c r="H374" s="110">
        <f t="shared" si="36"/>
        <v>0.899976260432307</v>
      </c>
      <c r="K374" s="55">
        <v>291.91</v>
      </c>
      <c r="L374" s="246">
        <f t="shared" si="37"/>
        <v>17186.73</v>
      </c>
      <c r="O374" s="150" t="s">
        <v>1659</v>
      </c>
    </row>
    <row r="375" spans="1:15">
      <c r="A375" s="203">
        <v>46199</v>
      </c>
      <c r="B375" s="55" t="s">
        <v>166</v>
      </c>
      <c r="C375" s="195">
        <v>0.29</v>
      </c>
      <c r="D375" s="195">
        <v>0.99</v>
      </c>
      <c r="E375" s="144">
        <v>315.905</v>
      </c>
      <c r="F375" s="10">
        <f t="shared" si="34"/>
        <v>301</v>
      </c>
      <c r="G375" s="10">
        <f t="shared" si="35"/>
        <v>14.905</v>
      </c>
      <c r="H375" s="110">
        <f t="shared" si="36"/>
        <v>0.899954100125038</v>
      </c>
      <c r="K375" s="55">
        <v>284.3</v>
      </c>
      <c r="L375" s="246">
        <f t="shared" si="37"/>
        <v>16902.43</v>
      </c>
      <c r="O375" s="150" t="s">
        <v>1659</v>
      </c>
    </row>
    <row r="376" spans="1:15">
      <c r="A376" s="203">
        <v>46199</v>
      </c>
      <c r="B376" s="55" t="s">
        <v>204</v>
      </c>
      <c r="C376" s="195">
        <v>0.25</v>
      </c>
      <c r="D376" s="195">
        <v>1</v>
      </c>
      <c r="E376" s="144">
        <v>327.423</v>
      </c>
      <c r="F376" s="10">
        <f t="shared" si="34"/>
        <v>322.5</v>
      </c>
      <c r="G376" s="10">
        <f t="shared" si="35"/>
        <v>4.923</v>
      </c>
      <c r="H376" s="110">
        <f t="shared" si="36"/>
        <v>0.899967320560865</v>
      </c>
      <c r="K376" s="55">
        <v>294.67</v>
      </c>
      <c r="L376" s="246">
        <f t="shared" si="37"/>
        <v>16607.76</v>
      </c>
      <c r="O376" s="150" t="s">
        <v>1659</v>
      </c>
    </row>
    <row r="377" spans="1:15">
      <c r="A377" s="203">
        <v>46199</v>
      </c>
      <c r="B377" s="55" t="s">
        <v>221</v>
      </c>
      <c r="C377" s="195">
        <v>0.25</v>
      </c>
      <c r="D377" s="195">
        <v>1</v>
      </c>
      <c r="E377" s="144">
        <v>334.458</v>
      </c>
      <c r="F377" s="10">
        <f t="shared" si="34"/>
        <v>322.5</v>
      </c>
      <c r="G377" s="10">
        <f t="shared" si="35"/>
        <v>11.958</v>
      </c>
      <c r="H377" s="110">
        <f t="shared" si="36"/>
        <v>0.899963523073151</v>
      </c>
      <c r="K377" s="55">
        <v>301</v>
      </c>
      <c r="L377" s="246">
        <f t="shared" si="37"/>
        <v>16306.76</v>
      </c>
      <c r="O377" s="150" t="s">
        <v>1659</v>
      </c>
    </row>
    <row r="378" spans="1:15">
      <c r="A378" s="203">
        <v>46199</v>
      </c>
      <c r="B378" s="55" t="s">
        <v>219</v>
      </c>
      <c r="C378" s="195">
        <v>0.22</v>
      </c>
      <c r="D378" s="195">
        <v>1</v>
      </c>
      <c r="E378" s="144">
        <v>353.487</v>
      </c>
      <c r="F378" s="10">
        <f t="shared" si="34"/>
        <v>335.4</v>
      </c>
      <c r="G378" s="10">
        <f t="shared" si="35"/>
        <v>18.087</v>
      </c>
      <c r="H378" s="110">
        <f t="shared" si="36"/>
        <v>0.899976519645701</v>
      </c>
      <c r="K378" s="55">
        <v>318.13</v>
      </c>
      <c r="L378" s="246">
        <f t="shared" si="37"/>
        <v>15988.63</v>
      </c>
      <c r="O378" s="150" t="s">
        <v>1659</v>
      </c>
    </row>
    <row r="379" spans="1:15">
      <c r="A379" s="203">
        <v>46199</v>
      </c>
      <c r="B379" s="55" t="s">
        <v>72</v>
      </c>
      <c r="C379" s="195">
        <v>0.38</v>
      </c>
      <c r="D379" s="195">
        <v>0.98</v>
      </c>
      <c r="E379" s="144">
        <v>284.945</v>
      </c>
      <c r="F379" s="10">
        <f t="shared" si="34"/>
        <v>258</v>
      </c>
      <c r="G379" s="10">
        <f t="shared" si="35"/>
        <v>26.945</v>
      </c>
      <c r="H379" s="110">
        <f t="shared" si="36"/>
        <v>0.899963150783485</v>
      </c>
      <c r="K379" s="55">
        <v>256.44</v>
      </c>
      <c r="L379" s="246">
        <f t="shared" si="37"/>
        <v>15732.19</v>
      </c>
      <c r="O379" s="150" t="s">
        <v>1659</v>
      </c>
    </row>
    <row r="380" spans="1:15">
      <c r="A380" s="203">
        <v>46199</v>
      </c>
      <c r="B380" s="55" t="s">
        <v>201</v>
      </c>
      <c r="C380" s="195">
        <v>0.63</v>
      </c>
      <c r="D380" s="195">
        <v>0.63</v>
      </c>
      <c r="E380" s="144">
        <v>0.097</v>
      </c>
      <c r="F380" s="10">
        <f t="shared" si="34"/>
        <v>0</v>
      </c>
      <c r="G380" s="10">
        <f t="shared" si="35"/>
        <v>0.097</v>
      </c>
      <c r="H380" s="110">
        <f t="shared" si="36"/>
        <v>0.824742268041237</v>
      </c>
      <c r="K380" s="55">
        <v>0.08</v>
      </c>
      <c r="L380" s="246">
        <f t="shared" si="37"/>
        <v>15732.11</v>
      </c>
      <c r="O380" s="150" t="s">
        <v>1659</v>
      </c>
    </row>
    <row r="381" spans="1:15">
      <c r="A381" s="203">
        <v>46199</v>
      </c>
      <c r="B381" s="55" t="s">
        <v>201</v>
      </c>
      <c r="C381" s="195">
        <v>0.64</v>
      </c>
      <c r="D381" s="195">
        <v>0.99</v>
      </c>
      <c r="E381" s="144">
        <v>162.016</v>
      </c>
      <c r="F381" s="10">
        <f t="shared" si="34"/>
        <v>150.5</v>
      </c>
      <c r="G381" s="10">
        <f t="shared" si="35"/>
        <v>11.516</v>
      </c>
      <c r="H381" s="110">
        <f t="shared" si="36"/>
        <v>0.899972842188426</v>
      </c>
      <c r="K381" s="55">
        <v>145.81</v>
      </c>
      <c r="L381" s="246">
        <f t="shared" si="37"/>
        <v>15586.3</v>
      </c>
      <c r="O381" s="150" t="s">
        <v>1659</v>
      </c>
    </row>
    <row r="382" spans="1:15">
      <c r="A382" s="203">
        <v>46199</v>
      </c>
      <c r="B382" s="55" t="s">
        <v>60</v>
      </c>
      <c r="C382" s="195">
        <v>0.31</v>
      </c>
      <c r="D382" s="195">
        <v>1</v>
      </c>
      <c r="E382" s="144">
        <v>289.667</v>
      </c>
      <c r="F382" s="10">
        <f t="shared" si="34"/>
        <v>296.7</v>
      </c>
      <c r="G382" s="10">
        <f t="shared" si="35"/>
        <v>-7.03300000000002</v>
      </c>
      <c r="H382" s="110">
        <f t="shared" si="36"/>
        <v>0.899964441928145</v>
      </c>
      <c r="K382" s="55">
        <v>260.69</v>
      </c>
      <c r="L382" s="246">
        <f t="shared" si="37"/>
        <v>15325.61</v>
      </c>
      <c r="O382" s="150" t="s">
        <v>1659</v>
      </c>
    </row>
    <row r="383" spans="1:15">
      <c r="A383" s="203">
        <v>46199</v>
      </c>
      <c r="B383" s="55" t="s">
        <v>69</v>
      </c>
      <c r="C383" s="195">
        <v>0.17</v>
      </c>
      <c r="D383" s="195">
        <v>0.96</v>
      </c>
      <c r="E383" s="144">
        <v>383.988</v>
      </c>
      <c r="F383" s="10">
        <f t="shared" si="34"/>
        <v>339.7</v>
      </c>
      <c r="G383" s="10">
        <f t="shared" si="35"/>
        <v>44.288</v>
      </c>
      <c r="H383" s="110">
        <f t="shared" si="36"/>
        <v>0.899949998437451</v>
      </c>
      <c r="K383" s="55">
        <v>345.57</v>
      </c>
      <c r="L383" s="246">
        <f t="shared" si="37"/>
        <v>14980.04</v>
      </c>
      <c r="O383" s="150" t="s">
        <v>1659</v>
      </c>
    </row>
    <row r="384" spans="1:15">
      <c r="A384" s="203">
        <v>46199</v>
      </c>
      <c r="B384" s="55" t="s">
        <v>78</v>
      </c>
      <c r="C384" s="195">
        <v>0.35</v>
      </c>
      <c r="D384" s="195">
        <v>1</v>
      </c>
      <c r="E384" s="144">
        <v>294.602</v>
      </c>
      <c r="F384" s="10">
        <f t="shared" si="34"/>
        <v>279.5</v>
      </c>
      <c r="G384" s="10">
        <f t="shared" si="35"/>
        <v>15.102</v>
      </c>
      <c r="H384" s="110">
        <f t="shared" si="36"/>
        <v>0.78801230134215</v>
      </c>
      <c r="K384" s="55">
        <v>232.15</v>
      </c>
      <c r="L384" s="246">
        <f t="shared" si="37"/>
        <v>14747.89</v>
      </c>
      <c r="O384" s="150" t="s">
        <v>1659</v>
      </c>
    </row>
    <row r="385" spans="1:15">
      <c r="A385" s="203">
        <v>46200</v>
      </c>
      <c r="B385" s="55" t="s">
        <v>195</v>
      </c>
      <c r="C385" s="195">
        <v>0.29</v>
      </c>
      <c r="D385" s="195">
        <v>1</v>
      </c>
      <c r="E385" s="144">
        <v>318.394</v>
      </c>
      <c r="F385" s="10">
        <f t="shared" si="34"/>
        <v>305.3</v>
      </c>
      <c r="G385" s="10">
        <f t="shared" si="35"/>
        <v>13.094</v>
      </c>
      <c r="H385" s="110">
        <f t="shared" si="36"/>
        <v>0.805856894288209</v>
      </c>
      <c r="K385" s="55">
        <v>256.58</v>
      </c>
      <c r="L385" s="246">
        <f t="shared" si="37"/>
        <v>14491.31</v>
      </c>
      <c r="O385" s="150" t="s">
        <v>1659</v>
      </c>
    </row>
    <row r="386" spans="1:15">
      <c r="A386" s="203">
        <v>46200</v>
      </c>
      <c r="B386" s="55" t="s">
        <v>130</v>
      </c>
      <c r="C386" s="195">
        <v>0.28</v>
      </c>
      <c r="D386" s="195">
        <v>1</v>
      </c>
      <c r="E386" s="144">
        <v>294.381</v>
      </c>
      <c r="F386" s="10">
        <f t="shared" si="34"/>
        <v>309.6</v>
      </c>
      <c r="G386" s="10">
        <f t="shared" si="35"/>
        <v>-15.2190000000001</v>
      </c>
      <c r="H386" s="110">
        <f t="shared" si="36"/>
        <v>0.899956179237111</v>
      </c>
      <c r="K386" s="55">
        <v>264.93</v>
      </c>
      <c r="L386" s="246">
        <f t="shared" si="37"/>
        <v>14226.38</v>
      </c>
      <c r="O386" s="150" t="s">
        <v>1659</v>
      </c>
    </row>
    <row r="387" spans="1:15">
      <c r="A387" s="203">
        <v>46200</v>
      </c>
      <c r="B387" s="55" t="s">
        <v>338</v>
      </c>
      <c r="C387" s="195">
        <v>0.24</v>
      </c>
      <c r="D387" s="195">
        <v>0.99</v>
      </c>
      <c r="E387" s="144">
        <v>331.514</v>
      </c>
      <c r="F387" s="10">
        <f t="shared" si="34"/>
        <v>322.5</v>
      </c>
      <c r="G387" s="10">
        <f t="shared" si="35"/>
        <v>9.01400000000001</v>
      </c>
      <c r="H387" s="110">
        <f t="shared" si="36"/>
        <v>0.899961992555367</v>
      </c>
      <c r="K387" s="55">
        <v>298.35</v>
      </c>
      <c r="L387" s="246">
        <f t="shared" si="37"/>
        <v>13928.03</v>
      </c>
      <c r="O387" s="150" t="s">
        <v>1659</v>
      </c>
    </row>
    <row r="388" spans="1:15">
      <c r="A388" s="203">
        <v>46200</v>
      </c>
      <c r="B388" s="55" t="s">
        <v>75</v>
      </c>
      <c r="C388" s="195">
        <v>0.33</v>
      </c>
      <c r="D388" s="195">
        <v>0.98</v>
      </c>
      <c r="E388" s="144">
        <v>309.208</v>
      </c>
      <c r="F388" s="10">
        <f t="shared" si="34"/>
        <v>279.5</v>
      </c>
      <c r="G388" s="10">
        <f t="shared" si="35"/>
        <v>29.708</v>
      </c>
      <c r="H388" s="110">
        <f t="shared" si="36"/>
        <v>0.899976714703371</v>
      </c>
      <c r="K388" s="55">
        <v>278.28</v>
      </c>
      <c r="L388" s="246">
        <f t="shared" si="37"/>
        <v>13649.75</v>
      </c>
      <c r="O388" s="150" t="s">
        <v>1659</v>
      </c>
    </row>
    <row r="389" spans="1:15">
      <c r="A389" s="203">
        <v>46200</v>
      </c>
      <c r="B389" s="55" t="s">
        <v>99</v>
      </c>
      <c r="C389" s="195">
        <v>0.25</v>
      </c>
      <c r="D389" s="195">
        <v>0.98</v>
      </c>
      <c r="E389" s="144">
        <v>347.236</v>
      </c>
      <c r="F389" s="10">
        <f t="shared" si="34"/>
        <v>313.9</v>
      </c>
      <c r="G389" s="10">
        <f t="shared" si="35"/>
        <v>33.336</v>
      </c>
      <c r="H389" s="110">
        <f t="shared" si="36"/>
        <v>0.858839521247797</v>
      </c>
      <c r="K389" s="55">
        <v>298.22</v>
      </c>
      <c r="L389" s="246">
        <f t="shared" si="37"/>
        <v>13351.53</v>
      </c>
      <c r="O389" s="150" t="s">
        <v>1659</v>
      </c>
    </row>
    <row r="390" spans="1:15">
      <c r="A390" s="203">
        <v>46200</v>
      </c>
      <c r="B390" s="55" t="s">
        <v>66</v>
      </c>
      <c r="C390" s="195">
        <v>0.36</v>
      </c>
      <c r="D390" s="195">
        <v>0.98</v>
      </c>
      <c r="E390" s="144">
        <v>293.158</v>
      </c>
      <c r="F390" s="10">
        <f t="shared" si="34"/>
        <v>266.6</v>
      </c>
      <c r="G390" s="10">
        <f t="shared" si="35"/>
        <v>26.558</v>
      </c>
      <c r="H390" s="110">
        <f t="shared" si="36"/>
        <v>0.861344394490343</v>
      </c>
      <c r="K390" s="55">
        <v>252.51</v>
      </c>
      <c r="L390" s="246">
        <f t="shared" si="37"/>
        <v>13099.02</v>
      </c>
      <c r="O390" s="150" t="s">
        <v>1659</v>
      </c>
    </row>
    <row r="391" spans="1:15">
      <c r="A391" s="203">
        <v>46200</v>
      </c>
      <c r="B391" s="260" t="s">
        <v>138</v>
      </c>
      <c r="C391" s="191">
        <v>0.29</v>
      </c>
      <c r="D391" s="191">
        <v>1</v>
      </c>
      <c r="E391" s="144">
        <v>316.369</v>
      </c>
      <c r="F391" s="10">
        <f t="shared" ref="F391:F433" si="38">(D391-C391)*430</f>
        <v>305.3</v>
      </c>
      <c r="G391" s="10">
        <f t="shared" ref="G391:G433" si="39">E391-F391</f>
        <v>11.069</v>
      </c>
      <c r="H391" s="110">
        <f t="shared" ref="H391:H433" si="40">K391/E391</f>
        <v>0.899961753521995</v>
      </c>
      <c r="K391" s="144">
        <v>284.72</v>
      </c>
      <c r="L391" s="246">
        <f t="shared" ref="L391:L433" si="41">L390+J391-K391</f>
        <v>12814.3</v>
      </c>
      <c r="O391" s="150" t="s">
        <v>1659</v>
      </c>
    </row>
    <row r="392" spans="1:15">
      <c r="A392" s="203">
        <v>46200</v>
      </c>
      <c r="B392" s="260" t="s">
        <v>84</v>
      </c>
      <c r="C392" s="191">
        <v>0.32</v>
      </c>
      <c r="D392" s="191">
        <v>1</v>
      </c>
      <c r="E392" s="144">
        <v>324.286</v>
      </c>
      <c r="F392" s="10">
        <f t="shared" si="38"/>
        <v>292.4</v>
      </c>
      <c r="G392" s="10">
        <f t="shared" si="39"/>
        <v>31.886</v>
      </c>
      <c r="H392" s="110">
        <f t="shared" si="40"/>
        <v>0.899977180636845</v>
      </c>
      <c r="K392" s="144">
        <v>291.85</v>
      </c>
      <c r="L392" s="246">
        <f t="shared" si="41"/>
        <v>12522.45</v>
      </c>
      <c r="O392" s="150" t="s">
        <v>1659</v>
      </c>
    </row>
    <row r="393" spans="1:15">
      <c r="A393" s="203">
        <v>46200</v>
      </c>
      <c r="B393" s="260" t="s">
        <v>69</v>
      </c>
      <c r="C393" s="191">
        <v>0.36</v>
      </c>
      <c r="D393" s="191">
        <v>0.98</v>
      </c>
      <c r="E393" s="144">
        <v>300.093</v>
      </c>
      <c r="F393" s="10">
        <f t="shared" si="38"/>
        <v>266.6</v>
      </c>
      <c r="G393" s="10">
        <f t="shared" si="39"/>
        <v>33.493</v>
      </c>
      <c r="H393" s="110">
        <f t="shared" si="40"/>
        <v>0.899954347485613</v>
      </c>
      <c r="K393" s="144">
        <v>270.07</v>
      </c>
      <c r="L393" s="246">
        <f t="shared" si="41"/>
        <v>12252.38</v>
      </c>
      <c r="O393" s="150" t="s">
        <v>1659</v>
      </c>
    </row>
    <row r="394" spans="1:15">
      <c r="A394" s="203">
        <v>46200</v>
      </c>
      <c r="B394" s="260" t="s">
        <v>51</v>
      </c>
      <c r="C394" s="191">
        <v>0.29</v>
      </c>
      <c r="D394" s="191">
        <v>1</v>
      </c>
      <c r="E394" s="144">
        <v>294.42</v>
      </c>
      <c r="F394" s="10">
        <f t="shared" si="38"/>
        <v>305.3</v>
      </c>
      <c r="G394" s="10">
        <f t="shared" si="39"/>
        <v>-10.88</v>
      </c>
      <c r="H394" s="110">
        <f t="shared" si="40"/>
        <v>0.899972827932885</v>
      </c>
      <c r="K394" s="144">
        <v>264.97</v>
      </c>
      <c r="L394" s="246">
        <f t="shared" si="41"/>
        <v>11987.41</v>
      </c>
      <c r="O394" s="150" t="s">
        <v>1659</v>
      </c>
    </row>
    <row r="395" spans="1:15">
      <c r="A395" s="203">
        <v>46200</v>
      </c>
      <c r="B395" s="260" t="s">
        <v>54</v>
      </c>
      <c r="C395" s="191">
        <v>0.25</v>
      </c>
      <c r="D395" s="191">
        <v>1</v>
      </c>
      <c r="E395" s="144">
        <v>312.667</v>
      </c>
      <c r="F395" s="10">
        <f t="shared" si="38"/>
        <v>322.5</v>
      </c>
      <c r="G395" s="10">
        <f t="shared" si="39"/>
        <v>-9.83300000000003</v>
      </c>
      <c r="H395" s="110">
        <f t="shared" si="40"/>
        <v>0.899967057604416</v>
      </c>
      <c r="K395" s="144">
        <v>281.39</v>
      </c>
      <c r="L395" s="246">
        <f t="shared" si="41"/>
        <v>11706.02</v>
      </c>
      <c r="O395" s="150" t="s">
        <v>1659</v>
      </c>
    </row>
    <row r="396" spans="1:15">
      <c r="A396" s="203">
        <v>46200</v>
      </c>
      <c r="B396" s="260" t="s">
        <v>204</v>
      </c>
      <c r="C396" s="191">
        <v>0.6</v>
      </c>
      <c r="D396" s="191">
        <v>0.99</v>
      </c>
      <c r="E396" s="144">
        <v>176.156</v>
      </c>
      <c r="F396" s="10">
        <f t="shared" si="38"/>
        <v>167.7</v>
      </c>
      <c r="G396" s="10">
        <f t="shared" si="39"/>
        <v>8.45599999999999</v>
      </c>
      <c r="H396" s="110">
        <f t="shared" si="40"/>
        <v>0.899940961420559</v>
      </c>
      <c r="K396" s="144">
        <v>158.53</v>
      </c>
      <c r="L396" s="246">
        <f t="shared" si="41"/>
        <v>11547.49</v>
      </c>
      <c r="O396" s="150" t="s">
        <v>1659</v>
      </c>
    </row>
    <row r="397" spans="1:15">
      <c r="A397" s="204">
        <v>46200</v>
      </c>
      <c r="B397" s="261" t="s">
        <v>223</v>
      </c>
      <c r="C397" s="191">
        <v>0.61</v>
      </c>
      <c r="D397" s="191">
        <v>0.99</v>
      </c>
      <c r="E397" s="144">
        <v>174.431</v>
      </c>
      <c r="F397" s="130">
        <f t="shared" si="38"/>
        <v>163.4</v>
      </c>
      <c r="G397" s="130">
        <f t="shared" si="39"/>
        <v>11.031</v>
      </c>
      <c r="H397" s="252">
        <f t="shared" si="40"/>
        <v>0.899954709885284</v>
      </c>
      <c r="K397" s="144">
        <v>156.98</v>
      </c>
      <c r="L397" s="254">
        <f t="shared" si="41"/>
        <v>11390.51</v>
      </c>
      <c r="O397" s="150" t="s">
        <v>1659</v>
      </c>
    </row>
    <row r="398" spans="1:15">
      <c r="A398" s="203">
        <v>46201</v>
      </c>
      <c r="B398" s="260" t="s">
        <v>114</v>
      </c>
      <c r="C398" s="195">
        <v>0.31</v>
      </c>
      <c r="D398" s="195">
        <v>0.99</v>
      </c>
      <c r="E398" s="55">
        <v>286.381</v>
      </c>
      <c r="F398" s="10">
        <f t="shared" si="38"/>
        <v>292.4</v>
      </c>
      <c r="G398" s="10">
        <f t="shared" si="39"/>
        <v>-6.01900000000001</v>
      </c>
      <c r="H398" s="110">
        <f t="shared" si="40"/>
        <v>0.628149213809575</v>
      </c>
      <c r="I398" s="55"/>
      <c r="J398" s="55"/>
      <c r="K398" s="55">
        <v>179.89</v>
      </c>
      <c r="L398" s="246">
        <f t="shared" si="41"/>
        <v>11210.62</v>
      </c>
      <c r="O398" s="150" t="s">
        <v>1659</v>
      </c>
    </row>
    <row r="399" spans="1:15">
      <c r="A399" s="203">
        <v>46201</v>
      </c>
      <c r="B399" s="260" t="s">
        <v>81</v>
      </c>
      <c r="C399" s="195">
        <v>0.24</v>
      </c>
      <c r="D399" s="195">
        <v>0.98</v>
      </c>
      <c r="E399" s="55">
        <v>349.129</v>
      </c>
      <c r="F399" s="10">
        <f t="shared" si="38"/>
        <v>318.2</v>
      </c>
      <c r="G399" s="10">
        <f t="shared" si="39"/>
        <v>30.929</v>
      </c>
      <c r="H399" s="110">
        <f t="shared" si="40"/>
        <v>0.655574300616677</v>
      </c>
      <c r="I399" s="55"/>
      <c r="J399" s="55"/>
      <c r="K399" s="55">
        <v>228.88</v>
      </c>
      <c r="L399" s="246">
        <f t="shared" si="41"/>
        <v>10981.74</v>
      </c>
      <c r="O399" s="150" t="s">
        <v>1659</v>
      </c>
    </row>
    <row r="400" spans="1:15">
      <c r="A400" s="203">
        <v>46201</v>
      </c>
      <c r="B400" s="260" t="s">
        <v>198</v>
      </c>
      <c r="C400" s="195">
        <v>0.14</v>
      </c>
      <c r="D400" s="195">
        <v>1</v>
      </c>
      <c r="E400" s="55">
        <v>377.567</v>
      </c>
      <c r="F400" s="10">
        <f t="shared" si="38"/>
        <v>369.8</v>
      </c>
      <c r="G400" s="10">
        <f t="shared" si="39"/>
        <v>7.767</v>
      </c>
      <c r="H400" s="110">
        <f t="shared" si="40"/>
        <v>0.871342039955822</v>
      </c>
      <c r="I400" s="55"/>
      <c r="J400" s="55"/>
      <c r="K400" s="55">
        <v>328.99</v>
      </c>
      <c r="L400" s="246">
        <f t="shared" si="41"/>
        <v>10652.75</v>
      </c>
      <c r="O400" s="150" t="s">
        <v>1659</v>
      </c>
    </row>
    <row r="401" spans="1:15">
      <c r="A401" s="203">
        <v>46201</v>
      </c>
      <c r="B401" s="260" t="s">
        <v>96</v>
      </c>
      <c r="C401" s="195">
        <v>0.23</v>
      </c>
      <c r="D401" s="195">
        <v>0.98</v>
      </c>
      <c r="E401" s="55">
        <v>342.866</v>
      </c>
      <c r="F401" s="10">
        <f t="shared" si="38"/>
        <v>322.5</v>
      </c>
      <c r="G401" s="10">
        <f t="shared" si="39"/>
        <v>20.366</v>
      </c>
      <c r="H401" s="110">
        <f t="shared" si="40"/>
        <v>0.899972584041579</v>
      </c>
      <c r="I401" s="55"/>
      <c r="J401" s="55"/>
      <c r="K401" s="55">
        <v>308.57</v>
      </c>
      <c r="L401" s="246">
        <f t="shared" si="41"/>
        <v>10344.18</v>
      </c>
      <c r="O401" s="150" t="s">
        <v>1659</v>
      </c>
    </row>
    <row r="402" spans="1:15">
      <c r="A402" s="203">
        <v>46201</v>
      </c>
      <c r="B402" s="260" t="s">
        <v>138</v>
      </c>
      <c r="C402" s="195">
        <v>0.69</v>
      </c>
      <c r="D402" s="195">
        <v>1</v>
      </c>
      <c r="E402" s="55">
        <v>141.606</v>
      </c>
      <c r="F402" s="10">
        <f t="shared" si="38"/>
        <v>133.3</v>
      </c>
      <c r="G402" s="10">
        <f t="shared" si="39"/>
        <v>8.30599999999998</v>
      </c>
      <c r="H402" s="110">
        <f t="shared" si="40"/>
        <v>0.899961866022626</v>
      </c>
      <c r="I402" s="55"/>
      <c r="J402" s="55"/>
      <c r="K402" s="55">
        <v>127.44</v>
      </c>
      <c r="L402" s="246">
        <f t="shared" si="41"/>
        <v>10216.74</v>
      </c>
      <c r="O402" s="150" t="s">
        <v>1659</v>
      </c>
    </row>
    <row r="403" spans="1:15">
      <c r="A403" s="203">
        <v>46201</v>
      </c>
      <c r="B403" s="260" t="s">
        <v>111</v>
      </c>
      <c r="C403" s="195">
        <v>0.25</v>
      </c>
      <c r="D403" s="195">
        <v>0.62</v>
      </c>
      <c r="E403" s="55">
        <v>151.885</v>
      </c>
      <c r="F403" s="10">
        <f t="shared" si="38"/>
        <v>159.1</v>
      </c>
      <c r="G403" s="10">
        <f t="shared" si="39"/>
        <v>-7.215</v>
      </c>
      <c r="H403" s="110">
        <f t="shared" si="40"/>
        <v>0.899957204463904</v>
      </c>
      <c r="I403" s="55"/>
      <c r="J403" s="55"/>
      <c r="K403" s="55">
        <v>136.69</v>
      </c>
      <c r="L403" s="246">
        <f t="shared" si="41"/>
        <v>10080.05</v>
      </c>
      <c r="O403" s="150" t="s">
        <v>1659</v>
      </c>
    </row>
    <row r="404" spans="1:15">
      <c r="A404" s="203">
        <v>46201</v>
      </c>
      <c r="B404" s="260" t="s">
        <v>87</v>
      </c>
      <c r="C404" s="195">
        <v>0.37</v>
      </c>
      <c r="D404" s="195">
        <v>0.98</v>
      </c>
      <c r="E404" s="55">
        <v>293.168</v>
      </c>
      <c r="F404" s="10">
        <f t="shared" si="38"/>
        <v>262.3</v>
      </c>
      <c r="G404" s="10">
        <f t="shared" si="39"/>
        <v>30.868</v>
      </c>
      <c r="H404" s="110">
        <f t="shared" si="40"/>
        <v>0.89996179664902</v>
      </c>
      <c r="I404" s="55"/>
      <c r="J404" s="55"/>
      <c r="K404" s="55">
        <v>263.84</v>
      </c>
      <c r="L404" s="246">
        <f t="shared" si="41"/>
        <v>9816.21</v>
      </c>
      <c r="O404" s="150" t="s">
        <v>1659</v>
      </c>
    </row>
    <row r="405" spans="1:15">
      <c r="A405" s="203">
        <v>46201</v>
      </c>
      <c r="B405" s="260" t="s">
        <v>207</v>
      </c>
      <c r="C405" s="195">
        <v>0.23</v>
      </c>
      <c r="D405" s="195">
        <v>0.99</v>
      </c>
      <c r="E405" s="55">
        <v>342.167</v>
      </c>
      <c r="F405" s="10">
        <f t="shared" si="38"/>
        <v>326.8</v>
      </c>
      <c r="G405" s="10">
        <f t="shared" si="39"/>
        <v>15.367</v>
      </c>
      <c r="H405" s="110">
        <f t="shared" si="40"/>
        <v>0.838508681433335</v>
      </c>
      <c r="I405" s="55"/>
      <c r="J405" s="55"/>
      <c r="K405" s="55">
        <v>286.91</v>
      </c>
      <c r="L405" s="246">
        <f t="shared" si="41"/>
        <v>9529.3</v>
      </c>
      <c r="O405" s="150" t="s">
        <v>1659</v>
      </c>
    </row>
    <row r="406" spans="1:15">
      <c r="A406" s="203">
        <v>46201</v>
      </c>
      <c r="B406" s="260" t="s">
        <v>148</v>
      </c>
      <c r="C406" s="195">
        <v>0.24</v>
      </c>
      <c r="D406" s="195">
        <v>1</v>
      </c>
      <c r="E406" s="55">
        <v>336.052</v>
      </c>
      <c r="F406" s="10">
        <f t="shared" si="38"/>
        <v>326.8</v>
      </c>
      <c r="G406" s="10">
        <f t="shared" si="39"/>
        <v>9.25200000000001</v>
      </c>
      <c r="H406" s="110">
        <f t="shared" si="40"/>
        <v>0.816421268137074</v>
      </c>
      <c r="I406" s="55"/>
      <c r="J406" s="55"/>
      <c r="K406" s="55">
        <v>274.36</v>
      </c>
      <c r="L406" s="246">
        <f t="shared" si="41"/>
        <v>9254.94</v>
      </c>
      <c r="O406" s="150" t="s">
        <v>1659</v>
      </c>
    </row>
    <row r="407" spans="1:15">
      <c r="A407" s="203">
        <v>46201</v>
      </c>
      <c r="B407" s="260" t="s">
        <v>186</v>
      </c>
      <c r="C407" s="195">
        <v>0.27</v>
      </c>
      <c r="D407" s="195">
        <v>0.99</v>
      </c>
      <c r="E407" s="55">
        <v>325.112</v>
      </c>
      <c r="F407" s="10">
        <f t="shared" si="38"/>
        <v>309.6</v>
      </c>
      <c r="G407" s="10">
        <f t="shared" si="39"/>
        <v>15.5120000000001</v>
      </c>
      <c r="H407" s="110">
        <f t="shared" si="40"/>
        <v>0.81055144073427</v>
      </c>
      <c r="I407" s="55"/>
      <c r="J407" s="55"/>
      <c r="K407" s="55">
        <v>263.52</v>
      </c>
      <c r="L407" s="246">
        <f t="shared" si="41"/>
        <v>8991.42</v>
      </c>
      <c r="O407" s="150" t="s">
        <v>1659</v>
      </c>
    </row>
    <row r="408" spans="1:15">
      <c r="A408" s="203">
        <v>46201</v>
      </c>
      <c r="B408" s="260" t="s">
        <v>201</v>
      </c>
      <c r="C408" s="195">
        <v>0.16</v>
      </c>
      <c r="D408" s="195">
        <v>1</v>
      </c>
      <c r="E408" s="55">
        <v>370.698</v>
      </c>
      <c r="F408" s="10">
        <f t="shared" si="38"/>
        <v>361.2</v>
      </c>
      <c r="G408" s="10">
        <f t="shared" si="39"/>
        <v>9.49799999999999</v>
      </c>
      <c r="H408" s="110">
        <f t="shared" si="40"/>
        <v>0.853983566137395</v>
      </c>
      <c r="I408" s="55"/>
      <c r="J408" s="55"/>
      <c r="K408" s="55">
        <v>316.57</v>
      </c>
      <c r="L408" s="246">
        <f t="shared" si="41"/>
        <v>8674.85</v>
      </c>
      <c r="O408" s="150" t="s">
        <v>1659</v>
      </c>
    </row>
    <row r="409" spans="1:15">
      <c r="A409" s="203">
        <v>46201</v>
      </c>
      <c r="B409" s="260" t="s">
        <v>189</v>
      </c>
      <c r="C409" s="195">
        <v>0.17</v>
      </c>
      <c r="D409" s="195">
        <v>0.99</v>
      </c>
      <c r="E409" s="55">
        <v>365.01</v>
      </c>
      <c r="F409" s="10">
        <f t="shared" si="38"/>
        <v>352.6</v>
      </c>
      <c r="G409" s="10">
        <f t="shared" si="39"/>
        <v>12.41</v>
      </c>
      <c r="H409" s="110">
        <f t="shared" si="40"/>
        <v>0.886907208021698</v>
      </c>
      <c r="I409" s="55"/>
      <c r="J409" s="55"/>
      <c r="K409" s="55">
        <v>323.73</v>
      </c>
      <c r="L409" s="246">
        <f t="shared" si="41"/>
        <v>8351.12</v>
      </c>
      <c r="O409" s="150" t="s">
        <v>1659</v>
      </c>
    </row>
    <row r="410" spans="1:15">
      <c r="A410" s="203">
        <v>46201</v>
      </c>
      <c r="B410" s="260" t="s">
        <v>90</v>
      </c>
      <c r="C410" s="195">
        <v>0.4</v>
      </c>
      <c r="D410" s="195">
        <v>0.98</v>
      </c>
      <c r="E410" s="55">
        <v>284.305</v>
      </c>
      <c r="F410" s="10">
        <f t="shared" si="38"/>
        <v>249.4</v>
      </c>
      <c r="G410" s="10">
        <f t="shared" si="39"/>
        <v>34.905</v>
      </c>
      <c r="H410" s="110">
        <f t="shared" si="40"/>
        <v>0.89994899843478</v>
      </c>
      <c r="I410" s="55"/>
      <c r="J410" s="55"/>
      <c r="K410" s="55">
        <v>255.86</v>
      </c>
      <c r="L410" s="246">
        <f t="shared" si="41"/>
        <v>8095.26</v>
      </c>
      <c r="O410" s="150" t="s">
        <v>1659</v>
      </c>
    </row>
    <row r="411" spans="1:15">
      <c r="A411" s="203">
        <v>46201</v>
      </c>
      <c r="B411" s="260" t="s">
        <v>72</v>
      </c>
      <c r="C411" s="195">
        <v>0.4</v>
      </c>
      <c r="D411" s="195">
        <v>1</v>
      </c>
      <c r="E411" s="55">
        <v>271.973</v>
      </c>
      <c r="F411" s="10">
        <f t="shared" si="38"/>
        <v>258</v>
      </c>
      <c r="G411" s="10">
        <f t="shared" si="39"/>
        <v>13.973</v>
      </c>
      <c r="H411" s="110">
        <f t="shared" si="40"/>
        <v>0.899942273681579</v>
      </c>
      <c r="I411" s="55"/>
      <c r="J411" s="55"/>
      <c r="K411" s="55">
        <v>244.76</v>
      </c>
      <c r="L411" s="246">
        <f t="shared" si="41"/>
        <v>7850.5</v>
      </c>
      <c r="O411" s="150" t="s">
        <v>1659</v>
      </c>
    </row>
    <row r="412" spans="1:15">
      <c r="A412" s="203">
        <v>46201</v>
      </c>
      <c r="B412" s="260" t="s">
        <v>93</v>
      </c>
      <c r="C412" s="195">
        <v>0.35</v>
      </c>
      <c r="D412" s="195">
        <v>1</v>
      </c>
      <c r="E412" s="55">
        <v>297.396</v>
      </c>
      <c r="F412" s="10">
        <f t="shared" si="38"/>
        <v>279.5</v>
      </c>
      <c r="G412" s="10">
        <f t="shared" si="39"/>
        <v>17.896</v>
      </c>
      <c r="H412" s="110">
        <f t="shared" si="40"/>
        <v>0.899944854671885</v>
      </c>
      <c r="I412" s="55"/>
      <c r="J412" s="55"/>
      <c r="K412" s="55">
        <v>267.64</v>
      </c>
      <c r="L412" s="246">
        <f t="shared" si="41"/>
        <v>7582.86</v>
      </c>
      <c r="O412" s="150" t="s">
        <v>1659</v>
      </c>
    </row>
    <row r="413" spans="1:15">
      <c r="A413" s="203">
        <v>46201</v>
      </c>
      <c r="B413" s="260" t="s">
        <v>60</v>
      </c>
      <c r="C413" s="195">
        <v>0.27</v>
      </c>
      <c r="D413" s="195">
        <v>1</v>
      </c>
      <c r="E413" s="55">
        <v>302.848</v>
      </c>
      <c r="F413" s="10">
        <f t="shared" si="38"/>
        <v>313.9</v>
      </c>
      <c r="G413" s="10">
        <f t="shared" si="39"/>
        <v>-11.052</v>
      </c>
      <c r="H413" s="110">
        <f t="shared" si="40"/>
        <v>0.89998943364328</v>
      </c>
      <c r="I413" s="55"/>
      <c r="J413" s="55"/>
      <c r="K413" s="55">
        <v>272.56</v>
      </c>
      <c r="L413" s="246">
        <f t="shared" si="41"/>
        <v>7310.3</v>
      </c>
      <c r="O413" s="150" t="s">
        <v>1659</v>
      </c>
    </row>
    <row r="414" spans="1:15">
      <c r="A414" s="203">
        <v>46201</v>
      </c>
      <c r="B414" s="260" t="s">
        <v>78</v>
      </c>
      <c r="C414" s="195">
        <v>0.33</v>
      </c>
      <c r="D414" s="195">
        <v>0.94</v>
      </c>
      <c r="E414" s="55">
        <v>287.159</v>
      </c>
      <c r="F414" s="10">
        <f t="shared" si="38"/>
        <v>262.3</v>
      </c>
      <c r="G414" s="10">
        <f t="shared" si="39"/>
        <v>24.859</v>
      </c>
      <c r="H414" s="110">
        <f t="shared" si="40"/>
        <v>0.899954380674121</v>
      </c>
      <c r="I414" s="55"/>
      <c r="J414" s="55"/>
      <c r="K414" s="55">
        <v>258.43</v>
      </c>
      <c r="L414" s="246">
        <f t="shared" si="41"/>
        <v>7051.87</v>
      </c>
      <c r="O414" s="150" t="s">
        <v>1659</v>
      </c>
    </row>
    <row r="415" spans="1:15">
      <c r="A415" s="203">
        <v>46201</v>
      </c>
      <c r="B415" s="260" t="s">
        <v>130</v>
      </c>
      <c r="C415" s="195">
        <v>0.31</v>
      </c>
      <c r="D415" s="195">
        <v>1</v>
      </c>
      <c r="E415" s="55">
        <v>289.306</v>
      </c>
      <c r="F415" s="10">
        <f t="shared" si="38"/>
        <v>296.7</v>
      </c>
      <c r="G415" s="10">
        <f t="shared" si="39"/>
        <v>-7.39400000000001</v>
      </c>
      <c r="H415" s="110">
        <f t="shared" si="40"/>
        <v>0.899981334642213</v>
      </c>
      <c r="I415" s="55"/>
      <c r="J415" s="55"/>
      <c r="K415" s="55">
        <v>260.37</v>
      </c>
      <c r="L415" s="246">
        <f t="shared" si="41"/>
        <v>6791.5</v>
      </c>
      <c r="O415" s="150" t="s">
        <v>1659</v>
      </c>
    </row>
    <row r="416" spans="1:15">
      <c r="A416" s="203">
        <v>46201</v>
      </c>
      <c r="B416" s="260" t="s">
        <v>177</v>
      </c>
      <c r="C416" s="195">
        <v>0.37</v>
      </c>
      <c r="D416" s="195">
        <v>0.93</v>
      </c>
      <c r="E416" s="55">
        <v>253.614</v>
      </c>
      <c r="F416" s="10">
        <f t="shared" si="38"/>
        <v>240.8</v>
      </c>
      <c r="G416" s="10">
        <f t="shared" si="39"/>
        <v>12.814</v>
      </c>
      <c r="H416" s="110">
        <f t="shared" si="40"/>
        <v>0.899989748200021</v>
      </c>
      <c r="I416" s="55"/>
      <c r="J416" s="55"/>
      <c r="K416" s="55">
        <v>228.25</v>
      </c>
      <c r="L416" s="246">
        <f t="shared" si="41"/>
        <v>6563.25</v>
      </c>
      <c r="O416" s="150" t="s">
        <v>1659</v>
      </c>
    </row>
    <row r="417" spans="1:15">
      <c r="A417" s="203">
        <v>46201</v>
      </c>
      <c r="B417" s="260" t="s">
        <v>132</v>
      </c>
      <c r="C417" s="195">
        <v>0.32</v>
      </c>
      <c r="D417" s="195">
        <v>0.99</v>
      </c>
      <c r="E417" s="55">
        <v>306.197</v>
      </c>
      <c r="F417" s="10">
        <f t="shared" si="38"/>
        <v>288.1</v>
      </c>
      <c r="G417" s="10">
        <f t="shared" si="39"/>
        <v>18.097</v>
      </c>
      <c r="H417" s="110">
        <f t="shared" si="40"/>
        <v>0.899943500426196</v>
      </c>
      <c r="I417" s="55"/>
      <c r="J417" s="55"/>
      <c r="K417" s="55">
        <v>275.56</v>
      </c>
      <c r="L417" s="246">
        <f t="shared" si="41"/>
        <v>6287.69</v>
      </c>
      <c r="O417" s="150" t="s">
        <v>1659</v>
      </c>
    </row>
    <row r="418" spans="1:15">
      <c r="A418" s="203">
        <v>46201</v>
      </c>
      <c r="B418" s="260" t="s">
        <v>141</v>
      </c>
      <c r="C418" s="195">
        <v>0.22</v>
      </c>
      <c r="D418" s="195">
        <v>1</v>
      </c>
      <c r="E418" s="55">
        <v>342.593</v>
      </c>
      <c r="F418" s="10">
        <f t="shared" si="38"/>
        <v>335.4</v>
      </c>
      <c r="G418" s="10">
        <f t="shared" si="39"/>
        <v>7.19299999999998</v>
      </c>
      <c r="H418" s="110">
        <f t="shared" si="40"/>
        <v>0.899960010858365</v>
      </c>
      <c r="I418" s="55"/>
      <c r="J418" s="55"/>
      <c r="K418" s="55">
        <v>308.32</v>
      </c>
      <c r="L418" s="246">
        <f t="shared" si="41"/>
        <v>5979.37</v>
      </c>
      <c r="O418" s="150" t="s">
        <v>1659</v>
      </c>
    </row>
    <row r="419" spans="1:15">
      <c r="A419" s="203">
        <v>46202</v>
      </c>
      <c r="B419" s="260" t="s">
        <v>166</v>
      </c>
      <c r="C419" s="195">
        <v>0.29</v>
      </c>
      <c r="D419" s="195">
        <v>0.99</v>
      </c>
      <c r="E419" s="55">
        <v>313.447</v>
      </c>
      <c r="F419" s="10">
        <f t="shared" si="38"/>
        <v>301</v>
      </c>
      <c r="G419" s="10">
        <f t="shared" si="39"/>
        <v>12.447</v>
      </c>
      <c r="H419" s="110">
        <f t="shared" si="40"/>
        <v>0.89996075891618</v>
      </c>
      <c r="I419" s="55"/>
      <c r="J419" s="55"/>
      <c r="K419" s="55">
        <v>282.09</v>
      </c>
      <c r="L419" s="246">
        <f t="shared" si="41"/>
        <v>5697.28</v>
      </c>
      <c r="O419" s="150" t="s">
        <v>1659</v>
      </c>
    </row>
    <row r="420" spans="1:15">
      <c r="A420" s="203">
        <v>46202</v>
      </c>
      <c r="B420" s="260" t="s">
        <v>138</v>
      </c>
      <c r="C420" s="195">
        <v>0.27</v>
      </c>
      <c r="D420" s="195">
        <v>1</v>
      </c>
      <c r="E420" s="55">
        <v>323.733</v>
      </c>
      <c r="F420" s="10">
        <f t="shared" si="38"/>
        <v>313.9</v>
      </c>
      <c r="G420" s="10">
        <f t="shared" si="39"/>
        <v>9.83300000000003</v>
      </c>
      <c r="H420" s="110">
        <f t="shared" si="40"/>
        <v>0.653099931116074</v>
      </c>
      <c r="I420" s="55"/>
      <c r="J420" s="55"/>
      <c r="K420" s="55">
        <v>211.43</v>
      </c>
      <c r="L420" s="246">
        <f t="shared" si="41"/>
        <v>5485.85</v>
      </c>
      <c r="O420" s="150" t="s">
        <v>1659</v>
      </c>
    </row>
    <row r="421" spans="1:15">
      <c r="A421" s="203">
        <v>46202</v>
      </c>
      <c r="B421" s="260" t="s">
        <v>60</v>
      </c>
      <c r="C421" s="195">
        <v>0.19</v>
      </c>
      <c r="D421" s="195">
        <v>1</v>
      </c>
      <c r="E421" s="55">
        <v>334.745</v>
      </c>
      <c r="F421" s="10">
        <f t="shared" si="38"/>
        <v>348.3</v>
      </c>
      <c r="G421" s="10">
        <f t="shared" si="39"/>
        <v>-13.555</v>
      </c>
      <c r="H421" s="110">
        <f t="shared" si="40"/>
        <v>0.75379766688076</v>
      </c>
      <c r="I421" s="55"/>
      <c r="J421" s="55"/>
      <c r="K421" s="55">
        <v>252.33</v>
      </c>
      <c r="L421" s="246">
        <f t="shared" si="41"/>
        <v>5233.52</v>
      </c>
      <c r="O421" s="150" t="s">
        <v>1659</v>
      </c>
    </row>
    <row r="422" spans="1:15">
      <c r="A422" s="203">
        <v>46202</v>
      </c>
      <c r="B422" s="260" t="s">
        <v>90</v>
      </c>
      <c r="C422" s="195">
        <v>0.75</v>
      </c>
      <c r="D422" s="195">
        <v>0.95</v>
      </c>
      <c r="E422" s="55">
        <v>95</v>
      </c>
      <c r="F422" s="10">
        <f t="shared" si="38"/>
        <v>86</v>
      </c>
      <c r="G422" s="10">
        <f t="shared" si="39"/>
        <v>9.00000000000001</v>
      </c>
      <c r="H422" s="110">
        <f t="shared" si="40"/>
        <v>0.9</v>
      </c>
      <c r="I422" s="55"/>
      <c r="J422" s="55"/>
      <c r="K422" s="55">
        <v>85.5</v>
      </c>
      <c r="L422" s="246">
        <f t="shared" si="41"/>
        <v>5148.02</v>
      </c>
      <c r="O422" s="150" t="s">
        <v>1659</v>
      </c>
    </row>
    <row r="423" spans="1:15">
      <c r="A423" s="203">
        <v>46202</v>
      </c>
      <c r="B423" s="260" t="s">
        <v>121</v>
      </c>
      <c r="C423" s="195">
        <v>0.71</v>
      </c>
      <c r="D423" s="195">
        <v>1</v>
      </c>
      <c r="E423" s="55">
        <v>117.51</v>
      </c>
      <c r="F423" s="10">
        <f t="shared" si="38"/>
        <v>124.7</v>
      </c>
      <c r="G423" s="10">
        <f t="shared" si="39"/>
        <v>-7.19000000000001</v>
      </c>
      <c r="H423" s="110">
        <f t="shared" si="40"/>
        <v>0.896349246872607</v>
      </c>
      <c r="I423" s="55"/>
      <c r="J423" s="55"/>
      <c r="K423" s="55">
        <v>105.33</v>
      </c>
      <c r="L423" s="246">
        <f t="shared" si="41"/>
        <v>5042.69</v>
      </c>
      <c r="O423" s="150" t="s">
        <v>1659</v>
      </c>
    </row>
    <row r="424" spans="1:15">
      <c r="A424" s="203">
        <v>46202</v>
      </c>
      <c r="B424" s="260" t="s">
        <v>72</v>
      </c>
      <c r="C424" s="195">
        <v>0.79</v>
      </c>
      <c r="D424" s="195">
        <v>0.95</v>
      </c>
      <c r="E424" s="55">
        <v>90.582</v>
      </c>
      <c r="F424" s="10">
        <f t="shared" si="38"/>
        <v>68.8</v>
      </c>
      <c r="G424" s="10">
        <f t="shared" si="39"/>
        <v>21.782</v>
      </c>
      <c r="H424" s="110">
        <f t="shared" si="40"/>
        <v>0.899847651851361</v>
      </c>
      <c r="I424" s="55"/>
      <c r="J424" s="55"/>
      <c r="K424" s="55">
        <v>81.51</v>
      </c>
      <c r="L424" s="246">
        <f t="shared" si="41"/>
        <v>4961.18</v>
      </c>
      <c r="O424" s="150" t="s">
        <v>1659</v>
      </c>
    </row>
    <row r="425" spans="1:15">
      <c r="A425" s="203">
        <v>46202</v>
      </c>
      <c r="B425" s="260" t="s">
        <v>105</v>
      </c>
      <c r="C425" s="195">
        <v>0.34</v>
      </c>
      <c r="D425" s="195">
        <v>1</v>
      </c>
      <c r="E425" s="55">
        <v>305.408</v>
      </c>
      <c r="F425" s="10">
        <f t="shared" si="38"/>
        <v>283.8</v>
      </c>
      <c r="G425" s="10">
        <f t="shared" si="39"/>
        <v>21.6080000000001</v>
      </c>
      <c r="H425" s="110">
        <f t="shared" si="40"/>
        <v>0.899976424979044</v>
      </c>
      <c r="I425" s="55"/>
      <c r="J425" s="55"/>
      <c r="K425" s="55">
        <v>274.86</v>
      </c>
      <c r="L425" s="246">
        <f t="shared" si="41"/>
        <v>4686.32</v>
      </c>
      <c r="O425" s="150" t="s">
        <v>1659</v>
      </c>
    </row>
    <row r="426" spans="1:15">
      <c r="A426" s="203">
        <v>46202</v>
      </c>
      <c r="B426" s="260" t="s">
        <v>96</v>
      </c>
      <c r="C426" s="195">
        <v>0.35</v>
      </c>
      <c r="D426" s="195">
        <v>1</v>
      </c>
      <c r="E426" s="55">
        <v>301.981</v>
      </c>
      <c r="F426" s="10">
        <f t="shared" si="38"/>
        <v>279.5</v>
      </c>
      <c r="G426" s="10">
        <f t="shared" si="39"/>
        <v>22.481</v>
      </c>
      <c r="H426" s="110">
        <f t="shared" si="40"/>
        <v>0.899957282080661</v>
      </c>
      <c r="I426" s="55"/>
      <c r="J426" s="55"/>
      <c r="K426" s="55">
        <v>271.77</v>
      </c>
      <c r="L426" s="246">
        <f t="shared" si="41"/>
        <v>4414.55</v>
      </c>
      <c r="O426" s="150" t="s">
        <v>1659</v>
      </c>
    </row>
    <row r="427" spans="1:15">
      <c r="A427" s="203">
        <v>46202</v>
      </c>
      <c r="B427" s="260" t="s">
        <v>84</v>
      </c>
      <c r="C427" s="195">
        <v>0.3</v>
      </c>
      <c r="D427" s="195">
        <v>0.98</v>
      </c>
      <c r="E427" s="55">
        <v>322.725</v>
      </c>
      <c r="F427" s="10">
        <f t="shared" si="38"/>
        <v>292.4</v>
      </c>
      <c r="G427" s="10">
        <f t="shared" si="39"/>
        <v>30.325</v>
      </c>
      <c r="H427" s="110">
        <f t="shared" si="40"/>
        <v>0.899961267332869</v>
      </c>
      <c r="I427" s="55"/>
      <c r="J427" s="55"/>
      <c r="K427" s="55">
        <v>290.44</v>
      </c>
      <c r="L427" s="246">
        <f t="shared" si="41"/>
        <v>4124.11</v>
      </c>
      <c r="O427" s="150" t="s">
        <v>1659</v>
      </c>
    </row>
    <row r="428" spans="1:15">
      <c r="A428" s="203">
        <v>46202</v>
      </c>
      <c r="B428" s="260" t="s">
        <v>99</v>
      </c>
      <c r="C428" s="195">
        <v>0.35</v>
      </c>
      <c r="D428" s="195">
        <v>0.98</v>
      </c>
      <c r="E428" s="55">
        <v>307.955</v>
      </c>
      <c r="F428" s="10">
        <f t="shared" si="38"/>
        <v>270.9</v>
      </c>
      <c r="G428" s="10">
        <f t="shared" si="39"/>
        <v>37.055</v>
      </c>
      <c r="H428" s="110">
        <f t="shared" si="40"/>
        <v>0.899969151337046</v>
      </c>
      <c r="I428" s="55"/>
      <c r="J428" s="55"/>
      <c r="K428" s="55">
        <v>277.15</v>
      </c>
      <c r="L428" s="246">
        <f t="shared" si="41"/>
        <v>3846.96</v>
      </c>
      <c r="O428" s="150" t="s">
        <v>1659</v>
      </c>
    </row>
    <row r="429" spans="1:15">
      <c r="A429" s="203">
        <v>46202</v>
      </c>
      <c r="B429" s="260" t="s">
        <v>102</v>
      </c>
      <c r="C429" s="195">
        <v>0.38</v>
      </c>
      <c r="D429" s="195">
        <v>0.98</v>
      </c>
      <c r="E429" s="55">
        <v>289.169</v>
      </c>
      <c r="F429" s="10">
        <f t="shared" si="38"/>
        <v>258</v>
      </c>
      <c r="G429" s="10">
        <f t="shared" si="39"/>
        <v>31.169</v>
      </c>
      <c r="H429" s="110">
        <f t="shared" si="40"/>
        <v>0.899958155957243</v>
      </c>
      <c r="I429" s="55"/>
      <c r="J429" s="55"/>
      <c r="K429" s="55">
        <v>260.24</v>
      </c>
      <c r="L429" s="246">
        <f t="shared" si="41"/>
        <v>3586.72</v>
      </c>
      <c r="O429" s="150" t="s">
        <v>1659</v>
      </c>
    </row>
    <row r="430" spans="1:15">
      <c r="A430" s="203">
        <v>46202</v>
      </c>
      <c r="B430" s="260" t="s">
        <v>127</v>
      </c>
      <c r="C430" s="195">
        <v>0.26</v>
      </c>
      <c r="D430" s="195">
        <v>1</v>
      </c>
      <c r="E430" s="55">
        <v>312.35</v>
      </c>
      <c r="F430" s="10">
        <f t="shared" si="38"/>
        <v>318.2</v>
      </c>
      <c r="G430" s="10">
        <f t="shared" si="39"/>
        <v>-5.84999999999997</v>
      </c>
      <c r="H430" s="110">
        <f t="shared" si="40"/>
        <v>0.899951976948935</v>
      </c>
      <c r="I430" s="55"/>
      <c r="J430" s="55"/>
      <c r="K430" s="55">
        <v>281.1</v>
      </c>
      <c r="L430" s="246">
        <f t="shared" si="41"/>
        <v>3305.62</v>
      </c>
      <c r="O430" s="150" t="s">
        <v>1659</v>
      </c>
    </row>
    <row r="431" spans="1:15">
      <c r="A431" s="203">
        <v>46202</v>
      </c>
      <c r="B431" s="260" t="s">
        <v>111</v>
      </c>
      <c r="C431" s="195">
        <v>0.27</v>
      </c>
      <c r="D431" s="195">
        <v>0.98</v>
      </c>
      <c r="E431" s="55">
        <v>296.92</v>
      </c>
      <c r="F431" s="10">
        <f t="shared" si="38"/>
        <v>305.3</v>
      </c>
      <c r="G431" s="10">
        <f t="shared" si="39"/>
        <v>-8.38</v>
      </c>
      <c r="H431" s="110">
        <f t="shared" si="40"/>
        <v>0.899973056715614</v>
      </c>
      <c r="I431" s="55"/>
      <c r="J431" s="55"/>
      <c r="K431" s="55">
        <v>267.22</v>
      </c>
      <c r="L431" s="246">
        <f t="shared" si="41"/>
        <v>3038.4</v>
      </c>
      <c r="O431" s="150" t="s">
        <v>1659</v>
      </c>
    </row>
    <row r="432" spans="1:15">
      <c r="A432" s="203">
        <v>46202</v>
      </c>
      <c r="B432" s="260" t="s">
        <v>66</v>
      </c>
      <c r="C432" s="195">
        <v>0.41</v>
      </c>
      <c r="D432" s="195">
        <v>1</v>
      </c>
      <c r="E432" s="55">
        <v>271.508</v>
      </c>
      <c r="F432" s="10">
        <f t="shared" si="38"/>
        <v>253.7</v>
      </c>
      <c r="G432" s="10">
        <f t="shared" si="39"/>
        <v>17.8079999999999</v>
      </c>
      <c r="H432" s="110">
        <f t="shared" si="40"/>
        <v>0.899973481444377</v>
      </c>
      <c r="I432" s="55"/>
      <c r="J432" s="55"/>
      <c r="K432" s="55">
        <v>244.35</v>
      </c>
      <c r="L432" s="246">
        <f t="shared" si="41"/>
        <v>2794.05</v>
      </c>
      <c r="O432" s="150" t="s">
        <v>1659</v>
      </c>
    </row>
    <row r="433" spans="1:17">
      <c r="A433" s="203">
        <v>46202</v>
      </c>
      <c r="B433" s="260" t="s">
        <v>338</v>
      </c>
      <c r="C433" s="195">
        <v>0.31</v>
      </c>
      <c r="D433" s="195">
        <v>1</v>
      </c>
      <c r="E433" s="55">
        <v>302.647</v>
      </c>
      <c r="F433" s="10">
        <f t="shared" si="38"/>
        <v>296.7</v>
      </c>
      <c r="G433" s="10">
        <f t="shared" si="39"/>
        <v>5.947</v>
      </c>
      <c r="H433" s="110">
        <f t="shared" si="40"/>
        <v>0.899959358592684</v>
      </c>
      <c r="I433" s="55"/>
      <c r="J433" s="55"/>
      <c r="K433" s="55">
        <v>272.37</v>
      </c>
      <c r="L433" s="246">
        <f t="shared" si="41"/>
        <v>2521.68</v>
      </c>
      <c r="O433" s="150" t="s">
        <v>1659</v>
      </c>
      <c r="P433" s="144" t="str">
        <f>MIN(MAX(C433,0),100)&amp;"%"</f>
        <v>0.31%</v>
      </c>
      <c r="Q433" s="144" t="str">
        <f>MIN(MAX(D433,0),100)&amp;"%"</f>
        <v>1%</v>
      </c>
    </row>
  </sheetData>
  <autoFilter xmlns:etc="http://www.wps.cn/officeDocument/2017/etCustomData" ref="A1:P390" etc:filterBottomFollowUsedRange="0">
    <extLst/>
  </autoFilter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1"/>
  <sheetViews>
    <sheetView topLeftCell="A211" workbookViewId="0">
      <selection activeCell="E246" sqref="E246"/>
    </sheetView>
  </sheetViews>
  <sheetFormatPr defaultColWidth="9" defaultRowHeight="13.5"/>
  <cols>
    <col min="1" max="1" width="10.875" style="144" customWidth="1"/>
    <col min="2" max="2" width="13.875" style="144" customWidth="1"/>
    <col min="3" max="4" width="9" style="144"/>
    <col min="5" max="5" width="10.375" style="144"/>
    <col min="6" max="6" width="9" style="144"/>
    <col min="7" max="7" width="9.375" style="144"/>
    <col min="8" max="8" width="12.625" style="144"/>
    <col min="9" max="9" width="9" style="144"/>
    <col min="10" max="10" width="11.625" style="144"/>
    <col min="11" max="12" width="13.75" style="146" customWidth="1"/>
    <col min="13" max="13" width="13.75" style="144" customWidth="1"/>
    <col min="14" max="14" width="9" style="144"/>
    <col min="15" max="15" width="31.75" style="144" customWidth="1"/>
    <col min="16" max="16" width="17.75" style="144" customWidth="1"/>
    <col min="17" max="16384" width="9" style="144"/>
  </cols>
  <sheetData>
    <row r="1" s="144" customFormat="1" ht="27" spans="1:18">
      <c r="A1" s="139" t="s">
        <v>335</v>
      </c>
      <c r="B1" s="139" t="s">
        <v>3</v>
      </c>
      <c r="C1" s="140" t="s">
        <v>1581</v>
      </c>
      <c r="D1" s="140" t="s">
        <v>1582</v>
      </c>
      <c r="E1" s="141" t="s">
        <v>1583</v>
      </c>
      <c r="F1" s="139" t="s">
        <v>1584</v>
      </c>
      <c r="G1" s="139" t="s">
        <v>1585</v>
      </c>
      <c r="H1" s="141" t="s">
        <v>1588</v>
      </c>
      <c r="I1" s="141" t="s">
        <v>1604</v>
      </c>
      <c r="J1" s="141" t="s">
        <v>1605</v>
      </c>
      <c r="K1" s="141" t="s">
        <v>1589</v>
      </c>
      <c r="L1" s="141" t="s">
        <v>1606</v>
      </c>
      <c r="M1" s="141" t="s">
        <v>1657</v>
      </c>
      <c r="N1" s="139" t="s">
        <v>1607</v>
      </c>
      <c r="O1" s="139" t="s">
        <v>1590</v>
      </c>
      <c r="P1" s="139" t="s">
        <v>352</v>
      </c>
    </row>
    <row r="2" s="144" customFormat="1" spans="1:18">
      <c r="A2" s="51"/>
      <c r="B2" s="51"/>
      <c r="C2" s="148"/>
      <c r="D2" s="148"/>
      <c r="E2" s="54"/>
      <c r="F2" s="51"/>
      <c r="G2" s="51"/>
      <c r="H2" s="54"/>
      <c r="I2" s="54"/>
      <c r="J2" s="54">
        <v>10000</v>
      </c>
      <c r="K2" s="54"/>
      <c r="L2" s="54">
        <v>13557.1</v>
      </c>
      <c r="M2" s="54"/>
      <c r="N2" s="51"/>
      <c r="O2" s="51"/>
      <c r="P2" s="51"/>
    </row>
    <row r="3" s="105" customFormat="1" ht="16" customHeight="1" spans="1:18">
      <c r="A3" s="207">
        <v>46174</v>
      </c>
      <c r="B3" s="208" t="s">
        <v>90</v>
      </c>
      <c r="C3" s="209">
        <v>0.89</v>
      </c>
      <c r="D3" s="209">
        <v>0.98</v>
      </c>
      <c r="E3" s="210">
        <v>46.866</v>
      </c>
      <c r="F3" s="105">
        <f t="shared" ref="F3:F66" si="0">(D3-C3)*430</f>
        <v>38.7</v>
      </c>
      <c r="G3" s="105">
        <f t="shared" ref="G3:G66" si="1">E3-F3</f>
        <v>8.16600000000001</v>
      </c>
      <c r="H3" s="211">
        <v>0.85</v>
      </c>
      <c r="I3" s="160"/>
      <c r="J3" s="171"/>
      <c r="K3" s="212">
        <f t="shared" ref="K3:K66" si="2">E3*H3</f>
        <v>39.8361</v>
      </c>
      <c r="L3" s="211">
        <f t="shared" ref="L3:L66" si="3">L2+J3-K3</f>
        <v>13517.2639</v>
      </c>
      <c r="M3" s="210"/>
      <c r="O3" s="213" t="s">
        <v>1660</v>
      </c>
      <c r="R3" s="214">
        <f t="shared" ref="R3:R16" si="4">G3/E3</f>
        <v>0.174241454359237</v>
      </c>
    </row>
    <row r="4" s="105" customFormat="1" ht="16" customHeight="1" spans="1:18">
      <c r="A4" s="215">
        <v>46174</v>
      </c>
      <c r="B4" s="213" t="s">
        <v>93</v>
      </c>
      <c r="C4" s="209">
        <v>0.88</v>
      </c>
      <c r="D4" s="209">
        <v>0.98</v>
      </c>
      <c r="E4" s="171">
        <v>60.362</v>
      </c>
      <c r="F4" s="105">
        <f t="shared" si="0"/>
        <v>43</v>
      </c>
      <c r="G4" s="105">
        <f t="shared" si="1"/>
        <v>17.362</v>
      </c>
      <c r="H4" s="211">
        <v>0.85</v>
      </c>
      <c r="I4" s="160"/>
      <c r="J4" s="171"/>
      <c r="K4" s="212">
        <f t="shared" si="2"/>
        <v>51.3077</v>
      </c>
      <c r="L4" s="211">
        <f t="shared" si="3"/>
        <v>13465.9562</v>
      </c>
      <c r="M4" s="171"/>
      <c r="O4" s="213" t="s">
        <v>1660</v>
      </c>
      <c r="R4" s="214">
        <f t="shared" si="4"/>
        <v>0.287631291209702</v>
      </c>
    </row>
    <row r="5" s="105" customFormat="1" ht="16" customHeight="1" spans="1:18">
      <c r="A5" s="215">
        <v>46174</v>
      </c>
      <c r="B5" s="213" t="s">
        <v>108</v>
      </c>
      <c r="C5" s="209">
        <v>0.43</v>
      </c>
      <c r="D5" s="209">
        <v>0.99</v>
      </c>
      <c r="E5" s="171">
        <v>273.128</v>
      </c>
      <c r="F5" s="105">
        <f t="shared" si="0"/>
        <v>240.8</v>
      </c>
      <c r="G5" s="170">
        <f t="shared" si="1"/>
        <v>32.328</v>
      </c>
      <c r="H5" s="211">
        <v>0.85</v>
      </c>
      <c r="I5" s="160"/>
      <c r="J5" s="171"/>
      <c r="K5" s="212">
        <f t="shared" si="2"/>
        <v>232.1588</v>
      </c>
      <c r="L5" s="211">
        <f t="shared" si="3"/>
        <v>13233.7974</v>
      </c>
      <c r="M5" s="171"/>
      <c r="O5" s="213" t="s">
        <v>1660</v>
      </c>
      <c r="R5" s="214">
        <f t="shared" si="4"/>
        <v>0.118362086640696</v>
      </c>
    </row>
    <row r="6" s="105" customFormat="1" ht="16" customHeight="1" spans="1:18">
      <c r="A6" s="215">
        <v>46174</v>
      </c>
      <c r="B6" s="213" t="s">
        <v>57</v>
      </c>
      <c r="C6" s="209">
        <v>0.39</v>
      </c>
      <c r="D6" s="209">
        <v>0.99</v>
      </c>
      <c r="E6" s="171">
        <v>254.547</v>
      </c>
      <c r="F6" s="105">
        <f t="shared" si="0"/>
        <v>258</v>
      </c>
      <c r="G6" s="105">
        <f t="shared" si="1"/>
        <v>-3.453</v>
      </c>
      <c r="H6" s="211">
        <v>0.85</v>
      </c>
      <c r="I6" s="160"/>
      <c r="J6" s="171"/>
      <c r="K6" s="212">
        <f t="shared" si="2"/>
        <v>216.36495</v>
      </c>
      <c r="L6" s="211">
        <f t="shared" si="3"/>
        <v>13017.43245</v>
      </c>
      <c r="M6" s="171"/>
      <c r="O6" s="213" t="s">
        <v>1660</v>
      </c>
      <c r="R6" s="214">
        <f t="shared" si="4"/>
        <v>-0.0135652747822603</v>
      </c>
    </row>
    <row r="7" s="105" customFormat="1" ht="16" customHeight="1" spans="1:18">
      <c r="A7" s="215">
        <v>46174</v>
      </c>
      <c r="B7" s="213" t="s">
        <v>72</v>
      </c>
      <c r="C7" s="209">
        <v>0.89</v>
      </c>
      <c r="D7" s="209">
        <v>0.98</v>
      </c>
      <c r="E7" s="171">
        <v>47.263</v>
      </c>
      <c r="F7" s="105">
        <f t="shared" si="0"/>
        <v>38.7</v>
      </c>
      <c r="G7" s="105">
        <f t="shared" si="1"/>
        <v>8.56300000000001</v>
      </c>
      <c r="H7" s="211">
        <v>0.85</v>
      </c>
      <c r="I7" s="160"/>
      <c r="J7" s="171"/>
      <c r="K7" s="212">
        <f t="shared" si="2"/>
        <v>40.17355</v>
      </c>
      <c r="L7" s="211">
        <f t="shared" si="3"/>
        <v>12977.2589</v>
      </c>
      <c r="M7" s="171"/>
      <c r="O7" s="213" t="s">
        <v>1660</v>
      </c>
      <c r="R7" s="214">
        <f t="shared" si="4"/>
        <v>0.181177665404228</v>
      </c>
    </row>
    <row r="8" s="105" customFormat="1" ht="16" customHeight="1" spans="1:18">
      <c r="A8" s="215">
        <v>46174</v>
      </c>
      <c r="B8" s="213" t="s">
        <v>63</v>
      </c>
      <c r="C8" s="209">
        <v>0.86</v>
      </c>
      <c r="D8" s="209">
        <v>0.98</v>
      </c>
      <c r="E8" s="171">
        <v>72.403</v>
      </c>
      <c r="F8" s="105">
        <f t="shared" si="0"/>
        <v>51.6</v>
      </c>
      <c r="G8" s="170">
        <f t="shared" si="1"/>
        <v>20.803</v>
      </c>
      <c r="H8" s="211">
        <v>0.85</v>
      </c>
      <c r="I8" s="160"/>
      <c r="J8" s="171"/>
      <c r="K8" s="212">
        <f t="shared" si="2"/>
        <v>61.54255</v>
      </c>
      <c r="L8" s="211">
        <f t="shared" si="3"/>
        <v>12915.71635</v>
      </c>
      <c r="M8" s="171"/>
      <c r="O8" s="213" t="s">
        <v>1660</v>
      </c>
      <c r="R8" s="214">
        <f t="shared" si="4"/>
        <v>0.28732234852147</v>
      </c>
    </row>
    <row r="9" s="105" customFormat="1" ht="16" customHeight="1" spans="1:18">
      <c r="A9" s="215">
        <v>46174</v>
      </c>
      <c r="B9" s="213" t="s">
        <v>60</v>
      </c>
      <c r="C9" s="209">
        <v>0.37</v>
      </c>
      <c r="D9" s="209">
        <v>0.99</v>
      </c>
      <c r="E9" s="171">
        <v>263.697</v>
      </c>
      <c r="F9" s="105">
        <f t="shared" si="0"/>
        <v>266.6</v>
      </c>
      <c r="G9" s="105">
        <f t="shared" si="1"/>
        <v>-2.90300000000002</v>
      </c>
      <c r="H9" s="211">
        <v>0.85</v>
      </c>
      <c r="I9" s="160"/>
      <c r="J9" s="171"/>
      <c r="K9" s="212">
        <f t="shared" si="2"/>
        <v>224.14245</v>
      </c>
      <c r="L9" s="211">
        <f t="shared" si="3"/>
        <v>12691.5739</v>
      </c>
      <c r="M9" s="171"/>
      <c r="O9" s="213" t="s">
        <v>1660</v>
      </c>
      <c r="R9" s="214">
        <f t="shared" si="4"/>
        <v>-0.0110088472754715</v>
      </c>
    </row>
    <row r="10" s="105" customFormat="1" ht="16" customHeight="1" spans="1:18">
      <c r="A10" s="215">
        <v>46174</v>
      </c>
      <c r="B10" s="213" t="s">
        <v>105</v>
      </c>
      <c r="C10" s="209">
        <v>0.51</v>
      </c>
      <c r="D10" s="209">
        <v>0.98</v>
      </c>
      <c r="E10" s="171">
        <v>226.763</v>
      </c>
      <c r="F10" s="105">
        <f t="shared" si="0"/>
        <v>202.1</v>
      </c>
      <c r="G10" s="170">
        <f t="shared" si="1"/>
        <v>24.663</v>
      </c>
      <c r="H10" s="211">
        <v>0.85</v>
      </c>
      <c r="I10" s="160"/>
      <c r="J10" s="171"/>
      <c r="K10" s="212">
        <f t="shared" si="2"/>
        <v>192.74855</v>
      </c>
      <c r="L10" s="211">
        <f t="shared" si="3"/>
        <v>12498.82535</v>
      </c>
      <c r="M10" s="171"/>
      <c r="O10" s="213" t="s">
        <v>1660</v>
      </c>
      <c r="R10" s="214">
        <f t="shared" si="4"/>
        <v>0.108761129461156</v>
      </c>
    </row>
    <row r="11" s="105" customFormat="1" ht="16" customHeight="1" spans="1:18">
      <c r="A11" s="215">
        <v>46174</v>
      </c>
      <c r="B11" s="213" t="s">
        <v>121</v>
      </c>
      <c r="C11" s="209">
        <v>0.31</v>
      </c>
      <c r="D11" s="209">
        <v>0.99</v>
      </c>
      <c r="E11" s="171">
        <v>291.558</v>
      </c>
      <c r="F11" s="105">
        <f t="shared" si="0"/>
        <v>292.4</v>
      </c>
      <c r="G11" s="105">
        <f t="shared" si="1"/>
        <v>-0.841999999999985</v>
      </c>
      <c r="H11" s="211">
        <v>0.85</v>
      </c>
      <c r="I11" s="160"/>
      <c r="J11" s="171"/>
      <c r="K11" s="212">
        <f t="shared" si="2"/>
        <v>247.8243</v>
      </c>
      <c r="L11" s="211">
        <f t="shared" si="3"/>
        <v>12251.00105</v>
      </c>
      <c r="M11" s="171"/>
      <c r="O11" s="213" t="s">
        <v>1660</v>
      </c>
      <c r="R11" s="214">
        <f t="shared" si="4"/>
        <v>-0.00288793310421935</v>
      </c>
    </row>
    <row r="12" s="105" customFormat="1" ht="16" customHeight="1" spans="1:18">
      <c r="A12" s="215">
        <v>46174</v>
      </c>
      <c r="B12" s="213" t="s">
        <v>84</v>
      </c>
      <c r="C12" s="209">
        <v>0.5</v>
      </c>
      <c r="D12" s="209">
        <v>0.98</v>
      </c>
      <c r="E12" s="171">
        <v>240.833</v>
      </c>
      <c r="F12" s="105">
        <f t="shared" si="0"/>
        <v>206.4</v>
      </c>
      <c r="G12" s="170">
        <f t="shared" si="1"/>
        <v>34.433</v>
      </c>
      <c r="H12" s="211">
        <v>0.85</v>
      </c>
      <c r="I12" s="160"/>
      <c r="J12" s="171"/>
      <c r="K12" s="212">
        <f t="shared" si="2"/>
        <v>204.70805</v>
      </c>
      <c r="L12" s="211">
        <f t="shared" si="3"/>
        <v>12046.293</v>
      </c>
      <c r="M12" s="171"/>
      <c r="O12" s="213" t="s">
        <v>1660</v>
      </c>
      <c r="R12" s="214">
        <f t="shared" si="4"/>
        <v>0.142974592352377</v>
      </c>
    </row>
    <row r="13" s="105" customFormat="1" ht="16" customHeight="1" spans="1:18">
      <c r="A13" s="215">
        <v>46174</v>
      </c>
      <c r="B13" s="213" t="s">
        <v>124</v>
      </c>
      <c r="C13" s="209">
        <v>0.43</v>
      </c>
      <c r="D13" s="209">
        <v>0.99</v>
      </c>
      <c r="E13" s="171">
        <v>244.187</v>
      </c>
      <c r="F13" s="105">
        <f t="shared" si="0"/>
        <v>240.8</v>
      </c>
      <c r="G13" s="105">
        <f t="shared" si="1"/>
        <v>3.387</v>
      </c>
      <c r="H13" s="211">
        <v>0.85</v>
      </c>
      <c r="I13" s="160"/>
      <c r="J13" s="171"/>
      <c r="K13" s="212">
        <f t="shared" si="2"/>
        <v>207.55895</v>
      </c>
      <c r="L13" s="211">
        <f t="shared" si="3"/>
        <v>11838.73405</v>
      </c>
      <c r="M13" s="171"/>
      <c r="O13" s="213" t="s">
        <v>1660</v>
      </c>
      <c r="R13" s="214">
        <f t="shared" si="4"/>
        <v>0.013870517267504</v>
      </c>
    </row>
    <row r="14" s="105" customFormat="1" ht="16" customHeight="1" spans="1:18">
      <c r="A14" s="215">
        <v>46174</v>
      </c>
      <c r="B14" s="213" t="s">
        <v>51</v>
      </c>
      <c r="C14" s="209">
        <v>0.23</v>
      </c>
      <c r="D14" s="209">
        <v>0.99</v>
      </c>
      <c r="E14" s="171">
        <v>324.123</v>
      </c>
      <c r="F14" s="105">
        <f t="shared" si="0"/>
        <v>326.8</v>
      </c>
      <c r="G14" s="105">
        <f t="shared" si="1"/>
        <v>-2.67700000000002</v>
      </c>
      <c r="H14" s="211">
        <v>0.85</v>
      </c>
      <c r="I14" s="160"/>
      <c r="J14" s="171"/>
      <c r="K14" s="212">
        <f t="shared" si="2"/>
        <v>275.50455</v>
      </c>
      <c r="L14" s="211">
        <f t="shared" si="3"/>
        <v>11563.2295</v>
      </c>
      <c r="M14" s="171"/>
      <c r="O14" s="213" t="s">
        <v>1660</v>
      </c>
      <c r="R14" s="214">
        <f t="shared" si="4"/>
        <v>-0.00825921023808869</v>
      </c>
    </row>
    <row r="15" s="105" customFormat="1" ht="16" customHeight="1" spans="1:18">
      <c r="A15" s="215">
        <v>46174</v>
      </c>
      <c r="B15" s="213" t="s">
        <v>69</v>
      </c>
      <c r="C15" s="209">
        <v>0.72</v>
      </c>
      <c r="D15" s="209">
        <v>0.98</v>
      </c>
      <c r="E15" s="171">
        <v>141.355</v>
      </c>
      <c r="F15" s="105">
        <f t="shared" si="0"/>
        <v>111.8</v>
      </c>
      <c r="G15" s="170">
        <f t="shared" si="1"/>
        <v>29.555</v>
      </c>
      <c r="H15" s="211">
        <v>0.85</v>
      </c>
      <c r="I15" s="160"/>
      <c r="J15" s="171"/>
      <c r="K15" s="212">
        <f t="shared" si="2"/>
        <v>120.15175</v>
      </c>
      <c r="L15" s="211">
        <f t="shared" si="3"/>
        <v>11443.07775</v>
      </c>
      <c r="M15" s="171"/>
      <c r="O15" s="213" t="s">
        <v>1660</v>
      </c>
      <c r="R15" s="214">
        <f t="shared" si="4"/>
        <v>0.209083513140674</v>
      </c>
    </row>
    <row r="16" s="105" customFormat="1" ht="16" customHeight="1" spans="1:18">
      <c r="A16" s="215">
        <v>46174</v>
      </c>
      <c r="B16" s="213" t="s">
        <v>87</v>
      </c>
      <c r="C16" s="209">
        <v>0.5</v>
      </c>
      <c r="D16" s="209">
        <v>0.98</v>
      </c>
      <c r="E16" s="171">
        <v>235.456</v>
      </c>
      <c r="F16" s="105">
        <f t="shared" si="0"/>
        <v>206.4</v>
      </c>
      <c r="G16" s="170">
        <f t="shared" si="1"/>
        <v>29.056</v>
      </c>
      <c r="H16" s="211">
        <v>0.85</v>
      </c>
      <c r="I16" s="160"/>
      <c r="J16" s="171"/>
      <c r="K16" s="212">
        <f t="shared" si="2"/>
        <v>200.1376</v>
      </c>
      <c r="L16" s="211">
        <f t="shared" si="3"/>
        <v>11242.94015</v>
      </c>
      <c r="M16" s="171"/>
      <c r="O16" s="213" t="s">
        <v>1660</v>
      </c>
      <c r="R16" s="214">
        <f t="shared" si="4"/>
        <v>0.123403098668116</v>
      </c>
    </row>
    <row r="17" ht="14.25" spans="1:16">
      <c r="A17" s="207">
        <v>46175</v>
      </c>
      <c r="B17" s="208" t="s">
        <v>78</v>
      </c>
      <c r="C17" s="209">
        <v>0.3</v>
      </c>
      <c r="D17" s="209">
        <v>0.97</v>
      </c>
      <c r="E17" s="210">
        <v>305.959</v>
      </c>
      <c r="F17" s="105">
        <f t="shared" si="0"/>
        <v>288.1</v>
      </c>
      <c r="G17" s="105">
        <f t="shared" si="1"/>
        <v>17.859</v>
      </c>
      <c r="H17" s="211">
        <v>0.85</v>
      </c>
      <c r="I17" s="210">
        <v>91.79</v>
      </c>
      <c r="J17" s="210"/>
      <c r="K17" s="212">
        <f t="shared" si="2"/>
        <v>260.06515</v>
      </c>
      <c r="L17" s="211">
        <f t="shared" si="3"/>
        <v>10982.875</v>
      </c>
      <c r="M17" s="210"/>
      <c r="N17" s="105"/>
      <c r="O17" s="213" t="s">
        <v>1660</v>
      </c>
      <c r="P17" s="213"/>
    </row>
    <row r="18" ht="14.25" spans="1:16">
      <c r="A18" s="215">
        <v>46175</v>
      </c>
      <c r="B18" s="213" t="s">
        <v>66</v>
      </c>
      <c r="C18" s="209">
        <v>0.49</v>
      </c>
      <c r="D18" s="209">
        <v>0.98</v>
      </c>
      <c r="E18" s="171">
        <v>229.526</v>
      </c>
      <c r="F18" s="105">
        <f t="shared" si="0"/>
        <v>210.7</v>
      </c>
      <c r="G18" s="105">
        <f t="shared" si="1"/>
        <v>18.826</v>
      </c>
      <c r="H18" s="211">
        <v>0.85</v>
      </c>
      <c r="I18" s="171">
        <v>68.86</v>
      </c>
      <c r="J18" s="171"/>
      <c r="K18" s="212">
        <f t="shared" si="2"/>
        <v>195.0971</v>
      </c>
      <c r="L18" s="211">
        <f t="shared" si="3"/>
        <v>10787.7779</v>
      </c>
      <c r="M18" s="171"/>
      <c r="N18" s="105"/>
      <c r="O18" s="213" t="s">
        <v>1660</v>
      </c>
      <c r="P18" s="213"/>
    </row>
    <row r="19" ht="14.25" spans="1:16">
      <c r="A19" s="215">
        <v>46175</v>
      </c>
      <c r="B19" s="213" t="s">
        <v>130</v>
      </c>
      <c r="C19" s="209">
        <v>0.24</v>
      </c>
      <c r="D19" s="209">
        <v>0.99</v>
      </c>
      <c r="E19" s="171">
        <v>317.845</v>
      </c>
      <c r="F19" s="105">
        <f t="shared" si="0"/>
        <v>322.5</v>
      </c>
      <c r="G19" s="105">
        <f t="shared" si="1"/>
        <v>-4.65499999999997</v>
      </c>
      <c r="H19" s="211">
        <v>0.85</v>
      </c>
      <c r="I19" s="171">
        <v>95.35</v>
      </c>
      <c r="J19" s="171"/>
      <c r="K19" s="212">
        <f t="shared" si="2"/>
        <v>270.16825</v>
      </c>
      <c r="L19" s="211">
        <f t="shared" si="3"/>
        <v>10517.60965</v>
      </c>
      <c r="M19" s="171"/>
      <c r="N19" s="105"/>
      <c r="O19" s="213" t="s">
        <v>1660</v>
      </c>
      <c r="P19" s="213"/>
    </row>
    <row r="20" ht="14.25" spans="1:16">
      <c r="A20" s="215">
        <v>46175</v>
      </c>
      <c r="B20" s="213" t="s">
        <v>111</v>
      </c>
      <c r="C20" s="209">
        <v>0.32</v>
      </c>
      <c r="D20" s="209">
        <v>0.99</v>
      </c>
      <c r="E20" s="171">
        <v>284.743</v>
      </c>
      <c r="F20" s="105">
        <f t="shared" si="0"/>
        <v>288.1</v>
      </c>
      <c r="G20" s="105">
        <f t="shared" si="1"/>
        <v>-3.35699999999997</v>
      </c>
      <c r="H20" s="211">
        <v>0.85</v>
      </c>
      <c r="I20" s="171">
        <v>85.42</v>
      </c>
      <c r="J20" s="171"/>
      <c r="K20" s="212">
        <f t="shared" si="2"/>
        <v>242.03155</v>
      </c>
      <c r="L20" s="211">
        <f t="shared" si="3"/>
        <v>10275.5781</v>
      </c>
      <c r="M20" s="171"/>
      <c r="N20" s="105"/>
      <c r="O20" s="213" t="s">
        <v>1660</v>
      </c>
      <c r="P20" s="213"/>
    </row>
    <row r="21" ht="14.25" spans="1:16">
      <c r="A21" s="215">
        <v>46175</v>
      </c>
      <c r="B21" s="213" t="s">
        <v>54</v>
      </c>
      <c r="C21" s="209">
        <v>0.34</v>
      </c>
      <c r="D21" s="209">
        <v>0.98</v>
      </c>
      <c r="E21" s="171">
        <v>288.627</v>
      </c>
      <c r="F21" s="105">
        <f t="shared" si="0"/>
        <v>275.2</v>
      </c>
      <c r="G21" s="105">
        <f t="shared" si="1"/>
        <v>13.4270000000001</v>
      </c>
      <c r="H21" s="211">
        <v>0.85</v>
      </c>
      <c r="I21" s="171">
        <v>86.59</v>
      </c>
      <c r="J21" s="171"/>
      <c r="K21" s="212">
        <f t="shared" si="2"/>
        <v>245.33295</v>
      </c>
      <c r="L21" s="211">
        <f t="shared" si="3"/>
        <v>10030.24515</v>
      </c>
      <c r="M21" s="171"/>
      <c r="N21" s="105"/>
      <c r="O21" s="213" t="s">
        <v>1660</v>
      </c>
      <c r="P21" s="213"/>
    </row>
    <row r="22" ht="14.25" spans="1:16">
      <c r="A22" s="215">
        <v>46175</v>
      </c>
      <c r="B22" s="213" t="s">
        <v>72</v>
      </c>
      <c r="C22" s="209">
        <v>0.44</v>
      </c>
      <c r="D22" s="209">
        <v>0.98</v>
      </c>
      <c r="E22" s="171">
        <v>252.41</v>
      </c>
      <c r="F22" s="105">
        <f t="shared" si="0"/>
        <v>232.2</v>
      </c>
      <c r="G22" s="170">
        <f t="shared" si="1"/>
        <v>20.21</v>
      </c>
      <c r="H22" s="211">
        <v>0.85</v>
      </c>
      <c r="I22" s="171">
        <v>75.72</v>
      </c>
      <c r="J22" s="171"/>
      <c r="K22" s="212">
        <f t="shared" si="2"/>
        <v>214.5485</v>
      </c>
      <c r="L22" s="211">
        <f t="shared" si="3"/>
        <v>9815.69665</v>
      </c>
      <c r="M22" s="171"/>
      <c r="N22" s="105"/>
      <c r="O22" s="213" t="s">
        <v>1660</v>
      </c>
      <c r="P22" s="213"/>
    </row>
    <row r="23" ht="14.25" spans="1:16">
      <c r="A23" s="215">
        <v>46175</v>
      </c>
      <c r="B23" s="213" t="s">
        <v>90</v>
      </c>
      <c r="C23" s="209">
        <v>0.41</v>
      </c>
      <c r="D23" s="209">
        <v>0.98</v>
      </c>
      <c r="E23" s="171">
        <v>282.385</v>
      </c>
      <c r="F23" s="105">
        <f t="shared" si="0"/>
        <v>245.1</v>
      </c>
      <c r="G23" s="170">
        <f t="shared" si="1"/>
        <v>37.285</v>
      </c>
      <c r="H23" s="211">
        <v>0.85</v>
      </c>
      <c r="I23" s="171">
        <v>84.72</v>
      </c>
      <c r="J23" s="171"/>
      <c r="K23" s="212">
        <f t="shared" si="2"/>
        <v>240.02725</v>
      </c>
      <c r="L23" s="211">
        <f t="shared" si="3"/>
        <v>9575.6694</v>
      </c>
      <c r="M23" s="171"/>
      <c r="N23" s="105"/>
      <c r="O23" s="213" t="s">
        <v>1660</v>
      </c>
      <c r="P23" s="213"/>
    </row>
    <row r="24" ht="14.25" spans="1:16">
      <c r="A24" s="215">
        <v>46175</v>
      </c>
      <c r="B24" s="213" t="s">
        <v>99</v>
      </c>
      <c r="C24" s="209">
        <v>0.38</v>
      </c>
      <c r="D24" s="209">
        <v>0.98</v>
      </c>
      <c r="E24" s="171">
        <v>288.575</v>
      </c>
      <c r="F24" s="105">
        <f t="shared" si="0"/>
        <v>258</v>
      </c>
      <c r="G24" s="170">
        <f t="shared" si="1"/>
        <v>30.575</v>
      </c>
      <c r="H24" s="211">
        <v>0.85</v>
      </c>
      <c r="I24" s="171">
        <v>86.57</v>
      </c>
      <c r="J24" s="171"/>
      <c r="K24" s="212">
        <f t="shared" si="2"/>
        <v>245.28875</v>
      </c>
      <c r="L24" s="211">
        <f t="shared" si="3"/>
        <v>9330.38065</v>
      </c>
      <c r="M24" s="171"/>
      <c r="N24" s="105"/>
      <c r="O24" s="213" t="s">
        <v>1660</v>
      </c>
      <c r="P24" s="213"/>
    </row>
    <row r="25" ht="14.25" spans="1:16">
      <c r="A25" s="215">
        <v>46175</v>
      </c>
      <c r="B25" s="213" t="s">
        <v>93</v>
      </c>
      <c r="C25" s="209">
        <v>0.44</v>
      </c>
      <c r="D25" s="209">
        <v>0.97</v>
      </c>
      <c r="E25" s="171">
        <v>263.157</v>
      </c>
      <c r="F25" s="105">
        <f t="shared" si="0"/>
        <v>227.9</v>
      </c>
      <c r="G25" s="170">
        <f t="shared" si="1"/>
        <v>35.257</v>
      </c>
      <c r="H25" s="211">
        <v>0.85</v>
      </c>
      <c r="I25" s="171">
        <v>78.95</v>
      </c>
      <c r="J25" s="171"/>
      <c r="K25" s="212">
        <f t="shared" si="2"/>
        <v>223.68345</v>
      </c>
      <c r="L25" s="211">
        <f t="shared" si="3"/>
        <v>9106.6972</v>
      </c>
      <c r="M25" s="171"/>
      <c r="N25" s="105"/>
      <c r="O25" s="213" t="s">
        <v>1660</v>
      </c>
      <c r="P25" s="213"/>
    </row>
    <row r="26" ht="14.25" spans="1:16">
      <c r="A26" s="215">
        <v>46175</v>
      </c>
      <c r="B26" s="213" t="s">
        <v>63</v>
      </c>
      <c r="C26" s="209">
        <v>0.36</v>
      </c>
      <c r="D26" s="209">
        <v>0.98</v>
      </c>
      <c r="E26" s="171">
        <v>309.88</v>
      </c>
      <c r="F26" s="105">
        <f t="shared" si="0"/>
        <v>266.6</v>
      </c>
      <c r="G26" s="170">
        <f t="shared" si="1"/>
        <v>43.28</v>
      </c>
      <c r="H26" s="211">
        <v>0.85</v>
      </c>
      <c r="I26" s="171">
        <v>92.96</v>
      </c>
      <c r="J26" s="171"/>
      <c r="K26" s="212">
        <f t="shared" si="2"/>
        <v>263.398</v>
      </c>
      <c r="L26" s="211">
        <f t="shared" si="3"/>
        <v>8843.2992</v>
      </c>
      <c r="M26" s="171"/>
      <c r="N26" s="105"/>
      <c r="O26" s="213" t="s">
        <v>1660</v>
      </c>
      <c r="P26" s="213"/>
    </row>
    <row r="27" ht="14.25" spans="1:16">
      <c r="A27" s="215">
        <v>46175</v>
      </c>
      <c r="B27" s="213" t="s">
        <v>81</v>
      </c>
      <c r="C27" s="209">
        <v>0.19</v>
      </c>
      <c r="D27" s="209">
        <v>0.98</v>
      </c>
      <c r="E27" s="171">
        <v>380.761</v>
      </c>
      <c r="F27" s="105">
        <f t="shared" si="0"/>
        <v>339.7</v>
      </c>
      <c r="G27" s="170">
        <f t="shared" si="1"/>
        <v>41.061</v>
      </c>
      <c r="H27" s="211">
        <v>0.85</v>
      </c>
      <c r="I27" s="171">
        <v>114.23</v>
      </c>
      <c r="J27" s="171"/>
      <c r="K27" s="212">
        <f t="shared" si="2"/>
        <v>323.64685</v>
      </c>
      <c r="L27" s="211">
        <f t="shared" si="3"/>
        <v>8519.65235</v>
      </c>
      <c r="M27" s="171"/>
      <c r="N27" s="105"/>
      <c r="O27" s="213" t="s">
        <v>1660</v>
      </c>
      <c r="P27" s="213"/>
    </row>
    <row r="28" ht="14.25" spans="1:16">
      <c r="A28" s="207">
        <v>46176</v>
      </c>
      <c r="B28" s="208" t="s">
        <v>90</v>
      </c>
      <c r="C28" s="209">
        <v>0.92</v>
      </c>
      <c r="D28" s="209">
        <v>0.96</v>
      </c>
      <c r="E28" s="210">
        <v>37.095</v>
      </c>
      <c r="F28" s="105">
        <f t="shared" si="0"/>
        <v>17.2</v>
      </c>
      <c r="G28" s="105">
        <f t="shared" si="1"/>
        <v>19.895</v>
      </c>
      <c r="H28" s="211">
        <v>0.85</v>
      </c>
      <c r="I28" s="210">
        <v>11.13</v>
      </c>
      <c r="J28" s="210"/>
      <c r="K28" s="212">
        <f t="shared" si="2"/>
        <v>31.53075</v>
      </c>
      <c r="L28" s="211">
        <f t="shared" si="3"/>
        <v>8488.1216</v>
      </c>
      <c r="M28" s="210"/>
      <c r="N28" s="105"/>
      <c r="O28" s="213" t="s">
        <v>1660</v>
      </c>
      <c r="P28" s="213"/>
    </row>
    <row r="29" ht="14.25" spans="1:16">
      <c r="A29" s="215">
        <v>46176</v>
      </c>
      <c r="B29" s="213" t="s">
        <v>57</v>
      </c>
      <c r="C29" s="209">
        <v>0.33</v>
      </c>
      <c r="D29" s="209">
        <v>0.99</v>
      </c>
      <c r="E29" s="171">
        <v>280.243</v>
      </c>
      <c r="F29" s="105">
        <f t="shared" si="0"/>
        <v>283.8</v>
      </c>
      <c r="G29" s="105">
        <f t="shared" si="1"/>
        <v>-3.55699999999996</v>
      </c>
      <c r="H29" s="211">
        <v>0.85</v>
      </c>
      <c r="I29" s="171">
        <v>84.07</v>
      </c>
      <c r="J29" s="171"/>
      <c r="K29" s="212">
        <f t="shared" si="2"/>
        <v>238.20655</v>
      </c>
      <c r="L29" s="211">
        <f t="shared" si="3"/>
        <v>8249.91505</v>
      </c>
      <c r="M29" s="171"/>
      <c r="N29" s="105"/>
      <c r="O29" s="213" t="s">
        <v>1660</v>
      </c>
      <c r="P29" s="213"/>
    </row>
    <row r="30" ht="14.25" spans="1:16">
      <c r="A30" s="215">
        <v>46176</v>
      </c>
      <c r="B30" s="213" t="s">
        <v>69</v>
      </c>
      <c r="C30" s="209">
        <v>0.26</v>
      </c>
      <c r="D30" s="209">
        <v>0.87</v>
      </c>
      <c r="E30" s="171">
        <v>289.405</v>
      </c>
      <c r="F30" s="105">
        <f t="shared" si="0"/>
        <v>262.3</v>
      </c>
      <c r="G30" s="170">
        <f t="shared" si="1"/>
        <v>27.105</v>
      </c>
      <c r="H30" s="211">
        <v>0.85</v>
      </c>
      <c r="I30" s="171">
        <v>86.82</v>
      </c>
      <c r="J30" s="171"/>
      <c r="K30" s="212">
        <f t="shared" si="2"/>
        <v>245.99425</v>
      </c>
      <c r="L30" s="211">
        <f t="shared" si="3"/>
        <v>8003.9208</v>
      </c>
      <c r="M30" s="171"/>
      <c r="N30" s="105"/>
      <c r="O30" s="213" t="s">
        <v>1660</v>
      </c>
      <c r="P30" s="213"/>
    </row>
    <row r="31" ht="14.25" spans="1:16">
      <c r="A31" s="215">
        <v>46176</v>
      </c>
      <c r="B31" s="213" t="s">
        <v>114</v>
      </c>
      <c r="C31" s="209">
        <v>0.38</v>
      </c>
      <c r="D31" s="209">
        <v>0.38</v>
      </c>
      <c r="E31" s="171">
        <v>1.138</v>
      </c>
      <c r="F31" s="105">
        <f t="shared" si="0"/>
        <v>0</v>
      </c>
      <c r="G31" s="105">
        <f t="shared" si="1"/>
        <v>1.138</v>
      </c>
      <c r="H31" s="211">
        <v>0.85</v>
      </c>
      <c r="I31" s="171">
        <v>0.34</v>
      </c>
      <c r="J31" s="171"/>
      <c r="K31" s="212">
        <f t="shared" si="2"/>
        <v>0.9673</v>
      </c>
      <c r="L31" s="211">
        <f t="shared" si="3"/>
        <v>8002.9535</v>
      </c>
      <c r="M31" s="171"/>
      <c r="N31" s="105"/>
      <c r="O31" s="213" t="s">
        <v>1660</v>
      </c>
      <c r="P31" s="213"/>
    </row>
    <row r="32" ht="14.25" spans="1:16">
      <c r="A32" s="215">
        <v>46176</v>
      </c>
      <c r="B32" s="213" t="s">
        <v>114</v>
      </c>
      <c r="C32" s="209">
        <v>0.38</v>
      </c>
      <c r="D32" s="209">
        <v>0.99</v>
      </c>
      <c r="E32" s="171">
        <v>262.713</v>
      </c>
      <c r="F32" s="105">
        <f t="shared" si="0"/>
        <v>262.3</v>
      </c>
      <c r="G32" s="105">
        <f t="shared" si="1"/>
        <v>0.413000000000011</v>
      </c>
      <c r="H32" s="211">
        <v>0.85</v>
      </c>
      <c r="I32" s="171">
        <v>78.81</v>
      </c>
      <c r="J32" s="171"/>
      <c r="K32" s="212">
        <f t="shared" si="2"/>
        <v>223.30605</v>
      </c>
      <c r="L32" s="211">
        <f t="shared" si="3"/>
        <v>7779.64745</v>
      </c>
      <c r="M32" s="171"/>
      <c r="N32" s="105"/>
      <c r="O32" s="213" t="s">
        <v>1660</v>
      </c>
      <c r="P32" s="213"/>
    </row>
    <row r="33" ht="14.25" spans="1:16">
      <c r="A33" s="215">
        <v>46176</v>
      </c>
      <c r="B33" s="213" t="s">
        <v>105</v>
      </c>
      <c r="C33" s="209">
        <v>0.53</v>
      </c>
      <c r="D33" s="209">
        <v>0.98</v>
      </c>
      <c r="E33" s="171">
        <v>220.794</v>
      </c>
      <c r="F33" s="105">
        <f t="shared" si="0"/>
        <v>193.5</v>
      </c>
      <c r="G33" s="170">
        <f t="shared" si="1"/>
        <v>27.294</v>
      </c>
      <c r="H33" s="211">
        <v>0.85</v>
      </c>
      <c r="I33" s="171">
        <v>66.24</v>
      </c>
      <c r="J33" s="171"/>
      <c r="K33" s="212">
        <f t="shared" si="2"/>
        <v>187.6749</v>
      </c>
      <c r="L33" s="211">
        <f t="shared" si="3"/>
        <v>7591.97255</v>
      </c>
      <c r="M33" s="171"/>
      <c r="N33" s="105"/>
      <c r="O33" s="213" t="s">
        <v>1660</v>
      </c>
      <c r="P33" s="213"/>
    </row>
    <row r="34" ht="14.25" spans="1:16">
      <c r="A34" s="215">
        <v>46176</v>
      </c>
      <c r="B34" s="213" t="s">
        <v>96</v>
      </c>
      <c r="C34" s="209">
        <v>0.5</v>
      </c>
      <c r="D34" s="209">
        <v>0.97</v>
      </c>
      <c r="E34" s="171">
        <v>227.089</v>
      </c>
      <c r="F34" s="105">
        <f t="shared" si="0"/>
        <v>202.1</v>
      </c>
      <c r="G34" s="170">
        <f t="shared" si="1"/>
        <v>24.989</v>
      </c>
      <c r="H34" s="211">
        <v>0.85</v>
      </c>
      <c r="I34" s="171">
        <v>68.13</v>
      </c>
      <c r="J34" s="171"/>
      <c r="K34" s="212">
        <f t="shared" si="2"/>
        <v>193.02565</v>
      </c>
      <c r="L34" s="211">
        <f t="shared" si="3"/>
        <v>7398.9469</v>
      </c>
      <c r="M34" s="171"/>
      <c r="N34" s="105"/>
      <c r="O34" s="213" t="s">
        <v>1660</v>
      </c>
      <c r="P34" s="213"/>
    </row>
    <row r="35" ht="14.25" spans="1:16">
      <c r="A35" s="215">
        <v>46176</v>
      </c>
      <c r="B35" s="213" t="s">
        <v>132</v>
      </c>
      <c r="C35" s="209">
        <v>0.35</v>
      </c>
      <c r="D35" s="209">
        <v>0.99</v>
      </c>
      <c r="E35" s="171">
        <v>292.499</v>
      </c>
      <c r="F35" s="105">
        <f t="shared" si="0"/>
        <v>275.2</v>
      </c>
      <c r="G35" s="105">
        <f t="shared" si="1"/>
        <v>17.299</v>
      </c>
      <c r="H35" s="211">
        <v>0.85</v>
      </c>
      <c r="I35" s="171">
        <v>87.75</v>
      </c>
      <c r="J35" s="171"/>
      <c r="K35" s="212">
        <f t="shared" si="2"/>
        <v>248.62415</v>
      </c>
      <c r="L35" s="211">
        <f t="shared" si="3"/>
        <v>7150.32275</v>
      </c>
      <c r="M35" s="171"/>
      <c r="N35" s="105"/>
      <c r="O35" s="213" t="s">
        <v>1660</v>
      </c>
      <c r="P35" s="213"/>
    </row>
    <row r="36" ht="14.25" spans="1:16">
      <c r="A36" s="215">
        <v>46176</v>
      </c>
      <c r="B36" s="213" t="s">
        <v>124</v>
      </c>
      <c r="C36" s="209">
        <v>0.42</v>
      </c>
      <c r="D36" s="209">
        <v>0.99</v>
      </c>
      <c r="E36" s="171">
        <v>248.066</v>
      </c>
      <c r="F36" s="105">
        <f t="shared" si="0"/>
        <v>245.1</v>
      </c>
      <c r="G36" s="105">
        <f t="shared" si="1"/>
        <v>2.96599999999998</v>
      </c>
      <c r="H36" s="211">
        <v>0.85</v>
      </c>
      <c r="I36" s="171">
        <v>74.42</v>
      </c>
      <c r="J36" s="171"/>
      <c r="K36" s="212">
        <f t="shared" si="2"/>
        <v>210.8561</v>
      </c>
      <c r="L36" s="211">
        <f t="shared" si="3"/>
        <v>6939.46665</v>
      </c>
      <c r="M36" s="171"/>
      <c r="N36" s="105"/>
      <c r="O36" s="213" t="s">
        <v>1660</v>
      </c>
      <c r="P36" s="213"/>
    </row>
    <row r="37" ht="14.25" spans="1:16">
      <c r="A37" s="215">
        <v>46176</v>
      </c>
      <c r="B37" s="213" t="s">
        <v>135</v>
      </c>
      <c r="C37" s="209">
        <v>0.37</v>
      </c>
      <c r="D37" s="209">
        <v>0.99</v>
      </c>
      <c r="E37" s="171">
        <v>281.521</v>
      </c>
      <c r="F37" s="105">
        <f t="shared" si="0"/>
        <v>266.6</v>
      </c>
      <c r="G37" s="105">
        <f t="shared" si="1"/>
        <v>14.921</v>
      </c>
      <c r="H37" s="211">
        <v>0.85</v>
      </c>
      <c r="I37" s="171">
        <v>84.46</v>
      </c>
      <c r="J37" s="171"/>
      <c r="K37" s="212">
        <f t="shared" si="2"/>
        <v>239.29285</v>
      </c>
      <c r="L37" s="211">
        <f t="shared" si="3"/>
        <v>6700.1738</v>
      </c>
      <c r="M37" s="171"/>
      <c r="N37" s="105"/>
      <c r="O37" s="213" t="s">
        <v>1660</v>
      </c>
      <c r="P37" s="213"/>
    </row>
    <row r="38" ht="14.25" spans="1:16">
      <c r="A38" s="215">
        <v>46176</v>
      </c>
      <c r="B38" s="213" t="s">
        <v>84</v>
      </c>
      <c r="C38" s="209">
        <v>0.52</v>
      </c>
      <c r="D38" s="209">
        <v>0.98</v>
      </c>
      <c r="E38" s="171">
        <v>226.432</v>
      </c>
      <c r="F38" s="105">
        <f t="shared" si="0"/>
        <v>197.8</v>
      </c>
      <c r="G38" s="170">
        <f t="shared" si="1"/>
        <v>28.632</v>
      </c>
      <c r="H38" s="211">
        <v>0.85</v>
      </c>
      <c r="I38" s="171">
        <v>67.93</v>
      </c>
      <c r="J38" s="171"/>
      <c r="K38" s="212">
        <f t="shared" si="2"/>
        <v>192.4672</v>
      </c>
      <c r="L38" s="211">
        <f t="shared" si="3"/>
        <v>6507.7066</v>
      </c>
      <c r="M38" s="171"/>
      <c r="N38" s="105"/>
      <c r="O38" s="213" t="s">
        <v>1660</v>
      </c>
      <c r="P38" s="213"/>
    </row>
    <row r="39" ht="14.25" spans="1:16">
      <c r="A39" s="215">
        <v>46176</v>
      </c>
      <c r="B39" s="213" t="s">
        <v>144</v>
      </c>
      <c r="C39" s="209">
        <v>0.22</v>
      </c>
      <c r="D39" s="209">
        <v>0.84</v>
      </c>
      <c r="E39" s="171">
        <v>279.211</v>
      </c>
      <c r="F39" s="105">
        <f t="shared" si="0"/>
        <v>266.6</v>
      </c>
      <c r="G39" s="105">
        <f t="shared" si="1"/>
        <v>12.611</v>
      </c>
      <c r="H39" s="211">
        <v>0.85</v>
      </c>
      <c r="I39" s="171">
        <v>83.76</v>
      </c>
      <c r="J39" s="171"/>
      <c r="K39" s="212">
        <f t="shared" si="2"/>
        <v>237.32935</v>
      </c>
      <c r="L39" s="211">
        <f t="shared" si="3"/>
        <v>6270.37725</v>
      </c>
      <c r="M39" s="171"/>
      <c r="N39" s="105"/>
      <c r="O39" s="213" t="s">
        <v>1660</v>
      </c>
      <c r="P39" s="213"/>
    </row>
    <row r="40" ht="14.25" spans="1:16">
      <c r="A40" s="216">
        <v>46177</v>
      </c>
      <c r="B40" s="217" t="s">
        <v>127</v>
      </c>
      <c r="C40" s="218">
        <v>0.39</v>
      </c>
      <c r="D40" s="218">
        <v>0.99</v>
      </c>
      <c r="E40" s="219">
        <v>264.188</v>
      </c>
      <c r="F40" s="105">
        <f t="shared" si="0"/>
        <v>258</v>
      </c>
      <c r="G40" s="105">
        <f t="shared" si="1"/>
        <v>6.18799999999999</v>
      </c>
      <c r="H40" s="211">
        <v>0.85</v>
      </c>
      <c r="I40" s="219">
        <v>79.26</v>
      </c>
      <c r="J40" s="219"/>
      <c r="K40" s="212">
        <f t="shared" si="2"/>
        <v>224.5598</v>
      </c>
      <c r="L40" s="211">
        <f t="shared" si="3"/>
        <v>6045.81745</v>
      </c>
      <c r="M40" s="105"/>
      <c r="N40" s="213"/>
      <c r="O40" s="213" t="s">
        <v>1660</v>
      </c>
    </row>
    <row r="41" ht="14.25" spans="1:16">
      <c r="A41" s="220">
        <v>46177</v>
      </c>
      <c r="B41" s="221" t="s">
        <v>60</v>
      </c>
      <c r="C41" s="218">
        <v>0.41</v>
      </c>
      <c r="D41" s="218">
        <v>0.99</v>
      </c>
      <c r="E41" s="222">
        <v>249.396</v>
      </c>
      <c r="F41" s="105">
        <f t="shared" si="0"/>
        <v>249.4</v>
      </c>
      <c r="G41" s="105">
        <f t="shared" si="1"/>
        <v>-0.00400000000004752</v>
      </c>
      <c r="H41" s="211">
        <v>0.85</v>
      </c>
      <c r="I41" s="222">
        <v>74.82</v>
      </c>
      <c r="J41" s="222"/>
      <c r="K41" s="212">
        <f t="shared" si="2"/>
        <v>211.9866</v>
      </c>
      <c r="L41" s="211">
        <f t="shared" si="3"/>
        <v>5833.83085</v>
      </c>
      <c r="M41" s="105"/>
      <c r="N41" s="213"/>
      <c r="O41" s="213" t="s">
        <v>1660</v>
      </c>
    </row>
    <row r="42" ht="14.25" spans="1:16">
      <c r="A42" s="220">
        <v>46177</v>
      </c>
      <c r="B42" s="221" t="s">
        <v>111</v>
      </c>
      <c r="C42" s="218">
        <v>0.35</v>
      </c>
      <c r="D42" s="218">
        <v>0.99</v>
      </c>
      <c r="E42" s="222">
        <v>269.287</v>
      </c>
      <c r="F42" s="105">
        <f t="shared" si="0"/>
        <v>275.2</v>
      </c>
      <c r="G42" s="105">
        <f t="shared" si="1"/>
        <v>-5.91300000000001</v>
      </c>
      <c r="H42" s="211">
        <v>0.85</v>
      </c>
      <c r="I42" s="222">
        <v>80.8</v>
      </c>
      <c r="J42" s="222"/>
      <c r="K42" s="212">
        <f t="shared" si="2"/>
        <v>228.89395</v>
      </c>
      <c r="L42" s="211">
        <f t="shared" si="3"/>
        <v>5604.9369</v>
      </c>
      <c r="M42" s="105"/>
      <c r="N42" s="213"/>
      <c r="O42" s="213" t="s">
        <v>1660</v>
      </c>
    </row>
    <row r="43" ht="14.25" spans="1:16">
      <c r="A43" s="220">
        <v>46177</v>
      </c>
      <c r="B43" s="221" t="s">
        <v>90</v>
      </c>
      <c r="C43" s="218">
        <v>0.34</v>
      </c>
      <c r="D43" s="218">
        <v>0.98</v>
      </c>
      <c r="E43" s="222">
        <v>319.98</v>
      </c>
      <c r="F43" s="105">
        <f t="shared" si="0"/>
        <v>275.2</v>
      </c>
      <c r="G43" s="170">
        <f t="shared" si="1"/>
        <v>44.7800000000001</v>
      </c>
      <c r="H43" s="211">
        <v>0.85</v>
      </c>
      <c r="I43" s="222">
        <v>95.99</v>
      </c>
      <c r="J43" s="222"/>
      <c r="K43" s="212">
        <f t="shared" si="2"/>
        <v>271.983</v>
      </c>
      <c r="L43" s="211">
        <f t="shared" si="3"/>
        <v>5332.9539</v>
      </c>
      <c r="M43" s="105"/>
      <c r="N43" s="213"/>
      <c r="O43" s="213" t="s">
        <v>1660</v>
      </c>
    </row>
    <row r="44" ht="14.25" spans="1:16">
      <c r="A44" s="207">
        <v>46178</v>
      </c>
      <c r="B44" s="208" t="s">
        <v>72</v>
      </c>
      <c r="C44" s="223">
        <v>0.37</v>
      </c>
      <c r="D44" s="223">
        <v>0.97</v>
      </c>
      <c r="E44" s="210">
        <v>283.323</v>
      </c>
      <c r="F44" s="105">
        <f t="shared" si="0"/>
        <v>258</v>
      </c>
      <c r="G44" s="170">
        <f t="shared" si="1"/>
        <v>25.323</v>
      </c>
      <c r="H44" s="211">
        <v>0.85</v>
      </c>
      <c r="I44" s="210">
        <v>85</v>
      </c>
      <c r="J44" s="210">
        <v>10000</v>
      </c>
      <c r="K44" s="212">
        <f t="shared" si="2"/>
        <v>240.82455</v>
      </c>
      <c r="L44" s="211">
        <f t="shared" si="3"/>
        <v>15092.12935</v>
      </c>
      <c r="M44" s="210"/>
      <c r="N44" s="105"/>
      <c r="O44" s="213" t="s">
        <v>1660</v>
      </c>
      <c r="P44" s="213"/>
    </row>
    <row r="45" ht="14.25" spans="1:16">
      <c r="A45" s="215">
        <v>46178</v>
      </c>
      <c r="B45" s="213" t="s">
        <v>81</v>
      </c>
      <c r="C45" s="223">
        <v>0.21</v>
      </c>
      <c r="D45" s="223">
        <v>0.98</v>
      </c>
      <c r="E45" s="171">
        <v>372.04</v>
      </c>
      <c r="F45" s="105">
        <f t="shared" si="0"/>
        <v>331.1</v>
      </c>
      <c r="G45" s="170">
        <f t="shared" si="1"/>
        <v>40.94</v>
      </c>
      <c r="H45" s="211">
        <v>0.85</v>
      </c>
      <c r="I45" s="171">
        <v>111.61</v>
      </c>
      <c r="J45" s="171"/>
      <c r="K45" s="212">
        <f t="shared" si="2"/>
        <v>316.234</v>
      </c>
      <c r="L45" s="211">
        <f t="shared" si="3"/>
        <v>14775.89535</v>
      </c>
      <c r="M45" s="171"/>
      <c r="N45" s="105"/>
      <c r="O45" s="213" t="s">
        <v>1660</v>
      </c>
      <c r="P45" s="213"/>
    </row>
    <row r="46" ht="14.25" spans="1:16">
      <c r="A46" s="215">
        <v>46178</v>
      </c>
      <c r="B46" s="213" t="s">
        <v>66</v>
      </c>
      <c r="C46" s="223">
        <v>0.55</v>
      </c>
      <c r="D46" s="223">
        <v>0.98</v>
      </c>
      <c r="E46" s="171">
        <v>210.39</v>
      </c>
      <c r="F46" s="105">
        <f t="shared" si="0"/>
        <v>184.9</v>
      </c>
      <c r="G46" s="170">
        <f t="shared" si="1"/>
        <v>25.49</v>
      </c>
      <c r="H46" s="211">
        <v>0.85</v>
      </c>
      <c r="I46" s="171">
        <v>63.12</v>
      </c>
      <c r="J46" s="171"/>
      <c r="K46" s="212">
        <f t="shared" si="2"/>
        <v>178.8315</v>
      </c>
      <c r="L46" s="211">
        <f t="shared" si="3"/>
        <v>14597.06385</v>
      </c>
      <c r="M46" s="171"/>
      <c r="N46" s="105"/>
      <c r="O46" s="213" t="s">
        <v>1660</v>
      </c>
      <c r="P46" s="213"/>
    </row>
    <row r="47" ht="14.25" spans="1:16">
      <c r="A47" s="215">
        <v>46178</v>
      </c>
      <c r="B47" s="213" t="s">
        <v>78</v>
      </c>
      <c r="C47" s="223">
        <v>0.39</v>
      </c>
      <c r="D47" s="223">
        <v>0.97</v>
      </c>
      <c r="E47" s="171">
        <v>288.417</v>
      </c>
      <c r="F47" s="105">
        <f t="shared" si="0"/>
        <v>249.4</v>
      </c>
      <c r="G47" s="170">
        <f t="shared" si="1"/>
        <v>39.017</v>
      </c>
      <c r="H47" s="211">
        <v>0.85</v>
      </c>
      <c r="I47" s="171">
        <v>86.53</v>
      </c>
      <c r="J47" s="171"/>
      <c r="K47" s="212">
        <f t="shared" si="2"/>
        <v>245.15445</v>
      </c>
      <c r="L47" s="211">
        <f t="shared" si="3"/>
        <v>14351.9094</v>
      </c>
      <c r="M47" s="171"/>
      <c r="N47" s="105"/>
      <c r="O47" s="213" t="s">
        <v>1660</v>
      </c>
      <c r="P47" s="213"/>
    </row>
    <row r="48" ht="14.25" spans="1:16">
      <c r="A48" s="215">
        <v>46178</v>
      </c>
      <c r="B48" s="213" t="s">
        <v>99</v>
      </c>
      <c r="C48" s="223">
        <v>0.33</v>
      </c>
      <c r="D48" s="223">
        <v>0.98</v>
      </c>
      <c r="E48" s="171">
        <v>317.468</v>
      </c>
      <c r="F48" s="105">
        <f t="shared" si="0"/>
        <v>279.5</v>
      </c>
      <c r="G48" s="170">
        <f t="shared" si="1"/>
        <v>37.9680000000001</v>
      </c>
      <c r="H48" s="211">
        <v>0.85</v>
      </c>
      <c r="I48" s="171">
        <v>95.24</v>
      </c>
      <c r="J48" s="171"/>
      <c r="K48" s="212">
        <f t="shared" si="2"/>
        <v>269.8478</v>
      </c>
      <c r="L48" s="211">
        <f t="shared" si="3"/>
        <v>14082.0616</v>
      </c>
      <c r="M48" s="171"/>
      <c r="N48" s="105"/>
      <c r="O48" s="213" t="s">
        <v>1660</v>
      </c>
      <c r="P48" s="213"/>
    </row>
    <row r="49" ht="14.25" spans="1:16">
      <c r="A49" s="215">
        <v>46178</v>
      </c>
      <c r="B49" s="213" t="s">
        <v>93</v>
      </c>
      <c r="C49" s="223">
        <v>0.46</v>
      </c>
      <c r="D49" s="223">
        <v>0.98</v>
      </c>
      <c r="E49" s="171">
        <v>259.98</v>
      </c>
      <c r="F49" s="105">
        <f t="shared" si="0"/>
        <v>223.6</v>
      </c>
      <c r="G49" s="170">
        <f t="shared" si="1"/>
        <v>36.38</v>
      </c>
      <c r="H49" s="211">
        <v>0.85</v>
      </c>
      <c r="I49" s="171">
        <v>77.99</v>
      </c>
      <c r="J49" s="171"/>
      <c r="K49" s="212">
        <f t="shared" si="2"/>
        <v>220.983</v>
      </c>
      <c r="L49" s="211">
        <f t="shared" si="3"/>
        <v>13861.0786</v>
      </c>
      <c r="M49" s="171"/>
      <c r="N49" s="105"/>
      <c r="O49" s="213" t="s">
        <v>1660</v>
      </c>
      <c r="P49" s="213"/>
    </row>
    <row r="50" ht="14.25" spans="1:16">
      <c r="A50" s="215">
        <v>46178</v>
      </c>
      <c r="B50" s="213" t="s">
        <v>57</v>
      </c>
      <c r="C50" s="223">
        <v>0.34</v>
      </c>
      <c r="D50" s="223">
        <v>0.99</v>
      </c>
      <c r="E50" s="171">
        <v>273.633</v>
      </c>
      <c r="F50" s="105">
        <f t="shared" si="0"/>
        <v>279.5</v>
      </c>
      <c r="G50" s="105">
        <f t="shared" si="1"/>
        <v>-5.86699999999996</v>
      </c>
      <c r="H50" s="211">
        <v>0.85</v>
      </c>
      <c r="I50" s="171">
        <v>82.09</v>
      </c>
      <c r="J50" s="171"/>
      <c r="K50" s="212">
        <f t="shared" si="2"/>
        <v>232.58805</v>
      </c>
      <c r="L50" s="211">
        <f t="shared" si="3"/>
        <v>13628.49055</v>
      </c>
      <c r="M50" s="171"/>
      <c r="N50" s="105"/>
      <c r="O50" s="213" t="s">
        <v>1660</v>
      </c>
      <c r="P50" s="213"/>
    </row>
    <row r="51" ht="14.25" spans="1:16">
      <c r="A51" s="215">
        <v>46178</v>
      </c>
      <c r="B51" s="213" t="s">
        <v>93</v>
      </c>
      <c r="C51" s="223">
        <v>0.92</v>
      </c>
      <c r="D51" s="223">
        <v>0.96</v>
      </c>
      <c r="E51" s="171">
        <v>40.166</v>
      </c>
      <c r="F51" s="105">
        <f t="shared" si="0"/>
        <v>17.2</v>
      </c>
      <c r="G51" s="170">
        <f t="shared" si="1"/>
        <v>22.966</v>
      </c>
      <c r="H51" s="211">
        <v>0.85</v>
      </c>
      <c r="I51" s="171">
        <v>12.05</v>
      </c>
      <c r="J51" s="171"/>
      <c r="K51" s="212">
        <f t="shared" si="2"/>
        <v>34.1411</v>
      </c>
      <c r="L51" s="211">
        <f t="shared" si="3"/>
        <v>13594.34945</v>
      </c>
      <c r="M51" s="171"/>
      <c r="N51" s="105"/>
      <c r="O51" s="213" t="s">
        <v>1660</v>
      </c>
      <c r="P51" s="213"/>
    </row>
    <row r="52" ht="14.25" spans="1:16">
      <c r="A52" s="215">
        <v>46178</v>
      </c>
      <c r="B52" s="213" t="s">
        <v>105</v>
      </c>
      <c r="C52" s="223">
        <v>0.53</v>
      </c>
      <c r="D52" s="223">
        <v>0.98</v>
      </c>
      <c r="E52" s="171">
        <v>220.643</v>
      </c>
      <c r="F52" s="105">
        <f t="shared" si="0"/>
        <v>193.5</v>
      </c>
      <c r="G52" s="170">
        <f t="shared" si="1"/>
        <v>27.143</v>
      </c>
      <c r="H52" s="211">
        <v>0.85</v>
      </c>
      <c r="I52" s="171">
        <v>66.19</v>
      </c>
      <c r="J52" s="171"/>
      <c r="K52" s="212">
        <f t="shared" si="2"/>
        <v>187.54655</v>
      </c>
      <c r="L52" s="211">
        <f t="shared" si="3"/>
        <v>13406.8029</v>
      </c>
      <c r="M52" s="171"/>
      <c r="N52" s="105"/>
      <c r="O52" s="213" t="s">
        <v>1660</v>
      </c>
      <c r="P52" s="213"/>
    </row>
    <row r="53" ht="14.25" spans="1:16">
      <c r="A53" s="215">
        <v>46178</v>
      </c>
      <c r="B53" s="213" t="s">
        <v>69</v>
      </c>
      <c r="C53" s="223">
        <v>0.19</v>
      </c>
      <c r="D53" s="223">
        <v>0.98</v>
      </c>
      <c r="E53" s="171">
        <v>378.207</v>
      </c>
      <c r="F53" s="105">
        <f t="shared" si="0"/>
        <v>339.7</v>
      </c>
      <c r="G53" s="170">
        <f t="shared" si="1"/>
        <v>38.507</v>
      </c>
      <c r="H53" s="211">
        <v>0.85</v>
      </c>
      <c r="I53" s="171">
        <v>113.46</v>
      </c>
      <c r="J53" s="171"/>
      <c r="K53" s="212">
        <f t="shared" si="2"/>
        <v>321.47595</v>
      </c>
      <c r="L53" s="211">
        <f t="shared" si="3"/>
        <v>13085.32695</v>
      </c>
      <c r="M53" s="171"/>
      <c r="N53" s="105"/>
      <c r="O53" s="213" t="s">
        <v>1660</v>
      </c>
      <c r="P53" s="213"/>
    </row>
    <row r="54" ht="14.25" spans="1:16">
      <c r="A54" s="207">
        <v>46179</v>
      </c>
      <c r="B54" s="208" t="s">
        <v>135</v>
      </c>
      <c r="C54" s="223">
        <v>0.45</v>
      </c>
      <c r="D54" s="223">
        <v>0.99</v>
      </c>
      <c r="E54" s="210">
        <v>246.924</v>
      </c>
      <c r="F54" s="105">
        <f t="shared" si="0"/>
        <v>232.2</v>
      </c>
      <c r="G54" s="105">
        <f t="shared" si="1"/>
        <v>14.724</v>
      </c>
      <c r="H54" s="211">
        <v>0.85</v>
      </c>
      <c r="I54" s="210">
        <v>74.08</v>
      </c>
      <c r="J54" s="210"/>
      <c r="K54" s="212">
        <f t="shared" si="2"/>
        <v>209.8854</v>
      </c>
      <c r="L54" s="211">
        <f t="shared" si="3"/>
        <v>12875.44155</v>
      </c>
      <c r="M54" s="210"/>
      <c r="N54" s="105"/>
      <c r="O54" s="213" t="s">
        <v>1660</v>
      </c>
      <c r="P54" s="213"/>
    </row>
    <row r="55" ht="14.25" spans="1:16">
      <c r="A55" s="215">
        <v>46179</v>
      </c>
      <c r="B55" s="213" t="s">
        <v>108</v>
      </c>
      <c r="C55" s="223">
        <v>0.44</v>
      </c>
      <c r="D55" s="223">
        <v>0.99</v>
      </c>
      <c r="E55" s="171">
        <v>271.83</v>
      </c>
      <c r="F55" s="105">
        <f t="shared" si="0"/>
        <v>236.5</v>
      </c>
      <c r="G55" s="170">
        <f t="shared" si="1"/>
        <v>35.33</v>
      </c>
      <c r="H55" s="211">
        <v>0.85</v>
      </c>
      <c r="I55" s="171">
        <v>81.55</v>
      </c>
      <c r="J55" s="171"/>
      <c r="K55" s="212">
        <f t="shared" si="2"/>
        <v>231.0555</v>
      </c>
      <c r="L55" s="211">
        <f t="shared" si="3"/>
        <v>12644.38605</v>
      </c>
      <c r="M55" s="171"/>
      <c r="N55" s="105"/>
      <c r="O55" s="213" t="s">
        <v>1660</v>
      </c>
      <c r="P55" s="213"/>
    </row>
    <row r="56" ht="14.25" spans="1:16">
      <c r="A56" s="215">
        <v>46179</v>
      </c>
      <c r="B56" s="213" t="s">
        <v>144</v>
      </c>
      <c r="C56" s="223">
        <v>0.21</v>
      </c>
      <c r="D56" s="223">
        <v>0.99</v>
      </c>
      <c r="E56" s="171">
        <v>354.406</v>
      </c>
      <c r="F56" s="105">
        <f t="shared" si="0"/>
        <v>335.4</v>
      </c>
      <c r="G56" s="105">
        <f t="shared" si="1"/>
        <v>19.006</v>
      </c>
      <c r="H56" s="211">
        <v>0.85</v>
      </c>
      <c r="I56" s="171">
        <v>106.32</v>
      </c>
      <c r="J56" s="171"/>
      <c r="K56" s="212">
        <f t="shared" si="2"/>
        <v>301.2451</v>
      </c>
      <c r="L56" s="211">
        <f t="shared" si="3"/>
        <v>12343.14095</v>
      </c>
      <c r="M56" s="171"/>
      <c r="N56" s="105"/>
      <c r="O56" s="213" t="s">
        <v>1660</v>
      </c>
      <c r="P56" s="213"/>
    </row>
    <row r="57" ht="14.25" spans="1:16">
      <c r="A57" s="215">
        <v>46179</v>
      </c>
      <c r="B57" s="213" t="s">
        <v>177</v>
      </c>
      <c r="C57" s="223">
        <v>0.34</v>
      </c>
      <c r="D57" s="223">
        <v>0.99</v>
      </c>
      <c r="E57" s="171">
        <v>297.742</v>
      </c>
      <c r="F57" s="105">
        <f t="shared" si="0"/>
        <v>279.5</v>
      </c>
      <c r="G57" s="105">
        <f t="shared" si="1"/>
        <v>18.2420000000001</v>
      </c>
      <c r="H57" s="211">
        <v>0.85</v>
      </c>
      <c r="I57" s="171">
        <v>89.32</v>
      </c>
      <c r="J57" s="171"/>
      <c r="K57" s="212">
        <f t="shared" si="2"/>
        <v>253.0807</v>
      </c>
      <c r="L57" s="211">
        <f t="shared" si="3"/>
        <v>12090.06025</v>
      </c>
      <c r="M57" s="171"/>
      <c r="N57" s="105"/>
      <c r="O57" s="213" t="s">
        <v>1660</v>
      </c>
      <c r="P57" s="213"/>
    </row>
    <row r="58" ht="14.25" spans="1:16">
      <c r="A58" s="215">
        <v>46179</v>
      </c>
      <c r="B58" s="213" t="s">
        <v>124</v>
      </c>
      <c r="C58" s="223">
        <v>0.47</v>
      </c>
      <c r="D58" s="223">
        <v>0.99</v>
      </c>
      <c r="E58" s="171">
        <v>223.35</v>
      </c>
      <c r="F58" s="105">
        <f t="shared" si="0"/>
        <v>223.6</v>
      </c>
      <c r="G58" s="105">
        <f t="shared" si="1"/>
        <v>-0.25</v>
      </c>
      <c r="H58" s="211">
        <v>0.85</v>
      </c>
      <c r="I58" s="171">
        <v>67.01</v>
      </c>
      <c r="J58" s="171"/>
      <c r="K58" s="212">
        <f t="shared" si="2"/>
        <v>189.8475</v>
      </c>
      <c r="L58" s="211">
        <f t="shared" si="3"/>
        <v>11900.21275</v>
      </c>
      <c r="M58" s="171"/>
      <c r="N58" s="105"/>
      <c r="O58" s="213" t="s">
        <v>1660</v>
      </c>
      <c r="P58" s="213"/>
    </row>
    <row r="59" ht="14.25" spans="1:16">
      <c r="A59" s="215">
        <v>46180</v>
      </c>
      <c r="B59" s="213" t="s">
        <v>111</v>
      </c>
      <c r="C59" s="223">
        <v>0.26</v>
      </c>
      <c r="D59" s="223">
        <v>0.83</v>
      </c>
      <c r="E59" s="171">
        <v>238.566</v>
      </c>
      <c r="F59" s="105">
        <f t="shared" si="0"/>
        <v>245.1</v>
      </c>
      <c r="G59" s="105">
        <f t="shared" si="1"/>
        <v>-6.53399999999996</v>
      </c>
      <c r="H59" s="211">
        <v>0.85</v>
      </c>
      <c r="I59" s="171">
        <v>71.57</v>
      </c>
      <c r="J59" s="171"/>
      <c r="K59" s="212">
        <f t="shared" si="2"/>
        <v>202.7811</v>
      </c>
      <c r="L59" s="211">
        <f t="shared" si="3"/>
        <v>11697.43165</v>
      </c>
      <c r="M59" s="171"/>
      <c r="N59" s="105"/>
      <c r="O59" s="213" t="s">
        <v>1660</v>
      </c>
      <c r="P59" s="213"/>
    </row>
    <row r="60" ht="14.25" spans="1:16">
      <c r="A60" s="215">
        <v>46180</v>
      </c>
      <c r="B60" s="213" t="s">
        <v>60</v>
      </c>
      <c r="C60" s="223">
        <v>0.37</v>
      </c>
      <c r="D60" s="223">
        <v>0.99</v>
      </c>
      <c r="E60" s="171">
        <v>263.127</v>
      </c>
      <c r="F60" s="105">
        <f t="shared" si="0"/>
        <v>266.6</v>
      </c>
      <c r="G60" s="105">
        <f t="shared" si="1"/>
        <v>-3.47300000000001</v>
      </c>
      <c r="H60" s="211">
        <v>0.85</v>
      </c>
      <c r="I60" s="171">
        <v>78.94</v>
      </c>
      <c r="J60" s="171"/>
      <c r="K60" s="212">
        <f t="shared" si="2"/>
        <v>223.65795</v>
      </c>
      <c r="L60" s="211">
        <f t="shared" si="3"/>
        <v>11473.7737</v>
      </c>
      <c r="M60" s="171"/>
      <c r="N60" s="105"/>
      <c r="O60" s="213" t="s">
        <v>1660</v>
      </c>
      <c r="P60" s="213"/>
    </row>
    <row r="61" ht="14.25" spans="1:16">
      <c r="A61" s="215">
        <v>46180</v>
      </c>
      <c r="B61" s="213" t="s">
        <v>166</v>
      </c>
      <c r="C61" s="223">
        <v>0.4</v>
      </c>
      <c r="D61" s="223">
        <v>0.99</v>
      </c>
      <c r="E61" s="171">
        <v>268.426</v>
      </c>
      <c r="F61" s="105">
        <f t="shared" si="0"/>
        <v>253.7</v>
      </c>
      <c r="G61" s="105">
        <f t="shared" si="1"/>
        <v>14.726</v>
      </c>
      <c r="H61" s="211">
        <v>0.85</v>
      </c>
      <c r="I61" s="171">
        <v>80.53</v>
      </c>
      <c r="J61" s="171"/>
      <c r="K61" s="212">
        <f t="shared" si="2"/>
        <v>228.1621</v>
      </c>
      <c r="L61" s="211">
        <f t="shared" si="3"/>
        <v>11245.6116</v>
      </c>
      <c r="M61" s="171"/>
      <c r="N61" s="105"/>
      <c r="O61" s="213" t="s">
        <v>1660</v>
      </c>
      <c r="P61" s="213"/>
    </row>
    <row r="62" ht="14.25" spans="1:16">
      <c r="A62" s="215">
        <v>46180</v>
      </c>
      <c r="B62" s="213" t="s">
        <v>72</v>
      </c>
      <c r="C62" s="223">
        <v>0.48</v>
      </c>
      <c r="D62" s="223">
        <v>0.97</v>
      </c>
      <c r="E62" s="171">
        <v>236.806</v>
      </c>
      <c r="F62" s="105">
        <f t="shared" si="0"/>
        <v>210.7</v>
      </c>
      <c r="G62" s="170">
        <f t="shared" si="1"/>
        <v>26.106</v>
      </c>
      <c r="H62" s="211">
        <v>0.85</v>
      </c>
      <c r="I62" s="171">
        <v>71.04</v>
      </c>
      <c r="J62" s="171"/>
      <c r="K62" s="212">
        <f t="shared" si="2"/>
        <v>201.2851</v>
      </c>
      <c r="L62" s="211">
        <f t="shared" si="3"/>
        <v>11044.3265</v>
      </c>
      <c r="M62" s="171"/>
      <c r="N62" s="105"/>
      <c r="O62" s="213" t="s">
        <v>1660</v>
      </c>
      <c r="P62" s="213"/>
    </row>
    <row r="63" ht="14.25" spans="1:16">
      <c r="A63" s="215">
        <v>46180</v>
      </c>
      <c r="B63" s="213" t="s">
        <v>90</v>
      </c>
      <c r="C63" s="223">
        <v>0.46</v>
      </c>
      <c r="D63" s="223">
        <v>0.98</v>
      </c>
      <c r="E63" s="171">
        <v>252.99</v>
      </c>
      <c r="F63" s="105">
        <f t="shared" si="0"/>
        <v>223.6</v>
      </c>
      <c r="G63" s="170">
        <f t="shared" si="1"/>
        <v>29.39</v>
      </c>
      <c r="H63" s="211">
        <v>0.85</v>
      </c>
      <c r="I63" s="171">
        <v>75.9</v>
      </c>
      <c r="J63" s="171"/>
      <c r="K63" s="212">
        <f t="shared" si="2"/>
        <v>215.0415</v>
      </c>
      <c r="L63" s="211">
        <f t="shared" si="3"/>
        <v>10829.285</v>
      </c>
      <c r="M63" s="171"/>
      <c r="N63" s="105"/>
      <c r="O63" s="213" t="s">
        <v>1660</v>
      </c>
      <c r="P63" s="213"/>
    </row>
    <row r="64" ht="14.25" spans="1:16">
      <c r="A64" s="215">
        <v>46180</v>
      </c>
      <c r="B64" s="213" t="s">
        <v>99</v>
      </c>
      <c r="C64" s="223">
        <v>0.38</v>
      </c>
      <c r="D64" s="223">
        <v>0.98</v>
      </c>
      <c r="E64" s="171">
        <v>292.563</v>
      </c>
      <c r="F64" s="105">
        <f t="shared" si="0"/>
        <v>258</v>
      </c>
      <c r="G64" s="170">
        <f t="shared" si="1"/>
        <v>34.563</v>
      </c>
      <c r="H64" s="211">
        <v>0.85</v>
      </c>
      <c r="I64" s="171">
        <v>87.77</v>
      </c>
      <c r="J64" s="171"/>
      <c r="K64" s="212">
        <f t="shared" si="2"/>
        <v>248.67855</v>
      </c>
      <c r="L64" s="211">
        <f t="shared" si="3"/>
        <v>10580.60645</v>
      </c>
      <c r="M64" s="171"/>
      <c r="N64" s="105"/>
      <c r="O64" s="213" t="s">
        <v>1660</v>
      </c>
      <c r="P64" s="213"/>
    </row>
    <row r="65" ht="14.25" spans="1:16">
      <c r="A65" s="215">
        <v>46180</v>
      </c>
      <c r="B65" s="213" t="s">
        <v>66</v>
      </c>
      <c r="C65" s="223">
        <v>0.48</v>
      </c>
      <c r="D65" s="223">
        <v>0.98</v>
      </c>
      <c r="E65" s="171">
        <v>232.826</v>
      </c>
      <c r="F65" s="105">
        <f t="shared" si="0"/>
        <v>215</v>
      </c>
      <c r="G65" s="105">
        <f t="shared" si="1"/>
        <v>17.826</v>
      </c>
      <c r="H65" s="211">
        <v>0.85</v>
      </c>
      <c r="I65" s="171">
        <v>69.85</v>
      </c>
      <c r="J65" s="171"/>
      <c r="K65" s="212">
        <f t="shared" si="2"/>
        <v>197.9021</v>
      </c>
      <c r="L65" s="211">
        <f t="shared" si="3"/>
        <v>10382.70435</v>
      </c>
      <c r="M65" s="171"/>
      <c r="N65" s="105"/>
      <c r="O65" s="213" t="s">
        <v>1660</v>
      </c>
      <c r="P65" s="213"/>
    </row>
    <row r="66" ht="14.25" spans="1:16">
      <c r="A66" s="215">
        <v>46180</v>
      </c>
      <c r="B66" s="213" t="s">
        <v>54</v>
      </c>
      <c r="C66" s="223">
        <v>0.3</v>
      </c>
      <c r="D66" s="223">
        <v>0.98</v>
      </c>
      <c r="E66" s="171">
        <v>295.495</v>
      </c>
      <c r="F66" s="105">
        <f t="shared" si="0"/>
        <v>292.4</v>
      </c>
      <c r="G66" s="105">
        <f t="shared" si="1"/>
        <v>3.09500000000003</v>
      </c>
      <c r="H66" s="211">
        <v>0.85</v>
      </c>
      <c r="I66" s="171">
        <v>88.65</v>
      </c>
      <c r="J66" s="171"/>
      <c r="K66" s="212">
        <f t="shared" si="2"/>
        <v>251.17075</v>
      </c>
      <c r="L66" s="211">
        <f t="shared" si="3"/>
        <v>10131.5336</v>
      </c>
      <c r="M66" s="171"/>
      <c r="N66" s="105"/>
      <c r="O66" s="213" t="s">
        <v>1660</v>
      </c>
      <c r="P66" s="213"/>
    </row>
    <row r="67" ht="14.25" spans="1:16">
      <c r="A67" s="215">
        <v>46180</v>
      </c>
      <c r="B67" s="213" t="s">
        <v>78</v>
      </c>
      <c r="C67" s="223">
        <v>0.39</v>
      </c>
      <c r="D67" s="223">
        <v>0.97</v>
      </c>
      <c r="E67" s="171">
        <v>279.402</v>
      </c>
      <c r="F67" s="105">
        <f t="shared" ref="F67:F76" si="5">(D67-C67)*430</f>
        <v>249.4</v>
      </c>
      <c r="G67" s="170">
        <f t="shared" ref="G67:G76" si="6">E67-F67</f>
        <v>30.002</v>
      </c>
      <c r="H67" s="211">
        <v>0.85</v>
      </c>
      <c r="I67" s="171">
        <v>83.82</v>
      </c>
      <c r="J67" s="171"/>
      <c r="K67" s="212">
        <f t="shared" ref="K67:K130" si="7">E67*H67</f>
        <v>237.4917</v>
      </c>
      <c r="L67" s="211">
        <f t="shared" ref="L67:L130" si="8">L66+J67-K67</f>
        <v>9894.04190000001</v>
      </c>
      <c r="M67" s="171"/>
      <c r="N67" s="105"/>
      <c r="O67" s="213" t="s">
        <v>1660</v>
      </c>
      <c r="P67" s="213"/>
    </row>
    <row r="68" ht="14.25" spans="1:16">
      <c r="A68" s="215">
        <v>46180</v>
      </c>
      <c r="B68" s="213" t="s">
        <v>93</v>
      </c>
      <c r="C68" s="223">
        <v>0.45</v>
      </c>
      <c r="D68" s="223">
        <v>0.98</v>
      </c>
      <c r="E68" s="171">
        <v>252.839</v>
      </c>
      <c r="F68" s="105">
        <f t="shared" si="5"/>
        <v>227.9</v>
      </c>
      <c r="G68" s="170">
        <f t="shared" si="6"/>
        <v>24.939</v>
      </c>
      <c r="H68" s="211">
        <v>0.85</v>
      </c>
      <c r="I68" s="171">
        <v>75.85</v>
      </c>
      <c r="J68" s="171"/>
      <c r="K68" s="212">
        <f t="shared" si="7"/>
        <v>214.91315</v>
      </c>
      <c r="L68" s="211">
        <f t="shared" si="8"/>
        <v>9679.12875000001</v>
      </c>
      <c r="M68" s="171"/>
      <c r="N68" s="105"/>
      <c r="O68" s="213" t="s">
        <v>1660</v>
      </c>
      <c r="P68" s="105"/>
    </row>
    <row r="69" ht="14.25" spans="1:16">
      <c r="A69" s="215">
        <v>46180</v>
      </c>
      <c r="B69" s="213" t="s">
        <v>141</v>
      </c>
      <c r="C69" s="223">
        <v>0.82</v>
      </c>
      <c r="D69" s="223">
        <v>0.99</v>
      </c>
      <c r="E69" s="171">
        <v>78.469</v>
      </c>
      <c r="F69" s="105">
        <f t="shared" si="5"/>
        <v>73.1</v>
      </c>
      <c r="G69" s="105">
        <f t="shared" si="6"/>
        <v>5.36899999999997</v>
      </c>
      <c r="H69" s="211">
        <v>0.85</v>
      </c>
      <c r="I69" s="171">
        <v>23.54</v>
      </c>
      <c r="J69" s="171"/>
      <c r="K69" s="212">
        <f t="shared" si="7"/>
        <v>66.69865</v>
      </c>
      <c r="L69" s="211">
        <f t="shared" si="8"/>
        <v>9612.43010000001</v>
      </c>
      <c r="M69" s="171"/>
      <c r="N69" s="105"/>
      <c r="O69" s="213" t="s">
        <v>1660</v>
      </c>
      <c r="P69" s="105"/>
    </row>
    <row r="70" ht="14.25" spans="1:16">
      <c r="A70" s="215">
        <v>46180</v>
      </c>
      <c r="B70" s="213" t="s">
        <v>114</v>
      </c>
      <c r="C70" s="223">
        <v>0.28</v>
      </c>
      <c r="D70" s="223">
        <v>0.99</v>
      </c>
      <c r="E70" s="171">
        <v>301.293</v>
      </c>
      <c r="F70" s="105">
        <f t="shared" si="5"/>
        <v>305.3</v>
      </c>
      <c r="G70" s="105">
        <f t="shared" si="6"/>
        <v>-4.00700000000001</v>
      </c>
      <c r="H70" s="211">
        <v>0.85</v>
      </c>
      <c r="I70" s="171">
        <v>90.39</v>
      </c>
      <c r="J70" s="171"/>
      <c r="K70" s="212">
        <f t="shared" si="7"/>
        <v>256.09905</v>
      </c>
      <c r="L70" s="211">
        <f t="shared" si="8"/>
        <v>9356.33105</v>
      </c>
      <c r="M70" s="171"/>
      <c r="N70" s="105"/>
      <c r="O70" s="213" t="s">
        <v>1660</v>
      </c>
      <c r="P70" s="105"/>
    </row>
    <row r="71" ht="14.25" spans="1:16">
      <c r="A71" s="216">
        <v>46181</v>
      </c>
      <c r="B71" s="217" t="s">
        <v>69</v>
      </c>
      <c r="C71" s="218">
        <v>0.33</v>
      </c>
      <c r="D71" s="218">
        <v>0.98</v>
      </c>
      <c r="E71" s="219">
        <v>318.696</v>
      </c>
      <c r="F71" s="105">
        <f t="shared" si="5"/>
        <v>279.5</v>
      </c>
      <c r="G71" s="170">
        <f t="shared" si="6"/>
        <v>39.1960000000001</v>
      </c>
      <c r="H71" s="211">
        <v>0.85</v>
      </c>
      <c r="I71" s="219">
        <v>95.61</v>
      </c>
      <c r="J71" s="105"/>
      <c r="K71" s="212">
        <f t="shared" si="7"/>
        <v>270.8916</v>
      </c>
      <c r="L71" s="211">
        <f t="shared" si="8"/>
        <v>9085.43945</v>
      </c>
      <c r="M71" s="105"/>
      <c r="N71" s="105"/>
      <c r="O71" s="213" t="s">
        <v>1660</v>
      </c>
      <c r="P71" s="213"/>
    </row>
    <row r="72" ht="14.25" spans="1:16">
      <c r="A72" s="220">
        <v>46181</v>
      </c>
      <c r="B72" s="221" t="s">
        <v>130</v>
      </c>
      <c r="C72" s="218">
        <v>0.3</v>
      </c>
      <c r="D72" s="218">
        <v>0.99</v>
      </c>
      <c r="E72" s="222">
        <v>294.777</v>
      </c>
      <c r="F72" s="105">
        <f t="shared" si="5"/>
        <v>296.7</v>
      </c>
      <c r="G72" s="105">
        <f t="shared" si="6"/>
        <v>-1.923</v>
      </c>
      <c r="H72" s="211">
        <v>0.85</v>
      </c>
      <c r="I72" s="222">
        <v>88.43</v>
      </c>
      <c r="J72" s="105"/>
      <c r="K72" s="212">
        <f t="shared" si="7"/>
        <v>250.56045</v>
      </c>
      <c r="L72" s="211">
        <f t="shared" si="8"/>
        <v>8834.879</v>
      </c>
      <c r="M72" s="105"/>
      <c r="N72" s="105"/>
      <c r="O72" s="213" t="s">
        <v>1660</v>
      </c>
      <c r="P72" s="213"/>
    </row>
    <row r="73" ht="14.25" spans="1:16">
      <c r="A73" s="220">
        <v>46181</v>
      </c>
      <c r="B73" s="221" t="s">
        <v>138</v>
      </c>
      <c r="C73" s="218">
        <v>0.37</v>
      </c>
      <c r="D73" s="218">
        <v>0.99</v>
      </c>
      <c r="E73" s="222">
        <v>281.743</v>
      </c>
      <c r="F73" s="105">
        <f t="shared" si="5"/>
        <v>266.6</v>
      </c>
      <c r="G73" s="105">
        <f t="shared" si="6"/>
        <v>15.143</v>
      </c>
      <c r="H73" s="211">
        <v>0.85</v>
      </c>
      <c r="I73" s="222">
        <v>84.52</v>
      </c>
      <c r="J73" s="105"/>
      <c r="K73" s="212">
        <f t="shared" si="7"/>
        <v>239.48155</v>
      </c>
      <c r="L73" s="211">
        <f t="shared" si="8"/>
        <v>8595.39745</v>
      </c>
      <c r="M73" s="105"/>
      <c r="N73" s="105"/>
      <c r="O73" s="213" t="s">
        <v>1660</v>
      </c>
      <c r="P73" s="213"/>
    </row>
    <row r="74" ht="14.25" spans="1:16">
      <c r="A74" s="220">
        <v>46181</v>
      </c>
      <c r="B74" s="221" t="s">
        <v>63</v>
      </c>
      <c r="C74" s="218">
        <v>0.51</v>
      </c>
      <c r="D74" s="218">
        <v>0.51</v>
      </c>
      <c r="E74" s="222">
        <v>0.398</v>
      </c>
      <c r="F74" s="105">
        <f t="shared" si="5"/>
        <v>0</v>
      </c>
      <c r="G74" s="105">
        <f t="shared" si="6"/>
        <v>0.398</v>
      </c>
      <c r="H74" s="211">
        <v>0.85</v>
      </c>
      <c r="I74" s="222">
        <v>0.12</v>
      </c>
      <c r="J74" s="105"/>
      <c r="K74" s="212">
        <f t="shared" si="7"/>
        <v>0.3383</v>
      </c>
      <c r="L74" s="211">
        <f t="shared" si="8"/>
        <v>8595.05915</v>
      </c>
      <c r="M74" s="105"/>
      <c r="N74" s="105"/>
      <c r="O74" s="213" t="s">
        <v>1660</v>
      </c>
      <c r="P74" s="213"/>
    </row>
    <row r="75" ht="14.25" spans="1:16">
      <c r="A75" s="220">
        <v>46181</v>
      </c>
      <c r="B75" s="221" t="s">
        <v>108</v>
      </c>
      <c r="C75" s="218">
        <v>0.35</v>
      </c>
      <c r="D75" s="218">
        <v>0.85</v>
      </c>
      <c r="E75" s="222">
        <v>244.106</v>
      </c>
      <c r="F75" s="105">
        <f t="shared" si="5"/>
        <v>215</v>
      </c>
      <c r="G75" s="170">
        <f t="shared" si="6"/>
        <v>29.106</v>
      </c>
      <c r="H75" s="211">
        <v>0.85</v>
      </c>
      <c r="I75" s="222">
        <v>73.23</v>
      </c>
      <c r="J75" s="105"/>
      <c r="K75" s="212">
        <f t="shared" si="7"/>
        <v>207.4901</v>
      </c>
      <c r="L75" s="211">
        <f t="shared" si="8"/>
        <v>8387.56905</v>
      </c>
      <c r="M75" s="105"/>
      <c r="N75" s="105"/>
      <c r="O75" s="213" t="s">
        <v>1660</v>
      </c>
      <c r="P75" s="213"/>
    </row>
    <row r="76" ht="14.25" spans="1:16">
      <c r="A76" s="220">
        <v>46181</v>
      </c>
      <c r="B76" s="221" t="s">
        <v>63</v>
      </c>
      <c r="C76" s="218">
        <v>0.51</v>
      </c>
      <c r="D76" s="218">
        <v>0.55</v>
      </c>
      <c r="E76" s="222">
        <v>19.792</v>
      </c>
      <c r="F76" s="105">
        <f t="shared" si="5"/>
        <v>17.2</v>
      </c>
      <c r="G76" s="105">
        <f t="shared" si="6"/>
        <v>2.59199999999998</v>
      </c>
      <c r="H76" s="211">
        <v>0.85</v>
      </c>
      <c r="I76" s="222">
        <v>5.94</v>
      </c>
      <c r="J76" s="105"/>
      <c r="K76" s="212">
        <f t="shared" si="7"/>
        <v>16.8232</v>
      </c>
      <c r="L76" s="211">
        <f t="shared" si="8"/>
        <v>8370.74585</v>
      </c>
      <c r="M76" s="105"/>
      <c r="N76" s="105"/>
      <c r="O76" s="213" t="s">
        <v>1660</v>
      </c>
      <c r="P76" s="213"/>
    </row>
    <row r="77" ht="14.25" spans="1:16">
      <c r="A77" s="216">
        <v>46182</v>
      </c>
      <c r="B77" s="217" t="s">
        <v>108</v>
      </c>
      <c r="C77" s="218">
        <v>0.86</v>
      </c>
      <c r="D77" s="218">
        <v>0.99</v>
      </c>
      <c r="E77" s="219">
        <v>70.622</v>
      </c>
      <c r="F77" s="105">
        <v>55.9</v>
      </c>
      <c r="G77" s="105">
        <v>14.722</v>
      </c>
      <c r="H77" s="211">
        <v>0.85</v>
      </c>
      <c r="I77" s="219">
        <v>21.19</v>
      </c>
      <c r="J77" s="105">
        <v>10000</v>
      </c>
      <c r="K77" s="212">
        <f t="shared" si="7"/>
        <v>60.0287</v>
      </c>
      <c r="L77" s="211">
        <f t="shared" si="8"/>
        <v>18310.71715</v>
      </c>
      <c r="M77" s="105"/>
      <c r="N77" s="105"/>
      <c r="O77" s="213" t="s">
        <v>1660</v>
      </c>
    </row>
    <row r="78" ht="14.25" spans="1:16">
      <c r="A78" s="220">
        <v>46182</v>
      </c>
      <c r="B78" s="221" t="s">
        <v>63</v>
      </c>
      <c r="C78" s="218">
        <v>0.55</v>
      </c>
      <c r="D78" s="218">
        <v>0.98</v>
      </c>
      <c r="E78" s="222">
        <v>201.011</v>
      </c>
      <c r="F78" s="105">
        <v>184.9</v>
      </c>
      <c r="G78" s="105">
        <v>16.111</v>
      </c>
      <c r="H78" s="211">
        <v>0.85</v>
      </c>
      <c r="I78" s="222">
        <v>60.3</v>
      </c>
      <c r="J78" s="105"/>
      <c r="K78" s="212">
        <f t="shared" si="7"/>
        <v>170.85935</v>
      </c>
      <c r="L78" s="211">
        <f t="shared" si="8"/>
        <v>18139.8578</v>
      </c>
      <c r="M78" s="105"/>
      <c r="N78" s="105"/>
      <c r="O78" s="213" t="s">
        <v>1660</v>
      </c>
    </row>
    <row r="79" ht="14.25" spans="1:16">
      <c r="A79" s="220">
        <v>46182</v>
      </c>
      <c r="B79" s="221" t="s">
        <v>135</v>
      </c>
      <c r="C79" s="218">
        <v>0.28</v>
      </c>
      <c r="D79" s="218">
        <v>0.99</v>
      </c>
      <c r="E79" s="222">
        <v>319.354</v>
      </c>
      <c r="F79" s="105">
        <v>305.3</v>
      </c>
      <c r="G79" s="105">
        <v>14.054</v>
      </c>
      <c r="H79" s="211">
        <v>0.85</v>
      </c>
      <c r="I79" s="222">
        <v>95.81</v>
      </c>
      <c r="J79" s="105"/>
      <c r="K79" s="212">
        <f t="shared" si="7"/>
        <v>271.4509</v>
      </c>
      <c r="L79" s="211">
        <f t="shared" si="8"/>
        <v>17868.4069</v>
      </c>
      <c r="M79" s="105"/>
      <c r="N79" s="105"/>
      <c r="O79" s="213" t="s">
        <v>1660</v>
      </c>
    </row>
    <row r="80" ht="14.25" spans="1:16">
      <c r="A80" s="220">
        <v>46182</v>
      </c>
      <c r="B80" s="221" t="s">
        <v>111</v>
      </c>
      <c r="C80" s="218">
        <v>0.22</v>
      </c>
      <c r="D80" s="218">
        <v>0.99</v>
      </c>
      <c r="E80" s="222">
        <v>329.335</v>
      </c>
      <c r="F80" s="105">
        <v>331.1</v>
      </c>
      <c r="G80" s="105">
        <v>-1.76500000000004</v>
      </c>
      <c r="H80" s="211">
        <v>0.85</v>
      </c>
      <c r="I80" s="222">
        <v>98.8</v>
      </c>
      <c r="J80" s="105"/>
      <c r="K80" s="212">
        <f t="shared" si="7"/>
        <v>279.93475</v>
      </c>
      <c r="L80" s="211">
        <f t="shared" si="8"/>
        <v>17588.47215</v>
      </c>
      <c r="M80" s="105"/>
      <c r="N80" s="105"/>
      <c r="O80" s="213" t="s">
        <v>1660</v>
      </c>
    </row>
    <row r="81" ht="14.25" spans="1:16">
      <c r="A81" s="220">
        <v>46182</v>
      </c>
      <c r="B81" s="221" t="s">
        <v>57</v>
      </c>
      <c r="C81" s="218">
        <v>0.19</v>
      </c>
      <c r="D81" s="218">
        <v>0.99</v>
      </c>
      <c r="E81" s="222">
        <v>336.208</v>
      </c>
      <c r="F81" s="105">
        <v>344</v>
      </c>
      <c r="G81" s="105">
        <v>-7.79199999999997</v>
      </c>
      <c r="H81" s="211">
        <v>0.85</v>
      </c>
      <c r="I81" s="222">
        <v>100.86</v>
      </c>
      <c r="J81" s="105"/>
      <c r="K81" s="212">
        <f t="shared" si="7"/>
        <v>285.7768</v>
      </c>
      <c r="L81" s="211">
        <f t="shared" si="8"/>
        <v>17302.69535</v>
      </c>
      <c r="M81" s="105"/>
      <c r="N81" s="105"/>
      <c r="O81" s="213" t="s">
        <v>1660</v>
      </c>
    </row>
    <row r="82" ht="14.25" spans="1:16">
      <c r="A82" s="220">
        <v>46182</v>
      </c>
      <c r="B82" s="221" t="s">
        <v>102</v>
      </c>
      <c r="C82" s="218">
        <v>0.4</v>
      </c>
      <c r="D82" s="218">
        <v>0.98</v>
      </c>
      <c r="E82" s="222">
        <v>282.845</v>
      </c>
      <c r="F82" s="105">
        <v>249.4</v>
      </c>
      <c r="G82" s="170">
        <v>33.4450000000001</v>
      </c>
      <c r="H82" s="211">
        <v>0.85</v>
      </c>
      <c r="I82" s="222">
        <v>84.85</v>
      </c>
      <c r="J82" s="105"/>
      <c r="K82" s="212">
        <f t="shared" si="7"/>
        <v>240.41825</v>
      </c>
      <c r="L82" s="211">
        <f t="shared" si="8"/>
        <v>17062.2771</v>
      </c>
      <c r="M82" s="105"/>
      <c r="N82" s="105"/>
      <c r="O82" s="213" t="s">
        <v>1660</v>
      </c>
    </row>
    <row r="83" ht="14.25" spans="1:16">
      <c r="A83" s="220">
        <v>46182</v>
      </c>
      <c r="B83" s="221" t="s">
        <v>132</v>
      </c>
      <c r="C83" s="218">
        <v>0.31</v>
      </c>
      <c r="D83" s="218">
        <v>0.99</v>
      </c>
      <c r="E83" s="222">
        <v>299.703</v>
      </c>
      <c r="F83" s="105">
        <v>292.4</v>
      </c>
      <c r="G83" s="105">
        <v>7.303</v>
      </c>
      <c r="H83" s="211">
        <v>0.85</v>
      </c>
      <c r="I83" s="222">
        <v>89.91</v>
      </c>
      <c r="J83" s="105"/>
      <c r="K83" s="212">
        <f t="shared" si="7"/>
        <v>254.74755</v>
      </c>
      <c r="L83" s="211">
        <f t="shared" si="8"/>
        <v>16807.52955</v>
      </c>
      <c r="M83" s="105"/>
      <c r="N83" s="105"/>
      <c r="O83" s="213" t="s">
        <v>1660</v>
      </c>
    </row>
    <row r="84" ht="14.25" spans="1:16">
      <c r="A84" s="220">
        <v>46182</v>
      </c>
      <c r="B84" s="221" t="s">
        <v>81</v>
      </c>
      <c r="C84" s="218">
        <v>0.06</v>
      </c>
      <c r="D84" s="218">
        <v>0.98</v>
      </c>
      <c r="E84" s="222">
        <v>427.033</v>
      </c>
      <c r="F84" s="105">
        <v>395.6</v>
      </c>
      <c r="G84" s="170">
        <v>31.433</v>
      </c>
      <c r="H84" s="211">
        <v>0.85</v>
      </c>
      <c r="I84" s="222">
        <v>128.11</v>
      </c>
      <c r="J84" s="105"/>
      <c r="K84" s="212">
        <f t="shared" si="7"/>
        <v>362.97805</v>
      </c>
      <c r="L84" s="211">
        <f t="shared" si="8"/>
        <v>16444.5515</v>
      </c>
      <c r="M84" s="105"/>
      <c r="N84" s="105"/>
      <c r="O84" s="213" t="s">
        <v>1660</v>
      </c>
    </row>
    <row r="85" ht="14.25" spans="1:16">
      <c r="A85" s="220">
        <v>46182</v>
      </c>
      <c r="B85" s="221" t="s">
        <v>144</v>
      </c>
      <c r="C85" s="218">
        <v>0.32</v>
      </c>
      <c r="D85" s="218">
        <v>0.99</v>
      </c>
      <c r="E85" s="222">
        <v>300.851</v>
      </c>
      <c r="F85" s="105">
        <v>288.1</v>
      </c>
      <c r="G85" s="105">
        <v>12.751</v>
      </c>
      <c r="H85" s="211">
        <v>0.85</v>
      </c>
      <c r="I85" s="222">
        <v>90.26</v>
      </c>
      <c r="J85" s="105"/>
      <c r="K85" s="212">
        <f t="shared" si="7"/>
        <v>255.72335</v>
      </c>
      <c r="L85" s="211">
        <f t="shared" si="8"/>
        <v>16188.82815</v>
      </c>
      <c r="M85" s="105"/>
      <c r="N85" s="105"/>
      <c r="O85" s="213" t="s">
        <v>1660</v>
      </c>
    </row>
    <row r="86" ht="14.25" spans="1:16">
      <c r="A86" s="220">
        <v>46182</v>
      </c>
      <c r="B86" s="221" t="s">
        <v>127</v>
      </c>
      <c r="C86" s="218">
        <v>0.37</v>
      </c>
      <c r="D86" s="218">
        <v>0.99</v>
      </c>
      <c r="E86" s="222">
        <v>268.894</v>
      </c>
      <c r="F86" s="105">
        <v>266.6</v>
      </c>
      <c r="G86" s="105">
        <v>2.29399999999998</v>
      </c>
      <c r="H86" s="211">
        <v>0.85</v>
      </c>
      <c r="I86" s="222">
        <v>80.67</v>
      </c>
      <c r="J86" s="105"/>
      <c r="K86" s="212">
        <f t="shared" si="7"/>
        <v>228.5599</v>
      </c>
      <c r="L86" s="211">
        <f t="shared" si="8"/>
        <v>15960.26825</v>
      </c>
      <c r="M86" s="105"/>
      <c r="N86" s="105"/>
      <c r="O86" s="213" t="s">
        <v>1660</v>
      </c>
    </row>
    <row r="87" ht="14.25" spans="1:16">
      <c r="A87" s="220">
        <v>46182</v>
      </c>
      <c r="B87" s="221" t="s">
        <v>72</v>
      </c>
      <c r="C87" s="218">
        <v>0.49</v>
      </c>
      <c r="D87" s="218">
        <v>0.98</v>
      </c>
      <c r="E87" s="222">
        <v>230.117</v>
      </c>
      <c r="F87" s="105">
        <v>210.7</v>
      </c>
      <c r="G87" s="105">
        <v>19.417</v>
      </c>
      <c r="H87" s="211">
        <v>0.85</v>
      </c>
      <c r="I87" s="222">
        <v>69.04</v>
      </c>
      <c r="J87" s="105"/>
      <c r="K87" s="212">
        <f t="shared" si="7"/>
        <v>195.59945</v>
      </c>
      <c r="L87" s="211">
        <f t="shared" si="8"/>
        <v>15764.6688</v>
      </c>
      <c r="M87" s="105"/>
      <c r="N87" s="105"/>
      <c r="O87" s="213" t="s">
        <v>1660</v>
      </c>
    </row>
    <row r="88" ht="14.25" spans="1:16">
      <c r="A88" s="220">
        <v>46182</v>
      </c>
      <c r="B88" s="221" t="s">
        <v>93</v>
      </c>
      <c r="C88" s="218">
        <v>0.4</v>
      </c>
      <c r="D88" s="218">
        <v>0.97</v>
      </c>
      <c r="E88" s="222">
        <v>278.072</v>
      </c>
      <c r="F88" s="105">
        <v>245.1</v>
      </c>
      <c r="G88" s="170">
        <v>32.972</v>
      </c>
      <c r="H88" s="211">
        <v>0.85</v>
      </c>
      <c r="I88" s="222">
        <v>83.42</v>
      </c>
      <c r="J88" s="105"/>
      <c r="K88" s="212">
        <f t="shared" si="7"/>
        <v>236.3612</v>
      </c>
      <c r="L88" s="211">
        <f t="shared" si="8"/>
        <v>15528.3076</v>
      </c>
      <c r="M88" s="105"/>
      <c r="N88" s="105"/>
      <c r="O88" s="213" t="s">
        <v>1660</v>
      </c>
    </row>
    <row r="89" ht="14.25" spans="1:16">
      <c r="A89" s="220">
        <v>46182</v>
      </c>
      <c r="B89" s="221" t="s">
        <v>66</v>
      </c>
      <c r="C89" s="218">
        <v>0.53</v>
      </c>
      <c r="D89" s="218">
        <v>0.98</v>
      </c>
      <c r="E89" s="222">
        <v>216.942</v>
      </c>
      <c r="F89" s="105">
        <v>193.5</v>
      </c>
      <c r="G89" s="170">
        <v>23.442</v>
      </c>
      <c r="H89" s="211">
        <v>0.85</v>
      </c>
      <c r="I89" s="222">
        <v>65.08</v>
      </c>
      <c r="J89" s="105"/>
      <c r="K89" s="212">
        <f t="shared" si="7"/>
        <v>184.4007</v>
      </c>
      <c r="L89" s="211">
        <f t="shared" si="8"/>
        <v>15343.9069</v>
      </c>
      <c r="M89" s="105"/>
      <c r="N89" s="105"/>
      <c r="O89" s="213" t="s">
        <v>1660</v>
      </c>
    </row>
    <row r="90" ht="14.25" spans="1:16">
      <c r="A90" s="207">
        <v>46183</v>
      </c>
      <c r="B90" s="208" t="s">
        <v>117</v>
      </c>
      <c r="C90" s="209">
        <v>0.27</v>
      </c>
      <c r="D90" s="209">
        <v>0.95</v>
      </c>
      <c r="E90" s="210">
        <v>291.149</v>
      </c>
      <c r="F90" s="105">
        <f t="shared" ref="F90:F136" si="9">(D90-C90)*430</f>
        <v>292.4</v>
      </c>
      <c r="G90" s="105">
        <f t="shared" ref="G90:G136" si="10">E90-F90</f>
        <v>-1.25099999999998</v>
      </c>
      <c r="H90" s="211">
        <v>0.85</v>
      </c>
      <c r="I90" s="210">
        <v>87.34</v>
      </c>
      <c r="J90" s="105"/>
      <c r="K90" s="212">
        <f t="shared" si="7"/>
        <v>247.47665</v>
      </c>
      <c r="L90" s="211">
        <f t="shared" si="8"/>
        <v>15096.43025</v>
      </c>
      <c r="M90" s="105"/>
      <c r="N90" s="105"/>
      <c r="O90" s="213" t="s">
        <v>1660</v>
      </c>
      <c r="P90" s="213"/>
    </row>
    <row r="91" ht="14.25" spans="1:16">
      <c r="A91" s="215">
        <v>46183</v>
      </c>
      <c r="B91" s="213" t="s">
        <v>177</v>
      </c>
      <c r="C91" s="209">
        <v>0.27</v>
      </c>
      <c r="D91" s="209">
        <v>0.99</v>
      </c>
      <c r="E91" s="171">
        <v>328.01</v>
      </c>
      <c r="F91" s="105">
        <f t="shared" si="9"/>
        <v>309.6</v>
      </c>
      <c r="G91" s="105">
        <f t="shared" si="10"/>
        <v>18.41</v>
      </c>
      <c r="H91" s="211">
        <v>0.85</v>
      </c>
      <c r="I91" s="171">
        <v>98.4</v>
      </c>
      <c r="J91" s="105"/>
      <c r="K91" s="212">
        <f t="shared" si="7"/>
        <v>278.8085</v>
      </c>
      <c r="L91" s="211">
        <f t="shared" si="8"/>
        <v>14817.62175</v>
      </c>
      <c r="M91" s="105"/>
      <c r="N91" s="105"/>
      <c r="O91" s="213" t="s">
        <v>1660</v>
      </c>
      <c r="P91" s="213"/>
    </row>
    <row r="92" ht="14.25" spans="1:16">
      <c r="A92" s="215">
        <v>46183</v>
      </c>
      <c r="B92" s="213" t="s">
        <v>172</v>
      </c>
      <c r="C92" s="209">
        <v>0.32</v>
      </c>
      <c r="D92" s="209">
        <v>0.99</v>
      </c>
      <c r="E92" s="171">
        <v>286.804</v>
      </c>
      <c r="F92" s="105">
        <f t="shared" si="9"/>
        <v>288.1</v>
      </c>
      <c r="G92" s="105">
        <f t="shared" si="10"/>
        <v>-1.29599999999999</v>
      </c>
      <c r="H92" s="211">
        <v>0.85</v>
      </c>
      <c r="I92" s="171">
        <v>86.04</v>
      </c>
      <c r="J92" s="105"/>
      <c r="K92" s="212">
        <f t="shared" si="7"/>
        <v>243.7834</v>
      </c>
      <c r="L92" s="211">
        <f t="shared" si="8"/>
        <v>14573.83835</v>
      </c>
      <c r="M92" s="105"/>
      <c r="N92" s="105"/>
      <c r="O92" s="213" t="s">
        <v>1660</v>
      </c>
      <c r="P92" s="213"/>
    </row>
    <row r="93" ht="14.25" spans="1:16">
      <c r="A93" s="215">
        <v>46183</v>
      </c>
      <c r="B93" s="213" t="s">
        <v>78</v>
      </c>
      <c r="C93" s="209">
        <v>0.38</v>
      </c>
      <c r="D93" s="209">
        <v>0.98</v>
      </c>
      <c r="E93" s="171">
        <v>286.17</v>
      </c>
      <c r="F93" s="105">
        <f t="shared" si="9"/>
        <v>258</v>
      </c>
      <c r="G93" s="170">
        <f t="shared" si="10"/>
        <v>28.17</v>
      </c>
      <c r="H93" s="211">
        <v>0.85</v>
      </c>
      <c r="I93" s="171">
        <v>85.85</v>
      </c>
      <c r="J93" s="105"/>
      <c r="K93" s="212">
        <f t="shared" si="7"/>
        <v>243.2445</v>
      </c>
      <c r="L93" s="211">
        <f t="shared" si="8"/>
        <v>14330.59385</v>
      </c>
      <c r="M93" s="105"/>
      <c r="N93" s="105"/>
      <c r="O93" s="213" t="s">
        <v>1660</v>
      </c>
      <c r="P93" s="213"/>
    </row>
    <row r="94" ht="14.25" spans="1:16">
      <c r="A94" s="215">
        <v>46183</v>
      </c>
      <c r="B94" s="213" t="s">
        <v>114</v>
      </c>
      <c r="C94" s="209">
        <v>0.26</v>
      </c>
      <c r="D94" s="209">
        <v>0.99</v>
      </c>
      <c r="E94" s="171">
        <v>308.3</v>
      </c>
      <c r="F94" s="105">
        <f t="shared" si="9"/>
        <v>313.9</v>
      </c>
      <c r="G94" s="105">
        <f t="shared" si="10"/>
        <v>-5.59999999999997</v>
      </c>
      <c r="H94" s="211">
        <v>0.85</v>
      </c>
      <c r="I94" s="171">
        <v>92.49</v>
      </c>
      <c r="J94" s="105"/>
      <c r="K94" s="212">
        <f t="shared" si="7"/>
        <v>262.055</v>
      </c>
      <c r="L94" s="211">
        <f t="shared" si="8"/>
        <v>14068.53885</v>
      </c>
      <c r="M94" s="105"/>
      <c r="N94" s="105"/>
      <c r="O94" s="213" t="s">
        <v>1660</v>
      </c>
      <c r="P94" s="213"/>
    </row>
    <row r="95" ht="14.25" spans="1:16">
      <c r="A95" s="215">
        <v>46183</v>
      </c>
      <c r="B95" s="213" t="s">
        <v>66</v>
      </c>
      <c r="C95" s="209">
        <v>0.92</v>
      </c>
      <c r="D95" s="209">
        <v>0.96</v>
      </c>
      <c r="E95" s="171">
        <v>43.084</v>
      </c>
      <c r="F95" s="105">
        <f t="shared" si="9"/>
        <v>17.2</v>
      </c>
      <c r="G95" s="170">
        <f t="shared" si="10"/>
        <v>25.884</v>
      </c>
      <c r="H95" s="211">
        <v>0.85</v>
      </c>
      <c r="I95" s="171">
        <v>12.93</v>
      </c>
      <c r="J95" s="105"/>
      <c r="K95" s="212">
        <f t="shared" si="7"/>
        <v>36.6214</v>
      </c>
      <c r="L95" s="211">
        <f t="shared" si="8"/>
        <v>14031.91745</v>
      </c>
      <c r="M95" s="105"/>
      <c r="N95" s="105"/>
      <c r="O95" s="213" t="s">
        <v>1660</v>
      </c>
      <c r="P95" s="213"/>
    </row>
    <row r="96" ht="14.25" spans="1:16">
      <c r="A96" s="215">
        <v>46183</v>
      </c>
      <c r="B96" s="213" t="s">
        <v>124</v>
      </c>
      <c r="C96" s="209">
        <v>0.43</v>
      </c>
      <c r="D96" s="209">
        <v>0.99</v>
      </c>
      <c r="E96" s="171">
        <v>249.189</v>
      </c>
      <c r="F96" s="105">
        <f t="shared" si="9"/>
        <v>240.8</v>
      </c>
      <c r="G96" s="105">
        <f t="shared" si="10"/>
        <v>8.38899999999998</v>
      </c>
      <c r="H96" s="211">
        <v>0.85</v>
      </c>
      <c r="I96" s="171">
        <v>74.76</v>
      </c>
      <c r="J96" s="105"/>
      <c r="K96" s="212">
        <f t="shared" si="7"/>
        <v>211.81065</v>
      </c>
      <c r="L96" s="211">
        <f t="shared" si="8"/>
        <v>13820.1068</v>
      </c>
      <c r="M96" s="105"/>
      <c r="N96" s="105"/>
      <c r="O96" s="213" t="s">
        <v>1660</v>
      </c>
      <c r="P96" s="213"/>
    </row>
    <row r="97" ht="14.25" spans="1:15">
      <c r="A97" s="216">
        <v>46184</v>
      </c>
      <c r="B97" s="217" t="s">
        <v>105</v>
      </c>
      <c r="C97" s="218">
        <v>0.52</v>
      </c>
      <c r="D97" s="218">
        <v>0.98</v>
      </c>
      <c r="E97" s="219">
        <v>209.42</v>
      </c>
      <c r="F97" s="105">
        <f t="shared" si="9"/>
        <v>197.8</v>
      </c>
      <c r="G97" s="105">
        <f t="shared" si="10"/>
        <v>11.62</v>
      </c>
      <c r="H97" s="211">
        <v>0.85</v>
      </c>
      <c r="I97" s="219">
        <v>62.83</v>
      </c>
      <c r="J97" s="219"/>
      <c r="K97" s="212">
        <f t="shared" si="7"/>
        <v>178.007</v>
      </c>
      <c r="L97" s="211">
        <f t="shared" si="8"/>
        <v>13642.0998</v>
      </c>
      <c r="M97" s="219"/>
      <c r="O97" s="213" t="s">
        <v>1660</v>
      </c>
    </row>
    <row r="98" ht="14.25" spans="1:15">
      <c r="A98" s="220">
        <v>46184</v>
      </c>
      <c r="B98" s="221" t="s">
        <v>138</v>
      </c>
      <c r="C98" s="218">
        <v>0.42</v>
      </c>
      <c r="D98" s="218">
        <v>0.99</v>
      </c>
      <c r="E98" s="222">
        <v>243.022</v>
      </c>
      <c r="F98" s="105">
        <f t="shared" si="9"/>
        <v>245.1</v>
      </c>
      <c r="G98" s="105">
        <f t="shared" si="10"/>
        <v>-2.07800000000003</v>
      </c>
      <c r="H98" s="211">
        <v>0.85</v>
      </c>
      <c r="I98" s="222">
        <v>72.91</v>
      </c>
      <c r="J98" s="222"/>
      <c r="K98" s="212">
        <f t="shared" si="7"/>
        <v>206.5687</v>
      </c>
      <c r="L98" s="211">
        <f t="shared" si="8"/>
        <v>13435.5311</v>
      </c>
      <c r="M98" s="222"/>
      <c r="O98" s="213" t="s">
        <v>1660</v>
      </c>
    </row>
    <row r="99" ht="14.25" spans="1:15">
      <c r="A99" s="220">
        <v>46184</v>
      </c>
      <c r="B99" s="221" t="s">
        <v>130</v>
      </c>
      <c r="C99" s="218">
        <v>0.35</v>
      </c>
      <c r="D99" s="218">
        <v>0.99</v>
      </c>
      <c r="E99" s="222">
        <v>267.162</v>
      </c>
      <c r="F99" s="105">
        <f t="shared" si="9"/>
        <v>275.2</v>
      </c>
      <c r="G99" s="105">
        <f t="shared" si="10"/>
        <v>-8.03800000000001</v>
      </c>
      <c r="H99" s="211">
        <v>0.85</v>
      </c>
      <c r="I99" s="222">
        <v>80.15</v>
      </c>
      <c r="J99" s="222"/>
      <c r="K99" s="212">
        <f t="shared" si="7"/>
        <v>227.0877</v>
      </c>
      <c r="L99" s="211">
        <f t="shared" si="8"/>
        <v>13208.4434</v>
      </c>
      <c r="M99" s="222"/>
      <c r="O99" s="213" t="s">
        <v>1660</v>
      </c>
    </row>
    <row r="100" ht="14.25" spans="1:15">
      <c r="A100" s="220">
        <v>46184</v>
      </c>
      <c r="B100" s="221" t="s">
        <v>102</v>
      </c>
      <c r="C100" s="218">
        <v>0.39</v>
      </c>
      <c r="D100" s="218">
        <v>0.98</v>
      </c>
      <c r="E100" s="222">
        <v>275.724</v>
      </c>
      <c r="F100" s="105">
        <f t="shared" si="9"/>
        <v>253.7</v>
      </c>
      <c r="G100" s="105">
        <f t="shared" si="10"/>
        <v>22.024</v>
      </c>
      <c r="H100" s="211">
        <v>0.85</v>
      </c>
      <c r="I100" s="222">
        <v>82.72</v>
      </c>
      <c r="J100" s="222"/>
      <c r="K100" s="212">
        <f t="shared" si="7"/>
        <v>234.3654</v>
      </c>
      <c r="L100" s="211">
        <f t="shared" si="8"/>
        <v>12974.078</v>
      </c>
      <c r="M100" s="222"/>
      <c r="O100" s="213" t="s">
        <v>1660</v>
      </c>
    </row>
    <row r="101" ht="14.25" spans="1:15">
      <c r="A101" s="220">
        <v>46184</v>
      </c>
      <c r="B101" s="221" t="s">
        <v>57</v>
      </c>
      <c r="C101" s="218">
        <v>0.24</v>
      </c>
      <c r="D101" s="218">
        <v>0.99</v>
      </c>
      <c r="E101" s="222">
        <v>313.418</v>
      </c>
      <c r="F101" s="105">
        <f t="shared" si="9"/>
        <v>322.5</v>
      </c>
      <c r="G101" s="105">
        <f t="shared" si="10"/>
        <v>-9.08199999999999</v>
      </c>
      <c r="H101" s="211">
        <v>0.85</v>
      </c>
      <c r="I101" s="222">
        <v>94.03</v>
      </c>
      <c r="J101" s="222"/>
      <c r="K101" s="212">
        <f t="shared" si="7"/>
        <v>266.4053</v>
      </c>
      <c r="L101" s="211">
        <f t="shared" si="8"/>
        <v>12707.6727</v>
      </c>
      <c r="M101" s="222"/>
      <c r="O101" s="213" t="s">
        <v>1660</v>
      </c>
    </row>
    <row r="102" ht="14.25" spans="1:15">
      <c r="A102" s="220">
        <v>46184</v>
      </c>
      <c r="B102" s="221" t="s">
        <v>135</v>
      </c>
      <c r="C102" s="218">
        <v>0.39</v>
      </c>
      <c r="D102" s="218">
        <v>0.99</v>
      </c>
      <c r="E102" s="222">
        <v>272.178</v>
      </c>
      <c r="F102" s="105">
        <f t="shared" si="9"/>
        <v>258</v>
      </c>
      <c r="G102" s="105">
        <f t="shared" si="10"/>
        <v>14.178</v>
      </c>
      <c r="H102" s="211">
        <v>0.85</v>
      </c>
      <c r="I102" s="222">
        <v>81.65</v>
      </c>
      <c r="J102" s="222"/>
      <c r="K102" s="212">
        <f t="shared" si="7"/>
        <v>231.3513</v>
      </c>
      <c r="L102" s="211">
        <f t="shared" si="8"/>
        <v>12476.3214</v>
      </c>
      <c r="M102" s="222"/>
      <c r="O102" s="213" t="s">
        <v>1660</v>
      </c>
    </row>
    <row r="103" ht="14.25" spans="1:15">
      <c r="A103" s="220">
        <v>46184</v>
      </c>
      <c r="B103" s="221" t="s">
        <v>180</v>
      </c>
      <c r="C103" s="218">
        <v>0.34</v>
      </c>
      <c r="D103" s="218">
        <v>0.49</v>
      </c>
      <c r="E103" s="222">
        <v>69.242</v>
      </c>
      <c r="F103" s="105">
        <f t="shared" si="9"/>
        <v>64.5</v>
      </c>
      <c r="G103" s="105">
        <f t="shared" si="10"/>
        <v>4.74200000000002</v>
      </c>
      <c r="H103" s="211">
        <v>0.85</v>
      </c>
      <c r="I103" s="222">
        <v>20.77</v>
      </c>
      <c r="J103" s="222"/>
      <c r="K103" s="212">
        <f t="shared" si="7"/>
        <v>58.8557</v>
      </c>
      <c r="L103" s="211">
        <f t="shared" si="8"/>
        <v>12417.4657</v>
      </c>
      <c r="M103" s="222"/>
      <c r="O103" s="213" t="s">
        <v>1660</v>
      </c>
    </row>
    <row r="104" ht="14.25" spans="1:15">
      <c r="A104" s="220">
        <v>46184</v>
      </c>
      <c r="B104" s="221" t="s">
        <v>180</v>
      </c>
      <c r="C104" s="218">
        <v>0.49</v>
      </c>
      <c r="D104" s="218">
        <v>0.77</v>
      </c>
      <c r="E104" s="222">
        <v>127.658</v>
      </c>
      <c r="F104" s="105">
        <f t="shared" si="9"/>
        <v>120.4</v>
      </c>
      <c r="G104" s="105">
        <f t="shared" si="10"/>
        <v>7.258</v>
      </c>
      <c r="H104" s="211">
        <v>0.85</v>
      </c>
      <c r="I104" s="222">
        <v>38.3</v>
      </c>
      <c r="J104" s="222"/>
      <c r="K104" s="212">
        <f t="shared" si="7"/>
        <v>108.5093</v>
      </c>
      <c r="L104" s="211">
        <f t="shared" si="8"/>
        <v>12308.9564</v>
      </c>
      <c r="M104" s="222"/>
      <c r="O104" s="213" t="s">
        <v>1660</v>
      </c>
    </row>
    <row r="105" ht="14.25" spans="1:15">
      <c r="A105" s="220">
        <v>46184</v>
      </c>
      <c r="B105" s="221" t="s">
        <v>151</v>
      </c>
      <c r="C105" s="218">
        <v>0.27</v>
      </c>
      <c r="D105" s="218">
        <v>0.99</v>
      </c>
      <c r="E105" s="222">
        <v>326.986</v>
      </c>
      <c r="F105" s="105">
        <f t="shared" si="9"/>
        <v>309.6</v>
      </c>
      <c r="G105" s="105">
        <f t="shared" si="10"/>
        <v>17.386</v>
      </c>
      <c r="H105" s="211">
        <v>0.85</v>
      </c>
      <c r="I105" s="222">
        <v>98.1</v>
      </c>
      <c r="J105" s="222"/>
      <c r="K105" s="212">
        <f t="shared" si="7"/>
        <v>277.9381</v>
      </c>
      <c r="L105" s="211">
        <f t="shared" si="8"/>
        <v>12031.0183</v>
      </c>
      <c r="M105" s="222"/>
      <c r="O105" s="213" t="s">
        <v>1660</v>
      </c>
    </row>
    <row r="106" ht="14.25" spans="1:15">
      <c r="A106" s="220">
        <v>46184</v>
      </c>
      <c r="B106" s="221" t="s">
        <v>144</v>
      </c>
      <c r="C106" s="218">
        <v>0.32</v>
      </c>
      <c r="D106" s="218">
        <v>0.99</v>
      </c>
      <c r="E106" s="222">
        <v>308.22</v>
      </c>
      <c r="F106" s="105">
        <f t="shared" si="9"/>
        <v>288.1</v>
      </c>
      <c r="G106" s="105">
        <f t="shared" si="10"/>
        <v>20.1200000000001</v>
      </c>
      <c r="H106" s="211">
        <v>0.85</v>
      </c>
      <c r="I106" s="222">
        <v>92.47</v>
      </c>
      <c r="J106" s="222"/>
      <c r="K106" s="212">
        <f t="shared" si="7"/>
        <v>261.987</v>
      </c>
      <c r="L106" s="211">
        <f t="shared" si="8"/>
        <v>11769.0313</v>
      </c>
      <c r="M106" s="222"/>
      <c r="O106" s="213" t="s">
        <v>1660</v>
      </c>
    </row>
    <row r="107" ht="14.25" spans="1:15">
      <c r="A107" s="220">
        <v>46184</v>
      </c>
      <c r="B107" s="221" t="s">
        <v>72</v>
      </c>
      <c r="C107" s="218">
        <v>0.51</v>
      </c>
      <c r="D107" s="218">
        <v>0.98</v>
      </c>
      <c r="E107" s="222">
        <v>220.83</v>
      </c>
      <c r="F107" s="105">
        <f t="shared" si="9"/>
        <v>202.1</v>
      </c>
      <c r="G107" s="105">
        <f t="shared" si="10"/>
        <v>18.73</v>
      </c>
      <c r="H107" s="211">
        <v>0.85</v>
      </c>
      <c r="I107" s="222">
        <v>66.25</v>
      </c>
      <c r="J107" s="222"/>
      <c r="K107" s="212">
        <f t="shared" si="7"/>
        <v>187.7055</v>
      </c>
      <c r="L107" s="211">
        <f t="shared" si="8"/>
        <v>11581.3258</v>
      </c>
      <c r="M107" s="222"/>
      <c r="O107" s="213" t="s">
        <v>1660</v>
      </c>
    </row>
    <row r="108" ht="14.25" spans="1:15">
      <c r="A108" s="220">
        <v>46184</v>
      </c>
      <c r="B108" s="221" t="s">
        <v>172</v>
      </c>
      <c r="C108" s="218">
        <v>0.43</v>
      </c>
      <c r="D108" s="218">
        <v>0.99</v>
      </c>
      <c r="E108" s="222">
        <v>240.798</v>
      </c>
      <c r="F108" s="105">
        <f t="shared" si="9"/>
        <v>240.8</v>
      </c>
      <c r="G108" s="105">
        <f t="shared" si="10"/>
        <v>-0.00200000000000955</v>
      </c>
      <c r="H108" s="211">
        <v>0.85</v>
      </c>
      <c r="I108" s="222">
        <v>72.24</v>
      </c>
      <c r="J108" s="222"/>
      <c r="K108" s="212">
        <f t="shared" si="7"/>
        <v>204.6783</v>
      </c>
      <c r="L108" s="211">
        <f t="shared" si="8"/>
        <v>11376.6475</v>
      </c>
      <c r="M108" s="222"/>
      <c r="O108" s="213" t="s">
        <v>1660</v>
      </c>
    </row>
    <row r="109" ht="14.25" spans="1:15">
      <c r="A109" s="216">
        <v>46185</v>
      </c>
      <c r="B109" s="217" t="s">
        <v>141</v>
      </c>
      <c r="C109" s="224">
        <v>0.17</v>
      </c>
      <c r="D109" s="224">
        <v>0.99</v>
      </c>
      <c r="E109" s="219">
        <v>372.244</v>
      </c>
      <c r="F109" s="105">
        <f t="shared" si="9"/>
        <v>352.6</v>
      </c>
      <c r="G109" s="105">
        <f t="shared" si="10"/>
        <v>19.6440000000001</v>
      </c>
      <c r="H109" s="211">
        <v>0.85</v>
      </c>
      <c r="I109" s="219">
        <v>111.67</v>
      </c>
      <c r="J109" s="219"/>
      <c r="K109" s="212">
        <f t="shared" si="7"/>
        <v>316.4074</v>
      </c>
      <c r="L109" s="211">
        <f t="shared" si="8"/>
        <v>11060.2401</v>
      </c>
      <c r="M109" s="219"/>
      <c r="O109" s="213" t="s">
        <v>1660</v>
      </c>
    </row>
    <row r="110" ht="14.25" spans="1:15">
      <c r="A110" s="220">
        <v>46185</v>
      </c>
      <c r="B110" s="221" t="s">
        <v>130</v>
      </c>
      <c r="C110" s="224">
        <v>0.79</v>
      </c>
      <c r="D110" s="224">
        <v>0.99</v>
      </c>
      <c r="E110" s="222">
        <v>88.06</v>
      </c>
      <c r="F110" s="105">
        <f t="shared" si="9"/>
        <v>86</v>
      </c>
      <c r="G110" s="105">
        <f t="shared" si="10"/>
        <v>2.06000000000002</v>
      </c>
      <c r="H110" s="211">
        <v>0.85</v>
      </c>
      <c r="I110" s="222">
        <v>26.42</v>
      </c>
      <c r="J110" s="222"/>
      <c r="K110" s="212">
        <f t="shared" si="7"/>
        <v>74.851</v>
      </c>
      <c r="L110" s="211">
        <f t="shared" si="8"/>
        <v>10985.3891</v>
      </c>
      <c r="M110" s="222"/>
      <c r="O110" s="213" t="s">
        <v>1660</v>
      </c>
    </row>
    <row r="111" ht="14.25" spans="1:15">
      <c r="A111" s="220">
        <v>46185</v>
      </c>
      <c r="B111" s="221" t="s">
        <v>138</v>
      </c>
      <c r="C111" s="224">
        <v>0.89</v>
      </c>
      <c r="D111" s="224">
        <v>0.99</v>
      </c>
      <c r="E111" s="222">
        <v>49.7</v>
      </c>
      <c r="F111" s="105">
        <f t="shared" si="9"/>
        <v>43</v>
      </c>
      <c r="G111" s="105">
        <f t="shared" si="10"/>
        <v>6.70000000000001</v>
      </c>
      <c r="H111" s="211">
        <v>0.85</v>
      </c>
      <c r="I111" s="222">
        <v>14.91</v>
      </c>
      <c r="J111" s="222"/>
      <c r="K111" s="212">
        <f t="shared" si="7"/>
        <v>42.245</v>
      </c>
      <c r="L111" s="211">
        <f t="shared" si="8"/>
        <v>10943.1441</v>
      </c>
      <c r="M111" s="222"/>
      <c r="O111" s="213" t="s">
        <v>1660</v>
      </c>
    </row>
    <row r="112" ht="14.25" spans="1:15">
      <c r="A112" s="220">
        <v>46185</v>
      </c>
      <c r="B112" s="221" t="s">
        <v>66</v>
      </c>
      <c r="C112" s="224">
        <v>0.47</v>
      </c>
      <c r="D112" s="224">
        <v>0.98</v>
      </c>
      <c r="E112" s="222">
        <v>247.164</v>
      </c>
      <c r="F112" s="105">
        <f t="shared" si="9"/>
        <v>219.3</v>
      </c>
      <c r="G112" s="105">
        <f t="shared" si="10"/>
        <v>27.864</v>
      </c>
      <c r="H112" s="211">
        <v>0.85</v>
      </c>
      <c r="I112" s="222">
        <v>74.15</v>
      </c>
      <c r="J112" s="222"/>
      <c r="K112" s="212">
        <f t="shared" si="7"/>
        <v>210.0894</v>
      </c>
      <c r="L112" s="211">
        <f t="shared" si="8"/>
        <v>10733.0547</v>
      </c>
      <c r="M112" s="222"/>
      <c r="O112" s="213" t="s">
        <v>1660</v>
      </c>
    </row>
    <row r="113" ht="14.25" spans="1:15">
      <c r="A113" s="220">
        <v>46185</v>
      </c>
      <c r="B113" s="221" t="s">
        <v>93</v>
      </c>
      <c r="C113" s="224">
        <v>0.43</v>
      </c>
      <c r="D113" s="224">
        <v>0.98</v>
      </c>
      <c r="E113" s="222">
        <v>273.382</v>
      </c>
      <c r="F113" s="105">
        <f t="shared" si="9"/>
        <v>236.5</v>
      </c>
      <c r="G113" s="105">
        <f t="shared" si="10"/>
        <v>36.882</v>
      </c>
      <c r="H113" s="211">
        <v>0.85</v>
      </c>
      <c r="I113" s="222">
        <v>82.01</v>
      </c>
      <c r="J113" s="222"/>
      <c r="K113" s="212">
        <f t="shared" si="7"/>
        <v>232.3747</v>
      </c>
      <c r="L113" s="211">
        <f t="shared" si="8"/>
        <v>10500.68</v>
      </c>
      <c r="M113" s="222"/>
      <c r="O113" s="213" t="s">
        <v>1660</v>
      </c>
    </row>
    <row r="114" ht="14.25" spans="1:15">
      <c r="A114" s="220">
        <v>46185</v>
      </c>
      <c r="B114" s="221" t="s">
        <v>99</v>
      </c>
      <c r="C114" s="224">
        <v>0.38</v>
      </c>
      <c r="D114" s="224">
        <v>0.98</v>
      </c>
      <c r="E114" s="222">
        <v>307.014</v>
      </c>
      <c r="F114" s="105">
        <f t="shared" si="9"/>
        <v>258</v>
      </c>
      <c r="G114" s="105">
        <f t="shared" si="10"/>
        <v>49.014</v>
      </c>
      <c r="H114" s="211">
        <v>0.85</v>
      </c>
      <c r="I114" s="222">
        <v>92.1</v>
      </c>
      <c r="J114" s="222"/>
      <c r="K114" s="212">
        <f t="shared" si="7"/>
        <v>260.9619</v>
      </c>
      <c r="L114" s="211">
        <f t="shared" si="8"/>
        <v>10239.7181</v>
      </c>
      <c r="M114" s="222"/>
      <c r="O114" s="213" t="s">
        <v>1660</v>
      </c>
    </row>
    <row r="115" ht="14.25" spans="1:15">
      <c r="A115" s="220">
        <v>46185</v>
      </c>
      <c r="B115" s="221" t="s">
        <v>177</v>
      </c>
      <c r="C115" s="224">
        <v>0.32</v>
      </c>
      <c r="D115" s="224">
        <v>0.99</v>
      </c>
      <c r="E115" s="222">
        <v>284.654</v>
      </c>
      <c r="F115" s="105">
        <f t="shared" si="9"/>
        <v>288.1</v>
      </c>
      <c r="G115" s="105">
        <f t="shared" si="10"/>
        <v>-3.44599999999997</v>
      </c>
      <c r="H115" s="211">
        <v>0.85</v>
      </c>
      <c r="I115" s="222">
        <v>85.4</v>
      </c>
      <c r="J115" s="222"/>
      <c r="K115" s="212">
        <f t="shared" si="7"/>
        <v>241.9559</v>
      </c>
      <c r="L115" s="211">
        <f t="shared" si="8"/>
        <v>9997.7622</v>
      </c>
      <c r="M115" s="222"/>
      <c r="O115" s="213" t="s">
        <v>1660</v>
      </c>
    </row>
    <row r="116" ht="14.25" spans="1:15">
      <c r="A116" s="220">
        <v>46185</v>
      </c>
      <c r="B116" s="221" t="s">
        <v>111</v>
      </c>
      <c r="C116" s="224">
        <v>0.37</v>
      </c>
      <c r="D116" s="224">
        <v>0.99</v>
      </c>
      <c r="E116" s="222">
        <v>265.364</v>
      </c>
      <c r="F116" s="105">
        <f t="shared" si="9"/>
        <v>266.6</v>
      </c>
      <c r="G116" s="105">
        <f t="shared" si="10"/>
        <v>-1.23600000000005</v>
      </c>
      <c r="H116" s="211">
        <v>0.85</v>
      </c>
      <c r="I116" s="222">
        <v>79.61</v>
      </c>
      <c r="J116" s="222"/>
      <c r="K116" s="212">
        <f t="shared" si="7"/>
        <v>225.5594</v>
      </c>
      <c r="L116" s="211">
        <f t="shared" si="8"/>
        <v>9772.2028</v>
      </c>
      <c r="M116" s="222"/>
      <c r="O116" s="213" t="s">
        <v>1660</v>
      </c>
    </row>
    <row r="117" ht="14.25" spans="1:15">
      <c r="A117" s="220">
        <v>46185</v>
      </c>
      <c r="B117" s="221" t="s">
        <v>69</v>
      </c>
      <c r="C117" s="224">
        <v>0.09</v>
      </c>
      <c r="D117" s="224">
        <v>0.98</v>
      </c>
      <c r="E117" s="222">
        <v>425.966</v>
      </c>
      <c r="F117" s="105">
        <f t="shared" si="9"/>
        <v>382.7</v>
      </c>
      <c r="G117" s="105">
        <f t="shared" si="10"/>
        <v>43.266</v>
      </c>
      <c r="H117" s="211">
        <v>0.85</v>
      </c>
      <c r="I117" s="222">
        <v>127.79</v>
      </c>
      <c r="J117" s="222"/>
      <c r="K117" s="212">
        <f t="shared" si="7"/>
        <v>362.0711</v>
      </c>
      <c r="L117" s="211">
        <f t="shared" si="8"/>
        <v>9410.1317</v>
      </c>
      <c r="M117" s="222"/>
      <c r="O117" s="213" t="s">
        <v>1660</v>
      </c>
    </row>
    <row r="118" ht="14.25" spans="1:15">
      <c r="A118" s="220">
        <v>46185</v>
      </c>
      <c r="B118" s="221" t="s">
        <v>180</v>
      </c>
      <c r="C118" s="224">
        <v>0.4</v>
      </c>
      <c r="D118" s="224">
        <v>0.97</v>
      </c>
      <c r="E118" s="222">
        <v>255.6</v>
      </c>
      <c r="F118" s="105">
        <f t="shared" si="9"/>
        <v>245.1</v>
      </c>
      <c r="G118" s="105">
        <f t="shared" si="10"/>
        <v>10.5</v>
      </c>
      <c r="H118" s="211">
        <v>0.85</v>
      </c>
      <c r="I118" s="222">
        <v>76.68</v>
      </c>
      <c r="J118" s="222"/>
      <c r="K118" s="212">
        <f t="shared" si="7"/>
        <v>217.26</v>
      </c>
      <c r="L118" s="211">
        <f t="shared" si="8"/>
        <v>9192.8717</v>
      </c>
      <c r="M118" s="222"/>
      <c r="O118" s="213" t="s">
        <v>1660</v>
      </c>
    </row>
    <row r="119" ht="14.25" spans="1:15">
      <c r="A119" s="216">
        <v>46186</v>
      </c>
      <c r="B119" s="217" t="s">
        <v>117</v>
      </c>
      <c r="C119" s="224">
        <v>0.23</v>
      </c>
      <c r="D119" s="224">
        <v>0.99</v>
      </c>
      <c r="E119" s="219">
        <v>326.814</v>
      </c>
      <c r="F119" s="105">
        <f t="shared" si="9"/>
        <v>326.8</v>
      </c>
      <c r="G119" s="105">
        <f t="shared" si="10"/>
        <v>0.01400000000001</v>
      </c>
      <c r="H119" s="211">
        <v>0.85</v>
      </c>
      <c r="I119" s="219">
        <v>98.04</v>
      </c>
      <c r="K119" s="212">
        <f t="shared" si="7"/>
        <v>277.7919</v>
      </c>
      <c r="L119" s="211">
        <f t="shared" si="8"/>
        <v>8915.0798</v>
      </c>
      <c r="O119" s="213" t="s">
        <v>1660</v>
      </c>
    </row>
    <row r="120" ht="14.25" spans="1:15">
      <c r="A120" s="220">
        <v>46186</v>
      </c>
      <c r="B120" s="221" t="s">
        <v>127</v>
      </c>
      <c r="C120" s="224">
        <v>0.24</v>
      </c>
      <c r="D120" s="224">
        <v>0.99</v>
      </c>
      <c r="E120" s="222">
        <v>323.884</v>
      </c>
      <c r="F120" s="105">
        <f t="shared" si="9"/>
        <v>322.5</v>
      </c>
      <c r="G120" s="105">
        <f t="shared" si="10"/>
        <v>1.38400000000001</v>
      </c>
      <c r="H120" s="211">
        <v>0.85</v>
      </c>
      <c r="I120" s="222">
        <v>97.17</v>
      </c>
      <c r="K120" s="212">
        <f t="shared" si="7"/>
        <v>275.3014</v>
      </c>
      <c r="L120" s="211">
        <f t="shared" si="8"/>
        <v>8639.7784</v>
      </c>
      <c r="O120" s="213" t="s">
        <v>1660</v>
      </c>
    </row>
    <row r="121" ht="14.25" spans="1:15">
      <c r="A121" s="220">
        <v>46186</v>
      </c>
      <c r="B121" s="221" t="s">
        <v>57</v>
      </c>
      <c r="C121" s="224">
        <v>0.23</v>
      </c>
      <c r="D121" s="224">
        <v>0.99</v>
      </c>
      <c r="E121" s="222">
        <v>320.144</v>
      </c>
      <c r="F121" s="105">
        <f t="shared" si="9"/>
        <v>326.8</v>
      </c>
      <c r="G121" s="105">
        <f t="shared" si="10"/>
        <v>-6.65600000000001</v>
      </c>
      <c r="H121" s="211">
        <v>0.85</v>
      </c>
      <c r="I121" s="222">
        <v>96.04</v>
      </c>
      <c r="K121" s="212">
        <f t="shared" si="7"/>
        <v>272.1224</v>
      </c>
      <c r="L121" s="211">
        <f t="shared" si="8"/>
        <v>8367.656</v>
      </c>
      <c r="O121" s="213" t="s">
        <v>1660</v>
      </c>
    </row>
    <row r="122" ht="14.25" spans="1:15">
      <c r="A122" s="220">
        <v>46186</v>
      </c>
      <c r="B122" s="221" t="s">
        <v>148</v>
      </c>
      <c r="C122" s="224">
        <v>0.27</v>
      </c>
      <c r="D122" s="224">
        <v>0.99</v>
      </c>
      <c r="E122" s="222">
        <v>330.296</v>
      </c>
      <c r="F122" s="105">
        <f t="shared" si="9"/>
        <v>309.6</v>
      </c>
      <c r="G122" s="105">
        <f t="shared" si="10"/>
        <v>20.696</v>
      </c>
      <c r="H122" s="211">
        <v>0.85</v>
      </c>
      <c r="I122" s="222">
        <v>99.09</v>
      </c>
      <c r="K122" s="212">
        <f t="shared" si="7"/>
        <v>280.7516</v>
      </c>
      <c r="L122" s="211">
        <f t="shared" si="8"/>
        <v>8086.9044</v>
      </c>
      <c r="O122" s="213" t="s">
        <v>1660</v>
      </c>
    </row>
    <row r="123" ht="14.25" spans="1:15">
      <c r="A123" s="220">
        <v>46186</v>
      </c>
      <c r="B123" s="221" t="s">
        <v>102</v>
      </c>
      <c r="C123" s="224">
        <v>0.39</v>
      </c>
      <c r="D123" s="224">
        <v>0.98</v>
      </c>
      <c r="E123" s="222">
        <v>285.372</v>
      </c>
      <c r="F123" s="105">
        <f t="shared" si="9"/>
        <v>253.7</v>
      </c>
      <c r="G123" s="105">
        <f t="shared" si="10"/>
        <v>31.672</v>
      </c>
      <c r="H123" s="211">
        <v>0.85</v>
      </c>
      <c r="I123" s="222">
        <v>85.61</v>
      </c>
      <c r="K123" s="212">
        <f t="shared" si="7"/>
        <v>242.5662</v>
      </c>
      <c r="L123" s="211">
        <f t="shared" si="8"/>
        <v>7844.3382</v>
      </c>
      <c r="O123" s="213" t="s">
        <v>1660</v>
      </c>
    </row>
    <row r="124" ht="14.25" spans="1:15">
      <c r="A124" s="220">
        <v>46186</v>
      </c>
      <c r="B124" s="221" t="s">
        <v>166</v>
      </c>
      <c r="C124" s="224">
        <v>0.36</v>
      </c>
      <c r="D124" s="224">
        <v>0.97</v>
      </c>
      <c r="E124" s="222">
        <v>275.302</v>
      </c>
      <c r="F124" s="105">
        <f t="shared" si="9"/>
        <v>262.3</v>
      </c>
      <c r="G124" s="105">
        <f t="shared" si="10"/>
        <v>13.002</v>
      </c>
      <c r="H124" s="211">
        <v>0.85</v>
      </c>
      <c r="I124" s="222">
        <v>82.59</v>
      </c>
      <c r="K124" s="212">
        <f t="shared" si="7"/>
        <v>234.0067</v>
      </c>
      <c r="L124" s="211">
        <f t="shared" si="8"/>
        <v>7610.3315</v>
      </c>
      <c r="O124" s="213" t="s">
        <v>1660</v>
      </c>
    </row>
    <row r="125" ht="14.25" spans="1:15">
      <c r="A125" s="220">
        <v>46186</v>
      </c>
      <c r="B125" s="221" t="s">
        <v>144</v>
      </c>
      <c r="C125" s="224">
        <v>0.32</v>
      </c>
      <c r="D125" s="224">
        <v>0.99</v>
      </c>
      <c r="E125" s="222">
        <v>300.738</v>
      </c>
      <c r="F125" s="105">
        <f t="shared" si="9"/>
        <v>288.1</v>
      </c>
      <c r="G125" s="105">
        <f t="shared" si="10"/>
        <v>12.638</v>
      </c>
      <c r="H125" s="211">
        <v>0.85</v>
      </c>
      <c r="I125" s="222">
        <v>90.22</v>
      </c>
      <c r="K125" s="212">
        <f t="shared" si="7"/>
        <v>255.6273</v>
      </c>
      <c r="L125" s="211">
        <f t="shared" si="8"/>
        <v>7354.7042</v>
      </c>
      <c r="O125" s="213" t="s">
        <v>1660</v>
      </c>
    </row>
    <row r="126" ht="14.25" spans="1:15">
      <c r="A126" s="220">
        <v>46186</v>
      </c>
      <c r="B126" s="221" t="s">
        <v>124</v>
      </c>
      <c r="C126" s="224">
        <v>0.34</v>
      </c>
      <c r="D126" s="224">
        <v>0.96</v>
      </c>
      <c r="E126" s="222">
        <v>266.078</v>
      </c>
      <c r="F126" s="105">
        <f t="shared" si="9"/>
        <v>266.6</v>
      </c>
      <c r="G126" s="105">
        <f t="shared" si="10"/>
        <v>-0.521999999999991</v>
      </c>
      <c r="H126" s="211">
        <v>0.85</v>
      </c>
      <c r="I126" s="222">
        <v>79.82</v>
      </c>
      <c r="K126" s="212">
        <f t="shared" si="7"/>
        <v>226.1663</v>
      </c>
      <c r="L126" s="211">
        <f t="shared" si="8"/>
        <v>7128.5379</v>
      </c>
      <c r="O126" s="213" t="s">
        <v>1660</v>
      </c>
    </row>
    <row r="127" ht="14.25" spans="1:15">
      <c r="A127" s="220">
        <v>46186</v>
      </c>
      <c r="B127" s="221" t="s">
        <v>60</v>
      </c>
      <c r="C127" s="224">
        <v>0.41</v>
      </c>
      <c r="D127" s="224">
        <v>0.99</v>
      </c>
      <c r="E127" s="222">
        <v>248.002</v>
      </c>
      <c r="F127" s="105">
        <f t="shared" si="9"/>
        <v>249.4</v>
      </c>
      <c r="G127" s="105">
        <f t="shared" si="10"/>
        <v>-1.39800000000002</v>
      </c>
      <c r="H127" s="211">
        <v>0.85</v>
      </c>
      <c r="I127" s="222">
        <v>74.4</v>
      </c>
      <c r="K127" s="212">
        <f t="shared" si="7"/>
        <v>210.8017</v>
      </c>
      <c r="L127" s="211">
        <f t="shared" si="8"/>
        <v>6917.7362</v>
      </c>
      <c r="O127" s="213" t="s">
        <v>1660</v>
      </c>
    </row>
    <row r="128" ht="14.25" spans="1:15">
      <c r="A128" s="220">
        <v>46186</v>
      </c>
      <c r="B128" s="221" t="s">
        <v>132</v>
      </c>
      <c r="C128" s="224">
        <v>0.51</v>
      </c>
      <c r="D128" s="224">
        <v>0.99</v>
      </c>
      <c r="E128" s="222">
        <v>220.362</v>
      </c>
      <c r="F128" s="105">
        <f t="shared" si="9"/>
        <v>206.4</v>
      </c>
      <c r="G128" s="105">
        <f t="shared" si="10"/>
        <v>13.962</v>
      </c>
      <c r="H128" s="211">
        <v>0.85</v>
      </c>
      <c r="I128" s="222">
        <v>66.11</v>
      </c>
      <c r="K128" s="212">
        <f t="shared" si="7"/>
        <v>187.3077</v>
      </c>
      <c r="L128" s="211">
        <f t="shared" si="8"/>
        <v>6730.4285</v>
      </c>
      <c r="O128" s="213" t="s">
        <v>1660</v>
      </c>
    </row>
    <row r="129" ht="14.25" spans="1:15">
      <c r="A129" s="220">
        <v>46186</v>
      </c>
      <c r="B129" s="221" t="s">
        <v>141</v>
      </c>
      <c r="C129" s="224">
        <v>0.2</v>
      </c>
      <c r="D129" s="224">
        <v>0.99</v>
      </c>
      <c r="E129" s="222">
        <v>357.736</v>
      </c>
      <c r="F129" s="105">
        <f t="shared" si="9"/>
        <v>339.7</v>
      </c>
      <c r="G129" s="105">
        <f t="shared" si="10"/>
        <v>18.036</v>
      </c>
      <c r="H129" s="211">
        <v>0.85</v>
      </c>
      <c r="I129" s="222">
        <v>107.32</v>
      </c>
      <c r="K129" s="212">
        <f t="shared" si="7"/>
        <v>304.0756</v>
      </c>
      <c r="L129" s="211">
        <f t="shared" si="8"/>
        <v>6426.3529</v>
      </c>
      <c r="O129" s="213" t="s">
        <v>1660</v>
      </c>
    </row>
    <row r="130" ht="14.25" spans="1:15">
      <c r="A130" s="220">
        <v>46186</v>
      </c>
      <c r="B130" s="221" t="s">
        <v>63</v>
      </c>
      <c r="C130" s="224">
        <v>0.43</v>
      </c>
      <c r="D130" s="224">
        <v>0.98</v>
      </c>
      <c r="E130" s="222">
        <v>267.022</v>
      </c>
      <c r="F130" s="105">
        <f t="shared" si="9"/>
        <v>236.5</v>
      </c>
      <c r="G130" s="105">
        <f t="shared" si="10"/>
        <v>30.522</v>
      </c>
      <c r="H130" s="211">
        <v>0.85</v>
      </c>
      <c r="I130" s="222">
        <v>80.11</v>
      </c>
      <c r="K130" s="212">
        <f t="shared" si="7"/>
        <v>226.9687</v>
      </c>
      <c r="L130" s="211">
        <f t="shared" si="8"/>
        <v>6199.3842</v>
      </c>
      <c r="O130" s="213" t="s">
        <v>1660</v>
      </c>
    </row>
    <row r="131" ht="14.25" spans="1:15">
      <c r="A131" s="220">
        <v>46186</v>
      </c>
      <c r="B131" s="221" t="s">
        <v>72</v>
      </c>
      <c r="C131" s="224">
        <v>0.52</v>
      </c>
      <c r="D131" s="224">
        <v>0.98</v>
      </c>
      <c r="E131" s="222">
        <v>220.7</v>
      </c>
      <c r="F131" s="105">
        <f t="shared" si="9"/>
        <v>197.8</v>
      </c>
      <c r="G131" s="105">
        <f t="shared" si="10"/>
        <v>22.9</v>
      </c>
      <c r="H131" s="211">
        <v>0.85</v>
      </c>
      <c r="I131" s="222">
        <v>66.21</v>
      </c>
      <c r="K131" s="212">
        <f t="shared" ref="K131:K194" si="11">E131*H131</f>
        <v>187.595</v>
      </c>
      <c r="L131" s="211">
        <f t="shared" ref="L131:L194" si="12">L130+J131-K131</f>
        <v>6011.7892</v>
      </c>
      <c r="O131" s="213" t="s">
        <v>1660</v>
      </c>
    </row>
    <row r="132" ht="14.25" spans="1:15">
      <c r="A132" s="220">
        <v>46186</v>
      </c>
      <c r="B132" s="221" t="s">
        <v>177</v>
      </c>
      <c r="C132" s="224">
        <v>0.32</v>
      </c>
      <c r="D132" s="224">
        <v>0.99</v>
      </c>
      <c r="E132" s="222">
        <v>306.938</v>
      </c>
      <c r="F132" s="105">
        <f t="shared" si="9"/>
        <v>288.1</v>
      </c>
      <c r="G132" s="105">
        <f t="shared" si="10"/>
        <v>18.838</v>
      </c>
      <c r="H132" s="211">
        <v>0.85</v>
      </c>
      <c r="I132" s="222">
        <v>92.08</v>
      </c>
      <c r="K132" s="212">
        <f t="shared" si="11"/>
        <v>260.8973</v>
      </c>
      <c r="L132" s="211">
        <f t="shared" si="12"/>
        <v>5750.8919</v>
      </c>
      <c r="O132" s="213" t="s">
        <v>1660</v>
      </c>
    </row>
    <row r="133" ht="14.25" spans="1:15">
      <c r="A133" s="220">
        <v>46187</v>
      </c>
      <c r="B133" s="221" t="s">
        <v>174</v>
      </c>
      <c r="C133" s="224">
        <v>0.2</v>
      </c>
      <c r="D133" s="224">
        <v>0.99</v>
      </c>
      <c r="E133" s="222">
        <v>355.614</v>
      </c>
      <c r="F133" s="105">
        <f t="shared" si="9"/>
        <v>339.7</v>
      </c>
      <c r="G133" s="105">
        <f t="shared" si="10"/>
        <v>15.914</v>
      </c>
      <c r="H133" s="211">
        <v>0.85</v>
      </c>
      <c r="I133" s="222">
        <v>106.68</v>
      </c>
      <c r="J133" s="144">
        <v>10000</v>
      </c>
      <c r="K133" s="212">
        <f t="shared" si="11"/>
        <v>302.2719</v>
      </c>
      <c r="L133" s="211">
        <f t="shared" si="12"/>
        <v>15448.62</v>
      </c>
      <c r="O133" s="213" t="s">
        <v>1660</v>
      </c>
    </row>
    <row r="134" ht="14.25" spans="1:15">
      <c r="A134" s="220">
        <v>46187</v>
      </c>
      <c r="B134" s="221" t="s">
        <v>180</v>
      </c>
      <c r="C134" s="224">
        <v>0.22</v>
      </c>
      <c r="D134" s="224">
        <v>0.74</v>
      </c>
      <c r="E134" s="222">
        <v>236.278</v>
      </c>
      <c r="F134" s="105">
        <f t="shared" si="9"/>
        <v>223.6</v>
      </c>
      <c r="G134" s="105">
        <f t="shared" si="10"/>
        <v>12.678</v>
      </c>
      <c r="H134" s="211">
        <v>0.85</v>
      </c>
      <c r="I134" s="222">
        <v>70.88</v>
      </c>
      <c r="K134" s="212">
        <f t="shared" si="11"/>
        <v>200.8363</v>
      </c>
      <c r="L134" s="211">
        <f t="shared" si="12"/>
        <v>15247.7837</v>
      </c>
      <c r="O134" s="213" t="s">
        <v>1660</v>
      </c>
    </row>
    <row r="135" ht="14.25" spans="1:15">
      <c r="A135" s="220">
        <v>46187</v>
      </c>
      <c r="B135" s="221" t="s">
        <v>166</v>
      </c>
      <c r="C135" s="224">
        <v>0</v>
      </c>
      <c r="D135" s="224">
        <v>0</v>
      </c>
      <c r="E135" s="222">
        <v>0.264</v>
      </c>
      <c r="F135" s="105">
        <f t="shared" si="9"/>
        <v>0</v>
      </c>
      <c r="G135" s="105">
        <f t="shared" si="10"/>
        <v>0.264</v>
      </c>
      <c r="H135" s="211">
        <v>0.85</v>
      </c>
      <c r="I135" s="222">
        <v>0.08</v>
      </c>
      <c r="K135" s="212">
        <f t="shared" si="11"/>
        <v>0.2244</v>
      </c>
      <c r="L135" s="211">
        <f t="shared" si="12"/>
        <v>15247.5593</v>
      </c>
      <c r="O135" s="213" t="s">
        <v>1660</v>
      </c>
    </row>
    <row r="136" ht="14.25" spans="1:15">
      <c r="A136" s="220">
        <v>46187</v>
      </c>
      <c r="B136" s="221" t="s">
        <v>166</v>
      </c>
      <c r="C136" s="224">
        <v>0.32</v>
      </c>
      <c r="D136" s="224">
        <v>0.99</v>
      </c>
      <c r="E136" s="222">
        <v>301.508</v>
      </c>
      <c r="F136" s="105">
        <f t="shared" si="9"/>
        <v>288.1</v>
      </c>
      <c r="G136" s="105">
        <f t="shared" si="10"/>
        <v>13.408</v>
      </c>
      <c r="H136" s="211">
        <v>0.85</v>
      </c>
      <c r="I136" s="222">
        <v>90.45</v>
      </c>
      <c r="K136" s="212">
        <f t="shared" si="11"/>
        <v>256.2818</v>
      </c>
      <c r="L136" s="211">
        <f t="shared" si="12"/>
        <v>14991.2775</v>
      </c>
      <c r="O136" s="213" t="s">
        <v>1660</v>
      </c>
    </row>
    <row r="137" ht="14.25" spans="1:15">
      <c r="A137" s="216">
        <v>46188</v>
      </c>
      <c r="B137" s="217" t="s">
        <v>135</v>
      </c>
      <c r="C137" s="224">
        <v>0.18</v>
      </c>
      <c r="D137" s="224">
        <v>0.99</v>
      </c>
      <c r="E137" s="219">
        <v>367.292</v>
      </c>
      <c r="F137" s="105">
        <v>348.3</v>
      </c>
      <c r="G137" s="105">
        <v>18.992</v>
      </c>
      <c r="H137" s="211">
        <v>0.85</v>
      </c>
      <c r="I137" s="219">
        <v>110.19</v>
      </c>
      <c r="K137" s="212">
        <f t="shared" si="11"/>
        <v>312.1982</v>
      </c>
      <c r="L137" s="211">
        <f t="shared" si="12"/>
        <v>14679.0793</v>
      </c>
      <c r="O137" s="213" t="s">
        <v>1660</v>
      </c>
    </row>
    <row r="138" ht="14.25" spans="1:15">
      <c r="A138" s="220">
        <v>46188</v>
      </c>
      <c r="B138" s="221" t="s">
        <v>138</v>
      </c>
      <c r="C138" s="224">
        <v>0.25</v>
      </c>
      <c r="D138" s="224">
        <v>0.99</v>
      </c>
      <c r="E138" s="222">
        <v>334.916</v>
      </c>
      <c r="F138" s="105">
        <v>318.2</v>
      </c>
      <c r="G138" s="105">
        <v>16.716</v>
      </c>
      <c r="H138" s="211">
        <v>0.85</v>
      </c>
      <c r="I138" s="222">
        <v>100.47</v>
      </c>
      <c r="K138" s="212">
        <f t="shared" si="11"/>
        <v>284.6786</v>
      </c>
      <c r="L138" s="211">
        <f t="shared" si="12"/>
        <v>14394.4007</v>
      </c>
      <c r="O138" s="213" t="s">
        <v>1660</v>
      </c>
    </row>
    <row r="139" ht="14.25" spans="1:15">
      <c r="A139" s="220">
        <v>46188</v>
      </c>
      <c r="B139" s="221" t="s">
        <v>69</v>
      </c>
      <c r="C139" s="224">
        <v>0.21</v>
      </c>
      <c r="D139" s="224">
        <v>0.98</v>
      </c>
      <c r="E139" s="222">
        <v>366.936</v>
      </c>
      <c r="F139" s="105">
        <v>331.1</v>
      </c>
      <c r="G139" s="105">
        <v>35.836</v>
      </c>
      <c r="H139" s="211">
        <v>0.85</v>
      </c>
      <c r="I139" s="222">
        <v>110.08</v>
      </c>
      <c r="K139" s="212">
        <f t="shared" si="11"/>
        <v>311.8956</v>
      </c>
      <c r="L139" s="211">
        <f t="shared" si="12"/>
        <v>14082.5051</v>
      </c>
      <c r="O139" s="213" t="s">
        <v>1660</v>
      </c>
    </row>
    <row r="140" ht="14.25" spans="1:15">
      <c r="A140" s="220">
        <v>46188</v>
      </c>
      <c r="B140" s="221" t="s">
        <v>54</v>
      </c>
      <c r="C140" s="224">
        <v>0.28</v>
      </c>
      <c r="D140" s="224">
        <v>0.28</v>
      </c>
      <c r="E140" s="222">
        <v>3.326</v>
      </c>
      <c r="F140" s="105">
        <v>0</v>
      </c>
      <c r="G140" s="105">
        <v>3.326</v>
      </c>
      <c r="H140" s="211">
        <v>0.85</v>
      </c>
      <c r="I140" s="222">
        <v>1</v>
      </c>
      <c r="K140" s="212">
        <f t="shared" si="11"/>
        <v>2.8271</v>
      </c>
      <c r="L140" s="211">
        <f t="shared" si="12"/>
        <v>14079.678</v>
      </c>
      <c r="O140" s="213" t="s">
        <v>1660</v>
      </c>
    </row>
    <row r="141" ht="14.25" spans="1:15">
      <c r="A141" s="220">
        <v>46188</v>
      </c>
      <c r="B141" s="221" t="s">
        <v>54</v>
      </c>
      <c r="C141" s="224">
        <v>0</v>
      </c>
      <c r="D141" s="224">
        <v>0</v>
      </c>
      <c r="E141" s="222">
        <v>0</v>
      </c>
      <c r="F141" s="105">
        <v>0</v>
      </c>
      <c r="G141" s="105">
        <v>0</v>
      </c>
      <c r="H141" s="211">
        <v>0.85</v>
      </c>
      <c r="I141" s="222">
        <v>0</v>
      </c>
      <c r="K141" s="212">
        <f t="shared" si="11"/>
        <v>0</v>
      </c>
      <c r="L141" s="211">
        <f t="shared" si="12"/>
        <v>14079.678</v>
      </c>
      <c r="O141" s="213" t="s">
        <v>1660</v>
      </c>
    </row>
    <row r="142" ht="14.25" spans="1:15">
      <c r="A142" s="220">
        <v>46188</v>
      </c>
      <c r="B142" s="221" t="s">
        <v>54</v>
      </c>
      <c r="C142" s="224">
        <v>0.29</v>
      </c>
      <c r="D142" s="224">
        <v>0.99</v>
      </c>
      <c r="E142" s="222">
        <v>302.062</v>
      </c>
      <c r="F142" s="105">
        <v>301</v>
      </c>
      <c r="G142" s="105">
        <v>1.06200000000001</v>
      </c>
      <c r="H142" s="211">
        <v>0.85</v>
      </c>
      <c r="I142" s="222">
        <v>90.62</v>
      </c>
      <c r="K142" s="212">
        <f t="shared" si="11"/>
        <v>256.7527</v>
      </c>
      <c r="L142" s="211">
        <f t="shared" si="12"/>
        <v>13822.9253</v>
      </c>
      <c r="O142" s="213" t="s">
        <v>1660</v>
      </c>
    </row>
    <row r="143" ht="14.25" spans="1:15">
      <c r="A143" s="220">
        <v>46188</v>
      </c>
      <c r="B143" s="221" t="s">
        <v>130</v>
      </c>
      <c r="C143" s="224">
        <v>0.26</v>
      </c>
      <c r="D143" s="224">
        <v>0.62</v>
      </c>
      <c r="E143" s="222">
        <v>148.366</v>
      </c>
      <c r="F143" s="105">
        <v>154.8</v>
      </c>
      <c r="G143" s="105">
        <v>-6.43399999999997</v>
      </c>
      <c r="H143" s="211">
        <v>0.85</v>
      </c>
      <c r="I143" s="222">
        <v>44.51</v>
      </c>
      <c r="K143" s="212">
        <f t="shared" si="11"/>
        <v>126.1111</v>
      </c>
      <c r="L143" s="211">
        <f t="shared" si="12"/>
        <v>13696.8142</v>
      </c>
      <c r="O143" s="213" t="s">
        <v>1660</v>
      </c>
    </row>
    <row r="144" ht="14.25" spans="1:15">
      <c r="A144" s="220">
        <v>46188</v>
      </c>
      <c r="B144" s="221" t="s">
        <v>99</v>
      </c>
      <c r="C144" s="224">
        <v>0.3</v>
      </c>
      <c r="D144" s="224">
        <v>0.72</v>
      </c>
      <c r="E144" s="222">
        <v>201.19</v>
      </c>
      <c r="F144" s="105">
        <v>180.6</v>
      </c>
      <c r="G144" s="105">
        <v>20.59</v>
      </c>
      <c r="H144" s="211">
        <v>0.85</v>
      </c>
      <c r="I144" s="222">
        <v>60.36</v>
      </c>
      <c r="K144" s="212">
        <f t="shared" si="11"/>
        <v>171.0115</v>
      </c>
      <c r="L144" s="211">
        <f t="shared" si="12"/>
        <v>13525.8027</v>
      </c>
      <c r="O144" s="213" t="s">
        <v>1660</v>
      </c>
    </row>
    <row r="145" ht="14.25" spans="1:15">
      <c r="A145" s="220">
        <v>46188</v>
      </c>
      <c r="B145" s="221" t="s">
        <v>96</v>
      </c>
      <c r="C145" s="224">
        <v>0.43</v>
      </c>
      <c r="D145" s="224">
        <v>0.98</v>
      </c>
      <c r="E145" s="222">
        <v>262.772</v>
      </c>
      <c r="F145" s="105">
        <v>236.5</v>
      </c>
      <c r="G145" s="105">
        <v>26.272</v>
      </c>
      <c r="H145" s="211">
        <v>0.85</v>
      </c>
      <c r="I145" s="222">
        <v>78.83</v>
      </c>
      <c r="K145" s="212">
        <f t="shared" si="11"/>
        <v>223.3562</v>
      </c>
      <c r="L145" s="211">
        <f t="shared" si="12"/>
        <v>13302.4465</v>
      </c>
      <c r="O145" s="213" t="s">
        <v>1660</v>
      </c>
    </row>
    <row r="146" ht="14.25" spans="1:15">
      <c r="A146" s="220">
        <v>46188</v>
      </c>
      <c r="B146" s="221" t="s">
        <v>102</v>
      </c>
      <c r="C146" s="224">
        <v>0.32</v>
      </c>
      <c r="D146" s="224">
        <v>0.98</v>
      </c>
      <c r="E146" s="222">
        <v>324.322</v>
      </c>
      <c r="F146" s="105">
        <v>283.8</v>
      </c>
      <c r="G146" s="105">
        <v>40.522</v>
      </c>
      <c r="H146" s="211">
        <v>0.85</v>
      </c>
      <c r="I146" s="222">
        <v>97.3</v>
      </c>
      <c r="K146" s="212">
        <f t="shared" si="11"/>
        <v>275.6737</v>
      </c>
      <c r="L146" s="211">
        <f t="shared" si="12"/>
        <v>13026.7728</v>
      </c>
      <c r="O146" s="213" t="s">
        <v>1660</v>
      </c>
    </row>
    <row r="147" ht="14.25" spans="1:15">
      <c r="A147" s="220">
        <v>46188</v>
      </c>
      <c r="B147" s="221" t="s">
        <v>148</v>
      </c>
      <c r="C147" s="224">
        <v>0.36</v>
      </c>
      <c r="D147" s="224">
        <v>0.39</v>
      </c>
      <c r="E147" s="222">
        <v>14.378</v>
      </c>
      <c r="F147" s="105">
        <v>12.9</v>
      </c>
      <c r="G147" s="105">
        <v>1.47799999999999</v>
      </c>
      <c r="H147" s="211">
        <v>0.85</v>
      </c>
      <c r="I147" s="222">
        <v>4.31</v>
      </c>
      <c r="K147" s="212">
        <f t="shared" si="11"/>
        <v>12.2213</v>
      </c>
      <c r="L147" s="211">
        <f t="shared" si="12"/>
        <v>13014.5515</v>
      </c>
      <c r="O147" s="213" t="s">
        <v>1660</v>
      </c>
    </row>
    <row r="148" ht="14.25" spans="1:15">
      <c r="A148" s="220">
        <v>46188</v>
      </c>
      <c r="B148" s="221" t="s">
        <v>132</v>
      </c>
      <c r="C148" s="224">
        <v>0.23</v>
      </c>
      <c r="D148" s="224">
        <v>0.84</v>
      </c>
      <c r="E148" s="222">
        <v>276.264</v>
      </c>
      <c r="F148" s="105">
        <v>262.3</v>
      </c>
      <c r="G148" s="105">
        <v>13.964</v>
      </c>
      <c r="H148" s="211">
        <v>0.85</v>
      </c>
      <c r="I148" s="222">
        <v>82.88</v>
      </c>
      <c r="K148" s="212">
        <f t="shared" si="11"/>
        <v>234.8244</v>
      </c>
      <c r="L148" s="211">
        <f t="shared" si="12"/>
        <v>12779.7271</v>
      </c>
      <c r="O148" s="213" t="s">
        <v>1660</v>
      </c>
    </row>
    <row r="149" ht="14.25" spans="1:15">
      <c r="A149" s="220">
        <v>46188</v>
      </c>
      <c r="B149" s="221" t="s">
        <v>148</v>
      </c>
      <c r="C149" s="224">
        <v>0.4</v>
      </c>
      <c r="D149" s="224">
        <v>0.89</v>
      </c>
      <c r="E149" s="222">
        <v>225.86</v>
      </c>
      <c r="F149" s="105">
        <v>210.7</v>
      </c>
      <c r="G149" s="105">
        <v>15.16</v>
      </c>
      <c r="H149" s="211">
        <v>0.85</v>
      </c>
      <c r="I149" s="222">
        <v>67.76</v>
      </c>
      <c r="K149" s="212">
        <f t="shared" si="11"/>
        <v>191.981</v>
      </c>
      <c r="L149" s="211">
        <f t="shared" si="12"/>
        <v>12587.7461</v>
      </c>
      <c r="O149" s="213" t="s">
        <v>1660</v>
      </c>
    </row>
    <row r="150" ht="14.25" spans="1:15">
      <c r="A150" s="220">
        <v>46188</v>
      </c>
      <c r="B150" s="221" t="s">
        <v>127</v>
      </c>
      <c r="C150" s="224">
        <v>0.3</v>
      </c>
      <c r="D150" s="224">
        <v>0.99</v>
      </c>
      <c r="E150" s="222">
        <v>298.21</v>
      </c>
      <c r="F150" s="105">
        <v>296.7</v>
      </c>
      <c r="G150" s="105">
        <v>1.50999999999999</v>
      </c>
      <c r="H150" s="211">
        <v>0.85</v>
      </c>
      <c r="I150" s="222">
        <v>89.46</v>
      </c>
      <c r="K150" s="212">
        <f t="shared" si="11"/>
        <v>253.4785</v>
      </c>
      <c r="L150" s="211">
        <f t="shared" si="12"/>
        <v>12334.2676</v>
      </c>
      <c r="O150" s="213" t="s">
        <v>1660</v>
      </c>
    </row>
    <row r="151" ht="14.25" spans="1:15">
      <c r="A151" s="220">
        <v>46188</v>
      </c>
      <c r="B151" s="221" t="s">
        <v>141</v>
      </c>
      <c r="C151" s="224">
        <v>0.21</v>
      </c>
      <c r="D151" s="224">
        <v>0.22</v>
      </c>
      <c r="E151" s="222">
        <v>3.228</v>
      </c>
      <c r="F151" s="105">
        <v>4.3</v>
      </c>
      <c r="G151" s="105">
        <v>-1.072</v>
      </c>
      <c r="H151" s="211">
        <v>0.85</v>
      </c>
      <c r="I151" s="222">
        <v>0.97</v>
      </c>
      <c r="K151" s="212">
        <f t="shared" si="11"/>
        <v>2.7438</v>
      </c>
      <c r="L151" s="211">
        <f t="shared" si="12"/>
        <v>12331.5238</v>
      </c>
      <c r="O151" s="213" t="s">
        <v>1660</v>
      </c>
    </row>
    <row r="152" ht="14.25" spans="1:15">
      <c r="A152" s="220">
        <v>46188</v>
      </c>
      <c r="B152" s="221" t="s">
        <v>141</v>
      </c>
      <c r="C152" s="224">
        <v>0.22</v>
      </c>
      <c r="D152" s="224">
        <v>0.27</v>
      </c>
      <c r="E152" s="222">
        <v>23.552</v>
      </c>
      <c r="F152" s="105">
        <v>21.5</v>
      </c>
      <c r="G152" s="105">
        <v>2.05199999999999</v>
      </c>
      <c r="H152" s="211">
        <v>0.85</v>
      </c>
      <c r="I152" s="222">
        <v>7.07</v>
      </c>
      <c r="K152" s="212">
        <f t="shared" si="11"/>
        <v>20.0192</v>
      </c>
      <c r="L152" s="211">
        <f t="shared" si="12"/>
        <v>12311.5046</v>
      </c>
      <c r="O152" s="213" t="s">
        <v>1660</v>
      </c>
    </row>
    <row r="153" ht="14.25" spans="1:15">
      <c r="A153" s="220">
        <v>46188</v>
      </c>
      <c r="B153" s="221" t="s">
        <v>141</v>
      </c>
      <c r="C153" s="224">
        <v>0.27</v>
      </c>
      <c r="D153" s="224">
        <v>0.67</v>
      </c>
      <c r="E153" s="222">
        <v>179.622</v>
      </c>
      <c r="F153" s="105">
        <v>172</v>
      </c>
      <c r="G153" s="105">
        <v>7.62200000000001</v>
      </c>
      <c r="H153" s="211">
        <v>0.85</v>
      </c>
      <c r="I153" s="222">
        <v>53.89</v>
      </c>
      <c r="K153" s="212">
        <f t="shared" si="11"/>
        <v>152.6787</v>
      </c>
      <c r="L153" s="211">
        <f t="shared" si="12"/>
        <v>12158.8259</v>
      </c>
      <c r="O153" s="213" t="s">
        <v>1660</v>
      </c>
    </row>
    <row r="154" ht="14.25" spans="1:15">
      <c r="A154" s="220">
        <v>46188</v>
      </c>
      <c r="B154" s="221" t="s">
        <v>144</v>
      </c>
      <c r="C154" s="224">
        <v>0.27</v>
      </c>
      <c r="D154" s="224">
        <v>0.99</v>
      </c>
      <c r="E154" s="222">
        <v>327.212</v>
      </c>
      <c r="F154" s="105">
        <v>309.6</v>
      </c>
      <c r="G154" s="105">
        <v>17.612</v>
      </c>
      <c r="H154" s="211">
        <v>0.85</v>
      </c>
      <c r="I154" s="222">
        <v>98.16</v>
      </c>
      <c r="K154" s="212">
        <f t="shared" si="11"/>
        <v>278.1302</v>
      </c>
      <c r="L154" s="211">
        <f t="shared" si="12"/>
        <v>11880.6957</v>
      </c>
      <c r="O154" s="213" t="s">
        <v>1660</v>
      </c>
    </row>
    <row r="155" ht="14.25" spans="1:15">
      <c r="A155" s="220">
        <v>46188</v>
      </c>
      <c r="B155" s="221" t="s">
        <v>72</v>
      </c>
      <c r="C155" s="224">
        <v>0.32</v>
      </c>
      <c r="D155" s="224">
        <v>0.98</v>
      </c>
      <c r="E155" s="222">
        <v>315.614</v>
      </c>
      <c r="F155" s="105">
        <v>283.8</v>
      </c>
      <c r="G155" s="105">
        <v>31.814</v>
      </c>
      <c r="H155" s="211">
        <v>0.85</v>
      </c>
      <c r="I155" s="222">
        <v>94.68</v>
      </c>
      <c r="K155" s="212">
        <f t="shared" si="11"/>
        <v>268.2719</v>
      </c>
      <c r="L155" s="211">
        <f t="shared" si="12"/>
        <v>11612.4238</v>
      </c>
      <c r="O155" s="213" t="s">
        <v>1660</v>
      </c>
    </row>
    <row r="156" ht="14.25" spans="1:15">
      <c r="A156" s="216">
        <v>46189</v>
      </c>
      <c r="B156" s="217" t="s">
        <v>111</v>
      </c>
      <c r="C156" s="224">
        <v>0.22</v>
      </c>
      <c r="D156" s="224">
        <v>0.86</v>
      </c>
      <c r="E156" s="219">
        <v>264.174</v>
      </c>
      <c r="F156" s="105">
        <f t="shared" ref="F156:F175" si="13">(D156-C156)*430</f>
        <v>275.2</v>
      </c>
      <c r="G156" s="105">
        <f t="shared" ref="G156:G175" si="14">E156-F156</f>
        <v>-11.026</v>
      </c>
      <c r="H156" s="211">
        <v>0.85</v>
      </c>
      <c r="I156" s="219">
        <v>79.25</v>
      </c>
      <c r="K156" s="212">
        <f t="shared" si="11"/>
        <v>224.5479</v>
      </c>
      <c r="L156" s="211">
        <f t="shared" si="12"/>
        <v>11387.8759</v>
      </c>
      <c r="O156" s="213" t="s">
        <v>1660</v>
      </c>
    </row>
    <row r="157" ht="14.25" spans="1:15">
      <c r="A157" s="220">
        <v>46189</v>
      </c>
      <c r="B157" s="221" t="s">
        <v>141</v>
      </c>
      <c r="C157" s="224">
        <v>0.62</v>
      </c>
      <c r="D157" s="224">
        <v>0.98</v>
      </c>
      <c r="E157" s="222">
        <v>170.876</v>
      </c>
      <c r="F157" s="105">
        <f t="shared" si="13"/>
        <v>154.8</v>
      </c>
      <c r="G157" s="105">
        <f t="shared" si="14"/>
        <v>16.076</v>
      </c>
      <c r="H157" s="211">
        <v>0.85</v>
      </c>
      <c r="I157" s="222">
        <v>51.26</v>
      </c>
      <c r="K157" s="212">
        <f t="shared" si="11"/>
        <v>145.2446</v>
      </c>
      <c r="L157" s="211">
        <f t="shared" si="12"/>
        <v>11242.6313</v>
      </c>
      <c r="O157" s="213" t="s">
        <v>1660</v>
      </c>
    </row>
    <row r="158" ht="14.25" spans="1:15">
      <c r="A158" s="220">
        <v>46189</v>
      </c>
      <c r="B158" s="221" t="s">
        <v>166</v>
      </c>
      <c r="C158" s="224">
        <v>0.39</v>
      </c>
      <c r="D158" s="224">
        <v>0.99</v>
      </c>
      <c r="E158" s="222">
        <v>270.862</v>
      </c>
      <c r="F158" s="105">
        <f t="shared" si="13"/>
        <v>258</v>
      </c>
      <c r="G158" s="105">
        <f t="shared" si="14"/>
        <v>12.862</v>
      </c>
      <c r="H158" s="211">
        <v>0.85</v>
      </c>
      <c r="I158" s="222">
        <v>81.26</v>
      </c>
      <c r="K158" s="212">
        <f t="shared" si="11"/>
        <v>230.2327</v>
      </c>
      <c r="L158" s="211">
        <f t="shared" si="12"/>
        <v>11012.3986</v>
      </c>
      <c r="O158" s="213" t="s">
        <v>1660</v>
      </c>
    </row>
    <row r="159" ht="14.25" spans="1:15">
      <c r="A159" s="220">
        <v>46189</v>
      </c>
      <c r="B159" s="221" t="s">
        <v>130</v>
      </c>
      <c r="C159" s="224">
        <v>0.6</v>
      </c>
      <c r="D159" s="224">
        <v>0.99</v>
      </c>
      <c r="E159" s="222">
        <v>170.562</v>
      </c>
      <c r="F159" s="105">
        <f t="shared" si="13"/>
        <v>167.7</v>
      </c>
      <c r="G159" s="105">
        <f t="shared" si="14"/>
        <v>2.86200000000002</v>
      </c>
      <c r="H159" s="211">
        <v>0.85</v>
      </c>
      <c r="I159" s="222">
        <v>51.17</v>
      </c>
      <c r="K159" s="212">
        <f t="shared" si="11"/>
        <v>144.9777</v>
      </c>
      <c r="L159" s="211">
        <f t="shared" si="12"/>
        <v>10867.4209</v>
      </c>
      <c r="O159" s="213" t="s">
        <v>1660</v>
      </c>
    </row>
    <row r="160" ht="14.25" spans="1:15">
      <c r="A160" s="220">
        <v>46189</v>
      </c>
      <c r="B160" s="221" t="s">
        <v>69</v>
      </c>
      <c r="C160" s="224">
        <v>0.09</v>
      </c>
      <c r="D160" s="224">
        <v>0.98</v>
      </c>
      <c r="E160" s="222">
        <v>419.642</v>
      </c>
      <c r="F160" s="105">
        <f t="shared" si="13"/>
        <v>382.7</v>
      </c>
      <c r="G160" s="105">
        <f t="shared" si="14"/>
        <v>36.942</v>
      </c>
      <c r="H160" s="211">
        <v>0.85</v>
      </c>
      <c r="I160" s="222">
        <v>125.89</v>
      </c>
      <c r="K160" s="212">
        <f t="shared" si="11"/>
        <v>356.6957</v>
      </c>
      <c r="L160" s="211">
        <f t="shared" si="12"/>
        <v>10510.7252</v>
      </c>
      <c r="O160" s="213" t="s">
        <v>1660</v>
      </c>
    </row>
    <row r="161" ht="14.25" spans="1:15">
      <c r="A161" s="216">
        <v>46190</v>
      </c>
      <c r="B161" s="217" t="s">
        <v>54</v>
      </c>
      <c r="C161" s="225">
        <v>0.34</v>
      </c>
      <c r="D161" s="225">
        <v>0.99</v>
      </c>
      <c r="E161" s="219">
        <v>273.362</v>
      </c>
      <c r="F161" s="105">
        <f t="shared" si="13"/>
        <v>279.5</v>
      </c>
      <c r="G161" s="105">
        <f t="shared" si="14"/>
        <v>-6.13799999999998</v>
      </c>
      <c r="H161" s="211">
        <v>0.85</v>
      </c>
      <c r="I161" s="219">
        <v>82.01</v>
      </c>
      <c r="K161" s="212">
        <f t="shared" si="11"/>
        <v>232.3577</v>
      </c>
      <c r="L161" s="211">
        <f t="shared" si="12"/>
        <v>10278.3675</v>
      </c>
      <c r="O161" s="213" t="s">
        <v>1660</v>
      </c>
    </row>
    <row r="162" ht="14.25" spans="1:15">
      <c r="A162" s="220">
        <v>46190</v>
      </c>
      <c r="B162" s="221" t="s">
        <v>90</v>
      </c>
      <c r="C162" s="225">
        <v>0.15</v>
      </c>
      <c r="D162" s="225">
        <v>0.98</v>
      </c>
      <c r="E162" s="222">
        <v>398.448</v>
      </c>
      <c r="F162" s="105">
        <f t="shared" si="13"/>
        <v>356.9</v>
      </c>
      <c r="G162" s="105">
        <f t="shared" si="14"/>
        <v>41.548</v>
      </c>
      <c r="H162" s="211">
        <v>0.85</v>
      </c>
      <c r="I162" s="222">
        <v>119.53</v>
      </c>
      <c r="K162" s="212">
        <f t="shared" si="11"/>
        <v>338.6808</v>
      </c>
      <c r="L162" s="211">
        <f t="shared" si="12"/>
        <v>9939.6867</v>
      </c>
      <c r="O162" s="213" t="s">
        <v>1660</v>
      </c>
    </row>
    <row r="163" ht="14.25" spans="1:15">
      <c r="A163" s="220">
        <v>46190</v>
      </c>
      <c r="B163" s="221" t="s">
        <v>93</v>
      </c>
      <c r="C163" s="225">
        <v>0.42</v>
      </c>
      <c r="D163" s="225">
        <v>0.98</v>
      </c>
      <c r="E163" s="222">
        <v>280.534</v>
      </c>
      <c r="F163" s="105">
        <f t="shared" si="13"/>
        <v>240.8</v>
      </c>
      <c r="G163" s="105">
        <f t="shared" si="14"/>
        <v>39.734</v>
      </c>
      <c r="H163" s="211">
        <v>0.85</v>
      </c>
      <c r="I163" s="222">
        <v>84.16</v>
      </c>
      <c r="K163" s="212">
        <f t="shared" si="11"/>
        <v>238.4539</v>
      </c>
      <c r="L163" s="211">
        <f t="shared" si="12"/>
        <v>9701.2328</v>
      </c>
      <c r="O163" s="213" t="s">
        <v>1660</v>
      </c>
    </row>
    <row r="164" ht="14.25" spans="1:15">
      <c r="A164" s="220">
        <v>46190</v>
      </c>
      <c r="B164" s="221" t="s">
        <v>148</v>
      </c>
      <c r="C164" s="225">
        <v>0.3</v>
      </c>
      <c r="D164" s="225">
        <v>0.99</v>
      </c>
      <c r="E164" s="222">
        <v>314.382</v>
      </c>
      <c r="F164" s="105">
        <f t="shared" si="13"/>
        <v>296.7</v>
      </c>
      <c r="G164" s="105">
        <f t="shared" si="14"/>
        <v>17.682</v>
      </c>
      <c r="H164" s="211">
        <v>0.85</v>
      </c>
      <c r="I164" s="222">
        <v>94.31</v>
      </c>
      <c r="K164" s="212">
        <f t="shared" si="11"/>
        <v>267.2247</v>
      </c>
      <c r="L164" s="211">
        <f t="shared" si="12"/>
        <v>9434.0081</v>
      </c>
      <c r="O164" s="213" t="s">
        <v>1660</v>
      </c>
    </row>
    <row r="165" ht="14.25" spans="1:15">
      <c r="A165" s="220">
        <v>46190</v>
      </c>
      <c r="B165" s="221" t="s">
        <v>180</v>
      </c>
      <c r="C165" s="225">
        <v>0.29</v>
      </c>
      <c r="D165" s="225">
        <v>0.71</v>
      </c>
      <c r="E165" s="222">
        <v>188.624</v>
      </c>
      <c r="F165" s="105">
        <f t="shared" si="13"/>
        <v>180.6</v>
      </c>
      <c r="G165" s="105">
        <f t="shared" si="14"/>
        <v>8.024</v>
      </c>
      <c r="H165" s="211">
        <v>0.85</v>
      </c>
      <c r="I165" s="222">
        <v>56.59</v>
      </c>
      <c r="K165" s="212">
        <f t="shared" si="11"/>
        <v>160.3304</v>
      </c>
      <c r="L165" s="211">
        <f t="shared" si="12"/>
        <v>9273.6777</v>
      </c>
      <c r="O165" s="213" t="s">
        <v>1660</v>
      </c>
    </row>
    <row r="166" ht="14.25" spans="1:15">
      <c r="A166" s="220">
        <v>46190</v>
      </c>
      <c r="B166" s="221" t="s">
        <v>144</v>
      </c>
      <c r="C166" s="225">
        <v>0.36</v>
      </c>
      <c r="D166" s="225">
        <v>0.99</v>
      </c>
      <c r="E166" s="222">
        <v>283.73</v>
      </c>
      <c r="F166" s="105">
        <f t="shared" si="13"/>
        <v>270.9</v>
      </c>
      <c r="G166" s="105">
        <f t="shared" si="14"/>
        <v>12.83</v>
      </c>
      <c r="H166" s="211">
        <v>0.85</v>
      </c>
      <c r="I166" s="222">
        <v>85.12</v>
      </c>
      <c r="K166" s="212">
        <f t="shared" si="11"/>
        <v>241.1705</v>
      </c>
      <c r="L166" s="211">
        <f t="shared" si="12"/>
        <v>9032.5072</v>
      </c>
      <c r="O166" s="213" t="s">
        <v>1660</v>
      </c>
    </row>
    <row r="167" ht="14.25" spans="1:15">
      <c r="A167" s="220">
        <v>46190</v>
      </c>
      <c r="B167" s="221" t="s">
        <v>108</v>
      </c>
      <c r="C167" s="225">
        <v>0.36</v>
      </c>
      <c r="D167" s="225">
        <v>0.99</v>
      </c>
      <c r="E167" s="222">
        <v>307.944</v>
      </c>
      <c r="F167" s="105">
        <f t="shared" si="13"/>
        <v>270.9</v>
      </c>
      <c r="G167" s="105">
        <f t="shared" si="14"/>
        <v>37.044</v>
      </c>
      <c r="H167" s="211">
        <v>0.85</v>
      </c>
      <c r="I167" s="222">
        <v>92.38</v>
      </c>
      <c r="K167" s="212">
        <f t="shared" si="11"/>
        <v>261.7524</v>
      </c>
      <c r="L167" s="211">
        <f t="shared" si="12"/>
        <v>8770.7548</v>
      </c>
      <c r="O167" s="213" t="s">
        <v>1660</v>
      </c>
    </row>
    <row r="168" ht="14.25" spans="1:15">
      <c r="A168" s="220">
        <v>46190</v>
      </c>
      <c r="B168" s="221" t="s">
        <v>66</v>
      </c>
      <c r="C168" s="225">
        <v>0.5</v>
      </c>
      <c r="D168" s="225">
        <v>0.98</v>
      </c>
      <c r="E168" s="222">
        <v>224.128</v>
      </c>
      <c r="F168" s="105">
        <f t="shared" si="13"/>
        <v>206.4</v>
      </c>
      <c r="G168" s="105">
        <f t="shared" si="14"/>
        <v>17.728</v>
      </c>
      <c r="H168" s="211">
        <v>0.85</v>
      </c>
      <c r="I168" s="222">
        <v>67.24</v>
      </c>
      <c r="K168" s="212">
        <f t="shared" si="11"/>
        <v>190.5088</v>
      </c>
      <c r="L168" s="211">
        <f t="shared" si="12"/>
        <v>8580.246</v>
      </c>
      <c r="O168" s="213" t="s">
        <v>1660</v>
      </c>
    </row>
    <row r="169" ht="14.25" spans="1:15">
      <c r="A169" s="220">
        <v>46190</v>
      </c>
      <c r="B169" s="221" t="s">
        <v>102</v>
      </c>
      <c r="C169" s="225">
        <v>0.24</v>
      </c>
      <c r="D169" s="225">
        <v>0.98</v>
      </c>
      <c r="E169" s="222">
        <v>339.012</v>
      </c>
      <c r="F169" s="105">
        <f t="shared" si="13"/>
        <v>318.2</v>
      </c>
      <c r="G169" s="105">
        <f t="shared" si="14"/>
        <v>20.812</v>
      </c>
      <c r="H169" s="211">
        <v>0.85</v>
      </c>
      <c r="I169" s="222">
        <v>101.7</v>
      </c>
      <c r="K169" s="212">
        <f t="shared" si="11"/>
        <v>288.1602</v>
      </c>
      <c r="L169" s="211">
        <f t="shared" si="12"/>
        <v>8292.0858</v>
      </c>
      <c r="O169" s="213" t="s">
        <v>1660</v>
      </c>
    </row>
    <row r="170" ht="14.25" spans="1:15">
      <c r="A170" s="220">
        <v>46190</v>
      </c>
      <c r="B170" s="221" t="s">
        <v>96</v>
      </c>
      <c r="C170" s="225">
        <v>0.2</v>
      </c>
      <c r="D170" s="225">
        <v>0.98</v>
      </c>
      <c r="E170" s="222">
        <v>380.93</v>
      </c>
      <c r="F170" s="105">
        <f t="shared" si="13"/>
        <v>335.4</v>
      </c>
      <c r="G170" s="105">
        <f t="shared" si="14"/>
        <v>45.53</v>
      </c>
      <c r="H170" s="211">
        <v>0.85</v>
      </c>
      <c r="I170" s="222">
        <v>114.28</v>
      </c>
      <c r="K170" s="212">
        <f t="shared" si="11"/>
        <v>323.7905</v>
      </c>
      <c r="L170" s="211">
        <f t="shared" si="12"/>
        <v>7968.2953</v>
      </c>
      <c r="O170" s="213" t="s">
        <v>1660</v>
      </c>
    </row>
    <row r="171" ht="14.25" spans="1:15">
      <c r="A171" s="220">
        <v>46190</v>
      </c>
      <c r="B171" s="221" t="s">
        <v>99</v>
      </c>
      <c r="C171" s="225">
        <v>0.37</v>
      </c>
      <c r="D171" s="225">
        <v>0.98</v>
      </c>
      <c r="E171" s="222">
        <v>308.676</v>
      </c>
      <c r="F171" s="105">
        <f t="shared" si="13"/>
        <v>262.3</v>
      </c>
      <c r="G171" s="105">
        <f t="shared" si="14"/>
        <v>46.376</v>
      </c>
      <c r="H171" s="211">
        <v>0.85</v>
      </c>
      <c r="I171" s="222">
        <v>92.6</v>
      </c>
      <c r="K171" s="212">
        <f t="shared" si="11"/>
        <v>262.3746</v>
      </c>
      <c r="L171" s="211">
        <f t="shared" si="12"/>
        <v>7705.9207</v>
      </c>
      <c r="O171" s="213" t="s">
        <v>1660</v>
      </c>
    </row>
    <row r="172" ht="14.25" spans="1:15">
      <c r="A172" s="220">
        <v>46191</v>
      </c>
      <c r="B172" s="221" t="s">
        <v>141</v>
      </c>
      <c r="C172" s="191">
        <v>0.2</v>
      </c>
      <c r="D172" s="191">
        <v>0.99</v>
      </c>
      <c r="E172" s="144">
        <v>355.686</v>
      </c>
      <c r="F172" s="105">
        <f t="shared" si="13"/>
        <v>339.7</v>
      </c>
      <c r="G172" s="105">
        <f t="shared" si="14"/>
        <v>15.986</v>
      </c>
      <c r="H172" s="211">
        <v>0.85</v>
      </c>
      <c r="I172" s="144">
        <v>106.71</v>
      </c>
      <c r="K172" s="212">
        <f t="shared" si="11"/>
        <v>302.3331</v>
      </c>
      <c r="L172" s="211">
        <f t="shared" si="12"/>
        <v>7403.5876</v>
      </c>
      <c r="O172" s="213" t="s">
        <v>1660</v>
      </c>
    </row>
    <row r="173" ht="14.25" spans="1:15">
      <c r="A173" s="220">
        <v>46191</v>
      </c>
      <c r="B173" s="221" t="s">
        <v>90</v>
      </c>
      <c r="C173" s="191">
        <v>0.91</v>
      </c>
      <c r="D173" s="191">
        <v>0.96</v>
      </c>
      <c r="E173" s="144">
        <v>45.188</v>
      </c>
      <c r="F173" s="105">
        <f t="shared" si="13"/>
        <v>21.5</v>
      </c>
      <c r="G173" s="105">
        <f t="shared" si="14"/>
        <v>23.688</v>
      </c>
      <c r="H173" s="211">
        <v>0.85</v>
      </c>
      <c r="I173" s="144" t="s">
        <v>1661</v>
      </c>
      <c r="K173" s="212">
        <f t="shared" si="11"/>
        <v>38.4098</v>
      </c>
      <c r="L173" s="211">
        <f t="shared" si="12"/>
        <v>7365.1778</v>
      </c>
      <c r="O173" s="213" t="s">
        <v>1660</v>
      </c>
    </row>
    <row r="174" ht="14.25" spans="1:15">
      <c r="A174" s="220">
        <v>46191</v>
      </c>
      <c r="B174" s="221" t="s">
        <v>114</v>
      </c>
      <c r="C174" s="191">
        <v>0.13</v>
      </c>
      <c r="D174" s="191">
        <v>0.99</v>
      </c>
      <c r="E174" s="144">
        <v>364.198</v>
      </c>
      <c r="F174" s="105">
        <f t="shared" si="13"/>
        <v>369.8</v>
      </c>
      <c r="G174" s="105">
        <f t="shared" si="14"/>
        <v>-5.60200000000003</v>
      </c>
      <c r="H174" s="211">
        <v>0.85</v>
      </c>
      <c r="I174" s="144" t="s">
        <v>1662</v>
      </c>
      <c r="K174" s="212">
        <f t="shared" si="11"/>
        <v>309.5683</v>
      </c>
      <c r="L174" s="211">
        <f t="shared" si="12"/>
        <v>7055.6095</v>
      </c>
      <c r="O174" s="213" t="s">
        <v>1660</v>
      </c>
    </row>
    <row r="175" ht="14.25" spans="1:15">
      <c r="A175" s="220">
        <v>46191</v>
      </c>
      <c r="B175" s="221" t="s">
        <v>177</v>
      </c>
      <c r="C175" s="191">
        <v>0.2</v>
      </c>
      <c r="D175" s="191">
        <v>0.99</v>
      </c>
      <c r="E175" s="144">
        <v>354.906</v>
      </c>
      <c r="F175" s="105">
        <f t="shared" si="13"/>
        <v>339.7</v>
      </c>
      <c r="G175" s="105">
        <f t="shared" si="14"/>
        <v>15.206</v>
      </c>
      <c r="H175" s="211">
        <v>0.85</v>
      </c>
      <c r="I175" s="144" t="s">
        <v>1663</v>
      </c>
      <c r="J175" s="144">
        <v>10000</v>
      </c>
      <c r="K175" s="212">
        <f t="shared" si="11"/>
        <v>301.6701</v>
      </c>
      <c r="L175" s="211">
        <f t="shared" si="12"/>
        <v>16753.9394</v>
      </c>
      <c r="O175" s="213" t="s">
        <v>1660</v>
      </c>
    </row>
    <row r="176" ht="14.25" spans="1:15">
      <c r="A176" s="220">
        <v>46191</v>
      </c>
      <c r="B176" s="144" t="s">
        <v>111</v>
      </c>
      <c r="E176" s="144">
        <v>275.064</v>
      </c>
      <c r="H176" s="211">
        <v>0.85</v>
      </c>
      <c r="K176" s="212">
        <f t="shared" si="11"/>
        <v>233.8044</v>
      </c>
      <c r="L176" s="211">
        <f t="shared" si="12"/>
        <v>16520.135</v>
      </c>
      <c r="O176" s="213" t="s">
        <v>1660</v>
      </c>
    </row>
    <row r="177" ht="14.25" spans="1:15">
      <c r="A177" s="220">
        <v>46191</v>
      </c>
      <c r="B177" s="144" t="s">
        <v>51</v>
      </c>
      <c r="E177" s="144">
        <v>287.112</v>
      </c>
      <c r="H177" s="211">
        <v>0.85</v>
      </c>
      <c r="K177" s="212">
        <f t="shared" si="11"/>
        <v>244.0452</v>
      </c>
      <c r="L177" s="211">
        <f t="shared" si="12"/>
        <v>16276.0898</v>
      </c>
      <c r="O177" s="213" t="s">
        <v>1660</v>
      </c>
    </row>
    <row r="178" ht="14.25" spans="1:15">
      <c r="A178" s="220">
        <v>46191</v>
      </c>
      <c r="B178" s="144" t="s">
        <v>132</v>
      </c>
      <c r="E178" s="144">
        <v>323.424</v>
      </c>
      <c r="H178" s="211">
        <v>0.85</v>
      </c>
      <c r="K178" s="212">
        <f t="shared" si="11"/>
        <v>274.9104</v>
      </c>
      <c r="L178" s="211">
        <f t="shared" si="12"/>
        <v>16001.1794</v>
      </c>
      <c r="O178" s="213" t="s">
        <v>1660</v>
      </c>
    </row>
    <row r="179" ht="14.25" spans="1:15">
      <c r="A179" s="220">
        <v>46191</v>
      </c>
      <c r="B179" s="144" t="s">
        <v>78</v>
      </c>
      <c r="E179" s="144">
        <v>287.286</v>
      </c>
      <c r="H179" s="211">
        <v>0.85</v>
      </c>
      <c r="K179" s="212">
        <f t="shared" si="11"/>
        <v>244.1931</v>
      </c>
      <c r="L179" s="211">
        <f t="shared" si="12"/>
        <v>15756.9863</v>
      </c>
      <c r="O179" s="213" t="s">
        <v>1660</v>
      </c>
    </row>
    <row r="180" s="206" customFormat="1" ht="14.25" spans="1:15">
      <c r="A180" s="226">
        <v>46192</v>
      </c>
      <c r="B180" s="206" t="s">
        <v>66</v>
      </c>
      <c r="E180" s="206">
        <v>73.086</v>
      </c>
      <c r="H180" s="227">
        <v>0.85</v>
      </c>
      <c r="K180" s="228">
        <f t="shared" si="11"/>
        <v>62.1231</v>
      </c>
      <c r="L180" s="227">
        <f t="shared" si="12"/>
        <v>15694.8632</v>
      </c>
      <c r="O180" s="229" t="s">
        <v>1660</v>
      </c>
    </row>
    <row r="181" s="206" customFormat="1" ht="14.25" spans="1:15">
      <c r="A181" s="226">
        <v>46192</v>
      </c>
      <c r="B181" s="206" t="s">
        <v>99</v>
      </c>
      <c r="E181" s="206">
        <v>69.138</v>
      </c>
      <c r="H181" s="227">
        <v>0.85</v>
      </c>
      <c r="K181" s="228">
        <f t="shared" si="11"/>
        <v>58.7673</v>
      </c>
      <c r="L181" s="227">
        <f t="shared" si="12"/>
        <v>15636.0959</v>
      </c>
      <c r="O181" s="229" t="s">
        <v>1660</v>
      </c>
    </row>
    <row r="182" s="206" customFormat="1" ht="14.25" spans="1:15">
      <c r="A182" s="226">
        <v>46192</v>
      </c>
      <c r="B182" s="206" t="s">
        <v>72</v>
      </c>
      <c r="E182" s="206">
        <v>296.75</v>
      </c>
      <c r="H182" s="227">
        <v>0.85</v>
      </c>
      <c r="K182" s="228">
        <f t="shared" si="11"/>
        <v>252.2375</v>
      </c>
      <c r="L182" s="227">
        <f t="shared" si="12"/>
        <v>15383.8584</v>
      </c>
      <c r="O182" s="229" t="s">
        <v>1660</v>
      </c>
    </row>
    <row r="183" s="206" customFormat="1" ht="14.25" spans="1:15">
      <c r="A183" s="226">
        <v>46192</v>
      </c>
      <c r="B183" s="206" t="s">
        <v>130</v>
      </c>
      <c r="E183" s="206">
        <v>262.488</v>
      </c>
      <c r="H183" s="227">
        <v>0.85</v>
      </c>
      <c r="K183" s="228">
        <f t="shared" si="11"/>
        <v>223.1148</v>
      </c>
      <c r="L183" s="227">
        <f t="shared" si="12"/>
        <v>15160.7436</v>
      </c>
      <c r="O183" s="229" t="s">
        <v>1660</v>
      </c>
    </row>
    <row r="184" s="206" customFormat="1" ht="14.25" spans="1:15">
      <c r="A184" s="226">
        <v>46192</v>
      </c>
      <c r="B184" s="206" t="s">
        <v>183</v>
      </c>
      <c r="E184" s="206">
        <v>306.062</v>
      </c>
      <c r="H184" s="227">
        <v>0.85</v>
      </c>
      <c r="K184" s="228">
        <f t="shared" si="11"/>
        <v>260.1527</v>
      </c>
      <c r="L184" s="227">
        <f t="shared" si="12"/>
        <v>14900.5909</v>
      </c>
      <c r="O184" s="229" t="s">
        <v>1660</v>
      </c>
    </row>
    <row r="185" s="206" customFormat="1" ht="14.25" spans="1:15">
      <c r="A185" s="226">
        <v>46192</v>
      </c>
      <c r="B185" s="206" t="s">
        <v>135</v>
      </c>
      <c r="E185" s="206">
        <v>330.994</v>
      </c>
      <c r="H185" s="227">
        <v>0.85</v>
      </c>
      <c r="K185" s="228">
        <f t="shared" si="11"/>
        <v>281.3449</v>
      </c>
      <c r="L185" s="227">
        <f t="shared" si="12"/>
        <v>14619.246</v>
      </c>
      <c r="O185" s="229" t="s">
        <v>1660</v>
      </c>
    </row>
    <row r="186" s="206" customFormat="1" ht="14.25" spans="1:15">
      <c r="A186" s="226">
        <v>46192</v>
      </c>
      <c r="B186" s="206" t="s">
        <v>148</v>
      </c>
      <c r="E186" s="206">
        <v>289.984</v>
      </c>
      <c r="H186" s="227">
        <v>0.85</v>
      </c>
      <c r="K186" s="228">
        <f t="shared" si="11"/>
        <v>246.4864</v>
      </c>
      <c r="L186" s="227">
        <f t="shared" si="12"/>
        <v>14372.7596</v>
      </c>
      <c r="O186" s="229" t="s">
        <v>1660</v>
      </c>
    </row>
    <row r="187" s="206" customFormat="1" ht="14.25" spans="1:15">
      <c r="A187" s="226">
        <v>46193</v>
      </c>
      <c r="B187" s="206" t="s">
        <v>75</v>
      </c>
      <c r="E187" s="206">
        <v>405.714</v>
      </c>
      <c r="H187" s="227">
        <v>0.85</v>
      </c>
      <c r="K187" s="228">
        <f t="shared" si="11"/>
        <v>344.8569</v>
      </c>
      <c r="L187" s="227">
        <f t="shared" si="12"/>
        <v>14027.9027</v>
      </c>
      <c r="O187" s="229" t="s">
        <v>1660</v>
      </c>
    </row>
    <row r="188" s="206" customFormat="1" ht="14.25" spans="1:15">
      <c r="A188" s="226">
        <v>46193</v>
      </c>
      <c r="B188" s="206" t="s">
        <v>90</v>
      </c>
      <c r="E188" s="206">
        <v>333.774</v>
      </c>
      <c r="H188" s="227">
        <v>0.85</v>
      </c>
      <c r="K188" s="228">
        <f t="shared" si="11"/>
        <v>283.7079</v>
      </c>
      <c r="L188" s="227">
        <f t="shared" si="12"/>
        <v>13744.1948</v>
      </c>
      <c r="O188" s="229" t="s">
        <v>1660</v>
      </c>
    </row>
    <row r="189" s="206" customFormat="1" ht="14.25" spans="1:15">
      <c r="A189" s="226">
        <v>46193</v>
      </c>
      <c r="B189" s="206" t="s">
        <v>81</v>
      </c>
      <c r="E189" s="206">
        <v>356.15</v>
      </c>
      <c r="H189" s="227">
        <v>0.85</v>
      </c>
      <c r="K189" s="228">
        <f t="shared" si="11"/>
        <v>302.7275</v>
      </c>
      <c r="L189" s="227">
        <f t="shared" si="12"/>
        <v>13441.4673</v>
      </c>
      <c r="O189" s="229" t="s">
        <v>1660</v>
      </c>
    </row>
    <row r="190" s="206" customFormat="1" ht="14.25" spans="1:15">
      <c r="A190" s="226">
        <v>46193</v>
      </c>
      <c r="B190" s="206" t="s">
        <v>54</v>
      </c>
      <c r="E190" s="206">
        <v>284.354</v>
      </c>
      <c r="H190" s="227">
        <v>0.85</v>
      </c>
      <c r="K190" s="228">
        <f t="shared" si="11"/>
        <v>241.7009</v>
      </c>
      <c r="L190" s="227">
        <f t="shared" si="12"/>
        <v>13199.7664</v>
      </c>
      <c r="O190" s="229" t="s">
        <v>1660</v>
      </c>
    </row>
    <row r="191" s="206" customFormat="1" ht="14.25" spans="1:15">
      <c r="A191" s="226">
        <v>46193</v>
      </c>
      <c r="B191" s="206" t="s">
        <v>93</v>
      </c>
      <c r="E191" s="206">
        <v>372.18</v>
      </c>
      <c r="H191" s="227">
        <v>0.85</v>
      </c>
      <c r="K191" s="228">
        <f t="shared" si="11"/>
        <v>316.353</v>
      </c>
      <c r="L191" s="227">
        <f t="shared" si="12"/>
        <v>12883.4134</v>
      </c>
      <c r="O191" s="229" t="s">
        <v>1660</v>
      </c>
    </row>
    <row r="192" s="206" customFormat="1" ht="14.25" spans="1:15">
      <c r="A192" s="226">
        <v>46193</v>
      </c>
      <c r="B192" s="206" t="s">
        <v>127</v>
      </c>
      <c r="E192" s="206">
        <v>288.534</v>
      </c>
      <c r="H192" s="227">
        <v>0.85</v>
      </c>
      <c r="K192" s="228">
        <f t="shared" si="11"/>
        <v>245.2539</v>
      </c>
      <c r="L192" s="227">
        <f t="shared" si="12"/>
        <v>12638.1595</v>
      </c>
      <c r="O192" s="229" t="s">
        <v>1660</v>
      </c>
    </row>
    <row r="193" s="206" customFormat="1" ht="14.25" spans="1:15">
      <c r="A193" s="226">
        <v>46193</v>
      </c>
      <c r="B193" s="206" t="s">
        <v>166</v>
      </c>
      <c r="E193" s="206">
        <v>266.844</v>
      </c>
      <c r="H193" s="227">
        <v>0.85</v>
      </c>
      <c r="K193" s="228">
        <f t="shared" si="11"/>
        <v>226.8174</v>
      </c>
      <c r="L193" s="227">
        <f t="shared" si="12"/>
        <v>12411.3421</v>
      </c>
      <c r="O193" s="229" t="s">
        <v>1660</v>
      </c>
    </row>
    <row r="194" s="206" customFormat="1" ht="14.25" spans="1:15">
      <c r="A194" s="226">
        <v>46193</v>
      </c>
      <c r="B194" s="206" t="s">
        <v>99</v>
      </c>
      <c r="E194" s="206">
        <v>331.286</v>
      </c>
      <c r="H194" s="227">
        <v>0.85</v>
      </c>
      <c r="K194" s="228">
        <f t="shared" si="11"/>
        <v>281.5931</v>
      </c>
      <c r="L194" s="227">
        <f t="shared" si="12"/>
        <v>12129.749</v>
      </c>
      <c r="O194" s="229" t="s">
        <v>1660</v>
      </c>
    </row>
    <row r="195" s="206" customFormat="1" ht="14.25" spans="1:15">
      <c r="A195" s="226">
        <v>46193</v>
      </c>
      <c r="B195" s="206" t="s">
        <v>78</v>
      </c>
      <c r="E195" s="206">
        <v>264.856</v>
      </c>
      <c r="H195" s="227">
        <v>0.85</v>
      </c>
      <c r="K195" s="228">
        <f t="shared" ref="K195:K212" si="15">E195*H195</f>
        <v>225.1276</v>
      </c>
      <c r="L195" s="227">
        <f t="shared" ref="L195:L212" si="16">L194+J195-K195</f>
        <v>11904.6214</v>
      </c>
      <c r="O195" s="229" t="s">
        <v>1660</v>
      </c>
    </row>
    <row r="196" s="206" customFormat="1" ht="14.25" spans="1:15">
      <c r="A196" s="226">
        <v>46193</v>
      </c>
      <c r="B196" s="206" t="s">
        <v>66</v>
      </c>
      <c r="E196" s="206">
        <v>217.032</v>
      </c>
      <c r="H196" s="227">
        <v>0.85</v>
      </c>
      <c r="K196" s="228">
        <f t="shared" si="15"/>
        <v>184.4772</v>
      </c>
      <c r="L196" s="227">
        <f t="shared" si="16"/>
        <v>11720.1442</v>
      </c>
      <c r="O196" s="229" t="s">
        <v>1660</v>
      </c>
    </row>
    <row r="197" s="206" customFormat="1" ht="14.25" spans="1:15">
      <c r="A197" s="226">
        <v>46193</v>
      </c>
      <c r="B197" s="206" t="s">
        <v>111</v>
      </c>
      <c r="E197" s="206">
        <v>283.034</v>
      </c>
      <c r="H197" s="227">
        <v>0.85</v>
      </c>
      <c r="K197" s="228">
        <f t="shared" si="15"/>
        <v>240.5789</v>
      </c>
      <c r="L197" s="227">
        <f t="shared" si="16"/>
        <v>11479.5653</v>
      </c>
      <c r="O197" s="229" t="s">
        <v>1660</v>
      </c>
    </row>
    <row r="198" s="206" customFormat="1" ht="14.25" spans="1:15">
      <c r="A198" s="226">
        <v>46193</v>
      </c>
      <c r="B198" s="206" t="s">
        <v>57</v>
      </c>
      <c r="E198" s="206">
        <v>268.024</v>
      </c>
      <c r="H198" s="227">
        <v>0.85</v>
      </c>
      <c r="K198" s="228">
        <f t="shared" si="15"/>
        <v>227.8204</v>
      </c>
      <c r="L198" s="227">
        <f t="shared" si="16"/>
        <v>11251.7449</v>
      </c>
      <c r="O198" s="229" t="s">
        <v>1660</v>
      </c>
    </row>
    <row r="199" s="206" customFormat="1" ht="14.25" spans="1:15">
      <c r="A199" s="226">
        <v>46194</v>
      </c>
      <c r="B199" s="206" t="s">
        <v>132</v>
      </c>
      <c r="E199" s="206">
        <v>370.884</v>
      </c>
      <c r="H199" s="227">
        <v>0.85</v>
      </c>
      <c r="K199" s="228">
        <f t="shared" si="15"/>
        <v>315.2514</v>
      </c>
      <c r="L199" s="227">
        <f t="shared" si="16"/>
        <v>10936.4935</v>
      </c>
      <c r="O199" s="229" t="s">
        <v>1660</v>
      </c>
    </row>
    <row r="200" s="206" customFormat="1" ht="14.25" spans="1:15">
      <c r="A200" s="226">
        <v>46194</v>
      </c>
      <c r="B200" s="206" t="s">
        <v>51</v>
      </c>
      <c r="E200" s="206">
        <v>214.488</v>
      </c>
      <c r="H200" s="227">
        <v>0.85</v>
      </c>
      <c r="K200" s="228">
        <f t="shared" si="15"/>
        <v>182.3148</v>
      </c>
      <c r="L200" s="227">
        <f t="shared" si="16"/>
        <v>10754.1787</v>
      </c>
      <c r="O200" s="229" t="s">
        <v>1660</v>
      </c>
    </row>
    <row r="201" s="206" customFormat="1" ht="14.25" spans="1:15">
      <c r="A201" s="226">
        <v>46194</v>
      </c>
      <c r="B201" s="206" t="s">
        <v>180</v>
      </c>
      <c r="E201" s="206">
        <v>308.086</v>
      </c>
      <c r="H201" s="227">
        <v>0.85</v>
      </c>
      <c r="K201" s="228">
        <f t="shared" si="15"/>
        <v>261.8731</v>
      </c>
      <c r="L201" s="227">
        <f t="shared" si="16"/>
        <v>10492.3056</v>
      </c>
      <c r="O201" s="229" t="s">
        <v>1660</v>
      </c>
    </row>
    <row r="202" s="206" customFormat="1" ht="14.25" spans="1:15">
      <c r="A202" s="226">
        <v>46194</v>
      </c>
      <c r="B202" s="206" t="s">
        <v>141</v>
      </c>
      <c r="E202" s="206">
        <v>367.774</v>
      </c>
      <c r="H202" s="227">
        <v>0.85</v>
      </c>
      <c r="K202" s="228">
        <f t="shared" si="15"/>
        <v>312.6079</v>
      </c>
      <c r="L202" s="227">
        <f t="shared" si="16"/>
        <v>10179.6977</v>
      </c>
      <c r="O202" s="229" t="s">
        <v>1660</v>
      </c>
    </row>
    <row r="203" s="206" customFormat="1" ht="14.25" spans="1:15">
      <c r="A203" s="226">
        <v>46194</v>
      </c>
      <c r="B203" s="206" t="s">
        <v>148</v>
      </c>
      <c r="E203" s="206">
        <v>298.936</v>
      </c>
      <c r="H203" s="227">
        <v>0.85</v>
      </c>
      <c r="K203" s="228">
        <f t="shared" si="15"/>
        <v>254.0956</v>
      </c>
      <c r="L203" s="227">
        <f t="shared" si="16"/>
        <v>9925.6021</v>
      </c>
      <c r="O203" s="229" t="s">
        <v>1660</v>
      </c>
    </row>
    <row r="204" s="206" customFormat="1" ht="14.25" spans="1:15">
      <c r="A204" s="226">
        <v>46194</v>
      </c>
      <c r="B204" s="206" t="s">
        <v>186</v>
      </c>
      <c r="E204" s="206">
        <v>185.162</v>
      </c>
      <c r="H204" s="227">
        <v>0.85</v>
      </c>
      <c r="K204" s="228">
        <f t="shared" si="15"/>
        <v>157.3877</v>
      </c>
      <c r="L204" s="227">
        <f t="shared" si="16"/>
        <v>9768.2144</v>
      </c>
      <c r="O204" s="229" t="s">
        <v>1660</v>
      </c>
    </row>
    <row r="205" s="206" customFormat="1" ht="14.25" spans="1:15">
      <c r="A205" s="226">
        <v>46194</v>
      </c>
      <c r="B205" s="206" t="s">
        <v>207</v>
      </c>
      <c r="E205" s="206">
        <v>252.204</v>
      </c>
      <c r="H205" s="227">
        <v>0.85</v>
      </c>
      <c r="K205" s="228">
        <f t="shared" si="15"/>
        <v>214.3734</v>
      </c>
      <c r="L205" s="227">
        <f t="shared" si="16"/>
        <v>9553.841</v>
      </c>
      <c r="O205" s="229" t="s">
        <v>1660</v>
      </c>
    </row>
    <row r="206" s="206" customFormat="1" ht="14.25" spans="1:15">
      <c r="A206" s="226">
        <v>46194</v>
      </c>
      <c r="B206" s="206" t="s">
        <v>186</v>
      </c>
      <c r="E206" s="206">
        <v>142.806</v>
      </c>
      <c r="H206" s="227">
        <v>0.85</v>
      </c>
      <c r="K206" s="228">
        <f t="shared" si="15"/>
        <v>121.3851</v>
      </c>
      <c r="L206" s="227">
        <f t="shared" si="16"/>
        <v>9432.4559</v>
      </c>
      <c r="O206" s="229" t="s">
        <v>1660</v>
      </c>
    </row>
    <row r="207" s="206" customFormat="1" ht="14.25" spans="1:15">
      <c r="A207" s="226">
        <v>46194</v>
      </c>
      <c r="B207" s="206" t="s">
        <v>177</v>
      </c>
      <c r="E207" s="206">
        <v>316.03</v>
      </c>
      <c r="H207" s="227">
        <v>0.85</v>
      </c>
      <c r="K207" s="228">
        <f t="shared" si="15"/>
        <v>268.6255</v>
      </c>
      <c r="L207" s="227">
        <f t="shared" si="16"/>
        <v>9163.8304</v>
      </c>
      <c r="O207" s="229" t="s">
        <v>1660</v>
      </c>
    </row>
    <row r="208" s="206" customFormat="1" ht="14.25" spans="1:15">
      <c r="A208" s="226">
        <v>46194</v>
      </c>
      <c r="B208" s="206" t="s">
        <v>141</v>
      </c>
      <c r="E208" s="206">
        <v>139.048</v>
      </c>
      <c r="H208" s="227">
        <v>0.85</v>
      </c>
      <c r="K208" s="228">
        <f t="shared" si="15"/>
        <v>118.1908</v>
      </c>
      <c r="L208" s="227">
        <f t="shared" si="16"/>
        <v>9045.6396</v>
      </c>
      <c r="O208" s="229" t="s">
        <v>1660</v>
      </c>
    </row>
    <row r="209" s="206" customFormat="1" ht="14.25" spans="1:15">
      <c r="A209" s="226">
        <v>46194</v>
      </c>
      <c r="B209" s="206" t="s">
        <v>99</v>
      </c>
      <c r="E209" s="206">
        <v>62.778</v>
      </c>
      <c r="H209" s="227">
        <v>0.85</v>
      </c>
      <c r="K209" s="228">
        <f t="shared" si="15"/>
        <v>53.3613</v>
      </c>
      <c r="L209" s="227">
        <f t="shared" si="16"/>
        <v>8992.2783</v>
      </c>
      <c r="O209" s="229" t="s">
        <v>1660</v>
      </c>
    </row>
    <row r="210" s="206" customFormat="1" ht="14.25" spans="1:15">
      <c r="A210" s="226">
        <v>46194</v>
      </c>
      <c r="B210" s="206" t="s">
        <v>138</v>
      </c>
      <c r="E210" s="206">
        <v>76.766</v>
      </c>
      <c r="H210" s="227">
        <v>0.85</v>
      </c>
      <c r="K210" s="228">
        <f t="shared" si="15"/>
        <v>65.2511</v>
      </c>
      <c r="L210" s="227">
        <f t="shared" si="16"/>
        <v>8927.0272</v>
      </c>
      <c r="O210" s="229" t="s">
        <v>1660</v>
      </c>
    </row>
    <row r="211" s="206" customFormat="1" ht="14.25" spans="1:15">
      <c r="A211" s="226">
        <v>46194</v>
      </c>
      <c r="B211" s="206" t="s">
        <v>60</v>
      </c>
      <c r="E211" s="206">
        <v>82.418</v>
      </c>
      <c r="H211" s="227">
        <v>0.85</v>
      </c>
      <c r="K211" s="228">
        <f t="shared" si="15"/>
        <v>70.0553</v>
      </c>
      <c r="L211" s="227">
        <f t="shared" si="16"/>
        <v>8856.9719</v>
      </c>
      <c r="O211" s="229" t="s">
        <v>1660</v>
      </c>
    </row>
    <row r="212" s="206" customFormat="1" ht="14.25" spans="1:15">
      <c r="A212" s="230">
        <v>46194</v>
      </c>
      <c r="B212" s="206" t="s">
        <v>174</v>
      </c>
      <c r="E212" s="206">
        <v>319.292</v>
      </c>
      <c r="H212" s="231">
        <v>0.85</v>
      </c>
      <c r="K212" s="232">
        <f t="shared" si="15"/>
        <v>271.3982</v>
      </c>
      <c r="L212" s="231">
        <f t="shared" si="16"/>
        <v>8585.5737</v>
      </c>
      <c r="O212" s="233" t="s">
        <v>1660</v>
      </c>
    </row>
    <row r="213" ht="14.25" spans="1:15">
      <c r="A213" s="203">
        <v>46196</v>
      </c>
      <c r="B213" s="213" t="s">
        <v>57</v>
      </c>
      <c r="C213" s="234">
        <v>0.34</v>
      </c>
      <c r="D213" s="234">
        <v>0.99</v>
      </c>
      <c r="E213" s="235">
        <v>278.636</v>
      </c>
      <c r="F213" s="55"/>
      <c r="G213" s="55"/>
      <c r="H213" s="211">
        <v>0.85</v>
      </c>
      <c r="I213" s="55"/>
      <c r="J213" s="55"/>
      <c r="K213" s="212">
        <f t="shared" ref="K213:K229" si="17">E213*H213</f>
        <v>236.8406</v>
      </c>
      <c r="L213" s="212">
        <f t="shared" ref="L213:L229" si="18">L212+J213-K213</f>
        <v>8348.7331</v>
      </c>
      <c r="M213" s="55"/>
      <c r="N213" s="55"/>
      <c r="O213" s="213" t="s">
        <v>1660</v>
      </c>
    </row>
    <row r="214" ht="14.25" spans="1:15">
      <c r="A214" s="203">
        <v>46196</v>
      </c>
      <c r="B214" s="213" t="s">
        <v>148</v>
      </c>
      <c r="C214" s="234">
        <v>0.45</v>
      </c>
      <c r="D214" s="234">
        <v>0.93</v>
      </c>
      <c r="E214" s="235">
        <v>216.384</v>
      </c>
      <c r="F214" s="55"/>
      <c r="G214" s="55"/>
      <c r="H214" s="211">
        <v>0.85</v>
      </c>
      <c r="I214" s="55"/>
      <c r="J214" s="55"/>
      <c r="K214" s="212">
        <f t="shared" si="17"/>
        <v>183.9264</v>
      </c>
      <c r="L214" s="212">
        <f t="shared" si="18"/>
        <v>8164.8067</v>
      </c>
      <c r="M214" s="55"/>
      <c r="N214" s="55"/>
      <c r="O214" s="213" t="s">
        <v>1660</v>
      </c>
    </row>
    <row r="215" ht="14.25" spans="1:15">
      <c r="A215" s="203">
        <v>46196</v>
      </c>
      <c r="B215" s="213" t="s">
        <v>339</v>
      </c>
      <c r="C215" s="234">
        <v>0.34</v>
      </c>
      <c r="D215" s="234">
        <v>0.99</v>
      </c>
      <c r="E215" s="235">
        <v>295.06</v>
      </c>
      <c r="F215" s="55"/>
      <c r="G215" s="55"/>
      <c r="H215" s="211">
        <v>0.85</v>
      </c>
      <c r="I215" s="55"/>
      <c r="J215" s="55"/>
      <c r="K215" s="212">
        <f t="shared" si="17"/>
        <v>250.801</v>
      </c>
      <c r="L215" s="212">
        <f t="shared" si="18"/>
        <v>7914.0057</v>
      </c>
      <c r="M215" s="55"/>
      <c r="N215" s="55"/>
      <c r="O215" s="213" t="s">
        <v>1660</v>
      </c>
    </row>
    <row r="216" ht="14.25" spans="1:15">
      <c r="A216" s="203">
        <v>46197</v>
      </c>
      <c r="B216" s="213" t="s">
        <v>180</v>
      </c>
      <c r="C216" s="234">
        <v>0.28</v>
      </c>
      <c r="D216" s="234">
        <v>0.53</v>
      </c>
      <c r="E216" s="235">
        <v>116.948</v>
      </c>
      <c r="F216" s="55"/>
      <c r="G216" s="55"/>
      <c r="H216" s="211">
        <v>0.85</v>
      </c>
      <c r="I216" s="55"/>
      <c r="J216" s="55"/>
      <c r="K216" s="212">
        <f t="shared" si="17"/>
        <v>99.4058</v>
      </c>
      <c r="L216" s="212">
        <f t="shared" si="18"/>
        <v>7814.5999</v>
      </c>
      <c r="M216" s="55"/>
      <c r="N216" s="55"/>
      <c r="O216" s="213" t="s">
        <v>1660</v>
      </c>
    </row>
    <row r="217" ht="14.25" spans="1:15">
      <c r="A217" s="203">
        <v>46197</v>
      </c>
      <c r="B217" s="213" t="s">
        <v>130</v>
      </c>
      <c r="C217" s="234">
        <v>0.37</v>
      </c>
      <c r="D217" s="234">
        <v>0.99</v>
      </c>
      <c r="E217" s="235">
        <v>267.458</v>
      </c>
      <c r="F217" s="55"/>
      <c r="G217" s="55"/>
      <c r="H217" s="211">
        <v>0.85</v>
      </c>
      <c r="I217" s="55"/>
      <c r="J217" s="55"/>
      <c r="K217" s="212">
        <f t="shared" si="17"/>
        <v>227.3393</v>
      </c>
      <c r="L217" s="212">
        <f t="shared" si="18"/>
        <v>7587.2606</v>
      </c>
      <c r="M217" s="55"/>
      <c r="N217" s="55"/>
      <c r="O217" s="213" t="s">
        <v>1660</v>
      </c>
    </row>
    <row r="218" ht="14.25" spans="1:15">
      <c r="A218" s="203">
        <v>46197</v>
      </c>
      <c r="B218" s="213" t="s">
        <v>66</v>
      </c>
      <c r="C218" s="234">
        <v>0.46</v>
      </c>
      <c r="D218" s="234">
        <v>0.98</v>
      </c>
      <c r="E218" s="235">
        <v>265.212</v>
      </c>
      <c r="F218" s="55"/>
      <c r="G218" s="55"/>
      <c r="H218" s="211">
        <v>0.85</v>
      </c>
      <c r="I218" s="55"/>
      <c r="J218" s="55"/>
      <c r="K218" s="212">
        <f t="shared" si="17"/>
        <v>225.4302</v>
      </c>
      <c r="L218" s="212">
        <f t="shared" si="18"/>
        <v>7361.8304</v>
      </c>
      <c r="M218" s="55"/>
      <c r="N218" s="55"/>
      <c r="O218" s="213" t="s">
        <v>1660</v>
      </c>
    </row>
    <row r="219" ht="14.25" spans="1:15">
      <c r="A219" s="203">
        <v>46197</v>
      </c>
      <c r="B219" s="213" t="s">
        <v>138</v>
      </c>
      <c r="C219" s="234">
        <v>0.34</v>
      </c>
      <c r="D219" s="234">
        <v>0.99</v>
      </c>
      <c r="E219" s="235">
        <v>298.852</v>
      </c>
      <c r="F219" s="55"/>
      <c r="G219" s="55"/>
      <c r="H219" s="211">
        <v>0.85</v>
      </c>
      <c r="I219" s="55"/>
      <c r="J219" s="55"/>
      <c r="K219" s="212">
        <f t="shared" si="17"/>
        <v>254.0242</v>
      </c>
      <c r="L219" s="212">
        <f t="shared" si="18"/>
        <v>7107.8062</v>
      </c>
      <c r="M219" s="55"/>
      <c r="N219" s="55"/>
      <c r="O219" s="213" t="s">
        <v>1660</v>
      </c>
    </row>
    <row r="220" ht="14.25" spans="1:15">
      <c r="A220" s="203">
        <v>46197</v>
      </c>
      <c r="B220" s="213" t="s">
        <v>148</v>
      </c>
      <c r="C220" s="195">
        <v>0.29</v>
      </c>
      <c r="D220" s="195">
        <v>0.99</v>
      </c>
      <c r="E220" s="55" t="s">
        <v>1664</v>
      </c>
      <c r="F220" s="55"/>
      <c r="G220" s="55"/>
      <c r="H220" s="211">
        <v>0.85</v>
      </c>
      <c r="I220" s="55"/>
      <c r="J220" s="55"/>
      <c r="K220" s="212">
        <f t="shared" si="17"/>
        <v>269.1644</v>
      </c>
      <c r="L220" s="212">
        <f t="shared" si="18"/>
        <v>6838.6418</v>
      </c>
      <c r="M220" s="55"/>
      <c r="N220" s="55"/>
      <c r="O220" s="213" t="s">
        <v>1660</v>
      </c>
    </row>
    <row r="221" ht="14.25" spans="1:15">
      <c r="A221" s="203">
        <v>46197</v>
      </c>
      <c r="B221" s="213" t="s">
        <v>90</v>
      </c>
      <c r="C221" s="195">
        <v>0.23</v>
      </c>
      <c r="D221" s="195">
        <v>0.98</v>
      </c>
      <c r="E221" s="55" t="s">
        <v>1665</v>
      </c>
      <c r="F221" s="55"/>
      <c r="G221" s="55"/>
      <c r="H221" s="211">
        <v>0.85</v>
      </c>
      <c r="I221" s="55"/>
      <c r="J221" s="55"/>
      <c r="K221" s="212">
        <f t="shared" si="17"/>
        <v>306.578</v>
      </c>
      <c r="L221" s="212">
        <f t="shared" si="18"/>
        <v>6532.0638</v>
      </c>
      <c r="M221" s="55"/>
      <c r="N221" s="55"/>
      <c r="O221" s="213" t="s">
        <v>1660</v>
      </c>
    </row>
    <row r="222" ht="14.25" spans="1:15">
      <c r="A222" s="203">
        <v>46198</v>
      </c>
      <c r="B222" s="213" t="s">
        <v>183</v>
      </c>
      <c r="C222" s="195">
        <v>0.19</v>
      </c>
      <c r="D222" s="195">
        <v>0.99</v>
      </c>
      <c r="E222" s="55" t="s">
        <v>1666</v>
      </c>
      <c r="F222" s="55"/>
      <c r="G222" s="55"/>
      <c r="H222" s="211">
        <v>0.85</v>
      </c>
      <c r="I222" s="55"/>
      <c r="J222" s="55"/>
      <c r="K222" s="212">
        <f t="shared" si="17"/>
        <v>312.3886</v>
      </c>
      <c r="L222" s="212">
        <f t="shared" si="18"/>
        <v>6219.6752</v>
      </c>
      <c r="M222" s="55"/>
      <c r="N222" s="55"/>
      <c r="O222" s="213" t="s">
        <v>1660</v>
      </c>
    </row>
    <row r="223" ht="14.25" spans="1:15">
      <c r="A223" s="203">
        <v>46198</v>
      </c>
      <c r="B223" s="55" t="s">
        <v>111</v>
      </c>
      <c r="C223" s="195">
        <v>0.61</v>
      </c>
      <c r="D223" s="195">
        <v>0.99</v>
      </c>
      <c r="E223" s="55" t="s">
        <v>1667</v>
      </c>
      <c r="F223" s="55"/>
      <c r="G223" s="55"/>
      <c r="H223" s="211">
        <v>0.85</v>
      </c>
      <c r="I223" s="55"/>
      <c r="J223" s="55"/>
      <c r="K223" s="212">
        <f t="shared" si="17"/>
        <v>135.2078</v>
      </c>
      <c r="L223" s="212">
        <f t="shared" si="18"/>
        <v>6084.4674</v>
      </c>
      <c r="M223" s="55"/>
      <c r="N223" s="55"/>
      <c r="O223" s="213" t="s">
        <v>1660</v>
      </c>
    </row>
    <row r="224" ht="14.25" spans="1:15">
      <c r="A224" s="203">
        <v>46198</v>
      </c>
      <c r="B224" s="55" t="s">
        <v>177</v>
      </c>
      <c r="C224" s="195">
        <v>0.27</v>
      </c>
      <c r="D224" s="195">
        <v>0.99</v>
      </c>
      <c r="E224" s="55" t="s">
        <v>1668</v>
      </c>
      <c r="F224" s="55"/>
      <c r="G224" s="55"/>
      <c r="H224" s="211">
        <v>0.85</v>
      </c>
      <c r="I224" s="55"/>
      <c r="J224" s="55"/>
      <c r="K224" s="212">
        <f t="shared" si="17"/>
        <v>278.375</v>
      </c>
      <c r="L224" s="212">
        <f t="shared" si="18"/>
        <v>5806.0924</v>
      </c>
      <c r="M224" s="55"/>
      <c r="N224" s="55"/>
      <c r="O224" s="213" t="s">
        <v>1660</v>
      </c>
    </row>
    <row r="225" ht="14.25" spans="1:15">
      <c r="A225" s="203">
        <v>46199</v>
      </c>
      <c r="B225" s="55" t="s">
        <v>130</v>
      </c>
      <c r="C225" s="195">
        <v>0.63</v>
      </c>
      <c r="D225" s="195">
        <v>0.99</v>
      </c>
      <c r="E225" s="55" t="s">
        <v>1669</v>
      </c>
      <c r="F225" s="55"/>
      <c r="G225" s="55"/>
      <c r="H225" s="211">
        <v>0.85</v>
      </c>
      <c r="I225" s="55"/>
      <c r="J225" s="55"/>
      <c r="K225" s="212">
        <f t="shared" si="17"/>
        <v>132.0322</v>
      </c>
      <c r="L225" s="212">
        <f t="shared" si="18"/>
        <v>5674.0602</v>
      </c>
      <c r="M225" s="55"/>
      <c r="N225" s="55"/>
      <c r="O225" s="213" t="s">
        <v>1660</v>
      </c>
    </row>
    <row r="226" ht="14.25" spans="1:15">
      <c r="A226" s="203">
        <v>46199</v>
      </c>
      <c r="B226" s="221" t="s">
        <v>66</v>
      </c>
      <c r="C226" s="236">
        <v>0.53</v>
      </c>
      <c r="D226" s="195">
        <v>0.98</v>
      </c>
      <c r="E226" s="235">
        <v>222.87</v>
      </c>
      <c r="F226" s="55"/>
      <c r="G226" s="55"/>
      <c r="H226" s="211">
        <v>0.85</v>
      </c>
      <c r="I226" s="55"/>
      <c r="J226" s="55"/>
      <c r="K226" s="212">
        <f t="shared" si="17"/>
        <v>189.4395</v>
      </c>
      <c r="L226" s="212">
        <f t="shared" si="18"/>
        <v>5484.6207</v>
      </c>
      <c r="M226" s="55"/>
      <c r="N226" s="55"/>
      <c r="O226" s="213" t="s">
        <v>1660</v>
      </c>
    </row>
    <row r="227" ht="14.25" spans="1:15">
      <c r="A227" s="203">
        <v>46199</v>
      </c>
      <c r="B227" s="221" t="s">
        <v>99</v>
      </c>
      <c r="C227" s="236">
        <v>0.46</v>
      </c>
      <c r="D227" s="195">
        <v>0.98</v>
      </c>
      <c r="E227" s="235">
        <v>246.272</v>
      </c>
      <c r="F227" s="55"/>
      <c r="G227" s="55"/>
      <c r="H227" s="211">
        <v>0.85</v>
      </c>
      <c r="I227" s="55"/>
      <c r="J227" s="55"/>
      <c r="K227" s="212">
        <f t="shared" si="17"/>
        <v>209.3312</v>
      </c>
      <c r="L227" s="212">
        <f t="shared" si="18"/>
        <v>5275.2895</v>
      </c>
      <c r="M227" s="55"/>
      <c r="N227" s="55"/>
      <c r="O227" s="213" t="s">
        <v>1660</v>
      </c>
    </row>
    <row r="228" ht="14.25" spans="1:15">
      <c r="A228" s="203">
        <v>46199</v>
      </c>
      <c r="B228" s="221" t="s">
        <v>180</v>
      </c>
      <c r="C228" s="236">
        <v>0.27</v>
      </c>
      <c r="D228" s="195">
        <v>0.99</v>
      </c>
      <c r="E228" s="235">
        <v>326.036</v>
      </c>
      <c r="F228" s="55"/>
      <c r="G228" s="55"/>
      <c r="H228" s="211">
        <v>0.85</v>
      </c>
      <c r="I228" s="55"/>
      <c r="J228" s="55"/>
      <c r="K228" s="212">
        <f t="shared" si="17"/>
        <v>277.1306</v>
      </c>
      <c r="L228" s="212">
        <f t="shared" si="18"/>
        <v>4998.1589</v>
      </c>
      <c r="M228" s="55"/>
      <c r="N228" s="55"/>
      <c r="O228" s="213" t="s">
        <v>1660</v>
      </c>
    </row>
    <row r="229" ht="14.25" spans="1:15">
      <c r="A229" s="237">
        <v>46200</v>
      </c>
      <c r="B229" s="238" t="s">
        <v>339</v>
      </c>
      <c r="C229" s="239">
        <v>0.63</v>
      </c>
      <c r="D229" s="200">
        <v>0.99</v>
      </c>
      <c r="E229" s="240">
        <v>169.284</v>
      </c>
      <c r="F229" s="199"/>
      <c r="G229" s="199"/>
      <c r="H229" s="241">
        <v>0.85</v>
      </c>
      <c r="I229" s="199"/>
      <c r="J229" s="199"/>
      <c r="K229" s="242">
        <f t="shared" si="17"/>
        <v>143.8914</v>
      </c>
      <c r="L229" s="242">
        <f t="shared" si="18"/>
        <v>4854.2675</v>
      </c>
      <c r="M229" s="199"/>
      <c r="N229" s="199"/>
      <c r="O229" s="213" t="s">
        <v>1660</v>
      </c>
    </row>
    <row r="230" ht="14.25" spans="1:15">
      <c r="A230" s="203">
        <v>46200</v>
      </c>
      <c r="B230" s="243" t="s">
        <v>186</v>
      </c>
      <c r="C230" s="195">
        <v>0.87</v>
      </c>
      <c r="D230" s="195">
        <v>0.99</v>
      </c>
      <c r="E230" s="235">
        <v>57.124</v>
      </c>
      <c r="F230" s="55"/>
      <c r="G230" s="55"/>
      <c r="H230" s="211">
        <v>0.85</v>
      </c>
      <c r="I230" s="55"/>
      <c r="J230" s="55"/>
      <c r="K230" s="212">
        <f t="shared" ref="K230:K241" si="19">E230*H230</f>
        <v>48.5554</v>
      </c>
      <c r="L230" s="212">
        <f t="shared" ref="L230:L241" si="20">L229+J230-K230</f>
        <v>4805.7121</v>
      </c>
      <c r="M230" s="55"/>
      <c r="N230" s="55"/>
      <c r="O230" s="213" t="s">
        <v>1660</v>
      </c>
    </row>
    <row r="231" ht="14.25" spans="1:15">
      <c r="A231" s="203">
        <v>46200</v>
      </c>
      <c r="B231" s="243" t="s">
        <v>90</v>
      </c>
      <c r="C231" s="195">
        <v>0.38</v>
      </c>
      <c r="D231" s="195">
        <v>0.97</v>
      </c>
      <c r="E231" s="235">
        <v>289.77</v>
      </c>
      <c r="F231" s="55"/>
      <c r="G231" s="55"/>
      <c r="H231" s="211">
        <v>0.85</v>
      </c>
      <c r="I231" s="55"/>
      <c r="J231" s="55"/>
      <c r="K231" s="212">
        <f t="shared" si="19"/>
        <v>246.3045</v>
      </c>
      <c r="L231" s="212">
        <f t="shared" si="20"/>
        <v>4559.4076</v>
      </c>
      <c r="M231" s="55"/>
      <c r="N231" s="55"/>
      <c r="O231" s="213" t="s">
        <v>1660</v>
      </c>
    </row>
    <row r="232" ht="14.25" spans="1:15">
      <c r="A232" s="203">
        <v>46201</v>
      </c>
      <c r="B232" s="243" t="s">
        <v>174</v>
      </c>
      <c r="C232" s="195">
        <v>0.22</v>
      </c>
      <c r="D232" s="195">
        <v>0.99</v>
      </c>
      <c r="E232" s="235">
        <v>354.816</v>
      </c>
      <c r="F232" s="55"/>
      <c r="G232" s="55"/>
      <c r="H232" s="211">
        <v>0.85</v>
      </c>
      <c r="I232" s="55"/>
      <c r="J232" s="55"/>
      <c r="K232" s="212">
        <f t="shared" si="19"/>
        <v>301.5936</v>
      </c>
      <c r="L232" s="212">
        <f t="shared" si="20"/>
        <v>4257.814</v>
      </c>
      <c r="M232" s="55"/>
      <c r="N232" s="55"/>
      <c r="O232" s="213" t="s">
        <v>1660</v>
      </c>
    </row>
    <row r="233" ht="14.25" spans="1:15">
      <c r="A233" s="203">
        <v>46201</v>
      </c>
      <c r="B233" s="243" t="s">
        <v>219</v>
      </c>
      <c r="C233" s="195">
        <v>0.85</v>
      </c>
      <c r="D233" s="195">
        <v>0.99</v>
      </c>
      <c r="E233" s="235">
        <v>67.944</v>
      </c>
      <c r="F233" s="55"/>
      <c r="G233" s="55"/>
      <c r="H233" s="211">
        <v>0.85</v>
      </c>
      <c r="I233" s="55"/>
      <c r="J233" s="55"/>
      <c r="K233" s="212">
        <f t="shared" si="19"/>
        <v>57.7524</v>
      </c>
      <c r="L233" s="212">
        <f t="shared" si="20"/>
        <v>4200.0616</v>
      </c>
      <c r="M233" s="55"/>
      <c r="N233" s="55"/>
      <c r="O233" s="213" t="s">
        <v>1660</v>
      </c>
    </row>
    <row r="234" ht="14.25" spans="1:15">
      <c r="A234" s="203">
        <v>46201</v>
      </c>
      <c r="B234" s="243" t="s">
        <v>69</v>
      </c>
      <c r="C234" s="195">
        <v>0.12</v>
      </c>
      <c r="D234" s="195">
        <v>0.98</v>
      </c>
      <c r="E234" s="235">
        <v>409.64</v>
      </c>
      <c r="F234" s="55"/>
      <c r="G234" s="55"/>
      <c r="H234" s="211">
        <v>0.85</v>
      </c>
      <c r="I234" s="55"/>
      <c r="J234" s="55"/>
      <c r="K234" s="212">
        <f t="shared" si="19"/>
        <v>348.194</v>
      </c>
      <c r="L234" s="212">
        <f t="shared" si="20"/>
        <v>3851.8676</v>
      </c>
      <c r="M234" s="55"/>
      <c r="N234" s="55"/>
      <c r="O234" s="213" t="s">
        <v>1660</v>
      </c>
    </row>
    <row r="235" ht="14.25" spans="1:15">
      <c r="A235" s="203">
        <v>46202</v>
      </c>
      <c r="B235" s="243" t="s">
        <v>338</v>
      </c>
      <c r="C235" s="195">
        <v>0.21</v>
      </c>
      <c r="D235" s="195">
        <v>0.99</v>
      </c>
      <c r="E235" s="235">
        <v>352.048</v>
      </c>
      <c r="F235" s="55"/>
      <c r="G235" s="55"/>
      <c r="H235" s="211">
        <v>0.85</v>
      </c>
      <c r="I235" s="55"/>
      <c r="J235" s="55"/>
      <c r="K235" s="212">
        <f t="shared" si="19"/>
        <v>299.2408</v>
      </c>
      <c r="L235" s="212">
        <f t="shared" si="20"/>
        <v>3552.6268</v>
      </c>
      <c r="M235" s="55"/>
      <c r="N235" s="55"/>
      <c r="O235" s="213" t="s">
        <v>1660</v>
      </c>
    </row>
    <row r="236" ht="14.25" spans="1:15">
      <c r="A236" s="203">
        <v>46202</v>
      </c>
      <c r="B236" s="243" t="s">
        <v>221</v>
      </c>
      <c r="C236" s="195">
        <v>0.26</v>
      </c>
      <c r="D236" s="195">
        <v>0.99</v>
      </c>
      <c r="E236" s="235">
        <v>332.144</v>
      </c>
      <c r="F236" s="55"/>
      <c r="G236" s="55"/>
      <c r="H236" s="211">
        <v>0.85</v>
      </c>
      <c r="I236" s="55"/>
      <c r="J236" s="55"/>
      <c r="K236" s="212">
        <f t="shared" si="19"/>
        <v>282.3224</v>
      </c>
      <c r="L236" s="212">
        <f t="shared" si="20"/>
        <v>3270.3044</v>
      </c>
      <c r="M236" s="55"/>
      <c r="N236" s="55"/>
      <c r="O236" s="213" t="s">
        <v>1660</v>
      </c>
    </row>
    <row r="237" ht="14.25" spans="1:15">
      <c r="A237" s="203">
        <v>46202</v>
      </c>
      <c r="B237" s="243" t="s">
        <v>66</v>
      </c>
      <c r="C237" s="195">
        <v>0.33</v>
      </c>
      <c r="D237" s="195">
        <v>0.97</v>
      </c>
      <c r="E237" s="235">
        <v>308.636</v>
      </c>
      <c r="F237" s="55"/>
      <c r="G237" s="55"/>
      <c r="H237" s="211">
        <v>0.85</v>
      </c>
      <c r="I237" s="55"/>
      <c r="J237" s="55"/>
      <c r="K237" s="212">
        <f t="shared" si="19"/>
        <v>262.3406</v>
      </c>
      <c r="L237" s="212">
        <f t="shared" si="20"/>
        <v>3007.9638</v>
      </c>
      <c r="M237" s="55"/>
      <c r="N237" s="55"/>
      <c r="O237" s="213" t="s">
        <v>1660</v>
      </c>
    </row>
    <row r="238" ht="14.25" spans="1:15">
      <c r="A238" s="203">
        <v>46202</v>
      </c>
      <c r="B238" s="243" t="s">
        <v>99</v>
      </c>
      <c r="C238" s="195">
        <v>0.4</v>
      </c>
      <c r="D238" s="195">
        <v>0.98</v>
      </c>
      <c r="E238" s="235">
        <v>281.228</v>
      </c>
      <c r="F238" s="55"/>
      <c r="G238" s="55"/>
      <c r="H238" s="211">
        <v>0.85</v>
      </c>
      <c r="I238" s="55"/>
      <c r="J238" s="55"/>
      <c r="K238" s="212">
        <f t="shared" si="19"/>
        <v>239.0438</v>
      </c>
      <c r="L238" s="212">
        <f t="shared" si="20"/>
        <v>2768.92</v>
      </c>
      <c r="M238" s="55"/>
      <c r="N238" s="55"/>
      <c r="O238" s="213" t="s">
        <v>1660</v>
      </c>
    </row>
    <row r="239" ht="14.25" spans="1:15">
      <c r="A239" s="203">
        <v>46202</v>
      </c>
      <c r="B239" s="243" t="s">
        <v>180</v>
      </c>
      <c r="C239" s="195">
        <v>0.23</v>
      </c>
      <c r="D239" s="195">
        <v>0.99</v>
      </c>
      <c r="E239" s="235">
        <v>344.808</v>
      </c>
      <c r="F239" s="55"/>
      <c r="G239" s="55"/>
      <c r="H239" s="211">
        <v>0.85</v>
      </c>
      <c r="I239" s="55"/>
      <c r="J239" s="55"/>
      <c r="K239" s="212">
        <f t="shared" si="19"/>
        <v>293.0868</v>
      </c>
      <c r="L239" s="212">
        <f t="shared" si="20"/>
        <v>2475.8332</v>
      </c>
      <c r="M239" s="55"/>
      <c r="N239" s="55"/>
      <c r="O239" s="213" t="s">
        <v>1660</v>
      </c>
    </row>
    <row r="240" ht="14.25" spans="1:15">
      <c r="A240" s="203">
        <v>46202</v>
      </c>
      <c r="B240" s="243" t="s">
        <v>154</v>
      </c>
      <c r="C240" s="195">
        <v>0.24</v>
      </c>
      <c r="D240" s="195">
        <v>0.99</v>
      </c>
      <c r="E240" s="235">
        <v>345.42</v>
      </c>
      <c r="F240" s="55"/>
      <c r="G240" s="55"/>
      <c r="H240" s="211">
        <v>0.85</v>
      </c>
      <c r="I240" s="55"/>
      <c r="J240" s="55"/>
      <c r="K240" s="212">
        <f t="shared" si="19"/>
        <v>293.607</v>
      </c>
      <c r="L240" s="212">
        <f t="shared" si="20"/>
        <v>2182.2262</v>
      </c>
      <c r="M240" s="55"/>
      <c r="N240" s="55"/>
      <c r="O240" s="213" t="s">
        <v>1660</v>
      </c>
    </row>
    <row r="241" ht="14.25" spans="1:15">
      <c r="A241" s="203">
        <v>46202</v>
      </c>
      <c r="B241" s="243" t="s">
        <v>219</v>
      </c>
      <c r="C241" s="195">
        <v>0.12</v>
      </c>
      <c r="D241" s="195">
        <v>0.99</v>
      </c>
      <c r="E241" s="235">
        <v>400.208</v>
      </c>
      <c r="F241" s="55"/>
      <c r="G241" s="55"/>
      <c r="H241" s="211">
        <v>0.85</v>
      </c>
      <c r="I241" s="55"/>
      <c r="J241" s="55"/>
      <c r="K241" s="212">
        <f t="shared" si="19"/>
        <v>340.1768</v>
      </c>
      <c r="L241" s="212">
        <f t="shared" si="20"/>
        <v>1842.0494</v>
      </c>
      <c r="M241" s="55"/>
      <c r="N241" s="55"/>
      <c r="O241" s="213" t="s">
        <v>1660</v>
      </c>
    </row>
  </sheetData>
  <autoFilter xmlns:etc="http://www.wps.cn/officeDocument/2017/etCustomData" ref="A1:R241" etc:filterBottomFollowUsedRange="0">
    <extLst/>
  </autoFilter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7"/>
  <sheetViews>
    <sheetView workbookViewId="0">
      <selection activeCell="A1" sqref="A1:P1"/>
    </sheetView>
  </sheetViews>
  <sheetFormatPr defaultColWidth="9" defaultRowHeight="13.5"/>
  <cols>
    <col min="1" max="1" width="10.875" style="144" customWidth="1"/>
    <col min="2" max="2" width="13.875" style="144" customWidth="1"/>
    <col min="3" max="3" width="9.375" style="144"/>
    <col min="4" max="4" width="11.375" style="144" customWidth="1"/>
    <col min="5" max="6" width="9" style="144"/>
    <col min="7" max="7" width="9.375" style="144"/>
    <col min="8" max="8" width="12.625" style="146"/>
    <col min="9" max="9" width="9" style="144"/>
    <col min="10" max="10" width="11.625" style="144"/>
    <col min="11" max="13" width="13.75" style="144" customWidth="1"/>
    <col min="14" max="14" width="9" style="144"/>
    <col min="15" max="15" width="35.25" style="144" customWidth="1"/>
    <col min="16" max="16" width="17.75" style="144" customWidth="1"/>
    <col min="17" max="16384" width="9" style="144"/>
  </cols>
  <sheetData>
    <row r="1" s="144" customFormat="1" spans="1:16">
      <c r="A1" s="139" t="s">
        <v>335</v>
      </c>
      <c r="B1" s="139" t="s">
        <v>3</v>
      </c>
      <c r="C1" s="140" t="s">
        <v>1581</v>
      </c>
      <c r="D1" s="140" t="s">
        <v>1582</v>
      </c>
      <c r="E1" s="141" t="s">
        <v>1583</v>
      </c>
      <c r="F1" s="139" t="s">
        <v>1584</v>
      </c>
      <c r="G1" s="139" t="s">
        <v>1585</v>
      </c>
      <c r="H1" s="141" t="s">
        <v>1588</v>
      </c>
      <c r="I1" s="141" t="s">
        <v>1604</v>
      </c>
      <c r="J1" s="141" t="s">
        <v>1605</v>
      </c>
      <c r="K1" s="141" t="s">
        <v>1589</v>
      </c>
      <c r="L1" s="141" t="s">
        <v>1606</v>
      </c>
      <c r="M1" s="141" t="s">
        <v>1657</v>
      </c>
      <c r="N1" s="139" t="s">
        <v>1607</v>
      </c>
      <c r="O1" s="139" t="s">
        <v>1590</v>
      </c>
      <c r="P1" s="139" t="s">
        <v>352</v>
      </c>
    </row>
    <row r="2" s="144" customFormat="1" spans="1:16">
      <c r="A2" s="147">
        <v>46176</v>
      </c>
      <c r="B2" s="51"/>
      <c r="C2" s="148"/>
      <c r="D2" s="148"/>
      <c r="E2" s="54"/>
      <c r="F2" s="51"/>
      <c r="G2" s="51"/>
      <c r="H2" s="54"/>
      <c r="I2" s="54"/>
      <c r="J2" s="54">
        <v>10000</v>
      </c>
      <c r="K2" s="54"/>
      <c r="L2" s="54">
        <f>J2</f>
        <v>10000</v>
      </c>
      <c r="M2" s="54"/>
      <c r="N2" s="51"/>
      <c r="O2" s="51"/>
      <c r="P2" s="51"/>
    </row>
    <row r="3" spans="1:16">
      <c r="A3" s="149">
        <v>46176</v>
      </c>
      <c r="B3" s="150" t="s">
        <v>144</v>
      </c>
      <c r="C3" s="151">
        <v>0.7</v>
      </c>
      <c r="D3" s="151">
        <v>0.96</v>
      </c>
      <c r="E3" s="152">
        <v>118.9284</v>
      </c>
      <c r="F3" s="10">
        <f>(D3-C3)*430</f>
        <v>111.8</v>
      </c>
      <c r="G3" s="10">
        <f>E3-F3</f>
        <v>7.1284</v>
      </c>
      <c r="H3" s="110">
        <f t="shared" ref="H3:H64" si="0">K3/E3</f>
        <v>0.789971108667064</v>
      </c>
      <c r="I3" s="153">
        <f>M3/E3</f>
        <v>0</v>
      </c>
      <c r="J3" s="154"/>
      <c r="K3" s="155">
        <v>93.95</v>
      </c>
      <c r="L3" s="10">
        <f t="shared" ref="L3:L66" si="1">L2+J3-K3</f>
        <v>9906.05</v>
      </c>
      <c r="M3" s="155"/>
      <c r="N3" s="10"/>
      <c r="O3" s="150" t="s">
        <v>1670</v>
      </c>
    </row>
    <row r="4" ht="14.25" spans="1:16">
      <c r="A4" s="156">
        <v>46177</v>
      </c>
      <c r="B4" s="157" t="s">
        <v>1640</v>
      </c>
      <c r="C4" s="158">
        <v>0.78</v>
      </c>
      <c r="D4" s="158">
        <v>1</v>
      </c>
      <c r="E4" s="159">
        <v>108.4111</v>
      </c>
      <c r="F4" s="105">
        <v>94.6</v>
      </c>
      <c r="G4" s="105">
        <v>13.8111</v>
      </c>
      <c r="H4" s="110">
        <f t="shared" si="0"/>
        <v>0.789956010039562</v>
      </c>
      <c r="I4" s="160"/>
      <c r="J4" s="161"/>
      <c r="K4" s="162">
        <v>85.64</v>
      </c>
      <c r="L4" s="10">
        <f t="shared" si="1"/>
        <v>9820.41</v>
      </c>
      <c r="M4" s="162"/>
      <c r="O4" s="150" t="s">
        <v>1670</v>
      </c>
    </row>
    <row r="5" ht="14.25" spans="1:16">
      <c r="A5" s="163">
        <v>46177</v>
      </c>
      <c r="B5" s="164" t="s">
        <v>141</v>
      </c>
      <c r="C5" s="158">
        <v>0.71</v>
      </c>
      <c r="D5" s="158">
        <v>1</v>
      </c>
      <c r="E5" s="165">
        <v>137.7159</v>
      </c>
      <c r="F5" s="105">
        <v>124.7</v>
      </c>
      <c r="G5" s="105">
        <v>13.0159</v>
      </c>
      <c r="H5" s="110">
        <f t="shared" si="0"/>
        <v>0.789959619767943</v>
      </c>
      <c r="I5" s="160"/>
      <c r="J5" s="161"/>
      <c r="K5" s="166">
        <v>108.79</v>
      </c>
      <c r="L5" s="10">
        <f t="shared" si="1"/>
        <v>9711.62</v>
      </c>
      <c r="M5" s="166"/>
      <c r="O5" s="150" t="s">
        <v>1670</v>
      </c>
    </row>
    <row r="6" ht="14.25" spans="1:16">
      <c r="A6" s="163">
        <v>46177</v>
      </c>
      <c r="B6" s="164" t="s">
        <v>154</v>
      </c>
      <c r="C6" s="158">
        <v>0.82</v>
      </c>
      <c r="D6" s="158">
        <v>1</v>
      </c>
      <c r="E6" s="165">
        <v>78.9154</v>
      </c>
      <c r="F6" s="105">
        <v>77.4</v>
      </c>
      <c r="G6" s="105">
        <v>1.51539999999999</v>
      </c>
      <c r="H6" s="110">
        <f t="shared" si="0"/>
        <v>0.789959881087849</v>
      </c>
      <c r="I6" s="160"/>
      <c r="J6" s="161"/>
      <c r="K6" s="166">
        <v>62.34</v>
      </c>
      <c r="L6" s="10">
        <f t="shared" si="1"/>
        <v>9649.28</v>
      </c>
      <c r="M6" s="166"/>
      <c r="O6" s="150" t="s">
        <v>1670</v>
      </c>
    </row>
    <row r="7" ht="14.25" spans="1:16">
      <c r="A7" s="163">
        <v>46177</v>
      </c>
      <c r="B7" s="164" t="s">
        <v>338</v>
      </c>
      <c r="C7" s="158">
        <v>0.82</v>
      </c>
      <c r="D7" s="158">
        <v>1</v>
      </c>
      <c r="E7" s="165">
        <v>79.1126</v>
      </c>
      <c r="F7" s="105">
        <v>77.4</v>
      </c>
      <c r="G7" s="105">
        <v>1.71259999999998</v>
      </c>
      <c r="H7" s="110">
        <f t="shared" si="0"/>
        <v>0.789886819545812</v>
      </c>
      <c r="I7" s="160"/>
      <c r="J7" s="161"/>
      <c r="K7" s="166">
        <v>62.49</v>
      </c>
      <c r="L7" s="10">
        <f t="shared" si="1"/>
        <v>9586.79</v>
      </c>
      <c r="M7" s="166"/>
      <c r="O7" s="150" t="s">
        <v>1670</v>
      </c>
    </row>
    <row r="8" ht="14.25" spans="1:16">
      <c r="A8" s="163">
        <v>46177</v>
      </c>
      <c r="B8" s="164" t="s">
        <v>160</v>
      </c>
      <c r="C8" s="158">
        <v>0.79</v>
      </c>
      <c r="D8" s="158">
        <v>1</v>
      </c>
      <c r="E8" s="165">
        <v>93.3594</v>
      </c>
      <c r="F8" s="105">
        <v>90.3</v>
      </c>
      <c r="G8" s="105">
        <v>3.05940000000001</v>
      </c>
      <c r="H8" s="110">
        <f t="shared" si="0"/>
        <v>0.78995794745896</v>
      </c>
      <c r="I8" s="160"/>
      <c r="J8" s="161"/>
      <c r="K8" s="166">
        <v>73.75</v>
      </c>
      <c r="L8" s="10">
        <f t="shared" si="1"/>
        <v>9513.04</v>
      </c>
      <c r="M8" s="166"/>
      <c r="O8" s="150" t="s">
        <v>1670</v>
      </c>
    </row>
    <row r="9" ht="14.25" spans="1:16">
      <c r="A9" s="163">
        <v>46177</v>
      </c>
      <c r="B9" s="164" t="s">
        <v>163</v>
      </c>
      <c r="C9" s="158">
        <v>0.79</v>
      </c>
      <c r="D9" s="158">
        <v>1</v>
      </c>
      <c r="E9" s="165">
        <v>93.1779</v>
      </c>
      <c r="F9" s="105">
        <v>90.3</v>
      </c>
      <c r="G9" s="105">
        <v>2.87790000000001</v>
      </c>
      <c r="H9" s="110">
        <f t="shared" si="0"/>
        <v>0.789994193902202</v>
      </c>
      <c r="I9" s="160"/>
      <c r="J9" s="161"/>
      <c r="K9" s="166">
        <v>73.61</v>
      </c>
      <c r="L9" s="10">
        <f t="shared" si="1"/>
        <v>9439.43</v>
      </c>
      <c r="M9" s="166"/>
      <c r="O9" s="150" t="s">
        <v>1670</v>
      </c>
    </row>
    <row r="10" s="145" customFormat="1" ht="14.25" spans="1:16">
      <c r="A10" s="163">
        <v>46177</v>
      </c>
      <c r="B10" s="164" t="s">
        <v>1255</v>
      </c>
      <c r="C10" s="167">
        <v>0.39</v>
      </c>
      <c r="D10" s="167">
        <v>1</v>
      </c>
      <c r="E10" s="165">
        <v>46.9231</v>
      </c>
      <c r="F10" s="105">
        <v>262.3</v>
      </c>
      <c r="G10" s="105"/>
      <c r="H10" s="110">
        <f t="shared" si="0"/>
        <v>0.789802890260874</v>
      </c>
      <c r="I10" s="160"/>
      <c r="J10" s="161"/>
      <c r="K10" s="166">
        <v>37.06</v>
      </c>
      <c r="L10" s="10">
        <f t="shared" si="1"/>
        <v>9402.37</v>
      </c>
      <c r="M10" s="166"/>
      <c r="O10" s="150" t="s">
        <v>1670</v>
      </c>
    </row>
    <row r="11" ht="14.25" spans="1:16">
      <c r="A11" s="163">
        <v>46177</v>
      </c>
      <c r="B11" s="164" t="s">
        <v>132</v>
      </c>
      <c r="C11" s="158">
        <v>0.77</v>
      </c>
      <c r="D11" s="158">
        <v>1</v>
      </c>
      <c r="E11" s="165">
        <v>106.6157</v>
      </c>
      <c r="F11" s="105">
        <v>98.9</v>
      </c>
      <c r="G11" s="105">
        <v>7.71570000000001</v>
      </c>
      <c r="H11" s="110">
        <f t="shared" si="0"/>
        <v>0.7899399431791</v>
      </c>
      <c r="I11" s="160"/>
      <c r="J11" s="161"/>
      <c r="K11" s="166">
        <v>84.22</v>
      </c>
      <c r="L11" s="10">
        <f t="shared" si="1"/>
        <v>9318.15</v>
      </c>
      <c r="M11" s="166"/>
      <c r="O11" s="150" t="s">
        <v>1670</v>
      </c>
    </row>
    <row r="12" ht="14.25" spans="1:16">
      <c r="A12" s="163">
        <v>46177</v>
      </c>
      <c r="B12" s="164" t="s">
        <v>151</v>
      </c>
      <c r="C12" s="158">
        <v>0.44</v>
      </c>
      <c r="D12" s="158">
        <v>1</v>
      </c>
      <c r="E12" s="165">
        <v>250.4375</v>
      </c>
      <c r="F12" s="105">
        <v>240.8</v>
      </c>
      <c r="G12" s="105">
        <v>9.63749999999999</v>
      </c>
      <c r="H12" s="110">
        <f t="shared" si="0"/>
        <v>0.789977539306214</v>
      </c>
      <c r="I12" s="160"/>
      <c r="J12" s="161"/>
      <c r="K12" s="166">
        <v>197.84</v>
      </c>
      <c r="L12" s="10">
        <f t="shared" si="1"/>
        <v>9120.31</v>
      </c>
      <c r="M12" s="166"/>
      <c r="O12" s="150" t="s">
        <v>1670</v>
      </c>
    </row>
    <row r="13" ht="14.25" spans="1:16">
      <c r="A13" s="163">
        <v>46177</v>
      </c>
      <c r="B13" s="164" t="s">
        <v>148</v>
      </c>
      <c r="C13" s="158">
        <v>0.44</v>
      </c>
      <c r="D13" s="158">
        <v>1</v>
      </c>
      <c r="E13" s="165">
        <v>251.367</v>
      </c>
      <c r="F13" s="105">
        <v>240.8</v>
      </c>
      <c r="G13" s="105">
        <v>10.567</v>
      </c>
      <c r="H13" s="110">
        <f t="shared" si="0"/>
        <v>0.789960496007829</v>
      </c>
      <c r="I13" s="160"/>
      <c r="J13" s="161"/>
      <c r="K13" s="166">
        <v>198.57</v>
      </c>
      <c r="L13" s="10">
        <f t="shared" si="1"/>
        <v>8921.74</v>
      </c>
      <c r="M13" s="166"/>
      <c r="O13" s="150" t="s">
        <v>1670</v>
      </c>
    </row>
    <row r="14" ht="14.25" spans="1:16">
      <c r="A14" s="163">
        <v>46177</v>
      </c>
      <c r="B14" s="164" t="s">
        <v>166</v>
      </c>
      <c r="C14" s="158">
        <v>0.32</v>
      </c>
      <c r="D14" s="158">
        <v>1</v>
      </c>
      <c r="E14" s="165">
        <v>302.5739</v>
      </c>
      <c r="F14" s="105">
        <v>292.4</v>
      </c>
      <c r="G14" s="105">
        <v>10.1739</v>
      </c>
      <c r="H14" s="110">
        <f t="shared" si="0"/>
        <v>0.789955776093047</v>
      </c>
      <c r="I14" s="160"/>
      <c r="J14" s="161"/>
      <c r="K14" s="166">
        <v>239.02</v>
      </c>
      <c r="L14" s="10">
        <f t="shared" si="1"/>
        <v>8682.72</v>
      </c>
      <c r="M14" s="166"/>
      <c r="O14" s="150" t="s">
        <v>1670</v>
      </c>
    </row>
    <row r="15" ht="14.25" spans="1:16">
      <c r="A15" s="156">
        <v>46178</v>
      </c>
      <c r="B15" s="168" t="s">
        <v>339</v>
      </c>
      <c r="C15" s="158">
        <v>0.36</v>
      </c>
      <c r="D15" s="158">
        <v>0.99</v>
      </c>
      <c r="E15" s="159">
        <v>285.4872</v>
      </c>
      <c r="F15" s="105">
        <f t="shared" ref="F15:F78" si="2">(D15-C15)*430</f>
        <v>270.9</v>
      </c>
      <c r="G15" s="105">
        <f t="shared" ref="G15:G78" si="3">E15-F15</f>
        <v>14.5872</v>
      </c>
      <c r="H15" s="110">
        <f t="shared" si="0"/>
        <v>0.789982878391746</v>
      </c>
      <c r="I15" s="160"/>
      <c r="J15" s="161"/>
      <c r="K15" s="105">
        <v>225.53</v>
      </c>
      <c r="L15" s="10">
        <f t="shared" si="1"/>
        <v>8457.19</v>
      </c>
      <c r="M15" s="162"/>
      <c r="O15" s="150" t="s">
        <v>1670</v>
      </c>
    </row>
    <row r="16" ht="14.25" spans="1:16">
      <c r="A16" s="156">
        <v>46179</v>
      </c>
      <c r="B16" s="168" t="s">
        <v>87</v>
      </c>
      <c r="C16" s="169">
        <v>0.67</v>
      </c>
      <c r="D16" s="169">
        <v>0.98</v>
      </c>
      <c r="E16" s="159">
        <v>155.1143</v>
      </c>
      <c r="F16" s="105">
        <f t="shared" si="2"/>
        <v>133.3</v>
      </c>
      <c r="G16" s="170">
        <f t="shared" si="3"/>
        <v>21.8143</v>
      </c>
      <c r="H16" s="110">
        <f t="shared" si="0"/>
        <v>0.789998085282917</v>
      </c>
      <c r="I16" s="160"/>
      <c r="J16" s="161"/>
      <c r="K16" s="162">
        <v>122.54</v>
      </c>
      <c r="L16" s="10">
        <f t="shared" si="1"/>
        <v>8334.65</v>
      </c>
      <c r="M16" s="162"/>
      <c r="N16" s="105"/>
      <c r="O16" s="150" t="s">
        <v>1670</v>
      </c>
      <c r="P16" s="150"/>
    </row>
    <row r="17" ht="14.25" spans="1:16">
      <c r="A17" s="163">
        <v>46179</v>
      </c>
      <c r="B17" s="164" t="s">
        <v>177</v>
      </c>
      <c r="C17" s="169">
        <v>0.6</v>
      </c>
      <c r="D17" s="169">
        <v>1</v>
      </c>
      <c r="E17" s="165">
        <v>180.4295</v>
      </c>
      <c r="F17" s="105">
        <f t="shared" si="2"/>
        <v>172</v>
      </c>
      <c r="G17" s="105">
        <f t="shared" si="3"/>
        <v>8.42949999999999</v>
      </c>
      <c r="H17" s="110">
        <f t="shared" si="0"/>
        <v>0.789948428610621</v>
      </c>
      <c r="I17" s="160"/>
      <c r="J17" s="171"/>
      <c r="K17" s="166">
        <v>142.53</v>
      </c>
      <c r="L17" s="10">
        <f t="shared" si="1"/>
        <v>8192.12</v>
      </c>
      <c r="M17" s="166"/>
      <c r="N17" s="105"/>
      <c r="O17" s="150" t="s">
        <v>1670</v>
      </c>
      <c r="P17" s="150"/>
    </row>
    <row r="18" ht="14.25" spans="1:16">
      <c r="A18" s="163">
        <v>46179</v>
      </c>
      <c r="B18" s="164" t="s">
        <v>174</v>
      </c>
      <c r="C18" s="169">
        <v>0.54</v>
      </c>
      <c r="D18" s="169">
        <v>1</v>
      </c>
      <c r="E18" s="165">
        <v>207.2472</v>
      </c>
      <c r="F18" s="105">
        <f t="shared" si="2"/>
        <v>197.8</v>
      </c>
      <c r="G18" s="105">
        <f t="shared" si="3"/>
        <v>9.44719999999998</v>
      </c>
      <c r="H18" s="110">
        <f t="shared" si="0"/>
        <v>0.789974484576872</v>
      </c>
      <c r="I18" s="160"/>
      <c r="J18" s="171"/>
      <c r="K18" s="166">
        <v>163.72</v>
      </c>
      <c r="L18" s="10">
        <f t="shared" si="1"/>
        <v>8028.4</v>
      </c>
      <c r="M18" s="166"/>
      <c r="N18" s="105"/>
      <c r="O18" s="150" t="s">
        <v>1670</v>
      </c>
      <c r="P18" s="150"/>
    </row>
    <row r="19" ht="14.25" spans="1:16">
      <c r="A19" s="163">
        <v>46180</v>
      </c>
      <c r="B19" s="164" t="s">
        <v>154</v>
      </c>
      <c r="C19" s="169">
        <v>0.26</v>
      </c>
      <c r="D19" s="169">
        <v>0.99</v>
      </c>
      <c r="E19" s="165">
        <v>330.426</v>
      </c>
      <c r="F19" s="105">
        <f t="shared" si="2"/>
        <v>313.9</v>
      </c>
      <c r="G19" s="105">
        <f t="shared" si="3"/>
        <v>16.526</v>
      </c>
      <c r="H19" s="110">
        <f t="shared" si="0"/>
        <v>0.789980207368669</v>
      </c>
      <c r="I19" s="160"/>
      <c r="J19" s="171"/>
      <c r="K19" s="166">
        <v>261.03</v>
      </c>
      <c r="L19" s="10">
        <f t="shared" si="1"/>
        <v>7767.37</v>
      </c>
      <c r="M19" s="166"/>
      <c r="N19" s="105"/>
      <c r="O19" s="150" t="s">
        <v>1670</v>
      </c>
      <c r="P19" s="150"/>
    </row>
    <row r="20" ht="14.25" spans="1:16">
      <c r="A20" s="163">
        <v>46180</v>
      </c>
      <c r="B20" s="164" t="s">
        <v>163</v>
      </c>
      <c r="C20" s="169">
        <v>0.21</v>
      </c>
      <c r="D20" s="169">
        <v>1</v>
      </c>
      <c r="E20" s="165">
        <v>348.4388</v>
      </c>
      <c r="F20" s="105">
        <f t="shared" si="2"/>
        <v>339.7</v>
      </c>
      <c r="G20" s="105">
        <f t="shared" si="3"/>
        <v>8.73880000000003</v>
      </c>
      <c r="H20" s="110">
        <f t="shared" si="0"/>
        <v>0.789980909129523</v>
      </c>
      <c r="I20" s="160"/>
      <c r="J20" s="171"/>
      <c r="K20" s="166">
        <v>275.26</v>
      </c>
      <c r="L20" s="10">
        <f t="shared" si="1"/>
        <v>7492.11</v>
      </c>
      <c r="M20" s="166"/>
      <c r="N20" s="105"/>
      <c r="O20" s="150" t="s">
        <v>1670</v>
      </c>
      <c r="P20" s="150"/>
    </row>
    <row r="21" ht="14.25" spans="1:16">
      <c r="A21" s="156">
        <v>46181</v>
      </c>
      <c r="B21" s="168" t="s">
        <v>338</v>
      </c>
      <c r="C21" s="158">
        <v>0.27</v>
      </c>
      <c r="D21" s="158">
        <v>1</v>
      </c>
      <c r="E21" s="159">
        <v>319.905</v>
      </c>
      <c r="F21" s="105">
        <f t="shared" si="2"/>
        <v>313.9</v>
      </c>
      <c r="G21" s="105">
        <f t="shared" si="3"/>
        <v>6.005</v>
      </c>
      <c r="H21" s="110">
        <f t="shared" si="0"/>
        <v>0.789984526656351</v>
      </c>
      <c r="I21" s="171"/>
      <c r="J21" s="105"/>
      <c r="K21" s="162">
        <v>252.72</v>
      </c>
      <c r="L21" s="10">
        <f t="shared" si="1"/>
        <v>7239.39</v>
      </c>
      <c r="M21" s="162"/>
      <c r="N21" s="105"/>
      <c r="O21" s="150" t="s">
        <v>1670</v>
      </c>
      <c r="P21" s="150"/>
    </row>
    <row r="22" ht="14.25" spans="1:16">
      <c r="A22" s="163">
        <v>46181</v>
      </c>
      <c r="B22" s="164" t="s">
        <v>180</v>
      </c>
      <c r="C22" s="158">
        <v>0.38</v>
      </c>
      <c r="D22" s="158">
        <v>0.99</v>
      </c>
      <c r="E22" s="165">
        <v>281.3956</v>
      </c>
      <c r="F22" s="105">
        <f t="shared" si="2"/>
        <v>262.3</v>
      </c>
      <c r="G22" s="105">
        <f t="shared" si="3"/>
        <v>19.0956</v>
      </c>
      <c r="H22" s="110">
        <f t="shared" si="0"/>
        <v>0.789991030421229</v>
      </c>
      <c r="I22" s="171"/>
      <c r="J22" s="105"/>
      <c r="K22" s="166">
        <v>222.3</v>
      </c>
      <c r="L22" s="10">
        <f t="shared" si="1"/>
        <v>7017.09</v>
      </c>
      <c r="M22" s="166"/>
      <c r="N22" s="105"/>
      <c r="O22" s="150" t="s">
        <v>1670</v>
      </c>
      <c r="P22" s="150"/>
    </row>
    <row r="23" ht="14.25" spans="1:16">
      <c r="A23" s="163">
        <v>46181</v>
      </c>
      <c r="B23" s="164" t="s">
        <v>160</v>
      </c>
      <c r="C23" s="158">
        <v>0.66</v>
      </c>
      <c r="D23" s="158">
        <v>1</v>
      </c>
      <c r="E23" s="165">
        <v>150.9047</v>
      </c>
      <c r="F23" s="105">
        <f t="shared" si="2"/>
        <v>146.2</v>
      </c>
      <c r="G23" s="105">
        <f t="shared" si="3"/>
        <v>4.7047</v>
      </c>
      <c r="H23" s="110">
        <f t="shared" si="0"/>
        <v>0.789968768368381</v>
      </c>
      <c r="I23" s="171"/>
      <c r="J23" s="105"/>
      <c r="K23" s="166">
        <v>119.21</v>
      </c>
      <c r="L23" s="10">
        <f t="shared" si="1"/>
        <v>6897.88</v>
      </c>
      <c r="M23" s="166"/>
      <c r="N23" s="105"/>
      <c r="O23" s="150" t="s">
        <v>1670</v>
      </c>
      <c r="P23" s="150"/>
    </row>
    <row r="24" ht="14.25" spans="1:16">
      <c r="A24" s="163">
        <v>46181</v>
      </c>
      <c r="B24" s="164" t="s">
        <v>151</v>
      </c>
      <c r="C24" s="158">
        <v>0.56</v>
      </c>
      <c r="D24" s="158">
        <v>1</v>
      </c>
      <c r="E24" s="165">
        <v>198.1656</v>
      </c>
      <c r="F24" s="105">
        <f t="shared" si="2"/>
        <v>189.2</v>
      </c>
      <c r="G24" s="105">
        <f t="shared" si="3"/>
        <v>8.96560000000002</v>
      </c>
      <c r="H24" s="110">
        <f t="shared" si="0"/>
        <v>0.789995841861554</v>
      </c>
      <c r="I24" s="171"/>
      <c r="J24" s="105"/>
      <c r="K24" s="166">
        <v>156.55</v>
      </c>
      <c r="L24" s="10">
        <f t="shared" si="1"/>
        <v>6741.33</v>
      </c>
      <c r="M24" s="166"/>
      <c r="N24" s="105"/>
      <c r="O24" s="150" t="s">
        <v>1670</v>
      </c>
      <c r="P24" s="150"/>
    </row>
    <row r="25" ht="14.25" spans="1:16">
      <c r="A25" s="163">
        <v>46182</v>
      </c>
      <c r="B25" s="164" t="s">
        <v>117</v>
      </c>
      <c r="C25" s="158">
        <v>0.4</v>
      </c>
      <c r="D25" s="158">
        <v>0.97</v>
      </c>
      <c r="E25" s="165">
        <v>251.1648</v>
      </c>
      <c r="F25" s="105">
        <f t="shared" si="2"/>
        <v>245.1</v>
      </c>
      <c r="G25" s="105">
        <f t="shared" si="3"/>
        <v>6.06480000000002</v>
      </c>
      <c r="H25" s="110">
        <f t="shared" si="0"/>
        <v>0.789999235561671</v>
      </c>
      <c r="I25" s="171"/>
      <c r="J25" s="105"/>
      <c r="K25" s="172">
        <v>198.42</v>
      </c>
      <c r="L25" s="10">
        <f t="shared" si="1"/>
        <v>6542.91</v>
      </c>
      <c r="M25" s="105"/>
      <c r="N25" s="105"/>
      <c r="O25" s="150" t="s">
        <v>1670</v>
      </c>
    </row>
    <row r="26" ht="14.25" spans="1:16">
      <c r="A26" s="163">
        <v>46182</v>
      </c>
      <c r="B26" s="164" t="s">
        <v>177</v>
      </c>
      <c r="C26" s="158">
        <v>0.21</v>
      </c>
      <c r="D26" s="158">
        <v>0.96</v>
      </c>
      <c r="E26" s="165">
        <v>331.2645</v>
      </c>
      <c r="F26" s="105">
        <f t="shared" si="2"/>
        <v>322.5</v>
      </c>
      <c r="G26" s="105">
        <f t="shared" si="3"/>
        <v>8.7645</v>
      </c>
      <c r="H26" s="110">
        <f t="shared" si="0"/>
        <v>0.789972967221057</v>
      </c>
      <c r="I26" s="171"/>
      <c r="J26" s="105"/>
      <c r="K26" s="172">
        <v>261.69</v>
      </c>
      <c r="L26" s="10">
        <f t="shared" si="1"/>
        <v>6281.22</v>
      </c>
      <c r="M26" s="105"/>
      <c r="N26" s="105"/>
      <c r="O26" s="150" t="s">
        <v>1670</v>
      </c>
    </row>
    <row r="27" ht="14.25" spans="1:16">
      <c r="A27" s="156">
        <v>46183</v>
      </c>
      <c r="B27" s="168" t="s">
        <v>174</v>
      </c>
      <c r="C27" s="158">
        <v>0.13</v>
      </c>
      <c r="D27" s="158">
        <v>1</v>
      </c>
      <c r="E27" s="159">
        <v>385.825</v>
      </c>
      <c r="F27" s="105">
        <f t="shared" si="2"/>
        <v>374.1</v>
      </c>
      <c r="G27" s="105">
        <f t="shared" si="3"/>
        <v>11.725</v>
      </c>
      <c r="H27" s="110">
        <f t="shared" si="0"/>
        <v>0.789995464264887</v>
      </c>
      <c r="I27" s="171"/>
      <c r="J27" s="105"/>
      <c r="K27" s="162">
        <v>304.8</v>
      </c>
      <c r="L27" s="10">
        <f t="shared" si="1"/>
        <v>5976.42</v>
      </c>
      <c r="M27" s="162"/>
      <c r="O27" s="150" t="s">
        <v>1670</v>
      </c>
    </row>
    <row r="28" ht="14.25" spans="1:16">
      <c r="A28" s="173">
        <v>46184</v>
      </c>
      <c r="B28" s="174" t="s">
        <v>69</v>
      </c>
      <c r="C28" s="175">
        <v>0.34</v>
      </c>
      <c r="D28" s="175">
        <v>0.98</v>
      </c>
      <c r="E28" s="176">
        <v>298.7211</v>
      </c>
      <c r="F28" s="105">
        <f t="shared" si="2"/>
        <v>275.2</v>
      </c>
      <c r="G28" s="105">
        <f t="shared" si="3"/>
        <v>23.5211</v>
      </c>
      <c r="H28" s="110">
        <f t="shared" si="0"/>
        <v>0.789967632015281</v>
      </c>
      <c r="I28" s="160"/>
      <c r="J28" s="171"/>
      <c r="K28" s="177">
        <v>235.98</v>
      </c>
      <c r="L28" s="10">
        <f t="shared" si="1"/>
        <v>5740.44</v>
      </c>
      <c r="N28" s="105"/>
      <c r="O28" s="150" t="s">
        <v>1670</v>
      </c>
      <c r="P28" s="150"/>
    </row>
    <row r="29" ht="14.25" spans="1:16">
      <c r="A29" s="178">
        <v>46184</v>
      </c>
      <c r="B29" s="179" t="s">
        <v>338</v>
      </c>
      <c r="C29" s="175">
        <v>0.14</v>
      </c>
      <c r="D29" s="175">
        <v>1</v>
      </c>
      <c r="E29" s="180">
        <v>377.5329</v>
      </c>
      <c r="F29" s="105">
        <f t="shared" si="2"/>
        <v>369.8</v>
      </c>
      <c r="G29" s="105">
        <f t="shared" si="3"/>
        <v>7.73289999999997</v>
      </c>
      <c r="H29" s="110">
        <f t="shared" si="0"/>
        <v>0.789997375063206</v>
      </c>
      <c r="I29" s="160"/>
      <c r="J29" s="171"/>
      <c r="K29" s="172">
        <v>298.25</v>
      </c>
      <c r="L29" s="10">
        <f t="shared" si="1"/>
        <v>5442.19</v>
      </c>
      <c r="N29" s="105"/>
      <c r="O29" s="150" t="s">
        <v>1670</v>
      </c>
      <c r="P29" s="150"/>
    </row>
    <row r="30" ht="14.25" spans="1:16">
      <c r="A30" s="178">
        <v>46184</v>
      </c>
      <c r="B30" s="179" t="s">
        <v>160</v>
      </c>
      <c r="C30" s="175">
        <v>0.2</v>
      </c>
      <c r="D30" s="175">
        <v>1</v>
      </c>
      <c r="E30" s="180">
        <v>353.1535</v>
      </c>
      <c r="F30" s="105">
        <f t="shared" si="2"/>
        <v>344</v>
      </c>
      <c r="G30" s="105">
        <f t="shared" si="3"/>
        <v>9.15350000000001</v>
      </c>
      <c r="H30" s="110">
        <f t="shared" si="0"/>
        <v>0.789996417988212</v>
      </c>
      <c r="I30" s="160"/>
      <c r="J30" s="171"/>
      <c r="K30" s="172">
        <v>278.99</v>
      </c>
      <c r="L30" s="10">
        <f t="shared" si="1"/>
        <v>5163.2</v>
      </c>
      <c r="N30" s="105"/>
      <c r="O30" s="150" t="s">
        <v>1670</v>
      </c>
      <c r="P30" s="150"/>
    </row>
    <row r="31" ht="14.25" spans="1:16">
      <c r="A31" s="178">
        <v>46184</v>
      </c>
      <c r="B31" s="179" t="s">
        <v>166</v>
      </c>
      <c r="C31" s="175">
        <v>0.14</v>
      </c>
      <c r="D31" s="175">
        <v>1</v>
      </c>
      <c r="E31" s="180">
        <v>381.3685</v>
      </c>
      <c r="F31" s="105">
        <f t="shared" si="2"/>
        <v>369.8</v>
      </c>
      <c r="G31" s="105">
        <f t="shared" si="3"/>
        <v>11.5685</v>
      </c>
      <c r="H31" s="110">
        <f t="shared" si="0"/>
        <v>0.789997076318574</v>
      </c>
      <c r="I31" s="160"/>
      <c r="J31" s="171"/>
      <c r="K31" s="172">
        <v>301.28</v>
      </c>
      <c r="L31" s="10">
        <f t="shared" si="1"/>
        <v>4861.92</v>
      </c>
      <c r="N31" s="105"/>
      <c r="O31" s="150" t="s">
        <v>1670</v>
      </c>
      <c r="P31" s="150"/>
    </row>
    <row r="32" ht="14.25" spans="1:16">
      <c r="A32" s="178">
        <v>46184</v>
      </c>
      <c r="B32" s="179" t="s">
        <v>180</v>
      </c>
      <c r="C32" s="175">
        <v>0.74</v>
      </c>
      <c r="D32" s="175">
        <v>0.99</v>
      </c>
      <c r="E32" s="180">
        <v>113.7316</v>
      </c>
      <c r="F32" s="105">
        <f t="shared" si="2"/>
        <v>107.5</v>
      </c>
      <c r="G32" s="105">
        <f t="shared" si="3"/>
        <v>6.2316</v>
      </c>
      <c r="H32" s="110">
        <f t="shared" si="0"/>
        <v>0.789929975486145</v>
      </c>
      <c r="I32" s="160"/>
      <c r="J32" s="171"/>
      <c r="K32" s="172">
        <v>89.84</v>
      </c>
      <c r="L32" s="10">
        <f t="shared" si="1"/>
        <v>4772.08</v>
      </c>
      <c r="N32" s="105"/>
      <c r="O32" s="150" t="s">
        <v>1670</v>
      </c>
      <c r="P32" s="150"/>
    </row>
    <row r="33" ht="14.25" spans="1:16">
      <c r="A33" s="178">
        <v>46184</v>
      </c>
      <c r="B33" s="179" t="s">
        <v>163</v>
      </c>
      <c r="C33" s="175">
        <v>0.23</v>
      </c>
      <c r="D33" s="175">
        <v>0.97</v>
      </c>
      <c r="E33" s="180">
        <v>334.279</v>
      </c>
      <c r="F33" s="105">
        <f t="shared" si="2"/>
        <v>318.2</v>
      </c>
      <c r="G33" s="105">
        <f t="shared" si="3"/>
        <v>16.079</v>
      </c>
      <c r="H33" s="110">
        <f t="shared" si="0"/>
        <v>0.789998773479638</v>
      </c>
      <c r="I33" s="160"/>
      <c r="J33" s="171"/>
      <c r="K33" s="172">
        <v>264.08</v>
      </c>
      <c r="L33" s="10">
        <f t="shared" si="1"/>
        <v>4508</v>
      </c>
      <c r="N33" s="105"/>
      <c r="O33" s="150" t="s">
        <v>1670</v>
      </c>
      <c r="P33" s="150"/>
    </row>
    <row r="34" ht="14.25" spans="1:16">
      <c r="A34" s="178">
        <v>46184</v>
      </c>
      <c r="B34" s="179" t="s">
        <v>154</v>
      </c>
      <c r="C34" s="175">
        <v>0.18</v>
      </c>
      <c r="D34" s="175">
        <v>0.99</v>
      </c>
      <c r="E34" s="180">
        <v>360.1975</v>
      </c>
      <c r="F34" s="105">
        <f t="shared" si="2"/>
        <v>348.3</v>
      </c>
      <c r="G34" s="105">
        <f t="shared" si="3"/>
        <v>11.8975</v>
      </c>
      <c r="H34" s="110">
        <f t="shared" si="0"/>
        <v>0.789983273065471</v>
      </c>
      <c r="I34" s="160"/>
      <c r="J34" s="171"/>
      <c r="K34" s="172">
        <v>284.55</v>
      </c>
      <c r="L34" s="10">
        <f t="shared" si="1"/>
        <v>4223.45</v>
      </c>
      <c r="N34" s="105"/>
      <c r="O34" s="150" t="s">
        <v>1670</v>
      </c>
      <c r="P34" s="150"/>
    </row>
    <row r="35" ht="14.25" spans="1:16">
      <c r="A35" s="178">
        <v>46184</v>
      </c>
      <c r="B35" s="179" t="s">
        <v>108</v>
      </c>
      <c r="C35" s="175">
        <v>0.5</v>
      </c>
      <c r="D35" s="175">
        <v>0.99</v>
      </c>
      <c r="E35" s="180">
        <v>239.4771</v>
      </c>
      <c r="F35" s="105">
        <f t="shared" si="2"/>
        <v>210.7</v>
      </c>
      <c r="G35" s="105">
        <f t="shared" si="3"/>
        <v>28.7771</v>
      </c>
      <c r="H35" s="110">
        <f t="shared" si="0"/>
        <v>0.789971149642283</v>
      </c>
      <c r="I35" s="160"/>
      <c r="J35" s="171"/>
      <c r="K35" s="172">
        <v>189.18</v>
      </c>
      <c r="L35" s="10">
        <f t="shared" si="1"/>
        <v>4034.27</v>
      </c>
      <c r="N35" s="105"/>
      <c r="O35" s="150" t="s">
        <v>1670</v>
      </c>
      <c r="P35" s="150"/>
    </row>
    <row r="36" ht="14.25" spans="1:16">
      <c r="A36" s="178">
        <v>46184</v>
      </c>
      <c r="B36" s="179" t="s">
        <v>339</v>
      </c>
      <c r="C36" s="175">
        <v>0.55</v>
      </c>
      <c r="D36" s="175">
        <v>1</v>
      </c>
      <c r="E36" s="180">
        <v>201.1176</v>
      </c>
      <c r="F36" s="105">
        <f t="shared" si="2"/>
        <v>193.5</v>
      </c>
      <c r="G36" s="105">
        <f t="shared" si="3"/>
        <v>7.61760000000001</v>
      </c>
      <c r="H36" s="110">
        <f t="shared" si="0"/>
        <v>0.789985560686882</v>
      </c>
      <c r="I36" s="160"/>
      <c r="J36" s="171"/>
      <c r="K36" s="172">
        <v>158.88</v>
      </c>
      <c r="L36" s="10">
        <f t="shared" si="1"/>
        <v>3875.39</v>
      </c>
      <c r="N36" s="105"/>
      <c r="O36" s="150" t="s">
        <v>1670</v>
      </c>
      <c r="P36" s="150"/>
    </row>
    <row r="37" ht="14.25" spans="1:16">
      <c r="A37" s="178">
        <v>46184</v>
      </c>
      <c r="B37" s="179" t="s">
        <v>183</v>
      </c>
      <c r="C37" s="175">
        <v>0.29</v>
      </c>
      <c r="D37" s="175">
        <v>1</v>
      </c>
      <c r="E37" s="180">
        <v>321.8899</v>
      </c>
      <c r="F37" s="105">
        <f t="shared" si="2"/>
        <v>305.3</v>
      </c>
      <c r="G37" s="105">
        <f t="shared" si="3"/>
        <v>16.5899</v>
      </c>
      <c r="H37" s="110">
        <f t="shared" si="0"/>
        <v>0.789990614803385</v>
      </c>
      <c r="I37" s="160"/>
      <c r="J37" s="171"/>
      <c r="K37" s="172">
        <v>254.29</v>
      </c>
      <c r="L37" s="10">
        <f t="shared" si="1"/>
        <v>3621.1</v>
      </c>
      <c r="N37" s="105"/>
      <c r="O37" s="150" t="s">
        <v>1670</v>
      </c>
      <c r="P37" s="150"/>
    </row>
    <row r="38" ht="14.25" spans="1:16">
      <c r="A38" s="173">
        <v>46185</v>
      </c>
      <c r="B38" s="174" t="s">
        <v>117</v>
      </c>
      <c r="C38" s="181">
        <v>0.16</v>
      </c>
      <c r="D38" s="181">
        <v>0.69</v>
      </c>
      <c r="E38" s="176">
        <v>224.8361</v>
      </c>
      <c r="F38" s="105">
        <f t="shared" si="2"/>
        <v>227.9</v>
      </c>
      <c r="G38" s="105">
        <f t="shared" si="3"/>
        <v>-3.06390000000002</v>
      </c>
      <c r="H38" s="110">
        <f t="shared" si="0"/>
        <v>0.78999769165183</v>
      </c>
      <c r="I38" s="160"/>
      <c r="J38" s="171"/>
      <c r="K38" s="177">
        <v>177.62</v>
      </c>
      <c r="L38" s="10">
        <f t="shared" si="1"/>
        <v>3443.48</v>
      </c>
      <c r="N38" s="105"/>
      <c r="O38" s="150" t="s">
        <v>1670</v>
      </c>
      <c r="P38" s="150"/>
    </row>
    <row r="39" ht="14.25" spans="1:16">
      <c r="A39" s="178">
        <v>46185</v>
      </c>
      <c r="B39" s="179" t="s">
        <v>117</v>
      </c>
      <c r="C39" s="181">
        <v>0.69</v>
      </c>
      <c r="D39" s="181">
        <v>1</v>
      </c>
      <c r="E39" s="180">
        <v>142.7013</v>
      </c>
      <c r="F39" s="105">
        <f t="shared" si="2"/>
        <v>133.3</v>
      </c>
      <c r="G39" s="105">
        <f t="shared" si="3"/>
        <v>9.40129999999999</v>
      </c>
      <c r="H39" s="110">
        <f t="shared" si="0"/>
        <v>0.789971780215037</v>
      </c>
      <c r="I39" s="160"/>
      <c r="J39" s="171"/>
      <c r="K39" s="172">
        <v>112.73</v>
      </c>
      <c r="L39" s="10">
        <f t="shared" si="1"/>
        <v>3330.75</v>
      </c>
      <c r="N39" s="105"/>
      <c r="O39" s="150" t="s">
        <v>1670</v>
      </c>
      <c r="P39" s="150"/>
    </row>
    <row r="40" spans="1:16">
      <c r="A40" s="178">
        <v>46185</v>
      </c>
      <c r="B40" s="179" t="s">
        <v>127</v>
      </c>
      <c r="C40" s="181">
        <v>0.17</v>
      </c>
      <c r="D40" s="181">
        <v>0.99</v>
      </c>
      <c r="E40" s="180">
        <v>347.6606</v>
      </c>
      <c r="F40" s="105">
        <f t="shared" si="2"/>
        <v>352.6</v>
      </c>
      <c r="G40" s="105">
        <f t="shared" si="3"/>
        <v>-4.93940000000003</v>
      </c>
      <c r="H40" s="110">
        <f t="shared" si="0"/>
        <v>0.789994609685423</v>
      </c>
      <c r="I40" s="160"/>
      <c r="J40" s="117"/>
      <c r="K40" s="172">
        <v>274.65</v>
      </c>
      <c r="L40" s="10">
        <f t="shared" si="1"/>
        <v>3056.1</v>
      </c>
      <c r="N40" s="117"/>
      <c r="O40" s="150" t="s">
        <v>1670</v>
      </c>
      <c r="P40" s="117"/>
    </row>
    <row r="41" spans="1:16">
      <c r="A41" s="178">
        <v>46185</v>
      </c>
      <c r="B41" s="179" t="s">
        <v>75</v>
      </c>
      <c r="C41" s="181">
        <v>0.77</v>
      </c>
      <c r="D41" s="181">
        <v>0.96</v>
      </c>
      <c r="E41" s="180">
        <v>112.1898</v>
      </c>
      <c r="F41" s="105">
        <f t="shared" si="2"/>
        <v>81.7</v>
      </c>
      <c r="G41" s="105">
        <f t="shared" si="3"/>
        <v>30.4898</v>
      </c>
      <c r="H41" s="110">
        <f t="shared" si="0"/>
        <v>0.789911382318179</v>
      </c>
      <c r="I41" s="160"/>
      <c r="J41" s="117">
        <v>10000</v>
      </c>
      <c r="K41" s="172">
        <v>88.62</v>
      </c>
      <c r="L41" s="10">
        <f t="shared" si="1"/>
        <v>12967.48</v>
      </c>
      <c r="N41" s="117"/>
      <c r="O41" s="150" t="s">
        <v>1670</v>
      </c>
      <c r="P41" s="117"/>
    </row>
    <row r="42" spans="1:16">
      <c r="A42" s="173">
        <v>46186</v>
      </c>
      <c r="B42" s="174" t="s">
        <v>117</v>
      </c>
      <c r="C42" s="175">
        <v>0.86</v>
      </c>
      <c r="D42" s="175">
        <v>0.9</v>
      </c>
      <c r="E42" s="176">
        <v>18.3992</v>
      </c>
      <c r="F42" s="105">
        <f t="shared" si="2"/>
        <v>17.2</v>
      </c>
      <c r="G42" s="105">
        <f t="shared" si="3"/>
        <v>1.1992</v>
      </c>
      <c r="H42" s="110">
        <f t="shared" si="0"/>
        <v>0.789708248184704</v>
      </c>
      <c r="I42" s="160"/>
      <c r="J42" s="117"/>
      <c r="K42" s="177">
        <v>14.53</v>
      </c>
      <c r="L42" s="10">
        <f t="shared" si="1"/>
        <v>12952.95</v>
      </c>
      <c r="M42" s="177"/>
      <c r="O42" s="150" t="s">
        <v>1670</v>
      </c>
    </row>
    <row r="43" spans="1:16">
      <c r="A43" s="178">
        <v>46186</v>
      </c>
      <c r="B43" s="179" t="s">
        <v>148</v>
      </c>
      <c r="C43" s="175">
        <v>0.66</v>
      </c>
      <c r="D43" s="175">
        <v>0.94</v>
      </c>
      <c r="E43" s="180">
        <v>125.1125</v>
      </c>
      <c r="F43" s="105">
        <f t="shared" si="2"/>
        <v>120.4</v>
      </c>
      <c r="G43" s="105">
        <f t="shared" si="3"/>
        <v>4.71249999999999</v>
      </c>
      <c r="H43" s="110">
        <f t="shared" si="0"/>
        <v>0.789929063842542</v>
      </c>
      <c r="I43" s="160"/>
      <c r="J43" s="117"/>
      <c r="K43" s="172">
        <v>98.83</v>
      </c>
      <c r="L43" s="10">
        <f t="shared" si="1"/>
        <v>12854.12</v>
      </c>
      <c r="M43" s="172"/>
      <c r="O43" s="150" t="s">
        <v>1670</v>
      </c>
    </row>
    <row r="44" spans="1:16">
      <c r="A44" s="178">
        <v>46186</v>
      </c>
      <c r="B44" s="179" t="s">
        <v>87</v>
      </c>
      <c r="C44" s="175">
        <v>0.29</v>
      </c>
      <c r="D44" s="175">
        <v>0.98</v>
      </c>
      <c r="E44" s="180">
        <v>330.825</v>
      </c>
      <c r="F44" s="105">
        <f t="shared" si="2"/>
        <v>296.7</v>
      </c>
      <c r="G44" s="105">
        <f t="shared" si="3"/>
        <v>34.125</v>
      </c>
      <c r="H44" s="110">
        <f t="shared" si="0"/>
        <v>0.789994710194212</v>
      </c>
      <c r="I44" s="160"/>
      <c r="J44" s="117"/>
      <c r="K44" s="172">
        <v>261.35</v>
      </c>
      <c r="L44" s="10">
        <f t="shared" si="1"/>
        <v>12592.77</v>
      </c>
      <c r="M44" s="172"/>
      <c r="O44" s="150" t="s">
        <v>1670</v>
      </c>
    </row>
    <row r="45" spans="1:16">
      <c r="A45" s="178">
        <v>46186</v>
      </c>
      <c r="B45" s="179" t="s">
        <v>174</v>
      </c>
      <c r="C45" s="175">
        <v>0.12</v>
      </c>
      <c r="D45" s="175">
        <v>1</v>
      </c>
      <c r="E45" s="180">
        <v>384.9499</v>
      </c>
      <c r="F45" s="105">
        <f t="shared" si="2"/>
        <v>378.4</v>
      </c>
      <c r="G45" s="105">
        <f t="shared" si="3"/>
        <v>6.54990000000004</v>
      </c>
      <c r="H45" s="110">
        <f t="shared" si="0"/>
        <v>0.78999890635119</v>
      </c>
      <c r="I45" s="160"/>
      <c r="J45" s="117"/>
      <c r="K45" s="172">
        <v>304.11</v>
      </c>
      <c r="L45" s="10">
        <f t="shared" si="1"/>
        <v>12288.66</v>
      </c>
      <c r="M45" s="172"/>
      <c r="O45" s="150" t="s">
        <v>1670</v>
      </c>
    </row>
    <row r="46" spans="1:16">
      <c r="A46" s="178">
        <v>46186</v>
      </c>
      <c r="B46" s="179" t="s">
        <v>177</v>
      </c>
      <c r="C46" s="175">
        <v>0.77</v>
      </c>
      <c r="D46" s="175">
        <v>0.99</v>
      </c>
      <c r="E46" s="180">
        <v>100.3698</v>
      </c>
      <c r="F46" s="105">
        <f t="shared" si="2"/>
        <v>94.6</v>
      </c>
      <c r="G46" s="105">
        <f t="shared" si="3"/>
        <v>5.7698</v>
      </c>
      <c r="H46" s="110">
        <f t="shared" si="0"/>
        <v>0.789978658919316</v>
      </c>
      <c r="I46" s="160"/>
      <c r="J46" s="117"/>
      <c r="K46" s="172">
        <v>79.29</v>
      </c>
      <c r="L46" s="10">
        <f t="shared" si="1"/>
        <v>12209.37</v>
      </c>
      <c r="M46" s="172"/>
      <c r="O46" s="150" t="s">
        <v>1670</v>
      </c>
    </row>
    <row r="47" spans="1:16">
      <c r="A47" s="178">
        <v>46186</v>
      </c>
      <c r="B47" s="179" t="s">
        <v>192</v>
      </c>
      <c r="C47" s="175">
        <v>0.38</v>
      </c>
      <c r="D47" s="175">
        <v>0.99</v>
      </c>
      <c r="E47" s="180">
        <v>276.7424</v>
      </c>
      <c r="F47" s="105">
        <f t="shared" si="2"/>
        <v>262.3</v>
      </c>
      <c r="G47" s="105">
        <f t="shared" si="3"/>
        <v>14.4424</v>
      </c>
      <c r="H47" s="110">
        <f t="shared" si="0"/>
        <v>0.789976526907333</v>
      </c>
      <c r="I47" s="160"/>
      <c r="J47" s="117"/>
      <c r="K47" s="172">
        <v>218.62</v>
      </c>
      <c r="L47" s="10">
        <f t="shared" si="1"/>
        <v>11990.75</v>
      </c>
      <c r="M47" s="172"/>
      <c r="O47" s="150" t="s">
        <v>1670</v>
      </c>
    </row>
    <row r="48" spans="1:16">
      <c r="A48" s="178">
        <v>46186</v>
      </c>
      <c r="B48" s="179" t="s">
        <v>189</v>
      </c>
      <c r="C48" s="175">
        <v>0.22</v>
      </c>
      <c r="D48" s="175">
        <v>1</v>
      </c>
      <c r="E48" s="180">
        <v>343.6235</v>
      </c>
      <c r="F48" s="105">
        <f t="shared" si="2"/>
        <v>335.4</v>
      </c>
      <c r="G48" s="105">
        <f t="shared" si="3"/>
        <v>8.2235</v>
      </c>
      <c r="H48" s="110">
        <f t="shared" si="0"/>
        <v>0.789992535434858</v>
      </c>
      <c r="I48" s="160"/>
      <c r="J48" s="117"/>
      <c r="K48" s="172">
        <v>271.46</v>
      </c>
      <c r="L48" s="10">
        <f t="shared" si="1"/>
        <v>11719.29</v>
      </c>
      <c r="M48" s="172"/>
      <c r="O48" s="150" t="s">
        <v>1670</v>
      </c>
    </row>
    <row r="49" spans="1:15">
      <c r="A49" s="178">
        <v>46186</v>
      </c>
      <c r="B49" s="179" t="s">
        <v>195</v>
      </c>
      <c r="C49" s="175">
        <v>0.23</v>
      </c>
      <c r="D49" s="175">
        <v>0.99</v>
      </c>
      <c r="E49" s="180">
        <v>353.4073</v>
      </c>
      <c r="F49" s="105">
        <f t="shared" si="2"/>
        <v>326.8</v>
      </c>
      <c r="G49" s="105">
        <f t="shared" si="3"/>
        <v>26.6073</v>
      </c>
      <c r="H49" s="110">
        <f t="shared" si="0"/>
        <v>0.78999500010328</v>
      </c>
      <c r="I49" s="160"/>
      <c r="J49" s="117"/>
      <c r="K49" s="172">
        <v>279.19</v>
      </c>
      <c r="L49" s="10">
        <f t="shared" si="1"/>
        <v>11440.1</v>
      </c>
      <c r="M49" s="172"/>
      <c r="O49" s="150" t="s">
        <v>1670</v>
      </c>
    </row>
    <row r="50" spans="1:15">
      <c r="A50" s="178">
        <v>46187</v>
      </c>
      <c r="B50" s="179" t="s">
        <v>180</v>
      </c>
      <c r="C50" s="175">
        <v>0.7</v>
      </c>
      <c r="D50" s="175">
        <v>0.88</v>
      </c>
      <c r="E50" s="180">
        <v>83.2654</v>
      </c>
      <c r="F50" s="105">
        <f t="shared" si="2"/>
        <v>77.4</v>
      </c>
      <c r="G50" s="105">
        <f t="shared" si="3"/>
        <v>5.86539999999999</v>
      </c>
      <c r="H50" s="110">
        <f t="shared" si="0"/>
        <v>0.789883913366176</v>
      </c>
      <c r="I50" s="160"/>
      <c r="J50" s="117"/>
      <c r="K50" s="172">
        <v>65.77</v>
      </c>
      <c r="L50" s="10">
        <f t="shared" si="1"/>
        <v>11374.33</v>
      </c>
      <c r="M50" s="172"/>
      <c r="O50" s="150" t="s">
        <v>1670</v>
      </c>
    </row>
    <row r="51" spans="1:15">
      <c r="A51" s="178">
        <v>46187</v>
      </c>
      <c r="B51" s="179" t="s">
        <v>124</v>
      </c>
      <c r="C51" s="175">
        <v>0.69</v>
      </c>
      <c r="D51" s="175">
        <v>1</v>
      </c>
      <c r="E51" s="180">
        <v>131.0626</v>
      </c>
      <c r="F51" s="105">
        <f t="shared" si="2"/>
        <v>133.3</v>
      </c>
      <c r="G51" s="105">
        <f t="shared" si="3"/>
        <v>-2.23740000000001</v>
      </c>
      <c r="H51" s="110">
        <f t="shared" si="0"/>
        <v>0.789927866530955</v>
      </c>
      <c r="I51" s="160"/>
      <c r="J51" s="117"/>
      <c r="K51" s="172">
        <v>103.53</v>
      </c>
      <c r="L51" s="10">
        <f t="shared" si="1"/>
        <v>11270.8</v>
      </c>
      <c r="M51" s="172"/>
      <c r="O51" s="150" t="s">
        <v>1670</v>
      </c>
    </row>
    <row r="52" spans="1:15">
      <c r="A52" s="178">
        <v>46187</v>
      </c>
      <c r="B52" s="179" t="s">
        <v>166</v>
      </c>
      <c r="C52" s="175">
        <v>0.72</v>
      </c>
      <c r="D52" s="175">
        <v>1</v>
      </c>
      <c r="E52" s="180">
        <v>128.308</v>
      </c>
      <c r="F52" s="105">
        <f t="shared" si="2"/>
        <v>120.4</v>
      </c>
      <c r="G52" s="105">
        <f t="shared" si="3"/>
        <v>7.90799999999999</v>
      </c>
      <c r="H52" s="110">
        <f t="shared" si="0"/>
        <v>0.789974124762291</v>
      </c>
      <c r="I52" s="160"/>
      <c r="J52" s="117"/>
      <c r="K52" s="172">
        <v>101.36</v>
      </c>
      <c r="L52" s="10">
        <f t="shared" si="1"/>
        <v>11169.44</v>
      </c>
      <c r="M52" s="172"/>
      <c r="O52" s="150" t="s">
        <v>1670</v>
      </c>
    </row>
    <row r="53" spans="1:15">
      <c r="A53" s="178">
        <v>46187</v>
      </c>
      <c r="B53" s="179" t="s">
        <v>75</v>
      </c>
      <c r="C53" s="175">
        <v>0.41</v>
      </c>
      <c r="D53" s="175">
        <v>1</v>
      </c>
      <c r="E53" s="180">
        <v>258.2254</v>
      </c>
      <c r="F53" s="105">
        <f t="shared" si="2"/>
        <v>253.7</v>
      </c>
      <c r="G53" s="105">
        <f t="shared" si="3"/>
        <v>4.52539999999999</v>
      </c>
      <c r="H53" s="110">
        <f t="shared" si="0"/>
        <v>0.789968763723476</v>
      </c>
      <c r="I53" s="160"/>
      <c r="J53" s="117"/>
      <c r="K53" s="172">
        <v>203.99</v>
      </c>
      <c r="L53" s="10">
        <f t="shared" si="1"/>
        <v>10965.45</v>
      </c>
      <c r="M53" s="172"/>
      <c r="O53" s="150" t="s">
        <v>1670</v>
      </c>
    </row>
    <row r="54" spans="1:15">
      <c r="A54" s="178">
        <v>46187</v>
      </c>
      <c r="B54" s="182" t="s">
        <v>108</v>
      </c>
      <c r="C54" s="183">
        <v>0.28</v>
      </c>
      <c r="D54" s="183">
        <v>0.99</v>
      </c>
      <c r="E54" s="184">
        <v>341.4088</v>
      </c>
      <c r="F54" s="105">
        <f t="shared" si="2"/>
        <v>305.3</v>
      </c>
      <c r="G54" s="105">
        <f t="shared" si="3"/>
        <v>36.1088</v>
      </c>
      <c r="H54" s="110">
        <f t="shared" si="0"/>
        <v>0.789991353474193</v>
      </c>
      <c r="I54" s="160"/>
      <c r="J54" s="117"/>
      <c r="K54" s="172">
        <v>269.71</v>
      </c>
      <c r="L54" s="10">
        <f t="shared" si="1"/>
        <v>10695.74</v>
      </c>
      <c r="M54" s="172"/>
      <c r="O54" s="150" t="s">
        <v>1670</v>
      </c>
    </row>
    <row r="55" spans="1:15">
      <c r="A55" s="178">
        <v>46187</v>
      </c>
      <c r="B55" s="182" t="s">
        <v>114</v>
      </c>
      <c r="C55" s="169">
        <v>0.1</v>
      </c>
      <c r="D55" s="169">
        <v>0.96</v>
      </c>
      <c r="E55" s="184">
        <v>358.0519</v>
      </c>
      <c r="F55" s="105">
        <f t="shared" si="2"/>
        <v>369.8</v>
      </c>
      <c r="G55" s="105">
        <f t="shared" si="3"/>
        <v>-11.7481</v>
      </c>
      <c r="H55" s="110">
        <f t="shared" si="0"/>
        <v>0.789997204315911</v>
      </c>
      <c r="I55" s="160"/>
      <c r="J55" s="117"/>
      <c r="K55" s="172">
        <v>282.86</v>
      </c>
      <c r="L55" s="10">
        <f t="shared" si="1"/>
        <v>10412.88</v>
      </c>
      <c r="M55" s="172"/>
      <c r="O55" s="150" t="s">
        <v>1670</v>
      </c>
    </row>
    <row r="56" spans="1:15">
      <c r="A56" s="173">
        <v>46188</v>
      </c>
      <c r="B56" s="185" t="s">
        <v>124</v>
      </c>
      <c r="C56" s="158">
        <v>0.88</v>
      </c>
      <c r="D56" s="158">
        <v>1</v>
      </c>
      <c r="E56" s="186">
        <v>54.2118</v>
      </c>
      <c r="F56" s="105">
        <f t="shared" si="2"/>
        <v>51.6</v>
      </c>
      <c r="G56" s="105">
        <f t="shared" si="3"/>
        <v>2.6118</v>
      </c>
      <c r="H56" s="110">
        <f t="shared" si="0"/>
        <v>0.789864937153904</v>
      </c>
      <c r="I56" s="160"/>
      <c r="J56" s="117"/>
      <c r="K56" s="177">
        <v>42.82</v>
      </c>
      <c r="L56" s="10">
        <f t="shared" si="1"/>
        <v>10370.06</v>
      </c>
      <c r="O56" s="150" t="s">
        <v>1670</v>
      </c>
    </row>
    <row r="57" spans="1:15">
      <c r="A57" s="178">
        <v>46188</v>
      </c>
      <c r="B57" s="182" t="s">
        <v>154</v>
      </c>
      <c r="C57" s="158">
        <v>0.46</v>
      </c>
      <c r="D57" s="158">
        <v>0.99</v>
      </c>
      <c r="E57" s="184">
        <v>220.5896</v>
      </c>
      <c r="F57" s="105">
        <f t="shared" si="2"/>
        <v>227.9</v>
      </c>
      <c r="G57" s="105">
        <f t="shared" si="3"/>
        <v>-7.31040000000002</v>
      </c>
      <c r="H57" s="110">
        <f t="shared" si="0"/>
        <v>0.789973779362218</v>
      </c>
      <c r="I57" s="160"/>
      <c r="J57" s="117"/>
      <c r="K57" s="172">
        <v>174.26</v>
      </c>
      <c r="L57" s="10">
        <f t="shared" si="1"/>
        <v>10195.8</v>
      </c>
      <c r="O57" s="150" t="s">
        <v>1670</v>
      </c>
    </row>
    <row r="58" spans="1:15">
      <c r="A58" s="178">
        <v>46188</v>
      </c>
      <c r="B58" s="182" t="s">
        <v>160</v>
      </c>
      <c r="C58" s="158">
        <v>0.08</v>
      </c>
      <c r="D58" s="158">
        <v>1</v>
      </c>
      <c r="E58" s="184">
        <v>406.9227</v>
      </c>
      <c r="F58" s="105">
        <f t="shared" si="2"/>
        <v>395.6</v>
      </c>
      <c r="G58" s="105">
        <f t="shared" si="3"/>
        <v>11.3227</v>
      </c>
      <c r="H58" s="110">
        <f t="shared" si="0"/>
        <v>0.789978047427681</v>
      </c>
      <c r="I58" s="160"/>
      <c r="J58" s="117"/>
      <c r="K58" s="172">
        <v>321.46</v>
      </c>
      <c r="L58" s="10">
        <f t="shared" si="1"/>
        <v>9874.34</v>
      </c>
      <c r="O58" s="150" t="s">
        <v>1670</v>
      </c>
    </row>
    <row r="59" spans="1:15">
      <c r="A59" s="178">
        <v>46188</v>
      </c>
      <c r="B59" s="182" t="s">
        <v>201</v>
      </c>
      <c r="C59" s="158">
        <v>0.23</v>
      </c>
      <c r="D59" s="158">
        <v>0.99</v>
      </c>
      <c r="E59" s="184">
        <v>344.1893</v>
      </c>
      <c r="F59" s="105">
        <f t="shared" si="2"/>
        <v>326.8</v>
      </c>
      <c r="G59" s="105">
        <f t="shared" si="3"/>
        <v>17.3893</v>
      </c>
      <c r="H59" s="110">
        <f t="shared" si="0"/>
        <v>0.78997226235679</v>
      </c>
      <c r="I59" s="160"/>
      <c r="J59" s="117"/>
      <c r="K59" s="172">
        <v>271.9</v>
      </c>
      <c r="L59" s="10">
        <f t="shared" si="1"/>
        <v>9602.44</v>
      </c>
      <c r="O59" s="150" t="s">
        <v>1670</v>
      </c>
    </row>
    <row r="60" spans="1:15">
      <c r="A60" s="178">
        <v>46188</v>
      </c>
      <c r="B60" s="182" t="s">
        <v>204</v>
      </c>
      <c r="C60" s="158">
        <v>0.18</v>
      </c>
      <c r="D60" s="158">
        <v>1</v>
      </c>
      <c r="E60" s="184">
        <v>369</v>
      </c>
      <c r="F60" s="105">
        <f t="shared" si="2"/>
        <v>352.6</v>
      </c>
      <c r="G60" s="105">
        <f t="shared" si="3"/>
        <v>16.4</v>
      </c>
      <c r="H60" s="110">
        <f t="shared" si="0"/>
        <v>0.79</v>
      </c>
      <c r="I60" s="160"/>
      <c r="J60" s="117"/>
      <c r="K60" s="172">
        <v>291.51</v>
      </c>
      <c r="L60" s="10">
        <f t="shared" si="1"/>
        <v>9310.93</v>
      </c>
      <c r="O60" s="150" t="s">
        <v>1670</v>
      </c>
    </row>
    <row r="61" spans="1:15">
      <c r="A61" s="178">
        <v>46188</v>
      </c>
      <c r="B61" s="182" t="s">
        <v>163</v>
      </c>
      <c r="C61" s="158">
        <v>0.16</v>
      </c>
      <c r="D61" s="158">
        <v>0.95</v>
      </c>
      <c r="E61" s="184">
        <v>355.5297</v>
      </c>
      <c r="F61" s="105">
        <f t="shared" si="2"/>
        <v>339.7</v>
      </c>
      <c r="G61" s="105">
        <f t="shared" si="3"/>
        <v>15.8297</v>
      </c>
      <c r="H61" s="110">
        <f t="shared" si="0"/>
        <v>0.789976196081509</v>
      </c>
      <c r="I61" s="160"/>
      <c r="J61" s="117"/>
      <c r="K61" s="172">
        <v>280.86</v>
      </c>
      <c r="L61" s="10">
        <f t="shared" si="1"/>
        <v>9030.07</v>
      </c>
      <c r="O61" s="150" t="s">
        <v>1670</v>
      </c>
    </row>
    <row r="62" spans="1:15">
      <c r="A62" s="178">
        <v>46188</v>
      </c>
      <c r="B62" s="182" t="s">
        <v>338</v>
      </c>
      <c r="C62" s="158">
        <v>0.69</v>
      </c>
      <c r="D62" s="158">
        <v>0.99</v>
      </c>
      <c r="E62" s="184">
        <v>133.5018</v>
      </c>
      <c r="F62" s="105">
        <f t="shared" si="2"/>
        <v>129</v>
      </c>
      <c r="G62" s="105">
        <f t="shared" si="3"/>
        <v>4.5018</v>
      </c>
      <c r="H62" s="110">
        <f t="shared" si="0"/>
        <v>0.789951895779682</v>
      </c>
      <c r="I62" s="160"/>
      <c r="J62" s="117"/>
      <c r="K62" s="172">
        <v>105.46</v>
      </c>
      <c r="L62" s="10">
        <f t="shared" si="1"/>
        <v>8924.61</v>
      </c>
      <c r="O62" s="150" t="s">
        <v>1670</v>
      </c>
    </row>
    <row r="63" spans="1:15">
      <c r="A63" s="178">
        <v>46188</v>
      </c>
      <c r="B63" s="182" t="s">
        <v>198</v>
      </c>
      <c r="C63" s="158">
        <v>0.28</v>
      </c>
      <c r="D63" s="158">
        <v>0.99</v>
      </c>
      <c r="E63" s="184">
        <v>319.3862</v>
      </c>
      <c r="F63" s="105">
        <f t="shared" si="2"/>
        <v>305.3</v>
      </c>
      <c r="G63" s="105">
        <f t="shared" si="3"/>
        <v>14.0862</v>
      </c>
      <c r="H63" s="110">
        <f t="shared" si="0"/>
        <v>0.789984038133144</v>
      </c>
      <c r="I63" s="160"/>
      <c r="J63" s="117"/>
      <c r="K63" s="172">
        <v>252.31</v>
      </c>
      <c r="L63" s="10">
        <f t="shared" si="1"/>
        <v>8672.3</v>
      </c>
      <c r="O63" s="150" t="s">
        <v>1670</v>
      </c>
    </row>
    <row r="64" spans="1:15">
      <c r="A64" s="178">
        <v>46188</v>
      </c>
      <c r="B64" s="182" t="s">
        <v>114</v>
      </c>
      <c r="C64" s="158">
        <v>0.79</v>
      </c>
      <c r="D64" s="158">
        <v>0.95</v>
      </c>
      <c r="E64" s="184">
        <v>71.0514</v>
      </c>
      <c r="F64" s="105">
        <f t="shared" si="2"/>
        <v>68.8</v>
      </c>
      <c r="G64" s="105">
        <f t="shared" si="3"/>
        <v>2.2514</v>
      </c>
      <c r="H64" s="110">
        <f t="shared" si="0"/>
        <v>0.789991470963274</v>
      </c>
      <c r="I64" s="160"/>
      <c r="J64" s="117"/>
      <c r="K64" s="172">
        <v>56.13</v>
      </c>
      <c r="L64" s="10">
        <f t="shared" si="1"/>
        <v>8616.17</v>
      </c>
      <c r="O64" s="150" t="s">
        <v>1670</v>
      </c>
    </row>
    <row r="65" spans="1:15">
      <c r="A65" s="156">
        <v>46189</v>
      </c>
      <c r="B65" s="187" t="s">
        <v>339</v>
      </c>
      <c r="C65" s="158">
        <v>0.78</v>
      </c>
      <c r="D65" s="158">
        <v>1</v>
      </c>
      <c r="E65" s="188">
        <v>97.2886</v>
      </c>
      <c r="F65" s="105">
        <f t="shared" si="2"/>
        <v>94.6</v>
      </c>
      <c r="G65" s="105">
        <f t="shared" si="3"/>
        <v>2.68860000000001</v>
      </c>
      <c r="H65" s="160">
        <f t="shared" ref="H65:H70" si="4">J65/D65</f>
        <v>0</v>
      </c>
      <c r="I65" s="160"/>
      <c r="J65" s="117"/>
      <c r="K65" s="162">
        <v>76.85</v>
      </c>
      <c r="L65" s="10">
        <f t="shared" si="1"/>
        <v>8539.32</v>
      </c>
      <c r="O65" s="150" t="s">
        <v>1670</v>
      </c>
    </row>
    <row r="66" spans="1:15">
      <c r="A66" s="163">
        <v>46189</v>
      </c>
      <c r="B66" s="189" t="s">
        <v>207</v>
      </c>
      <c r="C66" s="158">
        <v>0.16</v>
      </c>
      <c r="D66" s="158">
        <v>1</v>
      </c>
      <c r="E66" s="190">
        <v>377.5399</v>
      </c>
      <c r="F66" s="105">
        <f t="shared" si="2"/>
        <v>361.2</v>
      </c>
      <c r="G66" s="105">
        <f t="shared" si="3"/>
        <v>16.3399</v>
      </c>
      <c r="H66" s="160">
        <f t="shared" si="4"/>
        <v>0</v>
      </c>
      <c r="I66" s="160"/>
      <c r="J66" s="117"/>
      <c r="K66" s="166">
        <v>298.25</v>
      </c>
      <c r="L66" s="10">
        <f t="shared" si="1"/>
        <v>8241.07</v>
      </c>
      <c r="O66" s="150" t="s">
        <v>1670</v>
      </c>
    </row>
    <row r="67" spans="1:15">
      <c r="A67" s="163">
        <v>46189</v>
      </c>
      <c r="B67" s="189" t="s">
        <v>210</v>
      </c>
      <c r="C67" s="158">
        <v>0.31</v>
      </c>
      <c r="D67" s="158">
        <v>0.37</v>
      </c>
      <c r="E67" s="190">
        <v>28.9295</v>
      </c>
      <c r="F67" s="105">
        <f t="shared" si="2"/>
        <v>25.8</v>
      </c>
      <c r="G67" s="105">
        <f t="shared" si="3"/>
        <v>3.1295</v>
      </c>
      <c r="H67" s="160">
        <f t="shared" si="4"/>
        <v>0</v>
      </c>
      <c r="I67" s="160"/>
      <c r="J67" s="117"/>
      <c r="K67" s="166">
        <v>22.85</v>
      </c>
      <c r="L67" s="10">
        <f t="shared" ref="L67:L94" si="5">L66+J67-K67</f>
        <v>8218.22</v>
      </c>
      <c r="O67" s="150" t="s">
        <v>1670</v>
      </c>
    </row>
    <row r="68" spans="1:15">
      <c r="A68" s="163">
        <v>46189</v>
      </c>
      <c r="B68" s="164" t="s">
        <v>186</v>
      </c>
      <c r="C68" s="158">
        <v>0.81</v>
      </c>
      <c r="D68" s="158">
        <v>0.99</v>
      </c>
      <c r="E68" s="165">
        <v>86.6486</v>
      </c>
      <c r="F68" s="105">
        <f t="shared" si="2"/>
        <v>77.4</v>
      </c>
      <c r="G68" s="105">
        <f t="shared" si="3"/>
        <v>9.2486</v>
      </c>
      <c r="H68" s="160">
        <f t="shared" si="4"/>
        <v>0</v>
      </c>
      <c r="I68" s="160"/>
      <c r="J68" s="117"/>
      <c r="K68" s="166">
        <v>68.45</v>
      </c>
      <c r="L68" s="10">
        <f t="shared" si="5"/>
        <v>8149.77</v>
      </c>
      <c r="O68" s="150" t="s">
        <v>1670</v>
      </c>
    </row>
    <row r="69" spans="1:15">
      <c r="A69" s="163">
        <v>46189</v>
      </c>
      <c r="B69" s="164" t="s">
        <v>183</v>
      </c>
      <c r="C69" s="158">
        <v>0.75</v>
      </c>
      <c r="D69" s="158">
        <v>1</v>
      </c>
      <c r="E69" s="165">
        <v>115.9317</v>
      </c>
      <c r="F69" s="105">
        <f t="shared" si="2"/>
        <v>107.5</v>
      </c>
      <c r="G69" s="105">
        <f t="shared" si="3"/>
        <v>8.43170000000001</v>
      </c>
      <c r="H69" s="160">
        <f t="shared" si="4"/>
        <v>0</v>
      </c>
      <c r="I69" s="160"/>
      <c r="J69" s="117"/>
      <c r="K69" s="166">
        <v>91.58</v>
      </c>
      <c r="L69" s="10">
        <f t="shared" si="5"/>
        <v>8058.19</v>
      </c>
      <c r="O69" s="150" t="s">
        <v>1670</v>
      </c>
    </row>
    <row r="70" spans="1:15">
      <c r="A70" s="163">
        <v>46189</v>
      </c>
      <c r="B70" s="164" t="s">
        <v>177</v>
      </c>
      <c r="C70" s="158">
        <v>0.15</v>
      </c>
      <c r="D70" s="158">
        <v>1</v>
      </c>
      <c r="E70" s="165">
        <v>373.957</v>
      </c>
      <c r="F70" s="105">
        <f t="shared" si="2"/>
        <v>365.5</v>
      </c>
      <c r="G70" s="105">
        <f t="shared" si="3"/>
        <v>8.45699999999999</v>
      </c>
      <c r="H70" s="160">
        <f t="shared" si="4"/>
        <v>0</v>
      </c>
      <c r="I70" s="160"/>
      <c r="J70" s="117"/>
      <c r="K70" s="166">
        <v>295.42</v>
      </c>
      <c r="L70" s="10">
        <f t="shared" si="5"/>
        <v>7762.77</v>
      </c>
      <c r="O70" s="150" t="s">
        <v>1670</v>
      </c>
    </row>
    <row r="71" spans="1:15">
      <c r="A71" s="156">
        <v>46190</v>
      </c>
      <c r="B71" s="168" t="s">
        <v>148</v>
      </c>
      <c r="C71" s="158">
        <v>0.68</v>
      </c>
      <c r="D71" s="158">
        <v>0.99</v>
      </c>
      <c r="E71" s="159">
        <v>145.8533</v>
      </c>
      <c r="F71" s="105">
        <f t="shared" si="2"/>
        <v>133.3</v>
      </c>
      <c r="G71" s="105">
        <f t="shared" si="3"/>
        <v>12.5533</v>
      </c>
      <c r="H71" s="160">
        <f t="shared" ref="H71:H94" si="6">K71/E71</f>
        <v>0.789971841569577</v>
      </c>
      <c r="J71" s="117"/>
      <c r="K71" s="162">
        <v>115.22</v>
      </c>
      <c r="L71" s="10">
        <f t="shared" si="5"/>
        <v>7647.55</v>
      </c>
      <c r="O71" s="150" t="s">
        <v>1670</v>
      </c>
    </row>
    <row r="72" spans="1:15">
      <c r="A72" s="163">
        <v>46190</v>
      </c>
      <c r="B72" s="164" t="s">
        <v>180</v>
      </c>
      <c r="C72" s="158">
        <v>0.75</v>
      </c>
      <c r="D72" s="158">
        <v>0.95</v>
      </c>
      <c r="E72" s="165">
        <v>94.7465</v>
      </c>
      <c r="F72" s="105">
        <f t="shared" si="2"/>
        <v>86</v>
      </c>
      <c r="G72" s="105">
        <f t="shared" si="3"/>
        <v>8.7465</v>
      </c>
      <c r="H72" s="160">
        <f t="shared" si="6"/>
        <v>0.78989725214124</v>
      </c>
      <c r="J72" s="117"/>
      <c r="K72" s="166">
        <v>74.84</v>
      </c>
      <c r="L72" s="10">
        <f t="shared" si="5"/>
        <v>7572.71</v>
      </c>
      <c r="O72" s="150" t="s">
        <v>1670</v>
      </c>
    </row>
    <row r="73" spans="1:15">
      <c r="A73" s="163">
        <v>46190</v>
      </c>
      <c r="B73" s="164" t="s">
        <v>210</v>
      </c>
      <c r="C73" s="158">
        <v>0.26</v>
      </c>
      <c r="D73" s="158">
        <v>0.96</v>
      </c>
      <c r="E73" s="165">
        <v>316.0704</v>
      </c>
      <c r="F73" s="105">
        <f t="shared" si="2"/>
        <v>301</v>
      </c>
      <c r="G73" s="105">
        <f t="shared" si="3"/>
        <v>15.0704</v>
      </c>
      <c r="H73" s="160">
        <f t="shared" si="6"/>
        <v>0.789982231806585</v>
      </c>
      <c r="J73" s="117"/>
      <c r="K73" s="166">
        <v>249.69</v>
      </c>
      <c r="L73" s="10">
        <f t="shared" si="5"/>
        <v>7323.02</v>
      </c>
      <c r="O73" s="150" t="s">
        <v>1670</v>
      </c>
    </row>
    <row r="74" spans="1:15">
      <c r="A74" s="163">
        <v>46190</v>
      </c>
      <c r="B74" s="164" t="s">
        <v>166</v>
      </c>
      <c r="C74" s="158">
        <v>0.72</v>
      </c>
      <c r="D74" s="158">
        <v>1</v>
      </c>
      <c r="E74" s="165">
        <v>122.7792</v>
      </c>
      <c r="F74" s="105">
        <f t="shared" si="2"/>
        <v>120.4</v>
      </c>
      <c r="G74" s="105">
        <f t="shared" si="3"/>
        <v>2.3792</v>
      </c>
      <c r="H74" s="160">
        <f t="shared" si="6"/>
        <v>0.789954650299073</v>
      </c>
      <c r="J74" s="117"/>
      <c r="K74" s="166">
        <v>96.99</v>
      </c>
      <c r="L74" s="10">
        <f t="shared" si="5"/>
        <v>7226.03</v>
      </c>
      <c r="O74" s="150" t="s">
        <v>1670</v>
      </c>
    </row>
    <row r="75" spans="1:15">
      <c r="A75" s="163">
        <v>46190</v>
      </c>
      <c r="B75" s="164" t="s">
        <v>174</v>
      </c>
      <c r="C75" s="158">
        <v>0.15</v>
      </c>
      <c r="D75" s="158">
        <v>1</v>
      </c>
      <c r="E75" s="165">
        <v>376.035</v>
      </c>
      <c r="F75" s="105">
        <f t="shared" si="2"/>
        <v>365.5</v>
      </c>
      <c r="G75" s="105">
        <f t="shared" si="3"/>
        <v>10.535</v>
      </c>
      <c r="H75" s="160">
        <f t="shared" si="6"/>
        <v>0.789979656149029</v>
      </c>
      <c r="J75" s="117"/>
      <c r="K75" s="166">
        <v>297.06</v>
      </c>
      <c r="L75" s="10">
        <f t="shared" si="5"/>
        <v>6928.97</v>
      </c>
      <c r="O75" s="150" t="s">
        <v>1670</v>
      </c>
    </row>
    <row r="76" spans="1:15">
      <c r="A76" s="163">
        <v>46191</v>
      </c>
      <c r="B76" s="179" t="s">
        <v>151</v>
      </c>
      <c r="C76" s="191">
        <v>0.8</v>
      </c>
      <c r="D76" s="191">
        <v>1</v>
      </c>
      <c r="E76" s="144">
        <v>91.2499</v>
      </c>
      <c r="F76" s="105">
        <f t="shared" si="2"/>
        <v>86</v>
      </c>
      <c r="G76" s="105">
        <f t="shared" si="3"/>
        <v>5.2499</v>
      </c>
      <c r="H76" s="160">
        <f t="shared" si="6"/>
        <v>0.789918673883478</v>
      </c>
      <c r="K76" s="144">
        <v>72.08</v>
      </c>
      <c r="L76" s="10">
        <f t="shared" si="5"/>
        <v>6856.89</v>
      </c>
      <c r="O76" s="150" t="s">
        <v>1670</v>
      </c>
    </row>
    <row r="77" spans="1:15">
      <c r="A77" s="163">
        <v>46191</v>
      </c>
      <c r="B77" s="179" t="s">
        <v>213</v>
      </c>
      <c r="C77" s="191">
        <v>0.55</v>
      </c>
      <c r="D77" s="191">
        <v>1</v>
      </c>
      <c r="E77" s="144">
        <v>202.1217</v>
      </c>
      <c r="F77" s="105">
        <f t="shared" si="2"/>
        <v>193.5</v>
      </c>
      <c r="G77" s="105">
        <f t="shared" si="3"/>
        <v>8.6217</v>
      </c>
      <c r="H77" s="160">
        <f t="shared" si="6"/>
        <v>0.789969607419688</v>
      </c>
      <c r="K77" s="144">
        <v>159.67</v>
      </c>
      <c r="L77" s="10">
        <f t="shared" si="5"/>
        <v>6697.22</v>
      </c>
      <c r="O77" s="150" t="s">
        <v>1670</v>
      </c>
    </row>
    <row r="78" spans="1:15">
      <c r="A78" s="163">
        <v>46191</v>
      </c>
      <c r="B78" s="179" t="s">
        <v>670</v>
      </c>
      <c r="C78" s="191">
        <v>0.54</v>
      </c>
      <c r="D78" s="191">
        <v>1</v>
      </c>
      <c r="E78" s="144">
        <v>199.4204</v>
      </c>
      <c r="F78" s="105">
        <f t="shared" si="2"/>
        <v>197.8</v>
      </c>
      <c r="G78" s="105">
        <f t="shared" si="3"/>
        <v>1.62039999999999</v>
      </c>
      <c r="H78" s="160">
        <f t="shared" si="6"/>
        <v>0.789989389250047</v>
      </c>
      <c r="K78" s="144">
        <v>157.54</v>
      </c>
      <c r="L78" s="10">
        <f t="shared" si="5"/>
        <v>6539.68</v>
      </c>
      <c r="O78" s="150" t="s">
        <v>1670</v>
      </c>
    </row>
    <row r="79" spans="1:15">
      <c r="A79" s="163">
        <v>46191</v>
      </c>
      <c r="B79" s="179" t="s">
        <v>163</v>
      </c>
      <c r="C79" s="191">
        <v>0.77</v>
      </c>
      <c r="D79" s="191">
        <v>1</v>
      </c>
      <c r="E79" s="144">
        <v>101.9514</v>
      </c>
      <c r="F79" s="105">
        <f t="shared" ref="F79:F102" si="7">(D79-C79)*430</f>
        <v>98.9</v>
      </c>
      <c r="G79" s="105">
        <f t="shared" ref="G79:G102" si="8">E79-F79</f>
        <v>3.0514</v>
      </c>
      <c r="H79" s="160">
        <f t="shared" si="6"/>
        <v>0.789984247396308</v>
      </c>
      <c r="K79" s="144">
        <v>80.54</v>
      </c>
      <c r="L79" s="10">
        <f t="shared" si="5"/>
        <v>6459.14</v>
      </c>
      <c r="O79" s="150" t="s">
        <v>1670</v>
      </c>
    </row>
    <row r="80" spans="1:15">
      <c r="A80" s="163">
        <v>46191</v>
      </c>
      <c r="B80" s="179" t="s">
        <v>221</v>
      </c>
      <c r="C80" s="191">
        <v>0.35</v>
      </c>
      <c r="D80" s="191">
        <v>1</v>
      </c>
      <c r="E80" s="144">
        <v>293.8331</v>
      </c>
      <c r="F80" s="105">
        <f t="shared" si="7"/>
        <v>279.5</v>
      </c>
      <c r="G80" s="105">
        <f t="shared" si="8"/>
        <v>14.3331</v>
      </c>
      <c r="H80" s="160">
        <f t="shared" si="6"/>
        <v>0.789972266569015</v>
      </c>
      <c r="K80" s="144">
        <v>232.12</v>
      </c>
      <c r="L80" s="10">
        <f t="shared" si="5"/>
        <v>6227.02</v>
      </c>
      <c r="O80" s="150" t="s">
        <v>1670</v>
      </c>
    </row>
    <row r="81" spans="1:15">
      <c r="A81" s="163">
        <v>46191</v>
      </c>
      <c r="B81" s="179" t="s">
        <v>154</v>
      </c>
      <c r="C81" s="191">
        <v>0.78</v>
      </c>
      <c r="D81" s="191">
        <v>1</v>
      </c>
      <c r="E81" s="144">
        <v>98.344</v>
      </c>
      <c r="F81" s="105">
        <f t="shared" si="7"/>
        <v>94.6</v>
      </c>
      <c r="G81" s="105">
        <f t="shared" si="8"/>
        <v>3.744</v>
      </c>
      <c r="H81" s="160">
        <f t="shared" si="6"/>
        <v>0.789982103636216</v>
      </c>
      <c r="K81" s="144">
        <v>77.69</v>
      </c>
      <c r="L81" s="10">
        <f t="shared" si="5"/>
        <v>6149.33</v>
      </c>
      <c r="O81" s="150" t="s">
        <v>1670</v>
      </c>
    </row>
    <row r="82" spans="1:15">
      <c r="A82" s="163">
        <v>46191</v>
      </c>
      <c r="B82" s="179" t="s">
        <v>223</v>
      </c>
      <c r="C82" s="191">
        <v>0.28</v>
      </c>
      <c r="D82" s="191">
        <v>1</v>
      </c>
      <c r="E82" s="144">
        <v>321.4773</v>
      </c>
      <c r="F82" s="105">
        <f t="shared" si="7"/>
        <v>309.6</v>
      </c>
      <c r="G82" s="105">
        <f t="shared" si="8"/>
        <v>11.8773</v>
      </c>
      <c r="H82" s="160">
        <f t="shared" si="6"/>
        <v>0.789978017110384</v>
      </c>
      <c r="K82" s="144">
        <v>253.96</v>
      </c>
      <c r="L82" s="10">
        <f t="shared" si="5"/>
        <v>5895.37</v>
      </c>
      <c r="O82" s="150" t="s">
        <v>1670</v>
      </c>
    </row>
    <row r="83" spans="1:15">
      <c r="A83" s="163">
        <v>46191</v>
      </c>
      <c r="B83" s="179" t="s">
        <v>160</v>
      </c>
      <c r="C83" s="191">
        <v>0.8</v>
      </c>
      <c r="D83" s="191">
        <v>1</v>
      </c>
      <c r="E83" s="144">
        <v>89.3065</v>
      </c>
      <c r="F83" s="105">
        <f t="shared" si="7"/>
        <v>86</v>
      </c>
      <c r="G83" s="105">
        <f t="shared" si="8"/>
        <v>3.3065</v>
      </c>
      <c r="H83" s="160">
        <f t="shared" si="6"/>
        <v>0.789976093565418</v>
      </c>
      <c r="K83" s="144">
        <v>70.55</v>
      </c>
      <c r="L83" s="10">
        <f t="shared" si="5"/>
        <v>5824.82</v>
      </c>
      <c r="O83" s="150" t="s">
        <v>1670</v>
      </c>
    </row>
    <row r="84" spans="1:15">
      <c r="A84" s="163">
        <v>46191</v>
      </c>
      <c r="B84" s="179" t="s">
        <v>338</v>
      </c>
      <c r="C84" s="191">
        <v>0.72</v>
      </c>
      <c r="D84" s="191">
        <v>1</v>
      </c>
      <c r="E84" s="144">
        <v>122.8393</v>
      </c>
      <c r="F84" s="105">
        <f t="shared" si="7"/>
        <v>120.4</v>
      </c>
      <c r="G84" s="105">
        <f t="shared" si="8"/>
        <v>2.43929999999999</v>
      </c>
      <c r="H84" s="160">
        <f t="shared" si="6"/>
        <v>0.78997519523475</v>
      </c>
      <c r="K84" s="144">
        <v>97.04</v>
      </c>
      <c r="L84" s="10">
        <f t="shared" si="5"/>
        <v>5727.78</v>
      </c>
      <c r="O84" s="150" t="s">
        <v>1670</v>
      </c>
    </row>
    <row r="85" spans="1:15">
      <c r="A85" s="163">
        <v>46192</v>
      </c>
      <c r="B85" s="179" t="s">
        <v>195</v>
      </c>
      <c r="C85" s="191">
        <v>0.67</v>
      </c>
      <c r="D85" s="191">
        <v>0.99</v>
      </c>
      <c r="E85" s="144">
        <v>144.8923</v>
      </c>
      <c r="F85" s="105">
        <f t="shared" si="7"/>
        <v>137.6</v>
      </c>
      <c r="G85" s="105">
        <f t="shared" si="8"/>
        <v>7.29230000000001</v>
      </c>
      <c r="H85" s="160">
        <f t="shared" si="6"/>
        <v>0.789966064449249</v>
      </c>
      <c r="K85" s="144">
        <v>114.46</v>
      </c>
      <c r="L85" s="10">
        <f t="shared" si="5"/>
        <v>5613.32</v>
      </c>
      <c r="O85" s="150" t="s">
        <v>1670</v>
      </c>
    </row>
    <row r="86" spans="1:15">
      <c r="A86" s="163">
        <v>46193</v>
      </c>
      <c r="B86" s="179" t="s">
        <v>180</v>
      </c>
      <c r="C86" s="191">
        <v>0.76</v>
      </c>
      <c r="D86" s="191">
        <v>1</v>
      </c>
      <c r="E86" s="144">
        <v>108.2674</v>
      </c>
      <c r="F86" s="105">
        <f t="shared" si="7"/>
        <v>103.2</v>
      </c>
      <c r="G86" s="105">
        <f t="shared" si="8"/>
        <v>5.06739999999999</v>
      </c>
      <c r="H86" s="160">
        <f t="shared" si="6"/>
        <v>0.789988491457262</v>
      </c>
      <c r="K86" s="172">
        <v>85.53</v>
      </c>
      <c r="L86" s="10">
        <f t="shared" si="5"/>
        <v>5527.79</v>
      </c>
      <c r="O86" s="150" t="s">
        <v>1670</v>
      </c>
    </row>
    <row r="87" spans="1:15">
      <c r="A87" s="163">
        <v>46193</v>
      </c>
      <c r="B87" s="179" t="s">
        <v>186</v>
      </c>
      <c r="C87" s="191">
        <v>0.78</v>
      </c>
      <c r="D87" s="191">
        <v>0.99</v>
      </c>
      <c r="E87" s="144">
        <v>97.5486</v>
      </c>
      <c r="F87" s="105">
        <f t="shared" si="7"/>
        <v>90.3</v>
      </c>
      <c r="G87" s="105">
        <f t="shared" si="8"/>
        <v>7.2486</v>
      </c>
      <c r="H87" s="160">
        <f t="shared" si="6"/>
        <v>0.789965207086519</v>
      </c>
      <c r="K87" s="172">
        <v>77.06</v>
      </c>
      <c r="L87" s="10">
        <f t="shared" si="5"/>
        <v>5450.73</v>
      </c>
      <c r="O87" s="150" t="s">
        <v>1670</v>
      </c>
    </row>
    <row r="88" spans="1:15">
      <c r="A88" s="163">
        <v>46193</v>
      </c>
      <c r="B88" s="179" t="s">
        <v>207</v>
      </c>
      <c r="C88" s="191">
        <v>0.77</v>
      </c>
      <c r="D88" s="191">
        <v>1</v>
      </c>
      <c r="E88" s="144">
        <v>103.9528</v>
      </c>
      <c r="F88" s="105">
        <f t="shared" si="7"/>
        <v>98.9</v>
      </c>
      <c r="G88" s="105">
        <f t="shared" si="8"/>
        <v>5.05279999999999</v>
      </c>
      <c r="H88" s="160">
        <f t="shared" si="6"/>
        <v>0.789973911236638</v>
      </c>
      <c r="K88" s="172">
        <v>82.12</v>
      </c>
      <c r="L88" s="10">
        <f t="shared" si="5"/>
        <v>5368.61</v>
      </c>
      <c r="O88" s="150" t="s">
        <v>1670</v>
      </c>
    </row>
    <row r="89" spans="1:15">
      <c r="A89" s="163">
        <v>46193</v>
      </c>
      <c r="B89" s="179" t="s">
        <v>339</v>
      </c>
      <c r="C89" s="191">
        <v>0.66</v>
      </c>
      <c r="D89" s="191">
        <v>0.99</v>
      </c>
      <c r="E89" s="144">
        <v>153.7074</v>
      </c>
      <c r="F89" s="105">
        <f t="shared" si="7"/>
        <v>141.9</v>
      </c>
      <c r="G89" s="105">
        <f t="shared" si="8"/>
        <v>11.8074</v>
      </c>
      <c r="H89" s="160">
        <f t="shared" si="6"/>
        <v>0.789942449094839</v>
      </c>
      <c r="K89" s="172">
        <v>121.42</v>
      </c>
      <c r="L89" s="10">
        <f t="shared" si="5"/>
        <v>5247.19</v>
      </c>
      <c r="O89" s="150" t="s">
        <v>1670</v>
      </c>
    </row>
    <row r="90" spans="1:15">
      <c r="A90" s="163">
        <v>46193</v>
      </c>
      <c r="B90" s="179" t="s">
        <v>183</v>
      </c>
      <c r="C90" s="191">
        <v>0.69</v>
      </c>
      <c r="D90" s="191">
        <v>1</v>
      </c>
      <c r="E90" s="144">
        <v>137.6987</v>
      </c>
      <c r="F90" s="105">
        <f t="shared" si="7"/>
        <v>133.3</v>
      </c>
      <c r="G90" s="105">
        <f t="shared" si="8"/>
        <v>4.39869999999999</v>
      </c>
      <c r="H90" s="160">
        <f t="shared" si="6"/>
        <v>0.78998567161491</v>
      </c>
      <c r="K90" s="172">
        <v>108.78</v>
      </c>
      <c r="L90" s="10">
        <f t="shared" si="5"/>
        <v>5138.41</v>
      </c>
      <c r="O90" s="150" t="s">
        <v>1670</v>
      </c>
    </row>
    <row r="91" spans="1:15">
      <c r="A91" s="163">
        <v>46193</v>
      </c>
      <c r="B91" s="179" t="s">
        <v>177</v>
      </c>
      <c r="C91" s="191">
        <v>0.14</v>
      </c>
      <c r="D91" s="191">
        <v>1</v>
      </c>
      <c r="E91" s="144">
        <v>369.9517</v>
      </c>
      <c r="F91" s="105">
        <f t="shared" si="7"/>
        <v>369.8</v>
      </c>
      <c r="G91" s="105">
        <f t="shared" si="8"/>
        <v>0.151700000000005</v>
      </c>
      <c r="H91" s="160">
        <f t="shared" si="6"/>
        <v>0.789995018268601</v>
      </c>
      <c r="K91" s="172">
        <v>292.26</v>
      </c>
      <c r="L91" s="10">
        <f t="shared" si="5"/>
        <v>4846.15</v>
      </c>
      <c r="O91" s="150" t="s">
        <v>1670</v>
      </c>
    </row>
    <row r="92" spans="1:15">
      <c r="A92" s="163">
        <v>46194</v>
      </c>
      <c r="B92" s="179" t="s">
        <v>148</v>
      </c>
      <c r="C92" s="191">
        <v>0.76</v>
      </c>
      <c r="D92" s="191">
        <v>0.98</v>
      </c>
      <c r="E92" s="144">
        <v>103.7466</v>
      </c>
      <c r="F92" s="105">
        <f t="shared" si="7"/>
        <v>94.6</v>
      </c>
      <c r="G92" s="105">
        <f t="shared" si="8"/>
        <v>9.14660000000001</v>
      </c>
      <c r="H92" s="160">
        <f t="shared" si="6"/>
        <v>0.789905404128906</v>
      </c>
      <c r="K92" s="172">
        <v>81.95</v>
      </c>
      <c r="L92" s="10">
        <f t="shared" si="5"/>
        <v>4764.2</v>
      </c>
      <c r="O92" s="150" t="s">
        <v>1670</v>
      </c>
    </row>
    <row r="93" spans="1:15">
      <c r="A93" s="163">
        <v>46194</v>
      </c>
      <c r="B93" s="179" t="s">
        <v>174</v>
      </c>
      <c r="C93" s="191">
        <v>0.1</v>
      </c>
      <c r="D93" s="191">
        <v>1</v>
      </c>
      <c r="E93" s="144">
        <v>394.2433</v>
      </c>
      <c r="F93" s="105">
        <f t="shared" si="7"/>
        <v>387</v>
      </c>
      <c r="G93" s="105">
        <f t="shared" si="8"/>
        <v>7.24329999999998</v>
      </c>
      <c r="H93" s="160">
        <f t="shared" si="6"/>
        <v>0.789994401934034</v>
      </c>
      <c r="K93" s="172">
        <v>311.45</v>
      </c>
      <c r="L93" s="10">
        <f t="shared" si="5"/>
        <v>4452.75</v>
      </c>
      <c r="O93" s="150" t="s">
        <v>1670</v>
      </c>
    </row>
    <row r="94" spans="1:15">
      <c r="A94" s="163">
        <v>46194</v>
      </c>
      <c r="B94" s="192" t="s">
        <v>166</v>
      </c>
      <c r="C94" s="191">
        <v>0.69</v>
      </c>
      <c r="D94" s="191">
        <v>0.99</v>
      </c>
      <c r="E94" s="144">
        <v>139.5387</v>
      </c>
      <c r="F94" s="105">
        <f t="shared" si="7"/>
        <v>129</v>
      </c>
      <c r="G94" s="105">
        <f t="shared" si="8"/>
        <v>10.5387</v>
      </c>
      <c r="H94" s="160">
        <f t="shared" si="6"/>
        <v>0.789960061258991</v>
      </c>
      <c r="K94" s="172">
        <v>110.23</v>
      </c>
      <c r="L94" s="10">
        <f t="shared" si="5"/>
        <v>4342.52</v>
      </c>
      <c r="O94" s="150" t="s">
        <v>1670</v>
      </c>
    </row>
    <row r="95" spans="1:15">
      <c r="A95" s="193">
        <v>46195</v>
      </c>
      <c r="B95" s="164" t="s">
        <v>163</v>
      </c>
      <c r="C95" s="158">
        <v>0.17</v>
      </c>
      <c r="D95" s="158">
        <v>0.98</v>
      </c>
      <c r="E95" s="184">
        <v>354.1005</v>
      </c>
      <c r="F95" s="105">
        <f t="shared" si="7"/>
        <v>348.3</v>
      </c>
      <c r="G95" s="105">
        <f t="shared" si="8"/>
        <v>5.8005</v>
      </c>
      <c r="H95" s="160">
        <f t="shared" ref="H95:H102" si="9">K95/E95</f>
        <v>0.789973467984372</v>
      </c>
      <c r="K95" s="172">
        <v>279.73</v>
      </c>
      <c r="L95" s="10">
        <f t="shared" ref="L95:L102" si="10">L94+J95-K95</f>
        <v>4062.79</v>
      </c>
      <c r="O95" s="150" t="s">
        <v>1670</v>
      </c>
    </row>
    <row r="96" spans="1:15">
      <c r="A96" s="193">
        <v>46195</v>
      </c>
      <c r="B96" s="164" t="s">
        <v>160</v>
      </c>
      <c r="C96" s="158">
        <v>0.2</v>
      </c>
      <c r="D96" s="158">
        <v>1</v>
      </c>
      <c r="E96" s="184">
        <v>348.1882</v>
      </c>
      <c r="F96" s="105">
        <f t="shared" si="7"/>
        <v>344</v>
      </c>
      <c r="G96" s="105">
        <f t="shared" si="8"/>
        <v>4.18819999999999</v>
      </c>
      <c r="H96" s="160">
        <f t="shared" si="9"/>
        <v>0.789975076697028</v>
      </c>
      <c r="K96" s="172">
        <v>275.06</v>
      </c>
      <c r="L96" s="10">
        <f t="shared" si="10"/>
        <v>3787.73</v>
      </c>
      <c r="O96" s="150" t="s">
        <v>1670</v>
      </c>
    </row>
    <row r="97" spans="1:17">
      <c r="A97" s="193">
        <v>46195</v>
      </c>
      <c r="B97" s="164" t="s">
        <v>154</v>
      </c>
      <c r="C97" s="158">
        <v>0.26</v>
      </c>
      <c r="D97" s="158">
        <v>1</v>
      </c>
      <c r="E97" s="184">
        <v>324.1513</v>
      </c>
      <c r="F97" s="105">
        <f t="shared" si="7"/>
        <v>318.2</v>
      </c>
      <c r="G97" s="105">
        <f t="shared" si="8"/>
        <v>5.9513</v>
      </c>
      <c r="H97" s="160">
        <f t="shared" si="9"/>
        <v>0.789970609403695</v>
      </c>
      <c r="K97" s="172">
        <v>256.07</v>
      </c>
      <c r="L97" s="10">
        <f t="shared" si="10"/>
        <v>3531.66</v>
      </c>
      <c r="O97" s="150" t="s">
        <v>1670</v>
      </c>
    </row>
    <row r="98" spans="1:17">
      <c r="A98" s="193">
        <v>46195</v>
      </c>
      <c r="B98" s="164" t="s">
        <v>204</v>
      </c>
      <c r="C98" s="158">
        <v>0.25</v>
      </c>
      <c r="D98" s="158">
        <v>1</v>
      </c>
      <c r="E98" s="184">
        <v>333.945</v>
      </c>
      <c r="F98" s="105">
        <f t="shared" si="7"/>
        <v>322.5</v>
      </c>
      <c r="G98" s="105">
        <f t="shared" si="8"/>
        <v>11.445</v>
      </c>
      <c r="H98" s="160">
        <f t="shared" si="9"/>
        <v>0.789980385991705</v>
      </c>
      <c r="K98" s="172">
        <v>263.81</v>
      </c>
      <c r="L98" s="10">
        <f t="shared" si="10"/>
        <v>3267.85</v>
      </c>
      <c r="O98" s="150" t="s">
        <v>1670</v>
      </c>
    </row>
    <row r="99" spans="1:17">
      <c r="A99" s="193">
        <v>46195</v>
      </c>
      <c r="B99" s="164" t="s">
        <v>221</v>
      </c>
      <c r="C99" s="158">
        <v>0.16</v>
      </c>
      <c r="D99" s="158">
        <v>1</v>
      </c>
      <c r="E99" s="184">
        <v>371.4975</v>
      </c>
      <c r="F99" s="105">
        <f t="shared" si="7"/>
        <v>361.2</v>
      </c>
      <c r="G99" s="105">
        <f t="shared" si="8"/>
        <v>10.2975</v>
      </c>
      <c r="H99" s="160">
        <f t="shared" si="9"/>
        <v>0.789991857280332</v>
      </c>
      <c r="K99" s="172">
        <v>293.48</v>
      </c>
      <c r="L99" s="10">
        <f t="shared" si="10"/>
        <v>2974.37</v>
      </c>
      <c r="O99" s="150" t="s">
        <v>1670</v>
      </c>
    </row>
    <row r="100" spans="1:17">
      <c r="A100" s="193">
        <v>46195</v>
      </c>
      <c r="B100" s="164" t="s">
        <v>338</v>
      </c>
      <c r="C100" s="158">
        <v>0.2</v>
      </c>
      <c r="D100" s="158">
        <v>1</v>
      </c>
      <c r="E100" s="184">
        <v>352.2384</v>
      </c>
      <c r="F100" s="105">
        <f t="shared" si="7"/>
        <v>344</v>
      </c>
      <c r="G100" s="105">
        <f t="shared" si="8"/>
        <v>8.23840000000001</v>
      </c>
      <c r="H100" s="160">
        <f t="shared" si="9"/>
        <v>0.789976334210012</v>
      </c>
      <c r="K100" s="172">
        <v>278.26</v>
      </c>
      <c r="L100" s="10">
        <f t="shared" si="10"/>
        <v>2696.11</v>
      </c>
      <c r="O100" s="150" t="s">
        <v>1670</v>
      </c>
    </row>
    <row r="101" spans="1:17">
      <c r="A101" s="193">
        <v>46195</v>
      </c>
      <c r="B101" s="164" t="s">
        <v>223</v>
      </c>
      <c r="C101" s="158">
        <v>0.1</v>
      </c>
      <c r="D101" s="158">
        <v>1</v>
      </c>
      <c r="E101" s="184">
        <v>400.3225</v>
      </c>
      <c r="F101" s="105">
        <f t="shared" si="7"/>
        <v>387</v>
      </c>
      <c r="G101" s="105">
        <f t="shared" si="8"/>
        <v>13.3225</v>
      </c>
      <c r="H101" s="160">
        <f t="shared" si="9"/>
        <v>0.789988072116856</v>
      </c>
      <c r="K101" s="172">
        <v>316.25</v>
      </c>
      <c r="L101" s="10">
        <f t="shared" si="10"/>
        <v>2379.86</v>
      </c>
      <c r="O101" s="150" t="s">
        <v>1670</v>
      </c>
    </row>
    <row r="102" spans="1:17">
      <c r="A102" s="193">
        <v>46195</v>
      </c>
      <c r="B102" s="164" t="s">
        <v>195</v>
      </c>
      <c r="C102" s="158">
        <v>0.78</v>
      </c>
      <c r="D102" s="158">
        <v>0.99</v>
      </c>
      <c r="E102" s="184">
        <v>96.9313</v>
      </c>
      <c r="F102" s="105">
        <f t="shared" si="7"/>
        <v>90.3</v>
      </c>
      <c r="G102" s="105">
        <f t="shared" si="8"/>
        <v>6.6313</v>
      </c>
      <c r="H102" s="160">
        <f t="shared" si="9"/>
        <v>0.789940916917446</v>
      </c>
      <c r="K102" s="172">
        <v>76.57</v>
      </c>
      <c r="L102" s="10">
        <f t="shared" si="10"/>
        <v>2303.29</v>
      </c>
      <c r="O102" s="150" t="s">
        <v>1670</v>
      </c>
    </row>
    <row r="103" spans="1:17">
      <c r="A103" s="194">
        <v>46196</v>
      </c>
      <c r="B103" s="55" t="s">
        <v>180</v>
      </c>
      <c r="C103" s="195">
        <v>0.78</v>
      </c>
      <c r="D103" s="195">
        <v>1</v>
      </c>
      <c r="E103" s="144">
        <v>97.3457</v>
      </c>
      <c r="F103" s="105">
        <f t="shared" ref="F103:F112" si="11">(D103-C103)*430</f>
        <v>94.6</v>
      </c>
      <c r="G103" s="105">
        <f t="shared" ref="G103:G112" si="12">E103-F103</f>
        <v>2.7457</v>
      </c>
      <c r="H103" s="160">
        <f t="shared" ref="H103:H112" si="13">K103/E103</f>
        <v>0.789968123913024</v>
      </c>
      <c r="K103" s="196">
        <v>76.9</v>
      </c>
      <c r="L103" s="10">
        <f t="shared" ref="L103:L112" si="14">L102+J103-K103</f>
        <v>2226.39</v>
      </c>
      <c r="O103" s="150" t="s">
        <v>1670</v>
      </c>
      <c r="P103" s="144" t="str">
        <f>MIN(MAX(C103,0),100)&amp;"%"</f>
        <v>0.78%</v>
      </c>
      <c r="Q103" s="144" t="str">
        <f>MIN(MAX(D103,0),100)&amp;"%"</f>
        <v>1%</v>
      </c>
    </row>
    <row r="104" spans="1:17">
      <c r="A104" s="197">
        <v>46196</v>
      </c>
      <c r="B104" s="55" t="s">
        <v>180</v>
      </c>
      <c r="C104" s="195">
        <v>0.99</v>
      </c>
      <c r="D104" s="195">
        <v>0.99</v>
      </c>
      <c r="E104" s="144">
        <v>0.2149</v>
      </c>
      <c r="F104" s="105">
        <f t="shared" si="11"/>
        <v>0</v>
      </c>
      <c r="G104" s="105">
        <f t="shared" si="12"/>
        <v>0.2149</v>
      </c>
      <c r="H104" s="160">
        <f t="shared" si="13"/>
        <v>0.744532340623546</v>
      </c>
      <c r="K104" s="55">
        <v>0.16</v>
      </c>
      <c r="L104" s="10">
        <f t="shared" si="14"/>
        <v>2226.23</v>
      </c>
      <c r="O104" s="150" t="s">
        <v>1670</v>
      </c>
    </row>
    <row r="105" spans="1:17">
      <c r="A105" s="197">
        <v>46196</v>
      </c>
      <c r="B105" s="55" t="s">
        <v>144</v>
      </c>
      <c r="C105" s="195">
        <v>0.85</v>
      </c>
      <c r="D105" s="195">
        <v>1</v>
      </c>
      <c r="E105" s="144">
        <v>65.9387</v>
      </c>
      <c r="F105" s="105">
        <f t="shared" si="11"/>
        <v>64.5</v>
      </c>
      <c r="G105" s="105">
        <f t="shared" si="12"/>
        <v>1.4387</v>
      </c>
      <c r="H105" s="160">
        <f t="shared" si="13"/>
        <v>0.789976144509977</v>
      </c>
      <c r="K105" s="55">
        <v>52.09</v>
      </c>
      <c r="L105" s="10">
        <f t="shared" si="14"/>
        <v>2174.14</v>
      </c>
      <c r="O105" s="150" t="s">
        <v>1670</v>
      </c>
    </row>
    <row r="106" spans="1:17">
      <c r="A106" s="197">
        <v>46196</v>
      </c>
      <c r="B106" s="55" t="s">
        <v>189</v>
      </c>
      <c r="C106" s="195">
        <v>0.79</v>
      </c>
      <c r="D106" s="195">
        <v>1</v>
      </c>
      <c r="E106" s="144">
        <v>92.9435</v>
      </c>
      <c r="F106" s="105">
        <f t="shared" si="11"/>
        <v>90.3</v>
      </c>
      <c r="G106" s="105">
        <f t="shared" si="12"/>
        <v>2.6435</v>
      </c>
      <c r="H106" s="160">
        <f t="shared" si="13"/>
        <v>0.789942276759537</v>
      </c>
      <c r="K106" s="55">
        <v>73.42</v>
      </c>
      <c r="L106" s="10">
        <f t="shared" si="14"/>
        <v>2100.72</v>
      </c>
      <c r="O106" s="150" t="s">
        <v>1670</v>
      </c>
    </row>
    <row r="107" spans="1:17">
      <c r="A107" s="197">
        <v>46196</v>
      </c>
      <c r="B107" s="55" t="s">
        <v>108</v>
      </c>
      <c r="C107" s="195">
        <v>0.79</v>
      </c>
      <c r="D107" s="195">
        <v>1</v>
      </c>
      <c r="E107" s="144">
        <v>102.7704</v>
      </c>
      <c r="F107" s="105">
        <f t="shared" si="11"/>
        <v>90.3</v>
      </c>
      <c r="G107" s="105">
        <f t="shared" si="12"/>
        <v>12.4704</v>
      </c>
      <c r="H107" s="160">
        <f t="shared" si="13"/>
        <v>0.789916162630485</v>
      </c>
      <c r="K107" s="55">
        <v>81.18</v>
      </c>
      <c r="L107" s="10">
        <f t="shared" si="14"/>
        <v>2019.54</v>
      </c>
      <c r="O107" s="150" t="s">
        <v>1670</v>
      </c>
    </row>
    <row r="108" spans="1:17">
      <c r="A108" s="197">
        <v>46196</v>
      </c>
      <c r="B108" s="55" t="s">
        <v>148</v>
      </c>
      <c r="C108" s="195">
        <v>0.78</v>
      </c>
      <c r="D108" s="195">
        <v>1</v>
      </c>
      <c r="E108" s="144">
        <v>97.8795</v>
      </c>
      <c r="F108" s="105">
        <f t="shared" si="11"/>
        <v>94.6</v>
      </c>
      <c r="G108" s="105">
        <f t="shared" si="12"/>
        <v>3.2795</v>
      </c>
      <c r="H108" s="160">
        <f t="shared" si="13"/>
        <v>0.789950909025894</v>
      </c>
      <c r="K108" s="55">
        <v>77.32</v>
      </c>
      <c r="L108" s="10">
        <f t="shared" si="14"/>
        <v>1942.22</v>
      </c>
      <c r="O108" s="150" t="s">
        <v>1670</v>
      </c>
    </row>
    <row r="109" spans="1:17">
      <c r="A109" s="197">
        <v>46197</v>
      </c>
      <c r="B109" s="55" t="s">
        <v>207</v>
      </c>
      <c r="C109" s="195">
        <v>0.23</v>
      </c>
      <c r="D109" s="195">
        <v>1</v>
      </c>
      <c r="E109" s="144">
        <v>341.0639</v>
      </c>
      <c r="F109" s="105">
        <f t="shared" si="11"/>
        <v>331.1</v>
      </c>
      <c r="G109" s="105">
        <f t="shared" si="12"/>
        <v>9.96389999999997</v>
      </c>
      <c r="H109" s="160">
        <f t="shared" si="13"/>
        <v>0.78999858970709</v>
      </c>
      <c r="K109" s="55">
        <v>269.44</v>
      </c>
      <c r="L109" s="10">
        <f t="shared" si="14"/>
        <v>1672.78</v>
      </c>
      <c r="O109" s="150" t="s">
        <v>1670</v>
      </c>
    </row>
    <row r="110" spans="1:17">
      <c r="A110" s="197">
        <v>46197</v>
      </c>
      <c r="B110" s="55" t="s">
        <v>198</v>
      </c>
      <c r="C110" s="195">
        <v>0.23</v>
      </c>
      <c r="D110" s="195">
        <v>1</v>
      </c>
      <c r="E110" s="144">
        <v>336.755</v>
      </c>
      <c r="F110" s="105">
        <f t="shared" si="11"/>
        <v>331.1</v>
      </c>
      <c r="G110" s="105">
        <f t="shared" si="12"/>
        <v>5.65499999999997</v>
      </c>
      <c r="H110" s="160">
        <f t="shared" si="13"/>
        <v>0.789980846609553</v>
      </c>
      <c r="K110" s="55">
        <v>266.03</v>
      </c>
      <c r="L110" s="10">
        <f t="shared" si="14"/>
        <v>1406.75</v>
      </c>
      <c r="O110" s="150" t="s">
        <v>1670</v>
      </c>
    </row>
    <row r="111" spans="1:17">
      <c r="A111" s="198">
        <v>46197</v>
      </c>
      <c r="B111" s="199" t="s">
        <v>183</v>
      </c>
      <c r="C111" s="200">
        <v>0.17</v>
      </c>
      <c r="D111" s="200">
        <v>1</v>
      </c>
      <c r="E111" s="144">
        <v>365.1205</v>
      </c>
      <c r="F111" s="201">
        <f t="shared" si="11"/>
        <v>356.9</v>
      </c>
      <c r="G111" s="201">
        <f t="shared" si="12"/>
        <v>8.22050000000002</v>
      </c>
      <c r="H111" s="202">
        <f t="shared" si="13"/>
        <v>0.789985771820536</v>
      </c>
      <c r="K111" s="199">
        <v>288.44</v>
      </c>
      <c r="L111" s="130">
        <f t="shared" si="14"/>
        <v>1118.31</v>
      </c>
      <c r="O111" s="150" t="s">
        <v>1670</v>
      </c>
    </row>
    <row r="112" spans="1:17">
      <c r="A112" s="203">
        <v>46197</v>
      </c>
      <c r="B112" s="55" t="s">
        <v>108</v>
      </c>
      <c r="C112" s="195">
        <v>0.91</v>
      </c>
      <c r="D112" s="195">
        <v>1</v>
      </c>
      <c r="E112" s="55">
        <v>43.1211</v>
      </c>
      <c r="F112" s="105">
        <f t="shared" si="11"/>
        <v>38.7</v>
      </c>
      <c r="G112" s="105">
        <f t="shared" si="12"/>
        <v>4.4211</v>
      </c>
      <c r="H112" s="160">
        <f t="shared" si="13"/>
        <v>0.78986853303835</v>
      </c>
      <c r="I112" s="55"/>
      <c r="J112" s="55"/>
      <c r="K112" s="55">
        <v>34.06</v>
      </c>
      <c r="L112" s="10">
        <f t="shared" si="14"/>
        <v>1084.25</v>
      </c>
      <c r="O112" s="150" t="s">
        <v>1670</v>
      </c>
    </row>
    <row r="113" spans="1:17">
      <c r="A113" s="203">
        <v>46197</v>
      </c>
      <c r="B113" s="55" t="s">
        <v>166</v>
      </c>
      <c r="C113" s="195">
        <v>0.21</v>
      </c>
      <c r="D113" s="195">
        <v>1</v>
      </c>
      <c r="E113" s="55">
        <v>350.4689</v>
      </c>
      <c r="F113" s="105">
        <f t="shared" ref="F113:F119" si="15">(D113-C113)*430</f>
        <v>339.7</v>
      </c>
      <c r="G113" s="105">
        <f t="shared" ref="G113:G119" si="16">E113-F113</f>
        <v>10.7689</v>
      </c>
      <c r="H113" s="160">
        <f t="shared" ref="H113:H119" si="17">K113/E113</f>
        <v>0.789998770218984</v>
      </c>
      <c r="I113" s="55"/>
      <c r="J113" s="55"/>
      <c r="K113" s="55">
        <v>276.87</v>
      </c>
      <c r="L113" s="10">
        <f t="shared" ref="L113:L119" si="18">L112+J113-K113</f>
        <v>807.38</v>
      </c>
      <c r="O113" s="150" t="s">
        <v>1670</v>
      </c>
    </row>
    <row r="114" spans="1:17">
      <c r="A114" s="203">
        <v>46197</v>
      </c>
      <c r="B114" s="55" t="s">
        <v>177</v>
      </c>
      <c r="C114" s="195">
        <v>0.16</v>
      </c>
      <c r="D114" s="195">
        <v>0.99</v>
      </c>
      <c r="E114" s="55">
        <v>368.6701</v>
      </c>
      <c r="F114" s="105">
        <f t="shared" si="15"/>
        <v>356.9</v>
      </c>
      <c r="G114" s="105">
        <f t="shared" si="16"/>
        <v>11.7701</v>
      </c>
      <c r="H114" s="160">
        <f t="shared" si="17"/>
        <v>0.789974559911422</v>
      </c>
      <c r="I114" s="55"/>
      <c r="J114" s="55"/>
      <c r="K114" s="55">
        <v>291.24</v>
      </c>
      <c r="L114" s="10">
        <f t="shared" si="18"/>
        <v>516.14</v>
      </c>
      <c r="O114" s="150" t="s">
        <v>1670</v>
      </c>
    </row>
    <row r="115" spans="1:17">
      <c r="A115" s="203">
        <v>46197</v>
      </c>
      <c r="B115" s="55" t="s">
        <v>339</v>
      </c>
      <c r="C115" s="195">
        <v>0.77</v>
      </c>
      <c r="D115" s="195">
        <v>1</v>
      </c>
      <c r="E115" s="55">
        <v>103.2187</v>
      </c>
      <c r="F115" s="105">
        <f t="shared" si="15"/>
        <v>98.9</v>
      </c>
      <c r="G115" s="105">
        <f t="shared" si="16"/>
        <v>4.31869999999999</v>
      </c>
      <c r="H115" s="160">
        <f t="shared" si="17"/>
        <v>0.789973134712993</v>
      </c>
      <c r="I115" s="55"/>
      <c r="J115" s="55"/>
      <c r="K115" s="55">
        <v>81.54</v>
      </c>
      <c r="L115" s="10">
        <f t="shared" si="18"/>
        <v>434.6</v>
      </c>
      <c r="O115" s="150" t="s">
        <v>1670</v>
      </c>
    </row>
    <row r="116" spans="1:17">
      <c r="A116" s="203">
        <v>46197</v>
      </c>
      <c r="B116" s="55" t="s">
        <v>87</v>
      </c>
      <c r="C116" s="195">
        <v>0.29</v>
      </c>
      <c r="D116" s="195">
        <v>1</v>
      </c>
      <c r="E116" s="55">
        <v>317.8048</v>
      </c>
      <c r="F116" s="105">
        <f t="shared" si="15"/>
        <v>305.3</v>
      </c>
      <c r="G116" s="105">
        <f t="shared" si="16"/>
        <v>12.5048</v>
      </c>
      <c r="H116" s="160">
        <f t="shared" si="17"/>
        <v>0.789981774976338</v>
      </c>
      <c r="I116" s="55"/>
      <c r="J116" s="55"/>
      <c r="K116" s="55">
        <v>251.06</v>
      </c>
      <c r="L116" s="10">
        <f t="shared" si="18"/>
        <v>183.54</v>
      </c>
      <c r="O116" s="150" t="s">
        <v>1670</v>
      </c>
    </row>
    <row r="117" spans="1:17">
      <c r="A117" s="203">
        <v>46198</v>
      </c>
      <c r="B117" s="55" t="s">
        <v>69</v>
      </c>
      <c r="C117" s="195">
        <v>0.72</v>
      </c>
      <c r="D117" s="195">
        <v>0.98</v>
      </c>
      <c r="E117" s="55">
        <v>122.128</v>
      </c>
      <c r="F117" s="105">
        <f t="shared" si="15"/>
        <v>111.8</v>
      </c>
      <c r="G117" s="105">
        <f t="shared" si="16"/>
        <v>10.328</v>
      </c>
      <c r="H117" s="160">
        <f t="shared" si="17"/>
        <v>0.789990829293856</v>
      </c>
      <c r="I117" s="55"/>
      <c r="J117" s="55">
        <v>10000</v>
      </c>
      <c r="K117" s="55">
        <v>96.48</v>
      </c>
      <c r="L117" s="10">
        <f t="shared" si="18"/>
        <v>10087.06</v>
      </c>
      <c r="O117" s="150" t="s">
        <v>1670</v>
      </c>
    </row>
    <row r="118" spans="1:17">
      <c r="A118" s="203">
        <v>46198</v>
      </c>
      <c r="B118" s="55" t="s">
        <v>204</v>
      </c>
      <c r="C118" s="195">
        <v>0.12</v>
      </c>
      <c r="D118" s="195">
        <v>1</v>
      </c>
      <c r="E118" s="55">
        <v>387.8539</v>
      </c>
      <c r="F118" s="105">
        <f t="shared" si="15"/>
        <v>378.4</v>
      </c>
      <c r="G118" s="105">
        <f t="shared" si="16"/>
        <v>9.45390000000003</v>
      </c>
      <c r="H118" s="160">
        <f t="shared" si="17"/>
        <v>0.789988188851524</v>
      </c>
      <c r="I118" s="55"/>
      <c r="J118" s="55"/>
      <c r="K118" s="55">
        <v>306.4</v>
      </c>
      <c r="L118" s="10">
        <f t="shared" si="18"/>
        <v>9780.66</v>
      </c>
      <c r="O118" s="150" t="s">
        <v>1670</v>
      </c>
    </row>
    <row r="119" spans="1:17">
      <c r="A119" s="203">
        <v>46198</v>
      </c>
      <c r="B119" s="55" t="s">
        <v>338</v>
      </c>
      <c r="C119" s="195">
        <v>0.14</v>
      </c>
      <c r="D119" s="195">
        <v>0.99</v>
      </c>
      <c r="E119" s="55">
        <v>379.5493</v>
      </c>
      <c r="F119" s="105">
        <f t="shared" si="15"/>
        <v>365.5</v>
      </c>
      <c r="G119" s="105">
        <f t="shared" si="16"/>
        <v>14.0493</v>
      </c>
      <c r="H119" s="160">
        <f t="shared" si="17"/>
        <v>0.789989600823924</v>
      </c>
      <c r="I119" s="55"/>
      <c r="J119" s="55"/>
      <c r="K119" s="55">
        <v>299.84</v>
      </c>
      <c r="L119" s="10">
        <f t="shared" si="18"/>
        <v>9480.82</v>
      </c>
      <c r="O119" s="150" t="s">
        <v>1670</v>
      </c>
    </row>
    <row r="120" spans="1:17">
      <c r="A120" s="203">
        <v>46198</v>
      </c>
      <c r="B120" s="55" t="s">
        <v>195</v>
      </c>
      <c r="C120" s="195">
        <v>0.48</v>
      </c>
      <c r="D120" s="195">
        <v>1</v>
      </c>
      <c r="E120" s="55">
        <v>229.8683</v>
      </c>
      <c r="F120" s="105">
        <f t="shared" ref="F120:F127" si="19">(D120-C120)*430</f>
        <v>223.6</v>
      </c>
      <c r="G120" s="105">
        <f t="shared" ref="G120:G127" si="20">E120-F120</f>
        <v>6.26830000000001</v>
      </c>
      <c r="H120" s="160">
        <f t="shared" ref="H120:H127" si="21">K120/E120</f>
        <v>0.789974085160938</v>
      </c>
      <c r="I120" s="55"/>
      <c r="J120" s="55"/>
      <c r="K120" s="55">
        <v>181.59</v>
      </c>
      <c r="L120" s="10">
        <f t="shared" ref="L120:L127" si="22">L119+J120-K120</f>
        <v>9299.23</v>
      </c>
      <c r="O120" s="150" t="s">
        <v>1670</v>
      </c>
      <c r="P120" s="144" t="str">
        <f>MIN(MAX(C120,0),100)&amp;"%"</f>
        <v>0.48%</v>
      </c>
      <c r="Q120" s="144" t="str">
        <f>MIN(MAX(D120,0),100)&amp;"%"</f>
        <v>1%</v>
      </c>
    </row>
    <row r="121" spans="1:17">
      <c r="A121" s="203">
        <v>46198</v>
      </c>
      <c r="B121" s="55" t="s">
        <v>87</v>
      </c>
      <c r="C121" s="195">
        <v>0.93</v>
      </c>
      <c r="D121" s="195">
        <v>0.96</v>
      </c>
      <c r="E121" s="55">
        <v>32.1165</v>
      </c>
      <c r="F121" s="105">
        <f t="shared" si="19"/>
        <v>12.9</v>
      </c>
      <c r="G121" s="105">
        <f t="shared" si="20"/>
        <v>19.2165</v>
      </c>
      <c r="H121" s="160">
        <f t="shared" si="21"/>
        <v>0.789936636931172</v>
      </c>
      <c r="I121" s="55"/>
      <c r="J121" s="55"/>
      <c r="K121" s="55">
        <v>25.37</v>
      </c>
      <c r="L121" s="10">
        <f t="shared" si="22"/>
        <v>9273.86</v>
      </c>
      <c r="O121" s="150" t="s">
        <v>1670</v>
      </c>
    </row>
    <row r="122" spans="1:17">
      <c r="A122" s="203">
        <v>46198</v>
      </c>
      <c r="B122" s="55" t="s">
        <v>87</v>
      </c>
      <c r="C122" s="195">
        <v>1</v>
      </c>
      <c r="D122" s="195">
        <v>1</v>
      </c>
      <c r="E122" s="55">
        <v>1.1776</v>
      </c>
      <c r="F122" s="105">
        <f t="shared" si="19"/>
        <v>0</v>
      </c>
      <c r="G122" s="105">
        <f t="shared" si="20"/>
        <v>1.1776</v>
      </c>
      <c r="H122" s="160">
        <f t="shared" si="21"/>
        <v>0.789741847826087</v>
      </c>
      <c r="I122" s="55"/>
      <c r="J122" s="55"/>
      <c r="K122" s="55">
        <v>0.93</v>
      </c>
      <c r="L122" s="10">
        <f t="shared" si="22"/>
        <v>9272.93</v>
      </c>
      <c r="O122" s="150" t="s">
        <v>1670</v>
      </c>
    </row>
    <row r="123" spans="1:17">
      <c r="A123" s="203">
        <v>46199</v>
      </c>
      <c r="B123" s="55" t="s">
        <v>166</v>
      </c>
      <c r="C123" s="195">
        <v>0.89</v>
      </c>
      <c r="D123" s="195">
        <v>1</v>
      </c>
      <c r="E123" s="55">
        <v>50.5979</v>
      </c>
      <c r="F123" s="105">
        <f t="shared" si="19"/>
        <v>47.3</v>
      </c>
      <c r="G123" s="105">
        <f t="shared" si="20"/>
        <v>3.29790000000001</v>
      </c>
      <c r="H123" s="160">
        <f t="shared" si="21"/>
        <v>0.789953733257704</v>
      </c>
      <c r="I123" s="55"/>
      <c r="J123" s="55"/>
      <c r="K123" s="55">
        <v>39.97</v>
      </c>
      <c r="L123" s="10">
        <f t="shared" si="22"/>
        <v>9232.96</v>
      </c>
      <c r="O123" s="150" t="s">
        <v>1670</v>
      </c>
    </row>
    <row r="124" spans="1:17">
      <c r="A124" s="203">
        <v>46199</v>
      </c>
      <c r="B124" s="55" t="s">
        <v>69</v>
      </c>
      <c r="C124" s="195">
        <v>0.94</v>
      </c>
      <c r="D124" s="195">
        <v>0.97</v>
      </c>
      <c r="E124" s="55">
        <v>30.6298</v>
      </c>
      <c r="F124" s="105">
        <f t="shared" si="19"/>
        <v>12.9</v>
      </c>
      <c r="G124" s="105">
        <f t="shared" si="20"/>
        <v>17.7298</v>
      </c>
      <c r="H124" s="160">
        <f t="shared" si="21"/>
        <v>0.789753769205153</v>
      </c>
      <c r="I124" s="55"/>
      <c r="J124" s="55"/>
      <c r="K124" s="55">
        <v>24.19</v>
      </c>
      <c r="L124" s="10">
        <f t="shared" si="22"/>
        <v>9208.77</v>
      </c>
      <c r="O124" s="150" t="s">
        <v>1670</v>
      </c>
    </row>
    <row r="125" spans="1:17">
      <c r="A125" s="203">
        <v>46199</v>
      </c>
      <c r="B125" s="55" t="s">
        <v>180</v>
      </c>
      <c r="C125" s="195">
        <v>0.25</v>
      </c>
      <c r="D125" s="195">
        <v>0.99</v>
      </c>
      <c r="E125" s="55">
        <v>332.1209</v>
      </c>
      <c r="F125" s="105">
        <f t="shared" si="19"/>
        <v>318.2</v>
      </c>
      <c r="G125" s="105">
        <f t="shared" si="20"/>
        <v>13.9209</v>
      </c>
      <c r="H125" s="160">
        <f t="shared" si="21"/>
        <v>0.78998340664499</v>
      </c>
      <c r="I125" s="55"/>
      <c r="J125" s="55"/>
      <c r="K125" s="55">
        <v>262.37</v>
      </c>
      <c r="L125" s="10">
        <f t="shared" si="22"/>
        <v>8946.4</v>
      </c>
      <c r="O125" s="150" t="s">
        <v>1670</v>
      </c>
    </row>
    <row r="126" spans="1:17">
      <c r="A126" s="204">
        <v>46199</v>
      </c>
      <c r="B126" s="199" t="s">
        <v>338</v>
      </c>
      <c r="C126" s="200">
        <v>0.9</v>
      </c>
      <c r="D126" s="200">
        <v>1</v>
      </c>
      <c r="E126" s="199">
        <v>42.3969</v>
      </c>
      <c r="F126" s="201">
        <f t="shared" si="19"/>
        <v>43</v>
      </c>
      <c r="G126" s="201">
        <f t="shared" si="20"/>
        <v>-0.603099999999998</v>
      </c>
      <c r="H126" s="202">
        <f t="shared" si="21"/>
        <v>0.789916243876321</v>
      </c>
      <c r="I126" s="199"/>
      <c r="J126" s="199"/>
      <c r="K126" s="199">
        <v>33.49</v>
      </c>
      <c r="L126" s="130">
        <f t="shared" si="22"/>
        <v>8912.91</v>
      </c>
      <c r="O126" s="205" t="s">
        <v>1670</v>
      </c>
    </row>
    <row r="127" spans="1:17">
      <c r="A127" s="203">
        <v>46199</v>
      </c>
      <c r="B127" s="164" t="s">
        <v>338</v>
      </c>
      <c r="C127" s="195">
        <v>0.88</v>
      </c>
      <c r="D127" s="195">
        <v>0.95</v>
      </c>
      <c r="E127" s="165">
        <v>36.1917</v>
      </c>
      <c r="F127" s="105">
        <f t="shared" si="19"/>
        <v>30.1</v>
      </c>
      <c r="G127" s="105">
        <f t="shared" si="20"/>
        <v>6.09170000000002</v>
      </c>
      <c r="H127" s="160">
        <f t="shared" si="21"/>
        <v>0.789960128979849</v>
      </c>
      <c r="I127" s="55"/>
      <c r="J127" s="55"/>
      <c r="K127" s="55">
        <v>28.59</v>
      </c>
      <c r="L127" s="10">
        <f t="shared" si="22"/>
        <v>8884.32</v>
      </c>
      <c r="M127" s="55"/>
      <c r="N127" s="55"/>
      <c r="O127" s="150" t="s">
        <v>1670</v>
      </c>
    </row>
  </sheetData>
  <autoFilter xmlns:etc="http://www.wps.cn/officeDocument/2017/etCustomData" ref="A1:P127" etc:filterBottomFollowUsedRange="0">
    <extLst/>
  </autoFilter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workbookViewId="0">
      <selection activeCell="G24" sqref="G24"/>
    </sheetView>
  </sheetViews>
  <sheetFormatPr defaultColWidth="9" defaultRowHeight="13.5" outlineLevelRow="7"/>
  <cols>
    <col min="2" max="2" width="12.5" customWidth="1"/>
    <col min="11" max="11" width="10.375"/>
  </cols>
  <sheetData>
    <row r="1" ht="27" spans="1:16">
      <c r="A1" s="139" t="s">
        <v>335</v>
      </c>
      <c r="B1" s="139" t="s">
        <v>3</v>
      </c>
      <c r="C1" s="140" t="s">
        <v>1581</v>
      </c>
      <c r="D1" s="140" t="s">
        <v>1582</v>
      </c>
      <c r="E1" s="141" t="s">
        <v>1583</v>
      </c>
      <c r="F1" s="139" t="s">
        <v>1584</v>
      </c>
      <c r="G1" s="139" t="s">
        <v>1585</v>
      </c>
      <c r="H1" s="141" t="s">
        <v>1588</v>
      </c>
      <c r="I1" s="141" t="s">
        <v>1604</v>
      </c>
      <c r="J1" s="141" t="s">
        <v>1605</v>
      </c>
      <c r="K1" s="141" t="s">
        <v>1589</v>
      </c>
      <c r="L1" s="141" t="s">
        <v>1606</v>
      </c>
      <c r="M1" s="141" t="s">
        <v>1657</v>
      </c>
      <c r="N1" s="139" t="s">
        <v>1607</v>
      </c>
      <c r="O1" s="139" t="s">
        <v>1590</v>
      </c>
      <c r="P1" s="139" t="s">
        <v>352</v>
      </c>
    </row>
    <row r="2" spans="1:16">
      <c r="A2" s="142">
        <v>46201</v>
      </c>
      <c r="B2" t="s">
        <v>148</v>
      </c>
      <c r="E2" s="143">
        <v>139.13</v>
      </c>
      <c r="H2">
        <v>0.75</v>
      </c>
      <c r="K2">
        <v>104.35</v>
      </c>
    </row>
    <row r="3" spans="1:16">
      <c r="A3" s="142">
        <v>46201</v>
      </c>
      <c r="B3" t="s">
        <v>207</v>
      </c>
      <c r="E3" s="143">
        <v>138.427</v>
      </c>
      <c r="H3">
        <v>0.75</v>
      </c>
      <c r="K3">
        <v>103.82</v>
      </c>
    </row>
    <row r="4" spans="1:16">
      <c r="A4" s="142">
        <v>46201</v>
      </c>
      <c r="B4" t="s">
        <v>189</v>
      </c>
      <c r="E4" s="143">
        <v>202.577</v>
      </c>
      <c r="H4">
        <v>0.75</v>
      </c>
      <c r="K4">
        <v>151.94</v>
      </c>
    </row>
    <row r="5" spans="1:16">
      <c r="A5" s="142">
        <v>46201</v>
      </c>
      <c r="B5" t="s">
        <v>198</v>
      </c>
      <c r="E5" s="143">
        <v>164.8</v>
      </c>
      <c r="H5">
        <v>0.75</v>
      </c>
      <c r="K5">
        <v>123.6</v>
      </c>
    </row>
    <row r="6" spans="1:16">
      <c r="A6" s="142">
        <v>46201</v>
      </c>
      <c r="B6" t="s">
        <v>183</v>
      </c>
      <c r="E6" s="143">
        <v>172.63</v>
      </c>
      <c r="H6">
        <v>0.75</v>
      </c>
      <c r="K6">
        <v>129.48</v>
      </c>
    </row>
    <row r="7" spans="1:16">
      <c r="A7" s="142"/>
    </row>
    <row r="8" spans="1:16">
      <c r="A8" s="142"/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pane ySplit="1" topLeftCell="A2" activePane="bottomLeft" state="frozen"/>
      <selection/>
      <selection pane="bottomLeft" activeCell="K38" sqref="K38"/>
    </sheetView>
  </sheetViews>
  <sheetFormatPr defaultColWidth="9" defaultRowHeight="13.5"/>
  <cols>
    <col min="1" max="16384" width="9" style="138"/>
  </cols>
  <sheetData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087" workbookViewId="0">
      <selection activeCell="G1116" sqref="G1116"/>
    </sheetView>
  </sheetViews>
  <sheetFormatPr defaultColWidth="9" defaultRowHeight="13.5"/>
  <cols>
    <col min="1" max="16384" width="9" style="138"/>
  </cols>
  <sheetData/>
  <pageMargins left="0.75" right="0.75" top="1" bottom="1" header="0.5" footer="0.5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pane ySplit="1" topLeftCell="A80" activePane="bottomLeft" state="frozen"/>
      <selection/>
      <selection pane="bottomLeft" activeCell="I115" sqref="I115"/>
    </sheetView>
  </sheetViews>
  <sheetFormatPr defaultColWidth="8.725" defaultRowHeight="16" customHeight="1"/>
  <cols>
    <col min="1" max="16384" width="8.725" style="137"/>
  </cols>
  <sheetData/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7"/>
  <sheetViews>
    <sheetView topLeftCell="A16" workbookViewId="0">
      <selection activeCell="I45" sqref="I44:I45"/>
    </sheetView>
  </sheetViews>
  <sheetFormatPr defaultColWidth="9" defaultRowHeight="14.25"/>
  <cols>
    <col min="1" max="1" width="10.3416666666667" style="118" customWidth="1"/>
    <col min="2" max="2" width="19.7583333333333" style="63" customWidth="1"/>
    <col min="3" max="3" width="13.625" style="63" customWidth="1"/>
    <col min="4" max="4" width="17.3833333333333" style="63" customWidth="1"/>
    <col min="5" max="5" width="73.5" style="63" customWidth="1"/>
    <col min="6" max="8" width="8.675" style="63" customWidth="1"/>
    <col min="9" max="9" width="34.375" style="63" customWidth="1"/>
    <col min="10" max="10" width="18.875" style="63" customWidth="1"/>
    <col min="11" max="11" width="17.625" style="63" customWidth="1"/>
    <col min="12" max="12" width="54.8833333333333" style="63"/>
    <col min="13" max="15" width="9" style="63"/>
    <col min="16" max="16" width="11.5" style="63"/>
    <col min="17" max="18" width="9" style="63"/>
    <col min="19" max="19" width="12.6333333333333" style="63"/>
    <col min="20" max="20" width="9" style="63"/>
    <col min="21" max="21" width="11.5" style="63"/>
    <col min="22" max="16384" width="9" style="63"/>
  </cols>
  <sheetData>
    <row r="1" s="63" customFormat="1" ht="36" customHeight="1" spans="1:13">
      <c r="A1" s="119" t="s">
        <v>335</v>
      </c>
      <c r="B1" s="120" t="s">
        <v>1671</v>
      </c>
      <c r="C1" s="121" t="s">
        <v>1672</v>
      </c>
      <c r="D1" s="120" t="s">
        <v>1673</v>
      </c>
      <c r="E1" s="121" t="s">
        <v>1674</v>
      </c>
      <c r="F1" s="120" t="s">
        <v>1675</v>
      </c>
      <c r="G1" s="121" t="s">
        <v>1588</v>
      </c>
      <c r="H1" s="120" t="s">
        <v>1676</v>
      </c>
      <c r="I1" s="10" t="s">
        <v>1677</v>
      </c>
      <c r="J1" s="10" t="s">
        <v>875</v>
      </c>
      <c r="K1" s="10" t="s">
        <v>1678</v>
      </c>
      <c r="L1" s="10" t="s">
        <v>1679</v>
      </c>
      <c r="M1" s="95" t="s">
        <v>870</v>
      </c>
    </row>
    <row r="2" s="63" customFormat="1" ht="16.5" spans="1:13">
      <c r="A2" s="81">
        <v>46179</v>
      </c>
      <c r="B2" s="10" t="s">
        <v>67</v>
      </c>
      <c r="D2" s="83" t="s">
        <v>68</v>
      </c>
      <c r="E2" s="85" t="s">
        <v>1680</v>
      </c>
      <c r="F2" s="63">
        <v>1</v>
      </c>
      <c r="G2" s="86">
        <v>900</v>
      </c>
      <c r="H2" s="63">
        <v>900</v>
      </c>
      <c r="I2" s="63" t="s">
        <v>1681</v>
      </c>
      <c r="J2" s="63" t="s">
        <v>1538</v>
      </c>
    </row>
    <row r="3" s="63" customFormat="1" ht="27" spans="1:13">
      <c r="A3" s="81">
        <v>46180</v>
      </c>
      <c r="B3" s="10" t="s">
        <v>103</v>
      </c>
      <c r="D3" s="83" t="s">
        <v>102</v>
      </c>
      <c r="E3" s="85" t="s">
        <v>1682</v>
      </c>
      <c r="F3" s="63">
        <v>1</v>
      </c>
      <c r="G3" s="86">
        <v>1000</v>
      </c>
      <c r="H3" s="63">
        <v>1000</v>
      </c>
      <c r="I3" s="63" t="s">
        <v>1683</v>
      </c>
      <c r="J3" s="63" t="s">
        <v>1538</v>
      </c>
    </row>
    <row r="4" s="63" customFormat="1" ht="27" spans="1:13">
      <c r="A4" s="87">
        <v>46183</v>
      </c>
      <c r="B4" s="10" t="s">
        <v>97</v>
      </c>
      <c r="D4" s="122" t="s">
        <v>98</v>
      </c>
      <c r="E4" s="85" t="s">
        <v>1684</v>
      </c>
      <c r="F4" s="63">
        <v>1</v>
      </c>
      <c r="G4" s="86">
        <v>1300</v>
      </c>
      <c r="H4" s="63">
        <v>1300</v>
      </c>
      <c r="I4" s="63" t="s">
        <v>1685</v>
      </c>
      <c r="J4" s="63" t="s">
        <v>1538</v>
      </c>
    </row>
    <row r="5" s="63" customFormat="1" spans="1:13">
      <c r="A5" s="118"/>
      <c r="B5" s="95"/>
      <c r="C5" s="95"/>
      <c r="D5" s="95"/>
      <c r="E5" s="95"/>
      <c r="K5" s="123"/>
    </row>
    <row r="6" s="63" customFormat="1" ht="17.25" spans="1:13">
      <c r="A6" s="124">
        <v>46182</v>
      </c>
      <c r="B6" s="125" t="s">
        <v>128</v>
      </c>
      <c r="C6" s="125"/>
      <c r="D6" s="125" t="s">
        <v>127</v>
      </c>
      <c r="E6" s="125" t="s">
        <v>1686</v>
      </c>
      <c r="F6" s="125">
        <v>2</v>
      </c>
      <c r="G6" s="125">
        <v>1375</v>
      </c>
      <c r="H6" s="125">
        <f t="shared" ref="H6:H24" si="0">F6*G6</f>
        <v>2750</v>
      </c>
      <c r="I6" s="125" t="s">
        <v>1687</v>
      </c>
      <c r="J6" s="63" t="s">
        <v>1688</v>
      </c>
      <c r="K6" s="126" t="s">
        <v>1689</v>
      </c>
    </row>
    <row r="7" s="63" customFormat="1" ht="17.25" spans="1:13">
      <c r="A7" s="124">
        <v>46182</v>
      </c>
      <c r="B7" s="125" t="s">
        <v>128</v>
      </c>
      <c r="C7" s="125"/>
      <c r="D7" s="125" t="s">
        <v>127</v>
      </c>
      <c r="E7" s="125" t="s">
        <v>1690</v>
      </c>
      <c r="F7" s="125">
        <v>1</v>
      </c>
      <c r="G7" s="125">
        <v>1520</v>
      </c>
      <c r="H7" s="125">
        <f t="shared" si="0"/>
        <v>1520</v>
      </c>
      <c r="I7" s="125" t="s">
        <v>1691</v>
      </c>
      <c r="J7" s="63" t="s">
        <v>1688</v>
      </c>
      <c r="K7" s="126" t="s">
        <v>1689</v>
      </c>
    </row>
    <row r="8" s="63" customFormat="1" ht="17.25" spans="1:13">
      <c r="A8" s="124">
        <v>46182</v>
      </c>
      <c r="B8" s="125" t="s">
        <v>128</v>
      </c>
      <c r="C8" s="125"/>
      <c r="D8" s="125" t="s">
        <v>127</v>
      </c>
      <c r="E8" s="125" t="s">
        <v>1692</v>
      </c>
      <c r="F8" s="125">
        <v>1</v>
      </c>
      <c r="G8" s="125">
        <v>1520</v>
      </c>
      <c r="H8" s="125">
        <f t="shared" si="0"/>
        <v>1520</v>
      </c>
      <c r="I8" s="125" t="s">
        <v>1693</v>
      </c>
      <c r="J8" s="63" t="s">
        <v>1688</v>
      </c>
      <c r="K8" s="126" t="s">
        <v>1689</v>
      </c>
    </row>
    <row r="9" s="63" customFormat="1" ht="17.25" spans="1:13">
      <c r="A9" s="124">
        <v>46182</v>
      </c>
      <c r="B9" s="125" t="s">
        <v>128</v>
      </c>
      <c r="C9" s="125"/>
      <c r="D9" s="125" t="s">
        <v>127</v>
      </c>
      <c r="E9" s="125" t="s">
        <v>1694</v>
      </c>
      <c r="F9" s="125">
        <v>1</v>
      </c>
      <c r="G9" s="125">
        <v>1520</v>
      </c>
      <c r="H9" s="125">
        <f t="shared" si="0"/>
        <v>1520</v>
      </c>
      <c r="I9" s="125" t="s">
        <v>1695</v>
      </c>
      <c r="J9" s="63" t="s">
        <v>1688</v>
      </c>
      <c r="K9" s="126" t="s">
        <v>1689</v>
      </c>
    </row>
    <row r="10" s="63" customFormat="1" ht="17.25" spans="1:13">
      <c r="A10" s="124">
        <v>46182</v>
      </c>
      <c r="B10" s="125" t="s">
        <v>128</v>
      </c>
      <c r="C10" s="125"/>
      <c r="D10" s="125" t="s">
        <v>127</v>
      </c>
      <c r="E10" s="125" t="s">
        <v>1696</v>
      </c>
      <c r="F10" s="125">
        <v>1</v>
      </c>
      <c r="G10" s="125">
        <v>1520</v>
      </c>
      <c r="H10" s="125">
        <f t="shared" si="0"/>
        <v>1520</v>
      </c>
      <c r="I10" s="125" t="s">
        <v>1697</v>
      </c>
      <c r="J10" s="63" t="s">
        <v>1688</v>
      </c>
      <c r="K10" s="126" t="s">
        <v>1689</v>
      </c>
    </row>
    <row r="11" s="63" customFormat="1" ht="17.25" spans="1:13">
      <c r="A11" s="124">
        <v>46182</v>
      </c>
      <c r="B11" s="125" t="s">
        <v>55</v>
      </c>
      <c r="C11" s="125"/>
      <c r="D11" s="125" t="s">
        <v>54</v>
      </c>
      <c r="E11" s="125" t="s">
        <v>1698</v>
      </c>
      <c r="F11" s="125">
        <v>1</v>
      </c>
      <c r="G11" s="125">
        <v>1520</v>
      </c>
      <c r="H11" s="125">
        <f t="shared" si="0"/>
        <v>1520</v>
      </c>
      <c r="I11" s="125" t="s">
        <v>1699</v>
      </c>
      <c r="J11" s="63" t="s">
        <v>1688</v>
      </c>
      <c r="K11" s="126" t="s">
        <v>1689</v>
      </c>
    </row>
    <row r="12" s="63" customFormat="1" ht="17.25" spans="1:13">
      <c r="A12" s="124">
        <v>46182</v>
      </c>
      <c r="B12" s="125" t="s">
        <v>55</v>
      </c>
      <c r="C12" s="125"/>
      <c r="D12" s="125" t="s">
        <v>54</v>
      </c>
      <c r="E12" s="125" t="s">
        <v>1700</v>
      </c>
      <c r="F12" s="125">
        <v>1</v>
      </c>
      <c r="G12" s="125">
        <v>1520</v>
      </c>
      <c r="H12" s="125">
        <f t="shared" si="0"/>
        <v>1520</v>
      </c>
      <c r="I12" s="125" t="s">
        <v>1701</v>
      </c>
      <c r="J12" s="63" t="s">
        <v>1688</v>
      </c>
      <c r="K12" s="126" t="s">
        <v>1689</v>
      </c>
    </row>
    <row r="13" s="63" customFormat="1" ht="17.25" spans="1:13">
      <c r="A13" s="124">
        <v>46182</v>
      </c>
      <c r="B13" s="125" t="s">
        <v>55</v>
      </c>
      <c r="C13" s="125"/>
      <c r="D13" s="125" t="s">
        <v>54</v>
      </c>
      <c r="E13" s="125" t="s">
        <v>1702</v>
      </c>
      <c r="F13" s="125">
        <v>1</v>
      </c>
      <c r="G13" s="125">
        <v>1520</v>
      </c>
      <c r="H13" s="125">
        <f t="shared" si="0"/>
        <v>1520</v>
      </c>
      <c r="I13" s="125" t="s">
        <v>1703</v>
      </c>
      <c r="J13" s="63" t="s">
        <v>1688</v>
      </c>
      <c r="K13" s="126" t="s">
        <v>1689</v>
      </c>
    </row>
    <row r="14" s="63" customFormat="1" ht="17.25" spans="1:13">
      <c r="A14" s="124">
        <v>46182</v>
      </c>
      <c r="B14" s="125" t="s">
        <v>55</v>
      </c>
      <c r="C14" s="125"/>
      <c r="D14" s="125" t="s">
        <v>54</v>
      </c>
      <c r="E14" s="125" t="s">
        <v>1704</v>
      </c>
      <c r="F14" s="125">
        <v>1</v>
      </c>
      <c r="G14" s="125">
        <v>1520</v>
      </c>
      <c r="H14" s="125">
        <f t="shared" si="0"/>
        <v>1520</v>
      </c>
      <c r="I14" s="125" t="s">
        <v>1705</v>
      </c>
      <c r="J14" s="63" t="s">
        <v>1688</v>
      </c>
      <c r="K14" s="126" t="s">
        <v>1689</v>
      </c>
    </row>
    <row r="15" s="63" customFormat="1" ht="17.25" spans="1:13">
      <c r="A15" s="124">
        <v>46182</v>
      </c>
      <c r="B15" s="125" t="s">
        <v>82</v>
      </c>
      <c r="C15" s="125"/>
      <c r="D15" s="125" t="s">
        <v>83</v>
      </c>
      <c r="E15" s="125" t="s">
        <v>1706</v>
      </c>
      <c r="F15" s="125">
        <v>1</v>
      </c>
      <c r="G15" s="125">
        <v>50</v>
      </c>
      <c r="H15" s="125">
        <f t="shared" si="0"/>
        <v>50</v>
      </c>
      <c r="I15" s="610" t="s">
        <v>1707</v>
      </c>
      <c r="J15" s="63" t="s">
        <v>1688</v>
      </c>
      <c r="K15" s="126" t="s">
        <v>1689</v>
      </c>
    </row>
    <row r="16" s="63" customFormat="1" ht="17.25" spans="1:13">
      <c r="A16" s="124">
        <v>46183</v>
      </c>
      <c r="B16" s="125" t="s">
        <v>88</v>
      </c>
      <c r="C16" s="125"/>
      <c r="D16" s="125" t="s">
        <v>87</v>
      </c>
      <c r="E16" s="125" t="s">
        <v>1708</v>
      </c>
      <c r="F16" s="125">
        <v>1</v>
      </c>
      <c r="G16" s="125">
        <v>1520</v>
      </c>
      <c r="H16" s="125">
        <f t="shared" si="0"/>
        <v>1520</v>
      </c>
      <c r="I16" s="125" t="s">
        <v>1709</v>
      </c>
      <c r="J16" s="63" t="s">
        <v>1688</v>
      </c>
      <c r="K16" s="126" t="s">
        <v>1689</v>
      </c>
    </row>
    <row r="17" s="63" customFormat="1" ht="17.25" spans="1:11">
      <c r="A17" s="124">
        <v>46183</v>
      </c>
      <c r="B17" s="125" t="s">
        <v>88</v>
      </c>
      <c r="C17" s="125"/>
      <c r="D17" s="125" t="s">
        <v>87</v>
      </c>
      <c r="E17" s="125" t="s">
        <v>1710</v>
      </c>
      <c r="F17" s="125">
        <v>1</v>
      </c>
      <c r="G17" s="125">
        <v>1520</v>
      </c>
      <c r="H17" s="125">
        <f t="shared" si="0"/>
        <v>1520</v>
      </c>
      <c r="I17" s="125" t="s">
        <v>1711</v>
      </c>
      <c r="J17" s="63" t="s">
        <v>1688</v>
      </c>
      <c r="K17" s="126" t="s">
        <v>1689</v>
      </c>
    </row>
    <row r="18" s="63" customFormat="1" ht="17.25" spans="1:11">
      <c r="A18" s="124">
        <v>46183</v>
      </c>
      <c r="B18" s="125" t="s">
        <v>88</v>
      </c>
      <c r="C18" s="125"/>
      <c r="D18" s="125" t="s">
        <v>87</v>
      </c>
      <c r="E18" s="125" t="s">
        <v>1712</v>
      </c>
      <c r="F18" s="125">
        <v>1</v>
      </c>
      <c r="G18" s="125">
        <v>1520</v>
      </c>
      <c r="H18" s="125">
        <f t="shared" si="0"/>
        <v>1520</v>
      </c>
      <c r="I18" s="125" t="s">
        <v>1713</v>
      </c>
      <c r="J18" s="63" t="s">
        <v>1688</v>
      </c>
      <c r="K18" s="126" t="s">
        <v>1689</v>
      </c>
    </row>
    <row r="19" s="63" customFormat="1" ht="17.25" spans="1:11">
      <c r="A19" s="124">
        <v>46183</v>
      </c>
      <c r="B19" s="125" t="s">
        <v>88</v>
      </c>
      <c r="C19" s="125"/>
      <c r="D19" s="125" t="s">
        <v>87</v>
      </c>
      <c r="E19" s="125" t="s">
        <v>1714</v>
      </c>
      <c r="F19" s="125">
        <v>1</v>
      </c>
      <c r="G19" s="125">
        <v>1520</v>
      </c>
      <c r="H19" s="125">
        <f t="shared" si="0"/>
        <v>1520</v>
      </c>
      <c r="I19" s="125" t="s">
        <v>1715</v>
      </c>
      <c r="J19" s="63" t="s">
        <v>1688</v>
      </c>
      <c r="K19" s="126" t="s">
        <v>1689</v>
      </c>
    </row>
    <row r="20" s="63" customFormat="1" ht="17.25" spans="1:11">
      <c r="A20" s="124">
        <v>46183</v>
      </c>
      <c r="B20" s="125" t="s">
        <v>79</v>
      </c>
      <c r="C20" s="125"/>
      <c r="D20" s="125" t="s">
        <v>80</v>
      </c>
      <c r="E20" s="125" t="s">
        <v>1716</v>
      </c>
      <c r="F20" s="125">
        <v>1</v>
      </c>
      <c r="G20" s="125">
        <v>50</v>
      </c>
      <c r="H20" s="125">
        <f t="shared" si="0"/>
        <v>50</v>
      </c>
      <c r="I20" s="125" t="s">
        <v>1717</v>
      </c>
      <c r="J20" s="63" t="s">
        <v>1688</v>
      </c>
      <c r="K20" s="126" t="s">
        <v>1689</v>
      </c>
    </row>
    <row r="21" s="63" customFormat="1" ht="17.25" spans="1:11">
      <c r="A21" s="124">
        <v>46184</v>
      </c>
      <c r="B21" s="125" t="s">
        <v>125</v>
      </c>
      <c r="C21" s="125"/>
      <c r="D21" s="125" t="s">
        <v>124</v>
      </c>
      <c r="E21" s="125" t="s">
        <v>1718</v>
      </c>
      <c r="F21" s="125">
        <v>1</v>
      </c>
      <c r="G21" s="125">
        <v>1520</v>
      </c>
      <c r="H21" s="125">
        <f t="shared" si="0"/>
        <v>1520</v>
      </c>
      <c r="I21" s="125" t="s">
        <v>1719</v>
      </c>
      <c r="J21" s="63" t="s">
        <v>1688</v>
      </c>
      <c r="K21" s="126" t="s">
        <v>1689</v>
      </c>
    </row>
    <row r="22" s="63" customFormat="1" ht="17.25" spans="1:11">
      <c r="A22" s="124">
        <v>46184</v>
      </c>
      <c r="B22" s="125" t="s">
        <v>125</v>
      </c>
      <c r="C22" s="125"/>
      <c r="D22" s="125" t="s">
        <v>124</v>
      </c>
      <c r="E22" s="125" t="s">
        <v>1720</v>
      </c>
      <c r="F22" s="125">
        <v>1</v>
      </c>
      <c r="G22" s="125">
        <v>1520</v>
      </c>
      <c r="H22" s="125">
        <f t="shared" si="0"/>
        <v>1520</v>
      </c>
      <c r="I22" s="125" t="s">
        <v>1721</v>
      </c>
      <c r="J22" s="63" t="s">
        <v>1688</v>
      </c>
      <c r="K22" s="126" t="s">
        <v>1689</v>
      </c>
    </row>
    <row r="23" s="63" customFormat="1" ht="17.25" spans="1:11">
      <c r="A23" s="124">
        <v>46184</v>
      </c>
      <c r="B23" s="125" t="s">
        <v>125</v>
      </c>
      <c r="C23" s="125"/>
      <c r="D23" s="125" t="s">
        <v>124</v>
      </c>
      <c r="E23" s="125" t="s">
        <v>1722</v>
      </c>
      <c r="F23" s="125">
        <v>1</v>
      </c>
      <c r="G23" s="125">
        <v>1520</v>
      </c>
      <c r="H23" s="125">
        <f t="shared" si="0"/>
        <v>1520</v>
      </c>
      <c r="I23" s="125" t="s">
        <v>1723</v>
      </c>
      <c r="J23" s="63" t="s">
        <v>1688</v>
      </c>
      <c r="K23" s="126" t="s">
        <v>1689</v>
      </c>
    </row>
    <row r="24" s="63" customFormat="1" ht="17.25" spans="1:11">
      <c r="A24" s="124">
        <v>46184</v>
      </c>
      <c r="B24" s="125" t="s">
        <v>125</v>
      </c>
      <c r="C24" s="125"/>
      <c r="D24" s="125" t="s">
        <v>124</v>
      </c>
      <c r="E24" s="125" t="s">
        <v>1724</v>
      </c>
      <c r="F24" s="125">
        <v>1</v>
      </c>
      <c r="G24" s="125">
        <v>1520</v>
      </c>
      <c r="H24" s="125">
        <f t="shared" si="0"/>
        <v>1520</v>
      </c>
      <c r="I24" s="125" t="s">
        <v>1725</v>
      </c>
      <c r="J24" s="63" t="s">
        <v>1688</v>
      </c>
      <c r="K24" s="126" t="s">
        <v>1689</v>
      </c>
    </row>
    <row r="25" s="63" customFormat="1" ht="17.25" spans="1:11">
      <c r="A25" s="124"/>
      <c r="B25" s="125"/>
      <c r="C25" s="125"/>
      <c r="D25" s="125"/>
      <c r="E25" s="125"/>
      <c r="F25" s="125"/>
      <c r="G25" s="125"/>
      <c r="H25" s="125"/>
      <c r="I25" s="125"/>
      <c r="K25" s="126"/>
    </row>
    <row r="26" s="63" customFormat="1" ht="27" spans="1:11">
      <c r="A26" s="87">
        <v>46187</v>
      </c>
      <c r="B26" s="10" t="s">
        <v>61</v>
      </c>
      <c r="C26" s="127"/>
      <c r="D26" s="83" t="s">
        <v>62</v>
      </c>
      <c r="E26" s="85" t="s">
        <v>1726</v>
      </c>
      <c r="F26" s="127">
        <v>1</v>
      </c>
      <c r="G26" s="86">
        <v>1050</v>
      </c>
      <c r="H26" s="127">
        <v>1050</v>
      </c>
      <c r="I26" s="127">
        <v>25093018420</v>
      </c>
      <c r="J26" s="63" t="s">
        <v>1538</v>
      </c>
      <c r="K26" s="123"/>
    </row>
    <row r="27" s="63" customFormat="1" ht="27" spans="1:11">
      <c r="A27" s="81">
        <v>46191</v>
      </c>
      <c r="B27" s="10" t="s">
        <v>122</v>
      </c>
      <c r="C27" s="127"/>
      <c r="D27" s="83" t="s">
        <v>131</v>
      </c>
      <c r="E27" s="85" t="s">
        <v>1727</v>
      </c>
      <c r="F27" s="127">
        <v>1</v>
      </c>
      <c r="G27" s="86">
        <v>900</v>
      </c>
      <c r="H27" s="127">
        <v>900</v>
      </c>
      <c r="I27" s="127" t="s">
        <v>1728</v>
      </c>
      <c r="J27" s="63" t="s">
        <v>1538</v>
      </c>
      <c r="K27" s="123"/>
    </row>
    <row r="28" s="63" customFormat="1" ht="24" customHeight="1" spans="1:11">
      <c r="A28" s="81">
        <v>46191</v>
      </c>
      <c r="B28" s="10" t="s">
        <v>170</v>
      </c>
      <c r="C28" s="127"/>
      <c r="D28" s="83" t="s">
        <v>339</v>
      </c>
      <c r="E28" s="104" t="s">
        <v>1729</v>
      </c>
      <c r="F28" s="127">
        <v>1</v>
      </c>
      <c r="G28" s="86">
        <v>950</v>
      </c>
      <c r="H28" s="127">
        <v>950</v>
      </c>
      <c r="I28" s="127" t="s">
        <v>1730</v>
      </c>
      <c r="J28" s="63" t="s">
        <v>1731</v>
      </c>
    </row>
    <row r="29" s="63" customFormat="1" ht="40.5" spans="1:11">
      <c r="A29" s="87">
        <v>46194</v>
      </c>
      <c r="B29" s="10" t="s">
        <v>61</v>
      </c>
      <c r="D29" s="83" t="s">
        <v>60</v>
      </c>
      <c r="E29" s="85" t="s">
        <v>1732</v>
      </c>
      <c r="F29" s="127">
        <v>4</v>
      </c>
      <c r="G29" s="86">
        <v>6080</v>
      </c>
      <c r="H29" s="86">
        <v>6080</v>
      </c>
      <c r="I29" s="128" t="s">
        <v>1733</v>
      </c>
      <c r="J29" s="63" t="s">
        <v>1734</v>
      </c>
      <c r="K29" s="126" t="s">
        <v>1689</v>
      </c>
    </row>
    <row r="30" s="63" customFormat="1" ht="16.5" spans="1:11">
      <c r="A30" s="129">
        <v>46193</v>
      </c>
      <c r="B30" s="130" t="s">
        <v>704</v>
      </c>
      <c r="D30" s="131" t="s">
        <v>221</v>
      </c>
      <c r="E30" s="130" t="s">
        <v>1735</v>
      </c>
      <c r="F30" s="132">
        <v>1</v>
      </c>
      <c r="G30" s="133">
        <v>950</v>
      </c>
      <c r="H30" s="133">
        <v>950</v>
      </c>
      <c r="I30" s="63" t="s">
        <v>1736</v>
      </c>
      <c r="J30" s="63" t="s">
        <v>1737</v>
      </c>
    </row>
    <row r="31" s="63" customFormat="1" ht="16.5" spans="1:11">
      <c r="A31" s="87">
        <v>46197</v>
      </c>
      <c r="B31" s="10" t="s">
        <v>109</v>
      </c>
      <c r="C31" s="10"/>
      <c r="D31" s="83" t="s">
        <v>108</v>
      </c>
      <c r="E31" s="10" t="s">
        <v>1454</v>
      </c>
      <c r="F31" s="127">
        <v>1</v>
      </c>
      <c r="G31" s="127">
        <v>1000</v>
      </c>
      <c r="H31" s="127">
        <v>1000</v>
      </c>
      <c r="I31" s="127"/>
      <c r="J31" s="63" t="s">
        <v>1737</v>
      </c>
    </row>
    <row r="32" s="63" customFormat="1" ht="16.5" spans="1:11">
      <c r="A32" s="87">
        <v>46198</v>
      </c>
      <c r="B32" s="10" t="s">
        <v>330</v>
      </c>
      <c r="C32" s="10"/>
      <c r="D32" s="83" t="s">
        <v>198</v>
      </c>
      <c r="E32" s="10" t="s">
        <v>1738</v>
      </c>
      <c r="F32" s="127">
        <v>1</v>
      </c>
      <c r="G32" s="127">
        <v>1050</v>
      </c>
      <c r="H32" s="127">
        <v>1050</v>
      </c>
      <c r="I32" s="127"/>
      <c r="J32" s="63" t="s">
        <v>1538</v>
      </c>
    </row>
    <row r="33" s="63" customFormat="1" ht="16.5" spans="1:9">
      <c r="A33" s="81">
        <v>46200</v>
      </c>
      <c r="B33" s="10" t="s">
        <v>55</v>
      </c>
      <c r="C33" s="134"/>
      <c r="D33" s="83" t="s">
        <v>54</v>
      </c>
      <c r="E33" s="104" t="s">
        <v>1537</v>
      </c>
      <c r="F33" s="127">
        <v>1</v>
      </c>
      <c r="G33" s="86">
        <v>1050</v>
      </c>
      <c r="H33" s="86">
        <v>1050</v>
      </c>
      <c r="I33" s="135"/>
    </row>
    <row r="34" s="63" customFormat="1" ht="16.5" spans="1:9">
      <c r="A34" s="81">
        <v>46200</v>
      </c>
      <c r="B34" s="10" t="s">
        <v>82</v>
      </c>
      <c r="C34" s="134"/>
      <c r="D34" s="83" t="s">
        <v>81</v>
      </c>
      <c r="E34" s="105" t="s">
        <v>1540</v>
      </c>
      <c r="F34" s="127">
        <v>1</v>
      </c>
      <c r="G34" s="86">
        <v>900</v>
      </c>
      <c r="H34" s="86">
        <v>900</v>
      </c>
      <c r="I34" s="135" t="s">
        <v>1739</v>
      </c>
    </row>
    <row r="35" s="63" customFormat="1" ht="16.5" spans="1:9">
      <c r="A35" s="81">
        <v>46201</v>
      </c>
      <c r="B35" s="10" t="s">
        <v>327</v>
      </c>
      <c r="C35" s="134"/>
      <c r="D35" s="83" t="s">
        <v>63</v>
      </c>
      <c r="E35" s="85" t="s">
        <v>1557</v>
      </c>
      <c r="F35" s="127">
        <v>1</v>
      </c>
      <c r="G35" s="86">
        <v>900</v>
      </c>
      <c r="H35" s="86">
        <v>900</v>
      </c>
      <c r="I35" s="135"/>
    </row>
    <row r="36" s="63" customFormat="1" ht="16.5" spans="1:9">
      <c r="A36" s="87">
        <v>46200</v>
      </c>
      <c r="B36" s="10" t="s">
        <v>155</v>
      </c>
      <c r="C36" s="134"/>
      <c r="D36" s="83" t="s">
        <v>154</v>
      </c>
      <c r="E36" s="10" t="s">
        <v>1567</v>
      </c>
      <c r="F36" s="127">
        <v>1</v>
      </c>
      <c r="G36" s="86">
        <v>950</v>
      </c>
      <c r="H36" s="86">
        <v>950</v>
      </c>
      <c r="I36" s="135"/>
    </row>
    <row r="37" s="63" customFormat="1" spans="1:9">
      <c r="A37" s="118"/>
      <c r="B37" s="95"/>
      <c r="C37" s="95"/>
      <c r="D37" s="95"/>
      <c r="E37" s="95"/>
    </row>
    <row r="38" s="63" customFormat="1" spans="1:9">
      <c r="A38" s="118"/>
      <c r="B38" s="95"/>
      <c r="C38" s="95"/>
      <c r="D38" s="95"/>
      <c r="E38" s="95"/>
    </row>
    <row r="39" s="63" customFormat="1" spans="1:9">
      <c r="A39" s="118"/>
      <c r="B39" s="95"/>
      <c r="C39" s="95"/>
      <c r="D39" s="95"/>
      <c r="E39" s="95"/>
    </row>
    <row r="40" s="63" customFormat="1" spans="1:9">
      <c r="A40" s="118"/>
      <c r="B40" s="95"/>
      <c r="C40" s="95"/>
      <c r="D40" s="95"/>
      <c r="E40" s="95"/>
    </row>
    <row r="41" s="63" customFormat="1" spans="1:9">
      <c r="A41" s="118"/>
      <c r="B41" s="95"/>
      <c r="C41" s="95"/>
      <c r="D41" s="95"/>
      <c r="E41" s="95"/>
    </row>
    <row r="42" s="63" customFormat="1" spans="1:9">
      <c r="A42" s="118"/>
      <c r="B42" s="95"/>
      <c r="C42" s="95"/>
      <c r="D42" s="95"/>
      <c r="E42" s="95"/>
    </row>
    <row r="43" s="63" customFormat="1" spans="1:9">
      <c r="A43" s="118"/>
      <c r="B43" s="95"/>
      <c r="C43" s="95"/>
      <c r="D43" s="95"/>
      <c r="E43" s="95"/>
    </row>
    <row r="44" s="63" customFormat="1" spans="1:9">
      <c r="A44" s="118"/>
      <c r="B44" s="95"/>
      <c r="C44" s="95"/>
      <c r="D44" s="95"/>
      <c r="E44" s="95"/>
    </row>
    <row r="62" s="63" customFormat="1" spans="1:8">
      <c r="A62" s="118"/>
      <c r="F62" s="136"/>
      <c r="G62" s="136"/>
      <c r="H62" s="136"/>
    </row>
    <row r="63" s="63" customFormat="1" spans="1:8">
      <c r="A63" s="118"/>
      <c r="F63" s="136"/>
      <c r="G63" s="136"/>
      <c r="H63" s="136"/>
    </row>
    <row r="64" s="63" customFormat="1" spans="1:8">
      <c r="A64" s="118"/>
      <c r="F64" s="136"/>
      <c r="G64" s="136"/>
      <c r="H64" s="136"/>
    </row>
    <row r="65" s="63" customFormat="1" spans="1:8">
      <c r="A65" s="118"/>
      <c r="F65" s="136"/>
      <c r="G65" s="136"/>
      <c r="H65" s="136"/>
    </row>
    <row r="66" s="63" customFormat="1" spans="1:8">
      <c r="A66" s="118"/>
      <c r="F66" s="136"/>
      <c r="G66" s="136"/>
      <c r="H66" s="136"/>
    </row>
    <row r="67" s="63" customFormat="1" spans="1:8">
      <c r="A67" s="118"/>
      <c r="F67" s="136"/>
      <c r="G67" s="136"/>
      <c r="H67" s="136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3"/>
  <sheetViews>
    <sheetView zoomScale="85" zoomScaleNormal="85" topLeftCell="A114" workbookViewId="0">
      <selection activeCell="C140" sqref="C140:C143"/>
    </sheetView>
  </sheetViews>
  <sheetFormatPr defaultColWidth="9" defaultRowHeight="13.5"/>
  <cols>
    <col min="1" max="1" width="15.1416666666667" style="95" customWidth="1"/>
    <col min="2" max="2" width="40.875" style="95" customWidth="1"/>
    <col min="3" max="3" width="16.5" style="95" customWidth="1"/>
    <col min="4" max="4" width="87.4916666666667" style="95" customWidth="1"/>
    <col min="5" max="5" width="17.25" style="96"/>
    <col min="6" max="6" width="43.9666666666667" style="95" customWidth="1"/>
    <col min="7" max="7" width="48.0833333333333" style="92" customWidth="1"/>
    <col min="8" max="8" width="12.5" style="95"/>
    <col min="9" max="9" width="12.6333333333333" style="95"/>
    <col min="10" max="10" width="9" style="95"/>
    <col min="11" max="11" width="10.25" style="95"/>
    <col min="12" max="12" width="17.25" style="95"/>
    <col min="13" max="16384" width="9" style="95"/>
  </cols>
  <sheetData>
    <row r="1" s="94" customFormat="1" ht="30" customHeight="1" spans="1:9">
      <c r="A1" s="97" t="s">
        <v>335</v>
      </c>
      <c r="B1" s="97" t="s">
        <v>872</v>
      </c>
      <c r="C1" s="97" t="s">
        <v>1673</v>
      </c>
      <c r="D1" s="97" t="s">
        <v>873</v>
      </c>
      <c r="E1" s="98" t="s">
        <v>1740</v>
      </c>
      <c r="F1" s="99" t="s">
        <v>870</v>
      </c>
      <c r="G1" s="100" t="s">
        <v>875</v>
      </c>
      <c r="H1" s="101" t="s">
        <v>352</v>
      </c>
      <c r="I1" s="102" t="s">
        <v>875</v>
      </c>
    </row>
    <row r="2" ht="16.5" spans="1:9">
      <c r="A2" s="81">
        <v>46175</v>
      </c>
      <c r="B2" s="10" t="s">
        <v>79</v>
      </c>
      <c r="C2" s="83" t="s">
        <v>78</v>
      </c>
      <c r="D2" s="85" t="s">
        <v>1741</v>
      </c>
      <c r="E2" s="103">
        <v>60</v>
      </c>
    </row>
    <row r="3" ht="16.5" spans="1:9">
      <c r="A3" s="81">
        <v>46173</v>
      </c>
      <c r="B3" s="10" t="s">
        <v>58</v>
      </c>
      <c r="C3" s="83" t="s">
        <v>57</v>
      </c>
      <c r="D3" s="104" t="s">
        <v>1742</v>
      </c>
      <c r="E3" s="103">
        <v>60</v>
      </c>
    </row>
    <row r="4" ht="16.5" spans="1:9">
      <c r="A4" s="81">
        <v>46174</v>
      </c>
      <c r="B4" s="10" t="s">
        <v>133</v>
      </c>
      <c r="C4" s="83" t="s">
        <v>132</v>
      </c>
      <c r="D4" s="85" t="s">
        <v>1743</v>
      </c>
      <c r="E4" s="103">
        <v>2</v>
      </c>
    </row>
    <row r="5" ht="16.5" spans="1:9">
      <c r="A5" s="87">
        <v>46174</v>
      </c>
      <c r="B5" s="85" t="s">
        <v>100</v>
      </c>
      <c r="C5" s="83" t="s">
        <v>99</v>
      </c>
      <c r="D5" s="10" t="s">
        <v>1744</v>
      </c>
      <c r="E5" s="103">
        <v>70</v>
      </c>
    </row>
    <row r="6" s="95" customFormat="1" ht="16.5" spans="1:9">
      <c r="A6" s="81">
        <v>46175</v>
      </c>
      <c r="B6" s="10" t="s">
        <v>88</v>
      </c>
      <c r="C6" s="83" t="s">
        <v>87</v>
      </c>
      <c r="D6" s="85" t="s">
        <v>1745</v>
      </c>
      <c r="E6" s="103">
        <v>80</v>
      </c>
      <c r="G6" s="92"/>
    </row>
    <row r="7" ht="16.5" spans="1:9">
      <c r="A7" s="81">
        <v>46176</v>
      </c>
      <c r="B7" s="10" t="s">
        <v>122</v>
      </c>
      <c r="C7" s="83" t="s">
        <v>121</v>
      </c>
      <c r="D7" s="85" t="s">
        <v>1746</v>
      </c>
      <c r="E7" s="86">
        <v>300</v>
      </c>
    </row>
    <row r="8" ht="16.5" spans="1:9">
      <c r="A8" s="81">
        <v>46175</v>
      </c>
      <c r="B8" s="10" t="s">
        <v>82</v>
      </c>
      <c r="C8" s="83" t="s">
        <v>81</v>
      </c>
      <c r="D8" s="85" t="s">
        <v>1747</v>
      </c>
      <c r="E8" s="86">
        <v>80</v>
      </c>
    </row>
    <row r="9" ht="16.5" spans="1:9">
      <c r="A9" s="81">
        <v>46176</v>
      </c>
      <c r="B9" s="10" t="s">
        <v>61</v>
      </c>
      <c r="C9" s="83" t="s">
        <v>60</v>
      </c>
      <c r="D9" s="85" t="s">
        <v>1748</v>
      </c>
      <c r="E9" s="86">
        <v>60</v>
      </c>
    </row>
    <row r="10" ht="16.5" spans="1:9">
      <c r="A10" s="81">
        <v>46174</v>
      </c>
      <c r="B10" s="10" t="s">
        <v>61</v>
      </c>
      <c r="C10" s="83" t="s">
        <v>60</v>
      </c>
      <c r="D10" s="85" t="s">
        <v>1749</v>
      </c>
      <c r="E10" s="86">
        <v>60</v>
      </c>
    </row>
    <row r="11" ht="16.5" spans="1:9">
      <c r="A11" s="81">
        <v>46177</v>
      </c>
      <c r="B11" s="10" t="s">
        <v>161</v>
      </c>
      <c r="C11" s="83" t="s">
        <v>160</v>
      </c>
      <c r="D11" s="85" t="s">
        <v>1530</v>
      </c>
      <c r="E11" s="86">
        <v>50</v>
      </c>
    </row>
    <row r="12" ht="16.5" spans="1:9">
      <c r="A12" s="81">
        <v>46177</v>
      </c>
      <c r="B12" s="10" t="s">
        <v>929</v>
      </c>
      <c r="C12" s="83" t="s">
        <v>117</v>
      </c>
      <c r="D12" s="85" t="s">
        <v>1750</v>
      </c>
      <c r="E12" s="86">
        <v>900</v>
      </c>
    </row>
    <row r="13" ht="16.5" spans="1:9">
      <c r="A13" s="87">
        <v>46178</v>
      </c>
      <c r="B13" s="37" t="s">
        <v>88</v>
      </c>
      <c r="C13" s="83" t="s">
        <v>87</v>
      </c>
      <c r="D13" s="10" t="s">
        <v>1751</v>
      </c>
      <c r="E13" s="10">
        <v>760</v>
      </c>
    </row>
    <row r="14" ht="16.5" spans="1:9">
      <c r="A14" s="81">
        <v>46178</v>
      </c>
      <c r="B14" s="10" t="s">
        <v>55</v>
      </c>
      <c r="C14" s="83" t="s">
        <v>56</v>
      </c>
      <c r="D14" s="104" t="s">
        <v>1752</v>
      </c>
      <c r="E14" s="86">
        <v>350</v>
      </c>
    </row>
    <row r="15" ht="16.5" spans="1:9">
      <c r="A15" s="81">
        <v>46177</v>
      </c>
      <c r="B15" s="10" t="s">
        <v>125</v>
      </c>
      <c r="C15" s="83" t="s">
        <v>124</v>
      </c>
      <c r="D15" s="95" t="s">
        <v>1753</v>
      </c>
      <c r="E15" s="86">
        <v>230</v>
      </c>
    </row>
    <row r="16" ht="27" spans="1:9">
      <c r="A16" s="81">
        <v>46178</v>
      </c>
      <c r="B16" s="10" t="s">
        <v>1754</v>
      </c>
      <c r="C16" s="83" t="s">
        <v>102</v>
      </c>
      <c r="D16" s="85" t="s">
        <v>1755</v>
      </c>
      <c r="E16" s="86">
        <v>294</v>
      </c>
    </row>
    <row r="17" ht="16.5" spans="1:5">
      <c r="A17" s="81">
        <v>46178</v>
      </c>
      <c r="B17" s="10" t="s">
        <v>1756</v>
      </c>
      <c r="C17" s="83" t="s">
        <v>102</v>
      </c>
      <c r="D17" s="105" t="s">
        <v>1757</v>
      </c>
      <c r="E17" s="86">
        <v>300</v>
      </c>
    </row>
    <row r="18" ht="16.5" spans="1:5">
      <c r="A18" s="81">
        <v>46177</v>
      </c>
      <c r="B18" s="10" t="s">
        <v>142</v>
      </c>
      <c r="C18" s="83" t="s">
        <v>141</v>
      </c>
      <c r="D18" s="85" t="s">
        <v>1758</v>
      </c>
      <c r="E18" s="86">
        <v>20</v>
      </c>
    </row>
    <row r="19" ht="27" spans="1:5">
      <c r="A19" s="87">
        <v>46178</v>
      </c>
      <c r="B19" s="10" t="s">
        <v>91</v>
      </c>
      <c r="C19" s="83" t="s">
        <v>90</v>
      </c>
      <c r="D19" s="85" t="s">
        <v>1759</v>
      </c>
      <c r="E19" s="86">
        <v>1000</v>
      </c>
    </row>
    <row r="20" ht="16.5" spans="1:5">
      <c r="A20" s="81">
        <v>46178</v>
      </c>
      <c r="B20" s="10" t="s">
        <v>103</v>
      </c>
      <c r="C20" s="83" t="s">
        <v>102</v>
      </c>
      <c r="D20" s="85" t="s">
        <v>1760</v>
      </c>
      <c r="E20" s="86">
        <v>360</v>
      </c>
    </row>
    <row r="21" ht="16.5" spans="1:5">
      <c r="A21" s="81">
        <v>46179</v>
      </c>
      <c r="B21" s="10" t="s">
        <v>152</v>
      </c>
      <c r="C21" s="83" t="s">
        <v>151</v>
      </c>
      <c r="D21" s="106" t="s">
        <v>1761</v>
      </c>
      <c r="E21" s="86">
        <v>40</v>
      </c>
    </row>
    <row r="22" ht="16.5" spans="1:5">
      <c r="A22" s="81">
        <v>46179</v>
      </c>
      <c r="B22" s="10" t="s">
        <v>115</v>
      </c>
      <c r="C22" s="83" t="s">
        <v>114</v>
      </c>
      <c r="D22" s="85" t="s">
        <v>1762</v>
      </c>
      <c r="E22" s="86">
        <v>160</v>
      </c>
    </row>
    <row r="23" ht="16.5" spans="1:5">
      <c r="A23" s="81">
        <v>46179</v>
      </c>
      <c r="B23" s="10" t="s">
        <v>115</v>
      </c>
      <c r="C23" s="83" t="s">
        <v>114</v>
      </c>
      <c r="D23" s="85" t="s">
        <v>1763</v>
      </c>
      <c r="E23" s="86">
        <v>300</v>
      </c>
    </row>
    <row r="24" ht="16.5" spans="1:5">
      <c r="A24" s="81">
        <v>46178</v>
      </c>
      <c r="B24" s="10" t="s">
        <v>61</v>
      </c>
      <c r="C24" s="83" t="s">
        <v>60</v>
      </c>
      <c r="D24" s="85" t="s">
        <v>1764</v>
      </c>
      <c r="E24" s="86">
        <v>50</v>
      </c>
    </row>
    <row r="25" ht="40.5" spans="1:5">
      <c r="A25" s="81">
        <v>46177</v>
      </c>
      <c r="B25" s="10" t="s">
        <v>139</v>
      </c>
      <c r="C25" s="83" t="s">
        <v>130</v>
      </c>
      <c r="D25" s="85" t="s">
        <v>1765</v>
      </c>
      <c r="E25" s="86">
        <v>2060</v>
      </c>
    </row>
    <row r="26" ht="16.5" spans="1:5">
      <c r="A26" s="81">
        <v>46179</v>
      </c>
      <c r="B26" s="10" t="s">
        <v>125</v>
      </c>
      <c r="C26" s="83" t="s">
        <v>124</v>
      </c>
      <c r="D26" s="105" t="s">
        <v>1766</v>
      </c>
      <c r="E26" s="86">
        <v>40</v>
      </c>
    </row>
    <row r="27" ht="16.5" spans="1:5">
      <c r="A27" s="81">
        <v>46180</v>
      </c>
      <c r="B27" s="10" t="s">
        <v>79</v>
      </c>
      <c r="C27" s="83" t="s">
        <v>78</v>
      </c>
      <c r="D27" s="85" t="s">
        <v>1767</v>
      </c>
      <c r="E27" s="86">
        <v>730</v>
      </c>
    </row>
    <row r="28" ht="16.5" spans="1:5">
      <c r="A28" s="81">
        <v>46180</v>
      </c>
      <c r="B28" s="10" t="s">
        <v>170</v>
      </c>
      <c r="C28" s="83" t="s">
        <v>339</v>
      </c>
      <c r="D28" s="85" t="s">
        <v>1768</v>
      </c>
      <c r="E28" s="86">
        <v>200</v>
      </c>
    </row>
    <row r="29" ht="16.5" spans="1:5">
      <c r="A29" s="81">
        <v>46178</v>
      </c>
      <c r="B29" s="10" t="s">
        <v>128</v>
      </c>
      <c r="C29" s="83" t="s">
        <v>127</v>
      </c>
      <c r="D29" s="85" t="s">
        <v>1769</v>
      </c>
      <c r="E29" s="86">
        <v>50</v>
      </c>
    </row>
    <row r="30" ht="16.5" spans="1:5">
      <c r="A30" s="81">
        <v>46180</v>
      </c>
      <c r="B30" s="10" t="s">
        <v>82</v>
      </c>
      <c r="C30" s="83" t="s">
        <v>83</v>
      </c>
      <c r="D30" s="85" t="s">
        <v>1770</v>
      </c>
      <c r="E30" s="86">
        <v>360</v>
      </c>
    </row>
    <row r="31" ht="16.5" spans="1:5">
      <c r="A31" s="81">
        <v>46180</v>
      </c>
      <c r="B31" s="10" t="s">
        <v>91</v>
      </c>
      <c r="C31" s="83" t="s">
        <v>90</v>
      </c>
      <c r="D31" s="85" t="s">
        <v>1771</v>
      </c>
      <c r="E31" s="86">
        <v>470</v>
      </c>
    </row>
    <row r="32" ht="16.5" spans="1:5">
      <c r="A32" s="81">
        <v>46180</v>
      </c>
      <c r="B32" s="10" t="s">
        <v>73</v>
      </c>
      <c r="C32" s="83" t="s">
        <v>72</v>
      </c>
      <c r="D32" s="85" t="s">
        <v>1772</v>
      </c>
      <c r="E32" s="86">
        <v>550</v>
      </c>
    </row>
    <row r="33" ht="16.5" spans="1:5">
      <c r="A33" s="81">
        <v>46180</v>
      </c>
      <c r="B33" s="10" t="s">
        <v>55</v>
      </c>
      <c r="C33" s="83" t="s">
        <v>54</v>
      </c>
      <c r="D33" s="85" t="s">
        <v>1773</v>
      </c>
      <c r="E33" s="86">
        <v>300</v>
      </c>
    </row>
    <row r="34" ht="27" spans="1:5">
      <c r="A34" s="81">
        <v>46180</v>
      </c>
      <c r="B34" s="10" t="s">
        <v>1754</v>
      </c>
      <c r="C34" s="83" t="s">
        <v>81</v>
      </c>
      <c r="D34" s="85" t="s">
        <v>1774</v>
      </c>
      <c r="E34" s="86">
        <v>287</v>
      </c>
    </row>
    <row r="35" ht="16.5" spans="1:5">
      <c r="A35" s="81">
        <v>46180</v>
      </c>
      <c r="B35" s="10" t="s">
        <v>82</v>
      </c>
      <c r="C35" s="83" t="s">
        <v>81</v>
      </c>
      <c r="D35" s="85" t="s">
        <v>1775</v>
      </c>
      <c r="E35" s="86">
        <v>300</v>
      </c>
    </row>
    <row r="36" ht="16.5" spans="1:5">
      <c r="A36" s="81">
        <v>46176</v>
      </c>
      <c r="B36" s="82" t="s">
        <v>992</v>
      </c>
      <c r="C36" s="83" t="s">
        <v>117</v>
      </c>
      <c r="D36" s="83" t="s">
        <v>1776</v>
      </c>
      <c r="E36" s="84">
        <v>150</v>
      </c>
    </row>
    <row r="37" ht="21" customHeight="1" spans="1:5">
      <c r="A37" s="107">
        <v>46180</v>
      </c>
      <c r="B37" s="95" t="s">
        <v>1777</v>
      </c>
      <c r="C37" s="95" t="s">
        <v>80</v>
      </c>
      <c r="D37" s="95" t="s">
        <v>1778</v>
      </c>
      <c r="E37" s="96">
        <v>150</v>
      </c>
    </row>
    <row r="38" ht="44" customHeight="1" spans="1:5">
      <c r="A38" s="107">
        <v>46180</v>
      </c>
      <c r="B38" s="95" t="s">
        <v>1777</v>
      </c>
      <c r="C38" s="95" t="s">
        <v>78</v>
      </c>
      <c r="D38" s="108" t="s">
        <v>1779</v>
      </c>
      <c r="E38" s="96">
        <f>340+300+360+40+15+20+80+40+35+20</f>
        <v>1250</v>
      </c>
    </row>
    <row r="39" ht="16.5" spans="1:5">
      <c r="A39" s="81">
        <v>46178</v>
      </c>
      <c r="B39" s="10" t="s">
        <v>136</v>
      </c>
      <c r="C39" s="83" t="s">
        <v>135</v>
      </c>
      <c r="D39" s="85" t="s">
        <v>1780</v>
      </c>
      <c r="E39" s="86">
        <v>30</v>
      </c>
    </row>
    <row r="40" ht="16.5" spans="1:5">
      <c r="A40" s="81">
        <v>46181</v>
      </c>
      <c r="B40" s="10" t="s">
        <v>70</v>
      </c>
      <c r="C40" s="83" t="s">
        <v>69</v>
      </c>
      <c r="D40" s="85" t="s">
        <v>1781</v>
      </c>
      <c r="E40" s="86">
        <v>330</v>
      </c>
    </row>
    <row r="41" ht="16.5" spans="1:5">
      <c r="A41" s="81">
        <v>46181</v>
      </c>
      <c r="B41" s="10" t="s">
        <v>109</v>
      </c>
      <c r="C41" s="83" t="s">
        <v>108</v>
      </c>
      <c r="D41" s="85" t="s">
        <v>1782</v>
      </c>
      <c r="E41" s="86">
        <v>100</v>
      </c>
    </row>
    <row r="42" ht="16.5" spans="1:5">
      <c r="A42" s="81">
        <v>46180</v>
      </c>
      <c r="B42" s="10" t="s">
        <v>82</v>
      </c>
      <c r="C42" s="83" t="s">
        <v>81</v>
      </c>
      <c r="D42" s="85" t="s">
        <v>1783</v>
      </c>
      <c r="E42" s="86">
        <v>60</v>
      </c>
    </row>
    <row r="43" ht="16.5" spans="1:5">
      <c r="A43" s="81">
        <v>46182</v>
      </c>
      <c r="B43" s="10" t="s">
        <v>85</v>
      </c>
      <c r="C43" s="83" t="s">
        <v>84</v>
      </c>
      <c r="D43" s="85" t="s">
        <v>1525</v>
      </c>
      <c r="E43" s="86">
        <v>70</v>
      </c>
    </row>
    <row r="44" ht="16.5" spans="1:5">
      <c r="A44" s="81">
        <v>46180</v>
      </c>
      <c r="B44" s="10" t="s">
        <v>122</v>
      </c>
      <c r="C44" s="83" t="s">
        <v>172</v>
      </c>
      <c r="D44" s="104" t="s">
        <v>1412</v>
      </c>
      <c r="E44" s="86">
        <v>60</v>
      </c>
    </row>
    <row r="45" ht="16.5" spans="1:5">
      <c r="A45" s="81">
        <v>46181</v>
      </c>
      <c r="B45" s="10" t="s">
        <v>76</v>
      </c>
      <c r="C45" s="83" t="s">
        <v>75</v>
      </c>
      <c r="D45" s="85" t="s">
        <v>1748</v>
      </c>
      <c r="E45" s="86">
        <v>60</v>
      </c>
    </row>
    <row r="46" ht="16.5" spans="1:5">
      <c r="A46" s="81">
        <v>46182</v>
      </c>
      <c r="B46" s="10" t="s">
        <v>76</v>
      </c>
      <c r="C46" s="83" t="s">
        <v>75</v>
      </c>
      <c r="D46" s="85" t="s">
        <v>1784</v>
      </c>
      <c r="E46" s="86">
        <v>60</v>
      </c>
    </row>
    <row r="47" ht="16.5" spans="1:5">
      <c r="A47" s="81">
        <v>46182</v>
      </c>
      <c r="B47" s="10" t="s">
        <v>327</v>
      </c>
      <c r="C47" s="83" t="s">
        <v>63</v>
      </c>
      <c r="D47" s="85" t="s">
        <v>1785</v>
      </c>
      <c r="E47" s="86">
        <v>35</v>
      </c>
    </row>
    <row r="48" ht="16.5" spans="1:5">
      <c r="A48" s="81">
        <v>46180</v>
      </c>
      <c r="B48" s="10" t="s">
        <v>327</v>
      </c>
      <c r="C48" s="83" t="s">
        <v>63</v>
      </c>
      <c r="D48" s="85" t="s">
        <v>1786</v>
      </c>
      <c r="E48" s="86">
        <v>80</v>
      </c>
    </row>
    <row r="49" ht="16.5" spans="1:7">
      <c r="A49" s="81">
        <v>46181</v>
      </c>
      <c r="B49" s="10" t="s">
        <v>70</v>
      </c>
      <c r="C49" s="83" t="s">
        <v>69</v>
      </c>
      <c r="D49" s="85" t="s">
        <v>1787</v>
      </c>
      <c r="E49" s="86">
        <v>140</v>
      </c>
    </row>
    <row r="50" ht="16.5" spans="1:7">
      <c r="A50" s="81">
        <v>46182</v>
      </c>
      <c r="B50" s="10" t="s">
        <v>82</v>
      </c>
      <c r="C50" s="83" t="s">
        <v>81</v>
      </c>
      <c r="D50" s="85" t="s">
        <v>1788</v>
      </c>
      <c r="E50" s="86">
        <v>30</v>
      </c>
    </row>
    <row r="51" ht="16.5" spans="1:7">
      <c r="A51" s="87">
        <v>46181</v>
      </c>
      <c r="B51" s="85" t="s">
        <v>167</v>
      </c>
      <c r="C51" s="83" t="s">
        <v>166</v>
      </c>
      <c r="D51" s="105" t="s">
        <v>1758</v>
      </c>
      <c r="E51" s="86">
        <v>20</v>
      </c>
    </row>
    <row r="52" ht="22" customHeight="1" spans="1:7">
      <c r="A52" s="109">
        <v>46184</v>
      </c>
      <c r="B52" s="10" t="s">
        <v>1777</v>
      </c>
      <c r="C52" s="10" t="s">
        <v>57</v>
      </c>
      <c r="D52" s="10" t="s">
        <v>1789</v>
      </c>
      <c r="E52" s="110">
        <v>330</v>
      </c>
      <c r="F52" s="95" t="s">
        <v>1790</v>
      </c>
    </row>
    <row r="53" ht="22" customHeight="1" spans="1:7">
      <c r="A53" s="109">
        <v>46183</v>
      </c>
      <c r="B53" s="10"/>
      <c r="C53" s="10" t="s">
        <v>180</v>
      </c>
      <c r="D53" s="10" t="s">
        <v>1791</v>
      </c>
      <c r="E53" s="110">
        <v>50</v>
      </c>
      <c r="F53" s="95" t="s">
        <v>1792</v>
      </c>
      <c r="G53" s="92" t="s">
        <v>181</v>
      </c>
    </row>
    <row r="54" ht="22" customHeight="1" spans="1:7">
      <c r="A54" s="109">
        <v>46183</v>
      </c>
      <c r="B54" s="10"/>
      <c r="C54" s="10" t="s">
        <v>51</v>
      </c>
      <c r="D54" s="10" t="s">
        <v>1793</v>
      </c>
      <c r="E54" s="110">
        <v>60</v>
      </c>
      <c r="F54" s="95" t="s">
        <v>1792</v>
      </c>
      <c r="G54" s="92" t="s">
        <v>52</v>
      </c>
    </row>
    <row r="55" ht="22" customHeight="1" spans="1:7">
      <c r="A55" s="109">
        <v>46184</v>
      </c>
      <c r="B55" s="10"/>
      <c r="C55" s="10" t="s">
        <v>339</v>
      </c>
      <c r="D55" s="10" t="s">
        <v>1793</v>
      </c>
      <c r="E55" s="110">
        <v>60</v>
      </c>
      <c r="F55" s="95" t="s">
        <v>1792</v>
      </c>
      <c r="G55" s="92" t="s">
        <v>170</v>
      </c>
    </row>
    <row r="56" ht="22" customHeight="1" spans="1:7">
      <c r="A56" s="109">
        <v>46185</v>
      </c>
      <c r="B56" s="10"/>
      <c r="C56" s="10" t="s">
        <v>177</v>
      </c>
      <c r="D56" s="10" t="s">
        <v>1793</v>
      </c>
      <c r="E56" s="110">
        <v>60</v>
      </c>
      <c r="F56" s="95" t="s">
        <v>1792</v>
      </c>
      <c r="G56" s="92" t="s">
        <v>178</v>
      </c>
    </row>
    <row r="57" ht="16.5" spans="1:7">
      <c r="A57" s="81">
        <v>46181</v>
      </c>
      <c r="B57" s="10" t="s">
        <v>181</v>
      </c>
      <c r="C57" s="83" t="s">
        <v>180</v>
      </c>
      <c r="D57" s="85" t="s">
        <v>1784</v>
      </c>
      <c r="E57" s="86">
        <v>60</v>
      </c>
    </row>
    <row r="58" ht="16.5" spans="1:7">
      <c r="A58" s="81">
        <v>46181</v>
      </c>
      <c r="B58" s="10" t="s">
        <v>155</v>
      </c>
      <c r="C58" s="83" t="s">
        <v>154</v>
      </c>
      <c r="D58" s="104" t="s">
        <v>1441</v>
      </c>
      <c r="E58" s="86">
        <v>50</v>
      </c>
    </row>
    <row r="59" ht="16.5" spans="1:7">
      <c r="A59" s="81">
        <v>46184</v>
      </c>
      <c r="B59" s="10" t="s">
        <v>327</v>
      </c>
      <c r="C59" s="83" t="s">
        <v>63</v>
      </c>
      <c r="D59" s="85" t="s">
        <v>1794</v>
      </c>
      <c r="E59" s="86">
        <v>300</v>
      </c>
    </row>
    <row r="60" ht="16.5" spans="1:7">
      <c r="A60" s="81">
        <v>46184</v>
      </c>
      <c r="B60" s="10" t="s">
        <v>109</v>
      </c>
      <c r="C60" s="83" t="s">
        <v>108</v>
      </c>
      <c r="D60" s="85" t="s">
        <v>1794</v>
      </c>
      <c r="E60" s="86">
        <v>300</v>
      </c>
    </row>
    <row r="61" ht="16.5" spans="1:7">
      <c r="A61" s="87">
        <v>46183</v>
      </c>
      <c r="B61" s="10" t="s">
        <v>115</v>
      </c>
      <c r="C61" s="83" t="s">
        <v>114</v>
      </c>
      <c r="D61" s="10" t="s">
        <v>1530</v>
      </c>
      <c r="E61" s="86">
        <v>50</v>
      </c>
    </row>
    <row r="62" ht="16.5" spans="1:7">
      <c r="A62" s="87">
        <v>46183</v>
      </c>
      <c r="B62" s="85" t="s">
        <v>118</v>
      </c>
      <c r="C62" s="83" t="s">
        <v>117</v>
      </c>
      <c r="D62" s="10" t="s">
        <v>1795</v>
      </c>
      <c r="E62" s="86">
        <v>60</v>
      </c>
    </row>
    <row r="63" ht="16.5" spans="1:7">
      <c r="A63" s="87">
        <v>46185</v>
      </c>
      <c r="B63" s="10" t="s">
        <v>1796</v>
      </c>
      <c r="C63" s="83" t="s">
        <v>93</v>
      </c>
      <c r="D63" s="10" t="s">
        <v>1797</v>
      </c>
      <c r="E63" s="86">
        <v>630</v>
      </c>
      <c r="F63" s="82" t="s">
        <v>1798</v>
      </c>
    </row>
    <row r="64" ht="16.5" spans="1:7">
      <c r="A64" s="87">
        <v>46181</v>
      </c>
      <c r="B64" s="10" t="s">
        <v>1796</v>
      </c>
      <c r="C64" s="83" t="s">
        <v>84</v>
      </c>
      <c r="D64" s="10" t="s">
        <v>1799</v>
      </c>
      <c r="E64" s="86">
        <v>590</v>
      </c>
      <c r="F64" s="82" t="s">
        <v>1800</v>
      </c>
    </row>
    <row r="65" ht="16.5" spans="1:6">
      <c r="A65" s="87">
        <v>46181</v>
      </c>
      <c r="B65" s="10" t="s">
        <v>1796</v>
      </c>
      <c r="C65" s="83" t="s">
        <v>96</v>
      </c>
      <c r="D65" s="10" t="s">
        <v>1801</v>
      </c>
      <c r="E65" s="86">
        <v>480</v>
      </c>
      <c r="F65" s="82" t="s">
        <v>1802</v>
      </c>
    </row>
    <row r="66" ht="17.25" spans="1:6">
      <c r="A66" s="81">
        <v>46185</v>
      </c>
      <c r="B66" s="82" t="s">
        <v>1803</v>
      </c>
      <c r="C66" s="83" t="s">
        <v>49</v>
      </c>
      <c r="D66" s="111" t="s">
        <v>1804</v>
      </c>
      <c r="E66" s="84">
        <v>7000</v>
      </c>
    </row>
    <row r="67" ht="16.5" spans="1:6">
      <c r="A67" s="81">
        <v>46184</v>
      </c>
      <c r="B67" s="10" t="s">
        <v>100</v>
      </c>
      <c r="C67" s="83" t="s">
        <v>99</v>
      </c>
      <c r="D67" s="85" t="s">
        <v>1805</v>
      </c>
      <c r="E67" s="86">
        <v>50</v>
      </c>
    </row>
    <row r="68" ht="16.5" spans="1:6">
      <c r="A68" s="81">
        <v>46185</v>
      </c>
      <c r="B68" s="10" t="s">
        <v>55</v>
      </c>
      <c r="C68" s="83" t="s">
        <v>54</v>
      </c>
      <c r="D68" s="106" t="s">
        <v>1806</v>
      </c>
      <c r="E68" s="86">
        <v>100</v>
      </c>
    </row>
    <row r="69" ht="16.5" spans="1:6">
      <c r="A69" s="81">
        <v>46185</v>
      </c>
      <c r="B69" s="10" t="s">
        <v>97</v>
      </c>
      <c r="C69" s="83" t="s">
        <v>96</v>
      </c>
      <c r="D69" s="85" t="s">
        <v>1744</v>
      </c>
      <c r="E69" s="86">
        <v>70</v>
      </c>
    </row>
    <row r="70" ht="16.5" spans="1:6">
      <c r="A70" s="81">
        <v>46185</v>
      </c>
      <c r="B70" s="10" t="s">
        <v>158</v>
      </c>
      <c r="C70" s="83" t="s">
        <v>338</v>
      </c>
      <c r="D70" s="85" t="s">
        <v>1807</v>
      </c>
      <c r="E70" s="86">
        <v>330</v>
      </c>
    </row>
    <row r="71" ht="16.5" spans="1:6">
      <c r="A71" s="87">
        <v>46185</v>
      </c>
      <c r="B71" s="10" t="s">
        <v>454</v>
      </c>
      <c r="C71" s="83" t="s">
        <v>138</v>
      </c>
      <c r="D71" s="10" t="s">
        <v>1808</v>
      </c>
      <c r="E71" s="86">
        <v>200</v>
      </c>
    </row>
    <row r="72" ht="16.5" spans="1:6">
      <c r="A72" s="87">
        <v>46185</v>
      </c>
      <c r="B72" s="10" t="s">
        <v>454</v>
      </c>
      <c r="C72" s="83" t="s">
        <v>138</v>
      </c>
      <c r="D72" s="10" t="s">
        <v>1809</v>
      </c>
      <c r="E72" s="86">
        <v>30</v>
      </c>
    </row>
    <row r="73" ht="16.5" spans="1:6">
      <c r="A73" s="87">
        <v>46185</v>
      </c>
      <c r="B73" s="10" t="s">
        <v>70</v>
      </c>
      <c r="C73" s="83" t="s">
        <v>69</v>
      </c>
      <c r="D73" s="10" t="s">
        <v>1810</v>
      </c>
      <c r="E73" s="86">
        <v>150</v>
      </c>
    </row>
    <row r="74" ht="16.5" spans="1:6">
      <c r="A74" s="87">
        <v>46185</v>
      </c>
      <c r="B74" s="10" t="s">
        <v>52</v>
      </c>
      <c r="C74" s="83" t="s">
        <v>51</v>
      </c>
      <c r="D74" s="10" t="s">
        <v>1811</v>
      </c>
      <c r="E74" s="86">
        <v>350</v>
      </c>
    </row>
    <row r="75" ht="22" customHeight="1" spans="1:6">
      <c r="A75" s="109">
        <v>46187</v>
      </c>
      <c r="B75" s="10" t="s">
        <v>82</v>
      </c>
      <c r="C75" s="10" t="s">
        <v>81</v>
      </c>
      <c r="D75" s="85" t="s">
        <v>1812</v>
      </c>
      <c r="E75" s="10">
        <v>1089</v>
      </c>
    </row>
    <row r="76" ht="16.5" spans="1:6">
      <c r="A76" s="81">
        <v>46183</v>
      </c>
      <c r="B76" s="10" t="s">
        <v>76</v>
      </c>
      <c r="C76" s="83" t="s">
        <v>75</v>
      </c>
      <c r="D76" s="85" t="s">
        <v>1813</v>
      </c>
      <c r="E76" s="86">
        <v>180</v>
      </c>
    </row>
    <row r="77" ht="16.5" spans="1:6">
      <c r="A77" s="87">
        <v>46187</v>
      </c>
      <c r="B77" s="10" t="s">
        <v>149</v>
      </c>
      <c r="C77" s="83" t="s">
        <v>148</v>
      </c>
      <c r="D77" s="10" t="s">
        <v>1814</v>
      </c>
      <c r="E77" s="86">
        <v>60</v>
      </c>
    </row>
    <row r="78" ht="17.25" spans="1:6">
      <c r="A78" s="81">
        <v>46188</v>
      </c>
      <c r="B78" s="82" t="s">
        <v>1815</v>
      </c>
      <c r="C78" s="83" t="s">
        <v>135</v>
      </c>
      <c r="D78" s="112" t="s">
        <v>1816</v>
      </c>
      <c r="E78" s="84">
        <v>1550</v>
      </c>
      <c r="F78" s="95" t="s">
        <v>1817</v>
      </c>
    </row>
    <row r="79" ht="16.5" spans="1:6">
      <c r="A79" s="81">
        <v>46187</v>
      </c>
      <c r="B79" s="10" t="s">
        <v>190</v>
      </c>
      <c r="C79" s="83" t="s">
        <v>189</v>
      </c>
      <c r="D79" s="85" t="s">
        <v>1818</v>
      </c>
      <c r="E79" s="86">
        <v>60</v>
      </c>
    </row>
    <row r="80" ht="16.5" spans="1:6">
      <c r="A80" s="81">
        <v>46185</v>
      </c>
      <c r="B80" s="10" t="s">
        <v>118</v>
      </c>
      <c r="C80" s="83" t="s">
        <v>117</v>
      </c>
      <c r="D80" s="85" t="s">
        <v>1819</v>
      </c>
      <c r="E80" s="86">
        <v>60</v>
      </c>
    </row>
    <row r="81" ht="16.5" spans="1:7">
      <c r="A81" s="81">
        <v>46185</v>
      </c>
      <c r="B81" s="10" t="s">
        <v>128</v>
      </c>
      <c r="C81" s="83" t="s">
        <v>127</v>
      </c>
      <c r="D81" s="85" t="s">
        <v>1820</v>
      </c>
      <c r="E81" s="86">
        <v>240</v>
      </c>
    </row>
    <row r="82" ht="17" customHeight="1" spans="1:7">
      <c r="A82" s="107">
        <v>46189</v>
      </c>
      <c r="B82" s="95" t="s">
        <v>1777</v>
      </c>
      <c r="C82" s="95" t="s">
        <v>143</v>
      </c>
      <c r="D82" s="95" t="s">
        <v>1821</v>
      </c>
      <c r="E82" s="96">
        <v>80</v>
      </c>
      <c r="F82" s="95" t="s">
        <v>1822</v>
      </c>
    </row>
    <row r="83" ht="17" customHeight="1" spans="1:7">
      <c r="A83" s="107">
        <v>46188</v>
      </c>
      <c r="B83" s="95" t="s">
        <v>1796</v>
      </c>
      <c r="C83" s="95" t="s">
        <v>57</v>
      </c>
      <c r="D83" s="95" t="s">
        <v>1823</v>
      </c>
      <c r="E83" s="96">
        <f>120+60+300+30</f>
        <v>510</v>
      </c>
      <c r="F83" s="95" t="s">
        <v>1790</v>
      </c>
    </row>
    <row r="84" spans="1:7">
      <c r="A84" s="107">
        <v>46189</v>
      </c>
      <c r="B84" s="71" t="s">
        <v>1824</v>
      </c>
      <c r="C84" s="95" t="s">
        <v>135</v>
      </c>
      <c r="D84" s="88" t="s">
        <v>1825</v>
      </c>
      <c r="E84" s="96">
        <v>7040</v>
      </c>
      <c r="F84" s="95" t="s">
        <v>1826</v>
      </c>
    </row>
    <row r="85" ht="16.5" spans="1:7">
      <c r="A85" s="81">
        <v>46184</v>
      </c>
      <c r="B85" s="10" t="s">
        <v>91</v>
      </c>
      <c r="C85" s="83" t="s">
        <v>90</v>
      </c>
      <c r="D85" s="85" t="s">
        <v>1783</v>
      </c>
      <c r="E85" s="86">
        <v>60</v>
      </c>
    </row>
    <row r="86" ht="16.5" spans="1:7">
      <c r="A86" s="81">
        <v>46189</v>
      </c>
      <c r="B86" s="10" t="s">
        <v>1754</v>
      </c>
      <c r="C86" s="83" t="s">
        <v>135</v>
      </c>
      <c r="D86" s="10" t="s">
        <v>1827</v>
      </c>
      <c r="E86" s="86">
        <v>300</v>
      </c>
    </row>
    <row r="87" ht="16.5" spans="1:7">
      <c r="A87" s="81">
        <v>46188</v>
      </c>
      <c r="B87" s="10" t="s">
        <v>112</v>
      </c>
      <c r="C87" s="83" t="s">
        <v>111</v>
      </c>
      <c r="D87" s="85" t="s">
        <v>1828</v>
      </c>
      <c r="E87" s="86">
        <v>270</v>
      </c>
    </row>
    <row r="88" ht="16.5" spans="1:7">
      <c r="A88" s="81">
        <v>46187</v>
      </c>
      <c r="B88" s="10" t="s">
        <v>181</v>
      </c>
      <c r="C88" s="83" t="s">
        <v>180</v>
      </c>
      <c r="D88" s="85" t="s">
        <v>1829</v>
      </c>
      <c r="E88" s="86">
        <v>80</v>
      </c>
    </row>
    <row r="89" ht="16.5" spans="1:7">
      <c r="A89" s="81">
        <v>46189</v>
      </c>
      <c r="B89" s="10" t="s">
        <v>70</v>
      </c>
      <c r="C89" s="83" t="s">
        <v>69</v>
      </c>
      <c r="D89" s="85" t="s">
        <v>1830</v>
      </c>
      <c r="E89" s="86">
        <v>63</v>
      </c>
    </row>
    <row r="90" ht="16.5" spans="1:7">
      <c r="A90" s="81">
        <v>46188</v>
      </c>
      <c r="B90" s="10" t="s">
        <v>133</v>
      </c>
      <c r="C90" s="83" t="s">
        <v>132</v>
      </c>
      <c r="D90" s="105" t="s">
        <v>1831</v>
      </c>
      <c r="E90" s="86">
        <v>80</v>
      </c>
    </row>
    <row r="91" ht="16.5" spans="1:7">
      <c r="A91" s="113">
        <v>46189</v>
      </c>
      <c r="B91" s="10" t="s">
        <v>133</v>
      </c>
      <c r="C91" s="83" t="s">
        <v>132</v>
      </c>
      <c r="D91" s="105" t="s">
        <v>1832</v>
      </c>
      <c r="E91" s="114">
        <v>70</v>
      </c>
    </row>
    <row r="92" ht="16.5" spans="1:7">
      <c r="A92" s="81">
        <v>46191</v>
      </c>
      <c r="B92" s="10"/>
      <c r="C92" s="37" t="s">
        <v>135</v>
      </c>
      <c r="D92" s="10" t="s">
        <v>1833</v>
      </c>
      <c r="E92" s="110">
        <v>8000</v>
      </c>
      <c r="F92" s="92" t="s">
        <v>1834</v>
      </c>
      <c r="G92" s="92" t="s">
        <v>1835</v>
      </c>
    </row>
    <row r="93" ht="16.5" spans="1:7">
      <c r="A93" s="81">
        <v>46189</v>
      </c>
      <c r="B93" s="10" t="s">
        <v>136</v>
      </c>
      <c r="C93" s="83" t="s">
        <v>135</v>
      </c>
      <c r="D93" s="85" t="s">
        <v>1836</v>
      </c>
      <c r="E93" s="86">
        <v>300</v>
      </c>
    </row>
    <row r="94" ht="16.5" spans="1:7">
      <c r="A94" s="81">
        <v>46189</v>
      </c>
      <c r="B94" s="10" t="s">
        <v>136</v>
      </c>
      <c r="C94" s="83" t="s">
        <v>135</v>
      </c>
      <c r="D94" s="4" t="s">
        <v>1832</v>
      </c>
      <c r="E94" s="86">
        <v>70</v>
      </c>
    </row>
    <row r="95" ht="16.5" spans="1:7">
      <c r="A95" s="81">
        <v>46190</v>
      </c>
      <c r="B95" s="10" t="s">
        <v>115</v>
      </c>
      <c r="C95" s="83" t="s">
        <v>114</v>
      </c>
      <c r="D95" s="105" t="s">
        <v>1783</v>
      </c>
      <c r="E95" s="86">
        <v>60</v>
      </c>
    </row>
    <row r="96" ht="16.5" spans="1:7">
      <c r="A96" s="81">
        <v>46191</v>
      </c>
      <c r="B96" s="10" t="s">
        <v>70</v>
      </c>
      <c r="C96" s="83" t="s">
        <v>69</v>
      </c>
      <c r="D96" s="85" t="s">
        <v>1783</v>
      </c>
      <c r="E96" s="86">
        <v>60</v>
      </c>
    </row>
    <row r="97" ht="16.5" spans="1:7">
      <c r="A97" s="87">
        <v>46189</v>
      </c>
      <c r="B97" s="10" t="s">
        <v>94</v>
      </c>
      <c r="C97" s="83" t="s">
        <v>93</v>
      </c>
      <c r="D97" s="85" t="s">
        <v>1530</v>
      </c>
      <c r="E97" s="86">
        <v>50</v>
      </c>
    </row>
    <row r="98" ht="16.5" spans="1:7">
      <c r="A98" s="81">
        <v>46191</v>
      </c>
      <c r="B98" s="10" t="s">
        <v>58</v>
      </c>
      <c r="C98" s="83" t="s">
        <v>57</v>
      </c>
      <c r="D98" s="85" t="s">
        <v>1525</v>
      </c>
      <c r="E98" s="86">
        <v>70</v>
      </c>
    </row>
    <row r="99" ht="16.5" spans="1:7">
      <c r="A99" s="87">
        <v>46191</v>
      </c>
      <c r="B99" s="10" t="s">
        <v>112</v>
      </c>
      <c r="C99" s="83" t="s">
        <v>111</v>
      </c>
      <c r="D99" s="10" t="s">
        <v>1525</v>
      </c>
      <c r="E99" s="86">
        <v>70</v>
      </c>
    </row>
    <row r="100" ht="16.5" spans="1:7">
      <c r="A100" s="81">
        <v>46189</v>
      </c>
      <c r="B100" s="10" t="s">
        <v>152</v>
      </c>
      <c r="C100" s="83" t="s">
        <v>151</v>
      </c>
      <c r="D100" s="85" t="s">
        <v>1805</v>
      </c>
      <c r="E100" s="86">
        <v>50</v>
      </c>
    </row>
    <row r="101" ht="16.5" spans="1:7">
      <c r="A101" s="81">
        <v>46191</v>
      </c>
      <c r="B101" s="10" t="s">
        <v>704</v>
      </c>
      <c r="C101" s="83" t="s">
        <v>221</v>
      </c>
      <c r="D101" s="85" t="s">
        <v>1837</v>
      </c>
      <c r="E101" s="86">
        <v>60</v>
      </c>
    </row>
    <row r="102" ht="16.5" spans="1:7">
      <c r="A102" s="81">
        <v>46191</v>
      </c>
      <c r="B102" s="10" t="s">
        <v>1838</v>
      </c>
      <c r="C102" s="83" t="s">
        <v>163</v>
      </c>
      <c r="D102" s="85" t="s">
        <v>1839</v>
      </c>
      <c r="E102" s="86">
        <v>70</v>
      </c>
    </row>
    <row r="103" ht="16.5" spans="1:7">
      <c r="A103" s="81">
        <v>46191</v>
      </c>
      <c r="B103" s="10" t="s">
        <v>1838</v>
      </c>
      <c r="C103" s="83" t="s">
        <v>154</v>
      </c>
      <c r="D103" s="85" t="s">
        <v>1840</v>
      </c>
      <c r="E103" s="86">
        <v>130</v>
      </c>
    </row>
    <row r="104" ht="16.5" spans="1:7">
      <c r="A104" s="81">
        <v>46191</v>
      </c>
      <c r="B104" s="10" t="s">
        <v>1838</v>
      </c>
      <c r="C104" s="83" t="s">
        <v>160</v>
      </c>
      <c r="D104" s="85" t="s">
        <v>1841</v>
      </c>
      <c r="E104" s="86">
        <v>130</v>
      </c>
    </row>
    <row r="105" ht="16.5" spans="1:7">
      <c r="A105" s="81">
        <v>46191</v>
      </c>
      <c r="B105" s="10" t="s">
        <v>1838</v>
      </c>
      <c r="C105" s="83" t="s">
        <v>338</v>
      </c>
      <c r="D105" s="85" t="s">
        <v>1842</v>
      </c>
      <c r="E105" s="86">
        <v>130</v>
      </c>
    </row>
    <row r="106" ht="16.5" spans="1:7">
      <c r="A106" s="81">
        <v>46191</v>
      </c>
      <c r="B106" s="10" t="s">
        <v>1838</v>
      </c>
      <c r="C106" s="83" t="s">
        <v>338</v>
      </c>
      <c r="D106" s="85" t="s">
        <v>1843</v>
      </c>
      <c r="E106" s="86">
        <v>220</v>
      </c>
    </row>
    <row r="107" ht="16.5" spans="1:7">
      <c r="A107" s="109">
        <v>46194</v>
      </c>
      <c r="B107" s="10" t="s">
        <v>1777</v>
      </c>
      <c r="C107" s="83" t="s">
        <v>69</v>
      </c>
      <c r="D107" s="10" t="s">
        <v>1844</v>
      </c>
      <c r="E107" s="110">
        <f>50+5+10+80</f>
        <v>145</v>
      </c>
      <c r="F107" s="95" t="s">
        <v>1845</v>
      </c>
    </row>
    <row r="108" ht="16.5" spans="1:7">
      <c r="A108" s="109">
        <v>46194</v>
      </c>
      <c r="B108" s="10" t="s">
        <v>1796</v>
      </c>
      <c r="C108" s="83" t="s">
        <v>127</v>
      </c>
      <c r="D108" s="10" t="s">
        <v>1846</v>
      </c>
      <c r="E108" s="110">
        <f>120+75+10+150+300</f>
        <v>655</v>
      </c>
      <c r="F108" s="95" t="s">
        <v>1847</v>
      </c>
    </row>
    <row r="109" ht="16.5" spans="1:7">
      <c r="A109" s="109">
        <v>46191</v>
      </c>
      <c r="B109" s="10" t="s">
        <v>1796</v>
      </c>
      <c r="C109" s="83" t="s">
        <v>87</v>
      </c>
      <c r="D109" s="10" t="s">
        <v>1848</v>
      </c>
      <c r="E109" s="110">
        <f>120+60+300+30</f>
        <v>510</v>
      </c>
      <c r="F109" s="95" t="s">
        <v>1849</v>
      </c>
    </row>
    <row r="110" ht="16.5" spans="1:7">
      <c r="A110" s="109">
        <v>46194</v>
      </c>
      <c r="B110" s="10" t="s">
        <v>1777</v>
      </c>
      <c r="C110" s="83" t="s">
        <v>60</v>
      </c>
      <c r="D110" s="10" t="s">
        <v>1850</v>
      </c>
      <c r="E110" s="110">
        <f>50+10+80</f>
        <v>140</v>
      </c>
      <c r="F110" s="95" t="s">
        <v>1851</v>
      </c>
    </row>
    <row r="111" ht="16.5" spans="1:7">
      <c r="A111" s="81">
        <v>46192</v>
      </c>
      <c r="B111" s="10" t="s">
        <v>122</v>
      </c>
      <c r="C111" s="83" t="s">
        <v>130</v>
      </c>
      <c r="D111" s="85" t="s">
        <v>1852</v>
      </c>
      <c r="E111" s="86">
        <v>80</v>
      </c>
      <c r="G111" s="92">
        <f>19+19+12</f>
        <v>50</v>
      </c>
    </row>
    <row r="112" ht="16.5" spans="1:7">
      <c r="A112" s="81">
        <v>46193</v>
      </c>
      <c r="B112" s="10" t="s">
        <v>82</v>
      </c>
      <c r="C112" s="83" t="s">
        <v>81</v>
      </c>
      <c r="D112" s="85" t="s">
        <v>1853</v>
      </c>
      <c r="E112" s="86">
        <v>80</v>
      </c>
    </row>
    <row r="113" ht="16.5" spans="1:7">
      <c r="A113" s="81">
        <v>46191</v>
      </c>
      <c r="B113" s="10" t="s">
        <v>73</v>
      </c>
      <c r="C113" s="83" t="s">
        <v>72</v>
      </c>
      <c r="D113" s="85" t="s">
        <v>1744</v>
      </c>
      <c r="E113" s="86">
        <v>70</v>
      </c>
    </row>
    <row r="114" ht="16.5" spans="1:7">
      <c r="A114" s="87">
        <v>46191</v>
      </c>
      <c r="B114" s="10" t="s">
        <v>136</v>
      </c>
      <c r="C114" s="83" t="s">
        <v>135</v>
      </c>
      <c r="D114" s="105" t="s">
        <v>1854</v>
      </c>
      <c r="E114" s="86">
        <v>10</v>
      </c>
    </row>
    <row r="115" ht="16.5" spans="1:7">
      <c r="A115" s="87">
        <v>46193</v>
      </c>
      <c r="B115" s="10" t="s">
        <v>67</v>
      </c>
      <c r="C115" s="83" t="s">
        <v>66</v>
      </c>
      <c r="D115" s="10" t="s">
        <v>1530</v>
      </c>
      <c r="E115" s="86">
        <v>50</v>
      </c>
    </row>
    <row r="116" ht="16.5" spans="1:7">
      <c r="A116" s="87">
        <v>46194</v>
      </c>
      <c r="B116" s="10" t="s">
        <v>61</v>
      </c>
      <c r="C116" s="83" t="s">
        <v>60</v>
      </c>
      <c r="D116" s="10" t="s">
        <v>1855</v>
      </c>
      <c r="E116" s="86">
        <v>300</v>
      </c>
    </row>
    <row r="117" ht="16.5" spans="1:7">
      <c r="A117" s="87">
        <v>46189</v>
      </c>
      <c r="B117" s="10" t="s">
        <v>85</v>
      </c>
      <c r="C117" s="83" t="s">
        <v>84</v>
      </c>
      <c r="D117" s="10" t="s">
        <v>1856</v>
      </c>
      <c r="E117" s="86">
        <v>60</v>
      </c>
    </row>
    <row r="118" ht="16.5" spans="1:7">
      <c r="A118" s="87">
        <v>46194</v>
      </c>
      <c r="B118" s="10" t="s">
        <v>70</v>
      </c>
      <c r="C118" s="83" t="s">
        <v>69</v>
      </c>
      <c r="D118" s="10" t="s">
        <v>1857</v>
      </c>
      <c r="E118" s="86">
        <v>290</v>
      </c>
    </row>
    <row r="119" s="95" customFormat="1" ht="16.5" spans="1:7">
      <c r="A119" s="81">
        <v>46152</v>
      </c>
      <c r="B119" s="10" t="s">
        <v>1858</v>
      </c>
      <c r="C119" s="83" t="s">
        <v>117</v>
      </c>
      <c r="D119" s="85" t="s">
        <v>1859</v>
      </c>
      <c r="E119" s="103">
        <v>-875</v>
      </c>
      <c r="G119" s="92"/>
    </row>
    <row r="120" ht="16.5" spans="1:7">
      <c r="A120" s="87">
        <v>46193</v>
      </c>
      <c r="B120" s="10" t="s">
        <v>217</v>
      </c>
      <c r="C120" s="83" t="s">
        <v>670</v>
      </c>
      <c r="D120" s="10" t="s">
        <v>1860</v>
      </c>
      <c r="E120" s="86">
        <v>10</v>
      </c>
    </row>
    <row r="121" ht="16.5" spans="1:7">
      <c r="A121" s="87">
        <v>46193</v>
      </c>
      <c r="B121" s="10" t="s">
        <v>214</v>
      </c>
      <c r="C121" s="83" t="s">
        <v>213</v>
      </c>
      <c r="D121" s="10" t="s">
        <v>1861</v>
      </c>
      <c r="E121" s="86">
        <v>15</v>
      </c>
    </row>
    <row r="122" ht="16.5" spans="1:7">
      <c r="A122" s="81">
        <v>46191</v>
      </c>
      <c r="B122" s="10" t="s">
        <v>708</v>
      </c>
      <c r="C122" s="83" t="s">
        <v>223</v>
      </c>
      <c r="D122" s="85" t="s">
        <v>1862</v>
      </c>
      <c r="E122" s="86">
        <v>150</v>
      </c>
    </row>
    <row r="123" ht="16.5" spans="1:7">
      <c r="A123" s="87">
        <v>46195</v>
      </c>
      <c r="B123" s="10" t="s">
        <v>196</v>
      </c>
      <c r="C123" s="83" t="s">
        <v>195</v>
      </c>
      <c r="D123" s="10" t="s">
        <v>1863</v>
      </c>
      <c r="E123" s="86">
        <v>120</v>
      </c>
    </row>
    <row r="124" ht="16.5" spans="1:7">
      <c r="A124" s="81">
        <v>46196</v>
      </c>
      <c r="B124" s="82" t="s">
        <v>1864</v>
      </c>
      <c r="C124" s="82" t="s">
        <v>49</v>
      </c>
      <c r="D124" s="85" t="s">
        <v>1865</v>
      </c>
      <c r="E124" s="103">
        <v>5500</v>
      </c>
    </row>
    <row r="125" ht="16.5" spans="1:7">
      <c r="A125" s="81">
        <v>46196</v>
      </c>
      <c r="B125" s="10" t="s">
        <v>55</v>
      </c>
      <c r="C125" s="10" t="s">
        <v>54</v>
      </c>
      <c r="D125" s="106" t="s">
        <v>1441</v>
      </c>
      <c r="E125" s="86">
        <v>50</v>
      </c>
    </row>
    <row r="126" ht="16.5" spans="1:7">
      <c r="A126" s="81">
        <v>46196</v>
      </c>
      <c r="B126" s="10" t="s">
        <v>58</v>
      </c>
      <c r="C126" s="10" t="s">
        <v>57</v>
      </c>
      <c r="D126" s="115" t="s">
        <v>1445</v>
      </c>
      <c r="E126" s="86">
        <v>150</v>
      </c>
    </row>
    <row r="127" ht="16.5" spans="1:7">
      <c r="A127" s="81">
        <v>46194</v>
      </c>
      <c r="B127" s="10" t="s">
        <v>128</v>
      </c>
      <c r="C127" s="10" t="s">
        <v>127</v>
      </c>
      <c r="D127" s="115" t="s">
        <v>1447</v>
      </c>
      <c r="E127" s="86">
        <v>60</v>
      </c>
    </row>
    <row r="128" ht="16.5" spans="1:7">
      <c r="A128" s="87">
        <v>46197</v>
      </c>
      <c r="B128" s="10" t="s">
        <v>112</v>
      </c>
      <c r="C128" s="10" t="s">
        <v>111</v>
      </c>
      <c r="D128" s="116" t="s">
        <v>1453</v>
      </c>
      <c r="E128" s="86">
        <v>5</v>
      </c>
    </row>
    <row r="129" ht="16.5" spans="1:5">
      <c r="A129" s="87">
        <v>46197</v>
      </c>
      <c r="B129" s="10" t="s">
        <v>112</v>
      </c>
      <c r="C129" s="10" t="s">
        <v>111</v>
      </c>
      <c r="D129" s="116" t="s">
        <v>1458</v>
      </c>
      <c r="E129" s="86">
        <v>110</v>
      </c>
    </row>
    <row r="130" ht="16.5" spans="1:5">
      <c r="A130" s="87">
        <v>46196</v>
      </c>
      <c r="B130" s="10" t="s">
        <v>158</v>
      </c>
      <c r="C130" s="10" t="s">
        <v>338</v>
      </c>
      <c r="D130" s="116" t="s">
        <v>1461</v>
      </c>
      <c r="E130" s="86">
        <v>80</v>
      </c>
    </row>
    <row r="131" ht="16.5" spans="1:5">
      <c r="A131" s="81">
        <v>46193</v>
      </c>
      <c r="B131" s="10" t="s">
        <v>61</v>
      </c>
      <c r="C131" s="83" t="s">
        <v>60</v>
      </c>
      <c r="D131" s="85" t="s">
        <v>1412</v>
      </c>
      <c r="E131" s="86">
        <v>60</v>
      </c>
    </row>
    <row r="132" ht="16.5" spans="1:5">
      <c r="A132" s="81">
        <v>46195</v>
      </c>
      <c r="B132" s="10" t="s">
        <v>52</v>
      </c>
      <c r="C132" s="83" t="s">
        <v>51</v>
      </c>
      <c r="D132" s="85" t="s">
        <v>1416</v>
      </c>
      <c r="E132" s="86">
        <v>80</v>
      </c>
    </row>
    <row r="133" ht="16.5" spans="1:5">
      <c r="A133" s="87">
        <v>46195</v>
      </c>
      <c r="B133" s="10" t="s">
        <v>70</v>
      </c>
      <c r="C133" s="83" t="s">
        <v>69</v>
      </c>
      <c r="D133" s="10" t="s">
        <v>1419</v>
      </c>
      <c r="E133" s="86">
        <v>25</v>
      </c>
    </row>
    <row r="134" ht="16.5" spans="1:5">
      <c r="A134" s="87">
        <v>46195</v>
      </c>
      <c r="B134" s="10" t="s">
        <v>76</v>
      </c>
      <c r="C134" s="83" t="s">
        <v>75</v>
      </c>
      <c r="D134" s="117" t="s">
        <v>1422</v>
      </c>
      <c r="E134" s="86">
        <v>70</v>
      </c>
    </row>
    <row r="135" ht="16.5" spans="1:5">
      <c r="A135" s="81">
        <v>46196</v>
      </c>
      <c r="B135" s="10" t="s">
        <v>82</v>
      </c>
      <c r="C135" s="83" t="s">
        <v>81</v>
      </c>
      <c r="D135" s="85" t="s">
        <v>1866</v>
      </c>
      <c r="E135" s="86">
        <v>110</v>
      </c>
    </row>
    <row r="136" ht="16.5" spans="1:5">
      <c r="A136" s="81">
        <v>46198</v>
      </c>
      <c r="B136" s="10" t="s">
        <v>122</v>
      </c>
      <c r="C136" s="83" t="s">
        <v>130</v>
      </c>
      <c r="D136" s="85" t="s">
        <v>1867</v>
      </c>
      <c r="E136" s="86">
        <v>120</v>
      </c>
    </row>
    <row r="137" ht="16.5" spans="1:5">
      <c r="A137" s="87">
        <v>46198</v>
      </c>
      <c r="B137" s="10" t="s">
        <v>128</v>
      </c>
      <c r="C137" s="83" t="s">
        <v>127</v>
      </c>
      <c r="D137" s="105" t="s">
        <v>1868</v>
      </c>
      <c r="E137" s="86">
        <v>400</v>
      </c>
    </row>
    <row r="138" ht="16.5" spans="1:5">
      <c r="A138" s="87">
        <v>46198</v>
      </c>
      <c r="B138" s="10" t="s">
        <v>774</v>
      </c>
      <c r="C138" s="83" t="s">
        <v>144</v>
      </c>
      <c r="D138" s="10" t="s">
        <v>1869</v>
      </c>
      <c r="E138" s="86">
        <v>50</v>
      </c>
    </row>
    <row r="139" ht="16.5" spans="1:5">
      <c r="A139" s="87">
        <v>46196</v>
      </c>
      <c r="B139" s="10" t="s">
        <v>330</v>
      </c>
      <c r="C139" s="83" t="s">
        <v>198</v>
      </c>
      <c r="D139" s="10" t="s">
        <v>1870</v>
      </c>
      <c r="E139" s="86">
        <v>50</v>
      </c>
    </row>
    <row r="140" ht="16.5" spans="1:5">
      <c r="A140" s="81">
        <v>46199</v>
      </c>
      <c r="B140" s="10" t="s">
        <v>133</v>
      </c>
      <c r="C140" s="10" t="s">
        <v>132</v>
      </c>
      <c r="D140" s="85" t="s">
        <v>1508</v>
      </c>
      <c r="E140" s="86">
        <v>200</v>
      </c>
    </row>
    <row r="141" ht="16.5" spans="1:5">
      <c r="A141" s="81">
        <v>46198</v>
      </c>
      <c r="B141" s="10" t="s">
        <v>52</v>
      </c>
      <c r="C141" s="10" t="s">
        <v>51</v>
      </c>
      <c r="D141" s="105" t="s">
        <v>1511</v>
      </c>
      <c r="E141" s="86">
        <v>20</v>
      </c>
    </row>
    <row r="142" ht="16.5" spans="1:5">
      <c r="A142" s="81">
        <v>46199</v>
      </c>
      <c r="B142" s="10" t="s">
        <v>149</v>
      </c>
      <c r="C142" s="10" t="s">
        <v>148</v>
      </c>
      <c r="D142" s="85" t="s">
        <v>1525</v>
      </c>
      <c r="E142" s="86">
        <v>70</v>
      </c>
    </row>
    <row r="143" ht="16.5" spans="1:5">
      <c r="A143" s="81">
        <v>46199</v>
      </c>
      <c r="B143" s="10" t="s">
        <v>678</v>
      </c>
      <c r="C143" s="10" t="s">
        <v>207</v>
      </c>
      <c r="D143" s="85" t="s">
        <v>1525</v>
      </c>
      <c r="E143" s="86">
        <v>70</v>
      </c>
    </row>
  </sheetData>
  <autoFilter xmlns:etc="http://www.wps.cn/officeDocument/2017/etCustomData" ref="A1:H143" etc:filterBottomFollowUsedRange="0">
    <extLst/>
  </autoFilter>
  <conditionalFormatting sqref="C92">
    <cfRule type="duplicateValues" dxfId="0" priority="1"/>
  </conditionalFormatting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workbookViewId="0">
      <selection activeCell="L7" sqref="L7"/>
    </sheetView>
  </sheetViews>
  <sheetFormatPr defaultColWidth="9" defaultRowHeight="12.75"/>
  <cols>
    <col min="1" max="1" width="15.5" style="79" customWidth="1"/>
    <col min="2" max="2" width="31.125" style="64" customWidth="1"/>
    <col min="3" max="3" width="15.5" style="64" customWidth="1"/>
    <col min="4" max="4" width="16.625" style="64" customWidth="1"/>
    <col min="5" max="5" width="21.9083333333333" style="64" customWidth="1"/>
    <col min="6" max="8" width="15.875" style="64" customWidth="1"/>
    <col min="9" max="9" width="14.3333333333333" style="64" customWidth="1"/>
    <col min="10" max="16384" width="9" style="64"/>
  </cols>
  <sheetData>
    <row r="1" s="64" customFormat="1" ht="33" customHeight="1" spans="1:18">
      <c r="A1" s="80" t="s">
        <v>335</v>
      </c>
      <c r="B1" s="71" t="s">
        <v>1671</v>
      </c>
      <c r="C1" s="71" t="s">
        <v>3</v>
      </c>
      <c r="D1" s="71" t="s">
        <v>1871</v>
      </c>
      <c r="E1" s="71" t="s">
        <v>1872</v>
      </c>
      <c r="F1" s="71" t="s">
        <v>1675</v>
      </c>
      <c r="G1" s="71" t="s">
        <v>1588</v>
      </c>
      <c r="H1" s="71" t="s">
        <v>1873</v>
      </c>
    </row>
    <row r="2" s="64" customFormat="1" ht="60" customHeight="1" spans="1:18">
      <c r="A2" s="81">
        <v>46182</v>
      </c>
      <c r="B2" s="82" t="s">
        <v>1815</v>
      </c>
      <c r="C2" s="83"/>
      <c r="D2" s="83"/>
      <c r="E2" s="83" t="s">
        <v>1874</v>
      </c>
      <c r="F2" s="71"/>
      <c r="G2" s="71"/>
      <c r="H2" s="84">
        <v>3028</v>
      </c>
      <c r="I2" s="83" t="s">
        <v>1538</v>
      </c>
    </row>
    <row r="3" s="64" customFormat="1" ht="27" spans="1:18">
      <c r="A3" s="81">
        <v>46184</v>
      </c>
      <c r="B3" s="10" t="s">
        <v>1875</v>
      </c>
      <c r="C3" s="83"/>
      <c r="D3" s="82"/>
      <c r="E3" s="85" t="s">
        <v>1876</v>
      </c>
      <c r="F3" s="71"/>
      <c r="G3" s="71"/>
      <c r="H3" s="86">
        <v>1170</v>
      </c>
      <c r="I3" s="83" t="s">
        <v>1538</v>
      </c>
    </row>
    <row r="4" s="64" customFormat="1" ht="67.5" spans="1:18">
      <c r="A4" s="81">
        <v>46184</v>
      </c>
      <c r="B4" s="10" t="s">
        <v>1875</v>
      </c>
      <c r="C4" s="83"/>
      <c r="D4" s="82"/>
      <c r="E4" s="85" t="s">
        <v>1877</v>
      </c>
      <c r="F4" s="71"/>
      <c r="G4" s="71"/>
      <c r="H4" s="86">
        <v>496</v>
      </c>
      <c r="I4" s="83" t="s">
        <v>1538</v>
      </c>
    </row>
    <row r="5" s="64" customFormat="1" ht="67.5" spans="1:18">
      <c r="A5" s="87">
        <v>46186</v>
      </c>
      <c r="B5" s="10" t="s">
        <v>1878</v>
      </c>
      <c r="D5" s="83"/>
      <c r="E5" s="85" t="s">
        <v>1879</v>
      </c>
      <c r="F5" s="71"/>
      <c r="G5" s="71"/>
      <c r="H5" s="86">
        <v>365</v>
      </c>
      <c r="I5" s="64" t="s">
        <v>1538</v>
      </c>
    </row>
    <row r="6" s="64" customFormat="1" ht="25.5" spans="1:18">
      <c r="A6" s="80">
        <v>46189</v>
      </c>
      <c r="B6" s="10" t="s">
        <v>1878</v>
      </c>
      <c r="C6" s="71"/>
      <c r="D6" s="71"/>
      <c r="E6" s="88" t="s">
        <v>1880</v>
      </c>
      <c r="F6" s="71"/>
      <c r="G6" s="71"/>
      <c r="H6" s="71">
        <v>1116</v>
      </c>
    </row>
    <row r="7" s="64" customFormat="1" ht="76.5" spans="1:18">
      <c r="A7" s="80">
        <v>46189</v>
      </c>
      <c r="B7" s="10" t="s">
        <v>1878</v>
      </c>
      <c r="C7" s="71"/>
      <c r="D7" s="71"/>
      <c r="E7" s="88" t="s">
        <v>1881</v>
      </c>
      <c r="F7" s="71"/>
      <c r="G7" s="71"/>
      <c r="H7" s="71">
        <f>90+62+36.8+60+150+65</f>
        <v>463.8</v>
      </c>
      <c r="K7" s="89"/>
      <c r="L7" s="90"/>
      <c r="M7" s="90"/>
      <c r="N7" s="91"/>
      <c r="O7" s="92"/>
      <c r="P7" s="91"/>
      <c r="Q7" s="93"/>
      <c r="R7" s="90">
        <v>18</v>
      </c>
    </row>
    <row r="8" s="64" customFormat="1" ht="66" spans="1:18">
      <c r="A8" s="81">
        <v>46193</v>
      </c>
      <c r="B8" s="82" t="s">
        <v>1878</v>
      </c>
      <c r="C8" s="83"/>
      <c r="D8" s="82"/>
      <c r="E8" s="83" t="s">
        <v>1882</v>
      </c>
      <c r="F8" s="71"/>
      <c r="G8" s="71"/>
      <c r="H8" s="84">
        <f>195+340</f>
        <v>535</v>
      </c>
      <c r="K8" s="89"/>
      <c r="L8" s="90"/>
      <c r="M8" s="90"/>
      <c r="N8" s="91"/>
      <c r="O8" s="92"/>
      <c r="P8" s="91"/>
      <c r="Q8" s="93"/>
      <c r="R8" s="90">
        <v>28</v>
      </c>
    </row>
    <row r="9" s="64" customFormat="1" spans="1:18">
      <c r="A9" s="80"/>
      <c r="B9" s="71"/>
      <c r="C9" s="71"/>
      <c r="D9" s="71"/>
      <c r="E9" s="71"/>
      <c r="F9" s="71"/>
      <c r="G9" s="71"/>
      <c r="H9" s="71"/>
    </row>
    <row r="10" s="64" customFormat="1" spans="1:18">
      <c r="A10" s="80"/>
      <c r="B10" s="71"/>
      <c r="C10" s="71"/>
      <c r="D10" s="71"/>
      <c r="E10" s="71"/>
      <c r="F10" s="71"/>
      <c r="G10" s="71"/>
      <c r="H10" s="71"/>
    </row>
    <row r="11" s="64" customFormat="1" spans="1:18">
      <c r="A11" s="80"/>
      <c r="B11" s="71"/>
      <c r="C11" s="71"/>
      <c r="D11" s="71"/>
      <c r="E11" s="71"/>
      <c r="F11" s="71"/>
      <c r="G11" s="71"/>
      <c r="H11" s="71"/>
    </row>
    <row r="12" s="64" customFormat="1" spans="1:18">
      <c r="A12" s="80"/>
      <c r="B12" s="71"/>
      <c r="C12" s="71"/>
      <c r="D12" s="71"/>
      <c r="E12" s="71"/>
      <c r="F12" s="71"/>
      <c r="G12" s="71"/>
      <c r="H12" s="71"/>
    </row>
    <row r="13" s="64" customFormat="1" spans="1:18">
      <c r="A13" s="80"/>
      <c r="B13" s="71"/>
      <c r="C13" s="71"/>
      <c r="D13" s="71"/>
      <c r="E13" s="71"/>
      <c r="F13" s="71"/>
      <c r="G13" s="71"/>
      <c r="H13" s="71"/>
    </row>
    <row r="14" s="64" customFormat="1" spans="1:18">
      <c r="A14" s="80"/>
      <c r="B14" s="71"/>
      <c r="C14" s="71"/>
      <c r="D14" s="71"/>
      <c r="E14" s="71"/>
      <c r="F14" s="71"/>
      <c r="G14" s="71"/>
      <c r="H14" s="71"/>
    </row>
    <row r="15" s="64" customFormat="1" spans="1:18">
      <c r="A15" s="80"/>
      <c r="B15" s="71"/>
      <c r="C15" s="71"/>
      <c r="D15" s="71"/>
      <c r="E15" s="71"/>
      <c r="F15" s="71"/>
      <c r="G15" s="71"/>
      <c r="H15" s="71"/>
    </row>
    <row r="16" s="64" customFormat="1" spans="1:18">
      <c r="A16" s="80"/>
      <c r="B16" s="71"/>
      <c r="C16" s="71"/>
      <c r="D16" s="71"/>
      <c r="E16" s="71"/>
      <c r="F16" s="71"/>
      <c r="G16" s="71"/>
      <c r="H16" s="71"/>
    </row>
    <row r="17" s="64" customFormat="1" spans="1:8">
      <c r="A17" s="80"/>
      <c r="B17" s="71"/>
      <c r="C17" s="71"/>
      <c r="D17" s="71"/>
      <c r="E17" s="71"/>
      <c r="F17" s="71"/>
      <c r="G17" s="71"/>
      <c r="H17" s="71"/>
    </row>
    <row r="18" s="64" customFormat="1" spans="1:8">
      <c r="A18" s="80"/>
      <c r="B18" s="71"/>
      <c r="C18" s="71"/>
      <c r="D18" s="71"/>
      <c r="E18" s="71"/>
      <c r="F18" s="71"/>
      <c r="G18" s="71"/>
      <c r="H18" s="71"/>
    </row>
    <row r="19" s="64" customFormat="1" spans="1:8">
      <c r="A19" s="80"/>
      <c r="B19" s="71"/>
      <c r="C19" s="71"/>
      <c r="D19" s="71"/>
      <c r="E19" s="71"/>
      <c r="F19" s="71"/>
      <c r="G19" s="71"/>
      <c r="H19" s="71"/>
    </row>
    <row r="20" s="64" customFormat="1" spans="1:8">
      <c r="A20" s="80"/>
      <c r="B20" s="71"/>
      <c r="C20" s="71"/>
      <c r="D20" s="71"/>
      <c r="E20" s="71"/>
      <c r="F20" s="71"/>
      <c r="G20" s="71"/>
      <c r="H20" s="71"/>
    </row>
    <row r="21" s="64" customFormat="1" spans="1:8">
      <c r="A21" s="80"/>
      <c r="B21" s="71"/>
      <c r="C21" s="71"/>
      <c r="D21" s="71"/>
      <c r="E21" s="71"/>
      <c r="F21" s="71"/>
      <c r="G21" s="71"/>
      <c r="H21" s="71"/>
    </row>
    <row r="22" s="64" customFormat="1" spans="1:8">
      <c r="A22" s="80"/>
      <c r="B22" s="71"/>
      <c r="C22" s="71"/>
      <c r="D22" s="71"/>
      <c r="E22" s="71"/>
      <c r="F22" s="71"/>
      <c r="G22" s="71"/>
      <c r="H22" s="71"/>
    </row>
    <row r="23" s="64" customFormat="1" spans="1:8">
      <c r="A23" s="80"/>
      <c r="B23" s="71"/>
      <c r="C23" s="71"/>
      <c r="D23" s="71"/>
      <c r="E23" s="71"/>
      <c r="F23" s="71"/>
      <c r="G23" s="71"/>
      <c r="H23" s="71"/>
    </row>
    <row r="24" s="64" customFormat="1" spans="1:8">
      <c r="A24" s="80"/>
      <c r="B24" s="71"/>
      <c r="C24" s="71"/>
      <c r="D24" s="71"/>
      <c r="E24" s="71"/>
      <c r="F24" s="71"/>
      <c r="G24" s="71"/>
      <c r="H24" s="71"/>
    </row>
    <row r="25" s="64" customFormat="1" spans="1:8">
      <c r="A25" s="80"/>
      <c r="B25" s="71"/>
      <c r="C25" s="71"/>
      <c r="D25" s="71"/>
      <c r="E25" s="71"/>
      <c r="F25" s="71"/>
      <c r="G25" s="71"/>
      <c r="H25" s="71"/>
    </row>
    <row r="26" s="64" customFormat="1" spans="1:8">
      <c r="A26" s="80"/>
      <c r="B26" s="71"/>
      <c r="C26" s="71"/>
      <c r="D26" s="71"/>
      <c r="E26" s="71"/>
      <c r="F26" s="71"/>
      <c r="G26" s="71"/>
      <c r="H26" s="71"/>
    </row>
    <row r="27" s="64" customFormat="1" spans="1:8">
      <c r="A27" s="80"/>
      <c r="B27" s="71"/>
      <c r="C27" s="71"/>
      <c r="D27" s="71"/>
      <c r="E27" s="71"/>
      <c r="F27" s="71"/>
      <c r="G27" s="71"/>
      <c r="H27" s="71"/>
    </row>
    <row r="28" s="64" customFormat="1" spans="1:8">
      <c r="A28" s="80"/>
      <c r="B28" s="71"/>
      <c r="C28" s="71"/>
      <c r="D28" s="71"/>
      <c r="E28" s="71"/>
      <c r="F28" s="71"/>
      <c r="G28" s="71"/>
      <c r="H28" s="71"/>
    </row>
    <row r="29" s="64" customFormat="1" spans="1:8">
      <c r="A29" s="80"/>
      <c r="B29" s="71"/>
      <c r="C29" s="71"/>
      <c r="D29" s="71"/>
      <c r="E29" s="71"/>
      <c r="F29" s="71"/>
      <c r="G29" s="71"/>
      <c r="H29" s="71"/>
    </row>
    <row r="30" s="64" customFormat="1" spans="1:8">
      <c r="A30" s="80"/>
      <c r="B30" s="71"/>
      <c r="C30" s="71"/>
      <c r="D30" s="71"/>
      <c r="E30" s="71"/>
      <c r="F30" s="71"/>
      <c r="G30" s="71"/>
      <c r="H30" s="71"/>
    </row>
    <row r="31" s="64" customFormat="1" spans="1:8">
      <c r="A31" s="80"/>
      <c r="B31" s="71"/>
      <c r="C31" s="71"/>
      <c r="D31" s="71"/>
      <c r="E31" s="71"/>
      <c r="F31" s="71"/>
      <c r="G31" s="71"/>
      <c r="H31" s="71"/>
    </row>
    <row r="32" s="64" customFormat="1" spans="1:8">
      <c r="A32" s="80"/>
      <c r="B32" s="71"/>
      <c r="C32" s="71"/>
      <c r="D32" s="71"/>
      <c r="E32" s="71"/>
      <c r="F32" s="71"/>
      <c r="G32" s="71"/>
      <c r="H32" s="71"/>
    </row>
    <row r="33" s="64" customFormat="1" spans="1:8">
      <c r="A33" s="80"/>
      <c r="B33" s="71"/>
      <c r="C33" s="71"/>
      <c r="D33" s="71"/>
      <c r="E33" s="71"/>
      <c r="F33" s="71"/>
      <c r="G33" s="71"/>
      <c r="H33" s="71"/>
    </row>
    <row r="34" s="64" customFormat="1" spans="1:8">
      <c r="A34" s="80"/>
      <c r="B34" s="71"/>
      <c r="C34" s="71"/>
      <c r="D34" s="71"/>
      <c r="E34" s="71"/>
      <c r="F34" s="71"/>
      <c r="G34" s="71"/>
      <c r="H34" s="71"/>
    </row>
    <row r="35" s="64" customFormat="1" spans="1:8">
      <c r="A35" s="80"/>
      <c r="B35" s="71"/>
      <c r="C35" s="71"/>
      <c r="D35" s="71"/>
      <c r="E35" s="71"/>
      <c r="F35" s="71"/>
      <c r="G35" s="71"/>
      <c r="H35" s="71"/>
    </row>
    <row r="36" s="64" customFormat="1" spans="1:8">
      <c r="A36" s="80"/>
      <c r="B36" s="71"/>
      <c r="C36" s="71"/>
      <c r="D36" s="71"/>
      <c r="E36" s="71"/>
      <c r="F36" s="71"/>
      <c r="G36" s="71"/>
      <c r="H36" s="71"/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2"/>
  <sheetViews>
    <sheetView workbookViewId="0">
      <selection activeCell="H168" sqref="H168"/>
    </sheetView>
  </sheetViews>
  <sheetFormatPr defaultColWidth="8.725" defaultRowHeight="12.75"/>
  <cols>
    <col min="1" max="1" width="10.7583333333333" style="64" customWidth="1"/>
    <col min="2" max="2" width="5.75833333333333" style="64" customWidth="1"/>
    <col min="3" max="3" width="10.6333333333333" style="65" customWidth="1"/>
    <col min="4" max="4" width="9.25833333333333" style="65" customWidth="1"/>
    <col min="5" max="5" width="11" style="65" customWidth="1"/>
    <col min="6" max="12" width="8.13333333333333" style="64" customWidth="1"/>
    <col min="13" max="13" width="10.1333333333333" style="66" customWidth="1"/>
    <col min="14" max="14" width="8.13333333333333" style="64" customWidth="1"/>
    <col min="15" max="36" width="9.13333333333333" style="64" customWidth="1"/>
    <col min="37" max="16384" width="8.725" style="64"/>
  </cols>
  <sheetData>
    <row r="1" s="63" customFormat="1" ht="15" spans="1:36">
      <c r="A1" s="67" t="s">
        <v>25</v>
      </c>
      <c r="B1" s="68" t="s">
        <v>1883</v>
      </c>
      <c r="C1" s="69" t="s">
        <v>1884</v>
      </c>
      <c r="D1" s="69" t="s">
        <v>1885</v>
      </c>
      <c r="E1" s="69" t="s">
        <v>321</v>
      </c>
      <c r="F1" s="70">
        <v>46082</v>
      </c>
      <c r="G1" s="70">
        <v>46083</v>
      </c>
      <c r="H1" s="70">
        <v>46084</v>
      </c>
      <c r="I1" s="70">
        <v>46085</v>
      </c>
      <c r="J1" s="70">
        <v>46086</v>
      </c>
      <c r="K1" s="70">
        <v>46087</v>
      </c>
      <c r="L1" s="70">
        <v>46088</v>
      </c>
      <c r="M1" s="70">
        <v>46089</v>
      </c>
      <c r="N1" s="70">
        <v>46090</v>
      </c>
      <c r="O1" s="70">
        <v>46091</v>
      </c>
      <c r="P1" s="70">
        <v>46092</v>
      </c>
      <c r="Q1" s="70">
        <v>46093</v>
      </c>
      <c r="R1" s="70">
        <v>46094</v>
      </c>
      <c r="S1" s="70">
        <v>46095</v>
      </c>
      <c r="T1" s="70">
        <v>46096</v>
      </c>
      <c r="U1" s="70">
        <v>46097</v>
      </c>
      <c r="V1" s="70">
        <v>46098</v>
      </c>
      <c r="W1" s="70">
        <v>46099</v>
      </c>
      <c r="X1" s="70">
        <v>46100</v>
      </c>
      <c r="Y1" s="70">
        <v>46101</v>
      </c>
      <c r="Z1" s="70">
        <v>46102</v>
      </c>
      <c r="AA1" s="70">
        <v>46103</v>
      </c>
      <c r="AB1" s="70">
        <v>46104</v>
      </c>
      <c r="AC1" s="70">
        <v>46105</v>
      </c>
      <c r="AD1" s="70">
        <v>46106</v>
      </c>
      <c r="AE1" s="70">
        <v>46107</v>
      </c>
      <c r="AF1" s="70">
        <v>46108</v>
      </c>
      <c r="AG1" s="70">
        <v>46109</v>
      </c>
      <c r="AH1" s="70">
        <v>46110</v>
      </c>
      <c r="AI1" s="70">
        <v>46111</v>
      </c>
      <c r="AJ1" s="70">
        <v>46112</v>
      </c>
    </row>
    <row r="2" s="64" customFormat="1" ht="18" customHeight="1" spans="1:36">
      <c r="A2" s="10" t="s">
        <v>47</v>
      </c>
      <c r="B2" s="71">
        <v>2</v>
      </c>
      <c r="C2" s="72"/>
      <c r="D2" s="72"/>
      <c r="E2" s="72"/>
      <c r="F2" s="73"/>
      <c r="G2" s="73"/>
      <c r="H2" s="73"/>
      <c r="I2" s="73"/>
      <c r="J2" s="73"/>
      <c r="K2" s="73"/>
      <c r="L2" s="73"/>
      <c r="M2" s="73"/>
      <c r="N2" s="73"/>
      <c r="O2" s="73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1"/>
      <c r="AE2" s="71"/>
      <c r="AF2" s="71"/>
      <c r="AG2" s="71"/>
      <c r="AH2" s="71"/>
      <c r="AI2" s="73" t="s">
        <v>1886</v>
      </c>
      <c r="AJ2" s="71"/>
    </row>
    <row r="3" s="64" customFormat="1" ht="18" customHeight="1" spans="1:36">
      <c r="A3" s="10" t="s">
        <v>100</v>
      </c>
      <c r="B3" s="71">
        <v>2</v>
      </c>
      <c r="C3" s="72"/>
      <c r="D3" s="72"/>
      <c r="E3" s="72"/>
      <c r="F3" s="73"/>
      <c r="G3" s="73"/>
      <c r="H3" s="73"/>
      <c r="I3" s="73"/>
      <c r="J3" s="73"/>
      <c r="K3" s="73"/>
      <c r="L3" s="73"/>
      <c r="M3" s="73"/>
      <c r="N3" s="73"/>
      <c r="O3" s="73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1"/>
      <c r="AE3" s="71"/>
      <c r="AF3" s="71"/>
      <c r="AG3" s="71"/>
      <c r="AH3" s="71"/>
      <c r="AI3" s="73" t="s">
        <v>1887</v>
      </c>
      <c r="AJ3" s="71"/>
    </row>
    <row r="4" s="64" customFormat="1" ht="18" customHeight="1" spans="1:36">
      <c r="A4" s="73"/>
      <c r="B4" s="71"/>
      <c r="C4" s="72"/>
      <c r="D4" s="72"/>
      <c r="E4" s="72"/>
      <c r="F4" s="73"/>
      <c r="G4" s="73"/>
      <c r="H4" s="73"/>
      <c r="I4" s="73"/>
      <c r="J4" s="73"/>
      <c r="K4" s="73"/>
      <c r="L4" s="73"/>
      <c r="M4" s="73"/>
      <c r="N4" s="73"/>
      <c r="O4" s="73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1"/>
      <c r="AC4" s="71"/>
      <c r="AD4" s="71"/>
      <c r="AE4" s="71"/>
      <c r="AF4" s="71"/>
      <c r="AG4" s="71"/>
      <c r="AH4" s="71"/>
      <c r="AI4" s="73" t="s">
        <v>1888</v>
      </c>
      <c r="AJ4" s="71"/>
    </row>
    <row r="5" s="64" customFormat="1" ht="18" customHeight="1" spans="1:36">
      <c r="A5" s="74"/>
      <c r="B5" s="71"/>
      <c r="C5" s="72"/>
      <c r="D5" s="72"/>
      <c r="E5" s="72"/>
      <c r="F5" s="73"/>
      <c r="G5" s="73"/>
      <c r="H5" s="73"/>
      <c r="I5" s="73"/>
      <c r="J5" s="73"/>
      <c r="K5" s="73"/>
      <c r="L5" s="73"/>
      <c r="M5" s="73"/>
      <c r="N5" s="73"/>
      <c r="O5" s="73"/>
      <c r="P5" s="71"/>
      <c r="Q5" s="71"/>
      <c r="R5" s="71"/>
      <c r="S5" s="71"/>
      <c r="T5" s="71"/>
      <c r="U5" s="71"/>
      <c r="V5" s="74"/>
      <c r="W5" s="74"/>
      <c r="X5" s="74"/>
      <c r="Y5" s="74"/>
      <c r="Z5" s="74"/>
      <c r="AA5" s="74"/>
      <c r="AB5" s="71"/>
      <c r="AC5" s="71"/>
      <c r="AD5" s="71"/>
      <c r="AE5" s="71"/>
      <c r="AF5" s="71"/>
      <c r="AG5" s="71"/>
      <c r="AH5" s="71"/>
      <c r="AI5" s="73" t="s">
        <v>1889</v>
      </c>
      <c r="AJ5" s="71"/>
    </row>
    <row r="6" s="64" customFormat="1" ht="18" customHeight="1" spans="1:36">
      <c r="A6" s="74"/>
      <c r="B6" s="71"/>
      <c r="C6" s="72"/>
      <c r="D6" s="72"/>
      <c r="E6" s="72"/>
      <c r="F6" s="73"/>
      <c r="G6" s="73"/>
      <c r="H6" s="73"/>
      <c r="I6" s="73"/>
      <c r="J6" s="73"/>
      <c r="K6" s="73"/>
      <c r="L6" s="73"/>
      <c r="M6" s="73"/>
      <c r="N6" s="73"/>
      <c r="O6" s="73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3" t="s">
        <v>1890</v>
      </c>
      <c r="AJ6" s="71"/>
    </row>
    <row r="7" s="64" customFormat="1" ht="18" customHeight="1" spans="1:36">
      <c r="A7" s="73"/>
      <c r="B7" s="71"/>
      <c r="C7" s="72"/>
      <c r="D7" s="72"/>
      <c r="E7" s="72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1"/>
      <c r="AA7" s="71"/>
      <c r="AB7" s="71"/>
      <c r="AC7" s="71"/>
      <c r="AD7" s="71"/>
      <c r="AE7" s="71"/>
      <c r="AF7" s="71"/>
      <c r="AG7" s="71"/>
      <c r="AH7" s="71"/>
      <c r="AI7" s="73" t="s">
        <v>1891</v>
      </c>
      <c r="AJ7" s="71"/>
    </row>
    <row r="8" s="64" customFormat="1" ht="18" customHeight="1" spans="1:36">
      <c r="A8" s="75"/>
      <c r="B8" s="71"/>
      <c r="C8" s="72"/>
      <c r="D8" s="72"/>
      <c r="E8" s="72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</row>
    <row r="9" s="64" customFormat="1" ht="18" customHeight="1" spans="1:36">
      <c r="A9" s="75"/>
      <c r="B9" s="71"/>
      <c r="C9" s="72"/>
      <c r="D9" s="72"/>
      <c r="E9" s="72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</row>
    <row r="10" s="64" customFormat="1" ht="18" customHeight="1" spans="1:36">
      <c r="A10" s="75"/>
      <c r="B10" s="71"/>
      <c r="C10" s="72"/>
      <c r="D10" s="72"/>
      <c r="E10" s="72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</row>
    <row r="11" s="64" customFormat="1" ht="18" customHeight="1" spans="1:36">
      <c r="A11" s="76"/>
      <c r="B11" s="71"/>
      <c r="C11" s="72"/>
      <c r="D11" s="72"/>
      <c r="E11" s="72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</row>
    <row r="12" s="64" customFormat="1" ht="18" customHeight="1" spans="1:36">
      <c r="A12" s="76"/>
      <c r="B12" s="71"/>
      <c r="C12" s="72"/>
      <c r="D12" s="72"/>
      <c r="E12" s="72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</row>
    <row r="13" s="64" customFormat="1" ht="18" customHeight="1" spans="1:36">
      <c r="A13" s="76"/>
      <c r="B13" s="71"/>
      <c r="C13" s="72"/>
      <c r="D13" s="72"/>
      <c r="E13" s="72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1"/>
      <c r="V13" s="76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</row>
    <row r="14" s="64" customFormat="1" spans="1:36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7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</row>
    <row r="15" s="64" customFormat="1" spans="1:36">
      <c r="C15" s="65"/>
      <c r="D15" s="65"/>
      <c r="E15" s="65"/>
      <c r="F15" s="66"/>
      <c r="G15" s="66"/>
      <c r="J15" s="66"/>
      <c r="M15" s="66"/>
      <c r="W15" s="66"/>
      <c r="AI15" s="66"/>
    </row>
    <row r="16" s="64" customFormat="1" spans="1:36">
      <c r="C16" s="65"/>
      <c r="D16" s="65"/>
      <c r="E16" s="65"/>
      <c r="F16" s="66"/>
      <c r="G16" s="66"/>
      <c r="J16" s="66"/>
      <c r="M16" s="66"/>
      <c r="W16" s="66"/>
    </row>
    <row r="17" s="64" customFormat="1" spans="3:15">
      <c r="C17" s="65"/>
      <c r="D17" s="65"/>
      <c r="E17" s="65"/>
      <c r="M17" s="66"/>
    </row>
    <row r="18" s="64" customFormat="1" spans="3:15">
      <c r="C18" s="65"/>
      <c r="D18" s="65"/>
      <c r="E18" s="65"/>
      <c r="M18" s="66"/>
    </row>
    <row r="19" s="64" customFormat="1" spans="3:15">
      <c r="C19" s="65"/>
      <c r="D19" s="65"/>
      <c r="E19" s="65"/>
      <c r="M19" s="66"/>
    </row>
    <row r="20" s="64" customFormat="1" spans="3:15">
      <c r="C20" s="65"/>
      <c r="D20" s="65"/>
      <c r="E20" s="65"/>
      <c r="M20" s="66"/>
    </row>
    <row r="21" s="64" customFormat="1" spans="3:15">
      <c r="C21" s="65"/>
      <c r="D21" s="65"/>
      <c r="E21" s="65"/>
      <c r="M21" s="66"/>
      <c r="O21" s="78"/>
    </row>
    <row r="22" s="64" customFormat="1" spans="3:15">
      <c r="C22" s="65"/>
      <c r="D22" s="65"/>
      <c r="E22" s="65"/>
      <c r="M22" s="66"/>
      <c r="O22" s="78"/>
    </row>
    <row r="23" s="64" customFormat="1" spans="3:15">
      <c r="C23" s="65"/>
      <c r="D23" s="65"/>
      <c r="E23" s="65"/>
      <c r="M23" s="66"/>
      <c r="O23" s="78"/>
    </row>
    <row r="24" s="64" customFormat="1" spans="3:15">
      <c r="C24" s="65"/>
      <c r="D24" s="65"/>
      <c r="E24" s="65"/>
      <c r="M24" s="66"/>
      <c r="O24" s="78"/>
    </row>
    <row r="25" s="64" customFormat="1" spans="3:15">
      <c r="C25" s="65"/>
      <c r="D25" s="65"/>
      <c r="E25" s="65"/>
      <c r="M25" s="66"/>
      <c r="O25" s="78"/>
    </row>
    <row r="26" s="64" customFormat="1" spans="3:15">
      <c r="C26" s="65"/>
      <c r="D26" s="65"/>
      <c r="E26" s="65"/>
      <c r="M26" s="66"/>
      <c r="O26" s="78"/>
    </row>
    <row r="27" s="64" customFormat="1" spans="3:15">
      <c r="C27" s="65"/>
      <c r="D27" s="65"/>
      <c r="E27" s="65"/>
      <c r="M27" s="66"/>
      <c r="O27" s="78"/>
    </row>
    <row r="28" s="64" customFormat="1" spans="3:15">
      <c r="C28" s="65"/>
      <c r="D28" s="65"/>
      <c r="E28" s="65"/>
      <c r="M28" s="66"/>
      <c r="O28" s="78"/>
    </row>
    <row r="29" s="64" customFormat="1" spans="3:15">
      <c r="C29" s="65"/>
      <c r="D29" s="65"/>
      <c r="E29" s="65"/>
      <c r="M29" s="66"/>
      <c r="O29" s="78"/>
    </row>
    <row r="30" s="64" customFormat="1" spans="3:15">
      <c r="C30" s="65"/>
      <c r="D30" s="65"/>
      <c r="E30" s="65"/>
      <c r="M30" s="66"/>
      <c r="O30" s="78"/>
    </row>
    <row r="31" s="64" customFormat="1" spans="3:15">
      <c r="C31" s="65"/>
      <c r="D31" s="65"/>
      <c r="E31" s="65"/>
      <c r="M31" s="66"/>
      <c r="O31" s="78"/>
    </row>
    <row r="32" s="64" customFormat="1" spans="3:15">
      <c r="C32" s="65"/>
      <c r="D32" s="65"/>
      <c r="E32" s="65"/>
      <c r="M32" s="66"/>
      <c r="O32" s="78"/>
    </row>
    <row r="33" s="64" customFormat="1" spans="3:15">
      <c r="C33" s="65"/>
      <c r="D33" s="65"/>
      <c r="E33" s="65"/>
      <c r="M33" s="66"/>
      <c r="O33" s="78"/>
    </row>
    <row r="34" s="64" customFormat="1" spans="3:15">
      <c r="C34" s="65"/>
      <c r="D34" s="65"/>
      <c r="E34" s="65"/>
      <c r="M34" s="66"/>
      <c r="O34" s="78"/>
    </row>
    <row r="35" s="64" customFormat="1" spans="3:15">
      <c r="C35" s="65"/>
      <c r="D35" s="65"/>
      <c r="E35" s="65"/>
      <c r="M35" s="66"/>
      <c r="O35" s="78"/>
    </row>
    <row r="36" s="64" customFormat="1" spans="3:15">
      <c r="C36" s="65"/>
      <c r="D36" s="65"/>
      <c r="E36" s="65"/>
      <c r="M36" s="66"/>
      <c r="O36" s="78"/>
    </row>
    <row r="37" s="64" customFormat="1" spans="3:15">
      <c r="C37" s="65"/>
      <c r="D37" s="65"/>
      <c r="E37" s="65"/>
      <c r="M37" s="66"/>
      <c r="O37" s="78"/>
    </row>
    <row r="38" s="64" customFormat="1" spans="3:15">
      <c r="C38" s="65"/>
      <c r="D38" s="65"/>
      <c r="E38" s="65"/>
      <c r="M38" s="66"/>
      <c r="O38" s="78"/>
    </row>
    <row r="39" s="64" customFormat="1" spans="3:15">
      <c r="C39" s="65"/>
      <c r="D39" s="65"/>
      <c r="E39" s="65"/>
      <c r="M39" s="66"/>
      <c r="O39" s="78"/>
    </row>
    <row r="40" s="64" customFormat="1" spans="3:15">
      <c r="C40" s="65"/>
      <c r="D40" s="65"/>
      <c r="E40" s="65"/>
      <c r="M40" s="66"/>
      <c r="O40" s="78"/>
    </row>
    <row r="41" s="64" customFormat="1" spans="3:15">
      <c r="C41" s="65"/>
      <c r="D41" s="65"/>
      <c r="E41" s="65"/>
      <c r="M41" s="66"/>
      <c r="O41" s="78"/>
    </row>
    <row r="42" s="64" customFormat="1" spans="3:15">
      <c r="C42" s="65"/>
      <c r="D42" s="65"/>
      <c r="E42" s="65"/>
      <c r="M42" s="66"/>
      <c r="O42" s="78"/>
    </row>
    <row r="43" s="64" customFormat="1" spans="3:15">
      <c r="C43" s="65"/>
      <c r="D43" s="65"/>
      <c r="E43" s="65"/>
      <c r="M43" s="66"/>
      <c r="O43" s="78"/>
    </row>
    <row r="44" s="64" customFormat="1" spans="3:15">
      <c r="C44" s="65"/>
      <c r="D44" s="65"/>
      <c r="E44" s="65"/>
      <c r="M44" s="66"/>
      <c r="O44" s="78"/>
    </row>
    <row r="45" s="64" customFormat="1" spans="3:15">
      <c r="C45" s="65"/>
      <c r="D45" s="65"/>
      <c r="E45" s="65"/>
      <c r="M45" s="66"/>
      <c r="O45" s="78"/>
    </row>
    <row r="46" s="64" customFormat="1" spans="3:15">
      <c r="C46" s="65"/>
      <c r="D46" s="65"/>
      <c r="E46" s="65"/>
      <c r="M46" s="66"/>
      <c r="O46" s="78"/>
    </row>
    <row r="47" s="64" customFormat="1" spans="3:15">
      <c r="C47" s="65"/>
      <c r="D47" s="65"/>
      <c r="E47" s="65"/>
      <c r="M47" s="66"/>
      <c r="O47" s="78"/>
    </row>
    <row r="48" s="64" customFormat="1" spans="3:15">
      <c r="C48" s="65"/>
      <c r="D48" s="65"/>
      <c r="E48" s="65"/>
      <c r="M48" s="66"/>
      <c r="O48" s="78"/>
    </row>
    <row r="49" s="64" customFormat="1" spans="3:15">
      <c r="C49" s="65"/>
      <c r="D49" s="65"/>
      <c r="E49" s="65"/>
      <c r="M49" s="66"/>
      <c r="O49" s="78"/>
    </row>
    <row r="50" s="64" customFormat="1" spans="3:15">
      <c r="C50" s="65"/>
      <c r="D50" s="65"/>
      <c r="E50" s="65"/>
      <c r="M50" s="66"/>
      <c r="O50" s="78"/>
    </row>
    <row r="51" s="64" customFormat="1" spans="3:15">
      <c r="C51" s="65"/>
      <c r="D51" s="65"/>
      <c r="E51" s="65"/>
      <c r="M51" s="66"/>
      <c r="O51" s="78"/>
    </row>
    <row r="52" s="64" customFormat="1" spans="3:15">
      <c r="C52" s="65"/>
      <c r="D52" s="65"/>
      <c r="E52" s="65"/>
      <c r="M52" s="66"/>
      <c r="O52" s="78"/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workbookViewId="0">
      <selection activeCell="H20" sqref="H20"/>
    </sheetView>
  </sheetViews>
  <sheetFormatPr defaultColWidth="9" defaultRowHeight="13.5"/>
  <cols>
    <col min="1" max="2" width="9" style="20"/>
    <col min="3" max="3" width="14.1333333333333" style="21"/>
    <col min="4" max="4" width="12.8833333333333" style="21" customWidth="1"/>
    <col min="5" max="6" width="15.225" style="21" customWidth="1"/>
    <col min="7" max="7" width="14.1333333333333" style="21"/>
    <col min="8" max="8" width="12.3833333333333" style="20" customWidth="1"/>
    <col min="9" max="9" width="13.4416666666667" style="20" customWidth="1"/>
    <col min="10" max="11" width="12.6333333333333" style="20" customWidth="1"/>
    <col min="12" max="12" width="8.875" style="20" customWidth="1"/>
    <col min="13" max="13" width="9.88333333333333" style="20" customWidth="1"/>
    <col min="14" max="14" width="9.125" style="20" customWidth="1"/>
    <col min="15" max="15" width="11.625" style="21"/>
    <col min="16" max="16" width="25.4416666666667" style="20" customWidth="1"/>
    <col min="17" max="32" width="9.88333333333333" style="20"/>
    <col min="33" max="16384" width="9" style="20"/>
  </cols>
  <sheetData>
    <row r="1" s="20" customFormat="1" ht="38" customHeight="1" spans="1:16">
      <c r="A1" s="50" t="s">
        <v>1892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s="20" customFormat="1" ht="30" customHeight="1" spans="1:16">
      <c r="A2" s="51" t="s">
        <v>2</v>
      </c>
      <c r="B2" s="52" t="s">
        <v>1893</v>
      </c>
      <c r="C2" s="52" t="s">
        <v>1894</v>
      </c>
      <c r="D2" s="53" t="s">
        <v>1895</v>
      </c>
      <c r="E2" s="53" t="s">
        <v>321</v>
      </c>
      <c r="F2" s="54" t="s">
        <v>1885</v>
      </c>
      <c r="G2" s="54" t="s">
        <v>1896</v>
      </c>
      <c r="H2" s="54" t="s">
        <v>1897</v>
      </c>
      <c r="I2" s="54" t="s">
        <v>1898</v>
      </c>
      <c r="J2" s="54" t="s">
        <v>1899</v>
      </c>
      <c r="K2" s="54" t="s">
        <v>39</v>
      </c>
      <c r="L2" s="54" t="s">
        <v>1900</v>
      </c>
      <c r="M2" s="54" t="s">
        <v>1901</v>
      </c>
      <c r="N2" s="54" t="s">
        <v>1902</v>
      </c>
      <c r="O2" s="54" t="s">
        <v>1903</v>
      </c>
      <c r="P2" s="8" t="s">
        <v>875</v>
      </c>
    </row>
    <row r="3" s="20" customFormat="1" ht="30" customHeight="1" spans="1:16">
      <c r="A3" s="55">
        <v>1</v>
      </c>
      <c r="B3" s="4" t="s">
        <v>47</v>
      </c>
      <c r="C3" s="55">
        <v>31</v>
      </c>
      <c r="D3" s="56">
        <f>8000</f>
        <v>8000</v>
      </c>
      <c r="E3" s="56">
        <v>1000</v>
      </c>
      <c r="F3" s="56"/>
      <c r="G3" s="56"/>
      <c r="H3" s="56"/>
      <c r="I3" s="56">
        <f>1000+5000</f>
        <v>6000</v>
      </c>
      <c r="J3" s="56"/>
      <c r="K3" s="56"/>
      <c r="L3" s="56"/>
      <c r="M3" s="56"/>
      <c r="N3" s="56"/>
      <c r="O3" s="56">
        <f>(D3+E3)/31*C3-I3</f>
        <v>3000</v>
      </c>
      <c r="P3" s="57"/>
    </row>
    <row r="4" s="20" customFormat="1" ht="30" customHeight="1" spans="1:16">
      <c r="A4" s="55">
        <v>2</v>
      </c>
      <c r="B4" s="4" t="s">
        <v>1904</v>
      </c>
      <c r="C4" s="55">
        <v>31</v>
      </c>
      <c r="D4" s="56">
        <v>14200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>
        <f>(D4+E4)/31*C4</f>
        <v>14200</v>
      </c>
      <c r="P4" s="57"/>
    </row>
    <row r="5" s="20" customFormat="1" ht="30" customHeight="1" spans="1:16">
      <c r="A5" s="55">
        <v>3</v>
      </c>
      <c r="B5" s="58" t="s">
        <v>894</v>
      </c>
      <c r="C5" s="55">
        <v>31</v>
      </c>
      <c r="D5" s="56">
        <v>3500</v>
      </c>
      <c r="E5" s="56"/>
      <c r="F5" s="56"/>
      <c r="G5" s="56"/>
      <c r="H5" s="56"/>
      <c r="I5" s="56"/>
      <c r="J5" s="56"/>
      <c r="K5" s="56"/>
      <c r="L5" s="56"/>
      <c r="M5" s="56"/>
      <c r="N5" s="56"/>
      <c r="O5" s="56">
        <f>(D5+E5)/31*C5</f>
        <v>3500</v>
      </c>
      <c r="P5" s="57"/>
    </row>
    <row r="6" s="20" customFormat="1" ht="30" customHeight="1" spans="1:16">
      <c r="A6" s="55">
        <v>4</v>
      </c>
      <c r="B6" s="58" t="s">
        <v>943</v>
      </c>
      <c r="C6" s="55">
        <v>31</v>
      </c>
      <c r="D6" s="56">
        <v>2500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>
        <f>(D6+E6)/31*C6</f>
        <v>2500</v>
      </c>
      <c r="P6" s="57"/>
    </row>
    <row r="7" s="20" customFormat="1" ht="30" customHeight="1" spans="1:16">
      <c r="A7" s="55">
        <v>5</v>
      </c>
      <c r="B7" s="58" t="s">
        <v>1905</v>
      </c>
      <c r="C7" s="55">
        <v>31</v>
      </c>
      <c r="D7" s="56">
        <v>1000</v>
      </c>
      <c r="E7" s="56"/>
      <c r="F7" s="56"/>
      <c r="G7" s="56"/>
      <c r="H7" s="56"/>
      <c r="I7" s="56"/>
      <c r="J7" s="56"/>
      <c r="K7" s="56"/>
      <c r="L7" s="56"/>
      <c r="M7" s="56"/>
      <c r="N7" s="56"/>
      <c r="O7" s="56">
        <f>(D7+E7)/31*C7</f>
        <v>1000</v>
      </c>
      <c r="P7" s="57"/>
    </row>
    <row r="8" s="20" customFormat="1" ht="30" customHeight="1" spans="1:16">
      <c r="A8" s="55">
        <v>6</v>
      </c>
      <c r="B8" s="58" t="s">
        <v>146</v>
      </c>
      <c r="C8" s="55">
        <v>31</v>
      </c>
      <c r="D8" s="56">
        <v>8000</v>
      </c>
      <c r="E8" s="56">
        <v>1000</v>
      </c>
      <c r="F8" s="56"/>
      <c r="G8" s="56"/>
      <c r="H8" s="56"/>
      <c r="I8" s="56"/>
      <c r="J8" s="56"/>
      <c r="K8" s="56"/>
      <c r="L8" s="56"/>
      <c r="M8" s="56"/>
      <c r="N8" s="56"/>
      <c r="O8" s="56">
        <f>(D8+E8)/31*C8</f>
        <v>9000</v>
      </c>
      <c r="P8" s="57"/>
    </row>
    <row r="9" s="20" customFormat="1" ht="30" customHeight="1" spans="1:16">
      <c r="A9" s="55">
        <v>7</v>
      </c>
      <c r="B9" s="58" t="s">
        <v>119</v>
      </c>
      <c r="C9" s="55">
        <v>23</v>
      </c>
      <c r="D9" s="56">
        <v>8000</v>
      </c>
      <c r="E9" s="56">
        <v>1000</v>
      </c>
      <c r="F9" s="56"/>
      <c r="G9" s="56"/>
      <c r="H9" s="56"/>
      <c r="I9" s="56"/>
      <c r="J9" s="56"/>
      <c r="K9" s="56"/>
      <c r="L9" s="56"/>
      <c r="M9" s="56"/>
      <c r="N9" s="56"/>
      <c r="O9" s="56">
        <f>D9/31*C9+E9</f>
        <v>6935.48387096774</v>
      </c>
      <c r="P9" s="57"/>
    </row>
    <row r="10" s="20" customFormat="1" ht="30" customHeight="1" spans="1:16">
      <c r="A10" s="13" t="s">
        <v>238</v>
      </c>
      <c r="B10" s="59"/>
      <c r="C10" s="60"/>
      <c r="D10" s="60">
        <f t="shared" ref="D10:O10" si="0">SUM(D3:D9)</f>
        <v>45200</v>
      </c>
      <c r="E10" s="60">
        <f t="shared" si="0"/>
        <v>3000</v>
      </c>
      <c r="F10" s="60">
        <f t="shared" si="0"/>
        <v>0</v>
      </c>
      <c r="G10" s="60">
        <f t="shared" si="0"/>
        <v>0</v>
      </c>
      <c r="H10" s="60">
        <f t="shared" si="0"/>
        <v>0</v>
      </c>
      <c r="I10" s="60">
        <f t="shared" si="0"/>
        <v>6000</v>
      </c>
      <c r="J10" s="60">
        <f t="shared" si="0"/>
        <v>0</v>
      </c>
      <c r="K10" s="60">
        <f t="shared" si="0"/>
        <v>0</v>
      </c>
      <c r="L10" s="60">
        <f t="shared" si="0"/>
        <v>0</v>
      </c>
      <c r="M10" s="60">
        <f t="shared" si="0"/>
        <v>0</v>
      </c>
      <c r="N10" s="60">
        <f t="shared" si="0"/>
        <v>0</v>
      </c>
      <c r="O10" s="60">
        <f t="shared" si="0"/>
        <v>40135.4838709677</v>
      </c>
      <c r="P10" s="61"/>
    </row>
    <row r="16" s="20" customFormat="1" spans="1:16">
      <c r="C16" s="21"/>
      <c r="D16" s="21"/>
      <c r="E16" s="21"/>
      <c r="F16" s="21"/>
      <c r="G16" s="21"/>
      <c r="O16" s="21"/>
    </row>
    <row r="17" s="20" customFormat="1" spans="3:15">
      <c r="C17" s="21"/>
      <c r="D17" s="21"/>
      <c r="E17" s="21"/>
      <c r="F17" s="62"/>
      <c r="G17" s="21"/>
      <c r="O17" s="21"/>
    </row>
    <row r="18" s="20" customFormat="1" spans="3:15">
      <c r="C18" s="21"/>
      <c r="D18" s="21"/>
      <c r="E18" s="21"/>
      <c r="F18" s="62"/>
      <c r="G18" s="21"/>
      <c r="O18" s="21"/>
    </row>
    <row r="19" s="20" customFormat="1" spans="3:15">
      <c r="C19" s="21"/>
      <c r="D19" s="21"/>
      <c r="E19" s="62"/>
      <c r="F19" s="62"/>
      <c r="G19" s="21"/>
      <c r="O19" s="21"/>
    </row>
    <row r="20" s="20" customFormat="1" spans="3:15">
      <c r="C20" s="21"/>
      <c r="D20" s="21"/>
      <c r="E20" s="62"/>
      <c r="F20" s="62"/>
      <c r="G20" s="21"/>
      <c r="O20" s="21"/>
    </row>
    <row r="21" s="20" customFormat="1" spans="3:15">
      <c r="C21" s="21"/>
      <c r="D21" s="21"/>
      <c r="E21" s="21"/>
      <c r="F21" s="62"/>
      <c r="G21" s="21"/>
      <c r="O21" s="21"/>
    </row>
    <row r="22" s="20" customFormat="1" spans="3:15">
      <c r="C22" s="21"/>
      <c r="D22" s="21"/>
      <c r="E22" s="62"/>
      <c r="F22" s="62"/>
      <c r="G22" s="21"/>
      <c r="O22" s="21"/>
    </row>
    <row r="23" s="20" customFormat="1" spans="3:15">
      <c r="C23" s="21"/>
      <c r="D23" s="21"/>
      <c r="E23" s="21"/>
      <c r="F23" s="62"/>
      <c r="G23" s="21"/>
      <c r="O23" s="21"/>
    </row>
    <row r="24" s="20" customFormat="1" spans="3:15">
      <c r="C24" s="21"/>
      <c r="D24" s="21"/>
      <c r="E24" s="62"/>
      <c r="F24" s="62"/>
      <c r="G24" s="21"/>
      <c r="O24" s="21"/>
    </row>
    <row r="25" s="20" customFormat="1" spans="3:15">
      <c r="C25" s="21"/>
      <c r="D25" s="21"/>
      <c r="E25" s="62"/>
      <c r="F25" s="62"/>
      <c r="G25" s="21"/>
      <c r="O25" s="21"/>
    </row>
    <row r="26" s="20" customFormat="1" spans="3:15">
      <c r="C26" s="21"/>
      <c r="D26" s="21"/>
      <c r="E26" s="62"/>
      <c r="F26" s="62"/>
      <c r="G26" s="21"/>
      <c r="O26" s="21"/>
    </row>
    <row r="27" s="20" customFormat="1" spans="3:15">
      <c r="C27" s="21"/>
      <c r="D27" s="21"/>
      <c r="E27" s="62"/>
      <c r="F27" s="62"/>
      <c r="G27" s="21"/>
      <c r="O27" s="21"/>
    </row>
    <row r="28" s="20" customFormat="1" spans="3:15">
      <c r="C28" s="21"/>
      <c r="D28" s="21"/>
      <c r="E28" s="62"/>
      <c r="F28" s="62"/>
      <c r="G28" s="21"/>
      <c r="O28" s="21"/>
    </row>
    <row r="29" s="20" customFormat="1" spans="3:15">
      <c r="C29" s="21"/>
      <c r="D29" s="21"/>
      <c r="E29" s="62"/>
      <c r="F29" s="62"/>
      <c r="G29" s="21"/>
      <c r="O29" s="21"/>
    </row>
    <row r="30" s="20" customFormat="1" spans="3:15">
      <c r="C30" s="21"/>
      <c r="D30" s="21"/>
      <c r="E30" s="62"/>
      <c r="F30" s="62"/>
      <c r="G30" s="21"/>
      <c r="O30" s="21"/>
    </row>
    <row r="31" s="20" customFormat="1" spans="3:15">
      <c r="C31" s="21"/>
      <c r="D31" s="21"/>
      <c r="E31" s="62"/>
      <c r="F31" s="62"/>
      <c r="G31" s="21"/>
      <c r="O31" s="21"/>
    </row>
    <row r="32" s="20" customFormat="1" spans="3:15">
      <c r="C32" s="21"/>
      <c r="D32" s="21"/>
      <c r="E32" s="62"/>
      <c r="F32" s="62"/>
      <c r="G32" s="21"/>
      <c r="O32" s="21"/>
    </row>
    <row r="33" s="20" customFormat="1" spans="3:15">
      <c r="C33" s="21"/>
      <c r="D33" s="21"/>
      <c r="E33" s="62"/>
      <c r="F33" s="62"/>
      <c r="G33" s="21"/>
      <c r="O33" s="21"/>
    </row>
    <row r="34" s="20" customFormat="1" spans="3:15">
      <c r="C34" s="21"/>
      <c r="D34" s="21"/>
      <c r="E34" s="62"/>
      <c r="F34" s="62"/>
      <c r="G34" s="21"/>
      <c r="O34" s="21"/>
    </row>
    <row r="35" s="20" customFormat="1" spans="3:15">
      <c r="C35" s="21"/>
      <c r="D35" s="21"/>
      <c r="E35" s="62"/>
      <c r="F35" s="62"/>
      <c r="G35" s="21"/>
      <c r="O35" s="21"/>
    </row>
    <row r="36" s="20" customFormat="1" spans="3:15">
      <c r="C36" s="21"/>
      <c r="D36" s="21"/>
      <c r="E36" s="62"/>
      <c r="F36" s="62"/>
      <c r="G36" s="21"/>
      <c r="O36" s="21"/>
    </row>
    <row r="37" s="20" customFormat="1" spans="3:15">
      <c r="C37" s="21"/>
      <c r="D37" s="21"/>
      <c r="E37" s="62"/>
      <c r="F37" s="62"/>
      <c r="G37" s="21"/>
      <c r="O37" s="21"/>
    </row>
    <row r="38" s="20" customFormat="1" spans="3:15">
      <c r="C38" s="21"/>
      <c r="D38" s="21"/>
      <c r="E38" s="62"/>
      <c r="F38" s="62"/>
      <c r="G38" s="21"/>
      <c r="O38" s="21"/>
    </row>
    <row r="39" s="20" customFormat="1" spans="3:15">
      <c r="C39" s="21"/>
      <c r="D39" s="21"/>
      <c r="E39" s="62"/>
      <c r="F39" s="62"/>
      <c r="G39" s="21"/>
      <c r="O39" s="21"/>
    </row>
    <row r="40" s="20" customFormat="1" spans="3:15">
      <c r="C40" s="21"/>
      <c r="D40" s="21"/>
      <c r="E40" s="62"/>
      <c r="F40" s="62"/>
      <c r="G40" s="21"/>
      <c r="O40" s="21"/>
    </row>
    <row r="41" s="20" customFormat="1" spans="3:15">
      <c r="C41" s="21"/>
      <c r="D41" s="21"/>
      <c r="E41" s="62"/>
      <c r="F41" s="62"/>
      <c r="G41" s="21"/>
      <c r="O41" s="21"/>
    </row>
    <row r="42" s="20" customFormat="1" spans="3:15">
      <c r="C42" s="21"/>
      <c r="D42" s="21"/>
      <c r="E42" s="62"/>
      <c r="F42" s="62"/>
      <c r="G42" s="21"/>
      <c r="O42" s="21"/>
    </row>
    <row r="43" s="20" customFormat="1" spans="3:15">
      <c r="C43" s="21"/>
      <c r="D43" s="21"/>
      <c r="E43" s="62"/>
      <c r="F43" s="62"/>
      <c r="G43" s="21"/>
      <c r="O43" s="21"/>
    </row>
    <row r="44" s="20" customFormat="1" spans="3:15">
      <c r="C44" s="21"/>
      <c r="D44" s="21"/>
      <c r="E44" s="62"/>
      <c r="F44" s="62"/>
      <c r="G44" s="21"/>
      <c r="O44" s="21"/>
    </row>
    <row r="45" s="20" customFormat="1" spans="3:15">
      <c r="C45" s="21"/>
      <c r="D45" s="21"/>
      <c r="E45" s="21"/>
      <c r="F45" s="62"/>
      <c r="G45" s="21"/>
      <c r="O45" s="21"/>
    </row>
    <row r="46" s="20" customFormat="1" spans="3:15">
      <c r="C46" s="21"/>
      <c r="D46" s="21"/>
      <c r="E46" s="21"/>
      <c r="F46" s="62"/>
      <c r="G46" s="21"/>
      <c r="O46" s="21"/>
    </row>
    <row r="47" s="20" customFormat="1" spans="3:15">
      <c r="C47" s="21"/>
      <c r="D47" s="21"/>
      <c r="E47" s="21"/>
      <c r="F47" s="62"/>
      <c r="G47" s="21"/>
      <c r="O47" s="21"/>
    </row>
    <row r="48" s="20" customFormat="1" spans="3:15">
      <c r="C48" s="21"/>
      <c r="D48" s="21"/>
      <c r="E48" s="21"/>
      <c r="F48" s="62"/>
      <c r="G48" s="21"/>
      <c r="O48" s="21"/>
    </row>
    <row r="49" s="20" customFormat="1" spans="3:15">
      <c r="C49" s="21"/>
      <c r="D49" s="21"/>
      <c r="E49" s="21"/>
      <c r="F49" s="62"/>
      <c r="G49" s="21"/>
      <c r="O49" s="21"/>
    </row>
    <row r="50" s="20" customFormat="1" spans="3:15">
      <c r="C50" s="21"/>
      <c r="D50" s="21"/>
      <c r="E50" s="21"/>
      <c r="F50" s="62"/>
      <c r="G50" s="21"/>
      <c r="O50" s="21"/>
    </row>
  </sheetData>
  <mergeCells count="1">
    <mergeCell ref="A1:P1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9"/>
  <sheetViews>
    <sheetView workbookViewId="0">
      <selection activeCell="M14" sqref="M14"/>
    </sheetView>
  </sheetViews>
  <sheetFormatPr defaultColWidth="8.725" defaultRowHeight="13.5"/>
  <cols>
    <col min="1" max="1" width="6.88333333333333" style="20" customWidth="1"/>
    <col min="2" max="2" width="9.75833333333333" style="20" customWidth="1"/>
    <col min="3" max="3" width="8.88333333333333" style="20" customWidth="1"/>
    <col min="4" max="4" width="10.3833333333333" style="21" customWidth="1"/>
    <col min="5" max="5" width="11.6333333333333" style="22" customWidth="1"/>
    <col min="6" max="6" width="11.7583333333333" style="21" customWidth="1"/>
    <col min="7" max="7" width="12.7583333333333" style="21" customWidth="1"/>
    <col min="8" max="8" width="8.88333333333333" style="21" customWidth="1"/>
    <col min="9" max="9" width="10.8916666666667" style="21" customWidth="1"/>
    <col min="10" max="10" width="7.75833333333333" style="21" customWidth="1"/>
    <col min="11" max="11" width="11.1083333333333" style="21" customWidth="1"/>
    <col min="12" max="13" width="10.2583333333333" style="21" customWidth="1"/>
    <col min="14" max="14" width="11.5" style="21" customWidth="1"/>
    <col min="15" max="15" width="15.375" style="21" customWidth="1"/>
    <col min="16" max="16" width="11.875" style="22" customWidth="1"/>
    <col min="17" max="17" width="31.375" style="20" customWidth="1"/>
    <col min="18" max="30" width="8.725" style="20"/>
    <col min="31" max="16383" width="8.13333333333333" style="20"/>
    <col min="16384" max="16384" width="8.725" style="20"/>
  </cols>
  <sheetData>
    <row r="1" s="16" customFormat="1" ht="28" customHeight="1" spans="1:17">
      <c r="A1" s="23" t="s">
        <v>1906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="17" customFormat="1" ht="33" customHeight="1" spans="1:17">
      <c r="A2" s="24" t="s">
        <v>2</v>
      </c>
      <c r="B2" s="25" t="s">
        <v>1893</v>
      </c>
      <c r="C2" s="25" t="s">
        <v>1907</v>
      </c>
      <c r="D2" s="26" t="s">
        <v>1895</v>
      </c>
      <c r="E2" s="26" t="s">
        <v>321</v>
      </c>
      <c r="F2" s="27" t="s">
        <v>1885</v>
      </c>
      <c r="G2" s="27" t="s">
        <v>1896</v>
      </c>
      <c r="H2" s="27" t="s">
        <v>1897</v>
      </c>
      <c r="I2" s="27" t="s">
        <v>1898</v>
      </c>
      <c r="J2" s="27" t="s">
        <v>1899</v>
      </c>
      <c r="K2" s="27" t="s">
        <v>39</v>
      </c>
      <c r="L2" s="27" t="s">
        <v>1900</v>
      </c>
      <c r="M2" s="27" t="s">
        <v>1901</v>
      </c>
      <c r="N2" s="27" t="s">
        <v>1902</v>
      </c>
      <c r="O2" s="27" t="s">
        <v>1903</v>
      </c>
      <c r="P2" s="28" t="s">
        <v>313</v>
      </c>
      <c r="Q2" s="29" t="s">
        <v>875</v>
      </c>
    </row>
    <row r="3" s="17" customFormat="1" ht="22" customHeight="1" spans="1:17">
      <c r="A3" s="30">
        <v>1</v>
      </c>
      <c r="B3" s="31" t="s">
        <v>100</v>
      </c>
      <c r="C3" s="30">
        <f>COUNTIFS(磅单!G:G,B3)</f>
        <v>19</v>
      </c>
      <c r="D3" s="32"/>
      <c r="E3" s="31">
        <f>1000+200</f>
        <v>1200</v>
      </c>
      <c r="F3" s="33">
        <f>SUMIFS(磅单!R:R,磅单!G:G,B3)</f>
        <v>11600</v>
      </c>
      <c r="G3" s="33"/>
      <c r="H3" s="33"/>
      <c r="I3" s="33">
        <v>200</v>
      </c>
      <c r="J3" s="33"/>
      <c r="K3" s="33"/>
      <c r="L3" s="33"/>
      <c r="M3" s="33"/>
      <c r="N3" s="33"/>
      <c r="O3" s="33">
        <f t="shared" ref="O3:O65" si="0">D3+E3+F3-G3+H3-I3-J3-K3-L3+N3</f>
        <v>12600</v>
      </c>
      <c r="P3" s="30">
        <f>COUNTIFS(磅单!G:G,B3)</f>
        <v>19</v>
      </c>
      <c r="Q3" s="34"/>
    </row>
    <row r="4" s="17" customFormat="1" ht="22" customHeight="1" spans="1:17">
      <c r="A4" s="30">
        <v>2</v>
      </c>
      <c r="B4" s="31" t="s">
        <v>73</v>
      </c>
      <c r="C4" s="30">
        <f>COUNTIFS(磅单!G:G,B4)</f>
        <v>21</v>
      </c>
      <c r="D4" s="32"/>
      <c r="E4" s="31"/>
      <c r="F4" s="33">
        <f>SUMIFS(磅单!R:R,磅单!G:G,B4)</f>
        <v>13000</v>
      </c>
      <c r="G4" s="33"/>
      <c r="H4" s="33"/>
      <c r="I4" s="33"/>
      <c r="J4" s="33"/>
      <c r="K4" s="33"/>
      <c r="L4" s="33"/>
      <c r="M4" s="33"/>
      <c r="N4" s="33"/>
      <c r="O4" s="33">
        <f t="shared" si="0"/>
        <v>13000</v>
      </c>
      <c r="P4" s="30">
        <f>COUNTIFS(磅单!G:G,B4)</f>
        <v>21</v>
      </c>
      <c r="Q4" s="34"/>
    </row>
    <row r="5" s="17" customFormat="1" ht="22" customHeight="1" spans="1:17">
      <c r="A5" s="30">
        <v>3</v>
      </c>
      <c r="B5" s="31" t="s">
        <v>76</v>
      </c>
      <c r="C5" s="30">
        <f>COUNTIFS(磅单!G:G,B5)</f>
        <v>17</v>
      </c>
      <c r="D5" s="32"/>
      <c r="E5" s="32">
        <v>1000</v>
      </c>
      <c r="F5" s="33">
        <f>SUMIFS(磅单!R:R,磅单!G:G,B5)</f>
        <v>10400</v>
      </c>
      <c r="G5" s="33">
        <v>500</v>
      </c>
      <c r="H5" s="33"/>
      <c r="I5" s="33"/>
      <c r="J5" s="33"/>
      <c r="K5" s="33"/>
      <c r="L5" s="33"/>
      <c r="M5" s="33"/>
      <c r="N5" s="33"/>
      <c r="O5" s="33">
        <f t="shared" si="0"/>
        <v>10900</v>
      </c>
      <c r="P5" s="30">
        <f>COUNTIFS(磅单!G:G,B5)</f>
        <v>17</v>
      </c>
      <c r="Q5" s="34"/>
    </row>
    <row r="6" s="17" customFormat="1" ht="22" customHeight="1" spans="1:17">
      <c r="A6" s="30">
        <v>4</v>
      </c>
      <c r="B6" s="31" t="s">
        <v>79</v>
      </c>
      <c r="C6" s="30">
        <f>COUNTIFS(磅单!G:G,B6)</f>
        <v>20</v>
      </c>
      <c r="D6" s="32"/>
      <c r="E6" s="31">
        <v>200</v>
      </c>
      <c r="F6" s="33">
        <f>SUMIFS(磅单!R:R,磅单!G:G,B6)</f>
        <v>11600</v>
      </c>
      <c r="G6" s="33"/>
      <c r="H6" s="33"/>
      <c r="I6" s="33">
        <v>200</v>
      </c>
      <c r="J6" s="33"/>
      <c r="K6" s="33"/>
      <c r="L6" s="33"/>
      <c r="M6" s="33"/>
      <c r="N6" s="33"/>
      <c r="O6" s="33">
        <f t="shared" si="0"/>
        <v>11600</v>
      </c>
      <c r="P6" s="30">
        <f>COUNTIFS(磅单!G:G,B6)</f>
        <v>20</v>
      </c>
      <c r="Q6" s="34"/>
    </row>
    <row r="7" s="17" customFormat="1" ht="22" customHeight="1" spans="1:17">
      <c r="A7" s="30">
        <v>5</v>
      </c>
      <c r="B7" s="31" t="s">
        <v>82</v>
      </c>
      <c r="C7" s="30">
        <f>COUNTIFS(磅单!G:G,B7)</f>
        <v>25</v>
      </c>
      <c r="D7" s="33"/>
      <c r="E7" s="31">
        <v>200</v>
      </c>
      <c r="F7" s="33">
        <f>SUMIFS(磅单!R:R,磅单!G:G,B7)</f>
        <v>15400</v>
      </c>
      <c r="G7" s="33"/>
      <c r="H7" s="33"/>
      <c r="I7" s="33">
        <v>200</v>
      </c>
      <c r="J7" s="33"/>
      <c r="K7" s="33"/>
      <c r="L7" s="33"/>
      <c r="M7" s="33"/>
      <c r="N7" s="33"/>
      <c r="O7" s="33">
        <f t="shared" si="0"/>
        <v>15400</v>
      </c>
      <c r="P7" s="30">
        <f>COUNTIFS(磅单!G:G,B7)</f>
        <v>25</v>
      </c>
      <c r="Q7" s="34"/>
    </row>
    <row r="8" s="17" customFormat="1" ht="22" customHeight="1" spans="1:17">
      <c r="A8" s="30">
        <v>6</v>
      </c>
      <c r="B8" s="31" t="s">
        <v>88</v>
      </c>
      <c r="C8" s="30">
        <f>COUNTIFS(磅单!G:G,B8)</f>
        <v>19</v>
      </c>
      <c r="D8" s="33"/>
      <c r="E8" s="32"/>
      <c r="F8" s="33">
        <f>SUMIFS(磅单!R:R,磅单!G:G,B8)</f>
        <v>12200</v>
      </c>
      <c r="G8" s="33"/>
      <c r="H8" s="33"/>
      <c r="I8" s="33"/>
      <c r="J8" s="33"/>
      <c r="K8" s="33"/>
      <c r="L8" s="33"/>
      <c r="M8" s="33"/>
      <c r="N8" s="33"/>
      <c r="O8" s="33">
        <f t="shared" si="0"/>
        <v>12200</v>
      </c>
      <c r="P8" s="30">
        <f>COUNTIFS(磅单!G:G,B8)</f>
        <v>19</v>
      </c>
      <c r="Q8" s="34"/>
    </row>
    <row r="9" s="17" customFormat="1" ht="22" customHeight="1" spans="1:17">
      <c r="A9" s="30">
        <v>7</v>
      </c>
      <c r="B9" s="31" t="s">
        <v>70</v>
      </c>
      <c r="C9" s="30">
        <f>COUNTIFS(磅单!G:G,B9)</f>
        <v>22</v>
      </c>
      <c r="D9" s="33"/>
      <c r="E9" s="32">
        <f>1000+200</f>
        <v>1200</v>
      </c>
      <c r="F9" s="33">
        <f>SUMIFS(磅单!R:R,磅单!G:G,B9)</f>
        <v>13800</v>
      </c>
      <c r="G9" s="33"/>
      <c r="H9" s="33"/>
      <c r="I9" s="33">
        <v>200</v>
      </c>
      <c r="J9" s="33"/>
      <c r="K9" s="33"/>
      <c r="L9" s="33"/>
      <c r="M9" s="33"/>
      <c r="N9" s="33"/>
      <c r="O9" s="33">
        <f t="shared" si="0"/>
        <v>14800</v>
      </c>
      <c r="P9" s="30">
        <f>COUNTIFS(磅单!G:G,B9)</f>
        <v>22</v>
      </c>
      <c r="Q9" s="34"/>
    </row>
    <row r="10" s="17" customFormat="1" ht="22" customHeight="1" spans="1:17">
      <c r="A10" s="30">
        <v>8</v>
      </c>
      <c r="B10" s="31" t="s">
        <v>64</v>
      </c>
      <c r="C10" s="30">
        <f>COUNTIFS(磅单!G:G,B10)</f>
        <v>3</v>
      </c>
      <c r="D10" s="33"/>
      <c r="E10" s="32"/>
      <c r="F10" s="33">
        <f>SUMIFS(磅单!R:R,磅单!G:G,B10)</f>
        <v>1800</v>
      </c>
      <c r="G10" s="33"/>
      <c r="H10" s="33"/>
      <c r="I10" s="33">
        <v>1800</v>
      </c>
      <c r="J10" s="33"/>
      <c r="K10" s="33"/>
      <c r="L10" s="33"/>
      <c r="M10" s="33"/>
      <c r="N10" s="33"/>
      <c r="O10" s="33">
        <f t="shared" si="0"/>
        <v>0</v>
      </c>
      <c r="P10" s="30">
        <f>COUNTIFS(磅单!G:G,B10)</f>
        <v>3</v>
      </c>
      <c r="Q10" s="34"/>
    </row>
    <row r="11" s="17" customFormat="1" ht="22" customHeight="1" spans="1:17">
      <c r="A11" s="30">
        <v>9</v>
      </c>
      <c r="B11" s="31" t="s">
        <v>91</v>
      </c>
      <c r="C11" s="30">
        <f>COUNTIFS(磅单!G:G,B11)</f>
        <v>19</v>
      </c>
      <c r="D11" s="33"/>
      <c r="E11" s="32">
        <v>400</v>
      </c>
      <c r="F11" s="33">
        <f>SUMIFS(磅单!R:R,磅单!G:G,B11)</f>
        <v>11800</v>
      </c>
      <c r="G11" s="33"/>
      <c r="H11" s="33"/>
      <c r="I11" s="33"/>
      <c r="J11" s="33"/>
      <c r="K11" s="33"/>
      <c r="L11" s="33"/>
      <c r="M11" s="33"/>
      <c r="N11" s="33"/>
      <c r="O11" s="33">
        <f t="shared" si="0"/>
        <v>12200</v>
      </c>
      <c r="P11" s="30">
        <f>COUNTIFS(磅单!G:G,B11)</f>
        <v>19</v>
      </c>
      <c r="Q11" s="34"/>
    </row>
    <row r="12" s="17" customFormat="1" ht="22" customHeight="1" spans="1:17">
      <c r="A12" s="30">
        <v>10</v>
      </c>
      <c r="B12" s="31" t="s">
        <v>106</v>
      </c>
      <c r="C12" s="30">
        <f>COUNTIFS(磅单!G:G,B12)</f>
        <v>15</v>
      </c>
      <c r="D12" s="33"/>
      <c r="E12" s="32"/>
      <c r="F12" s="33">
        <f>SUMIFS(磅单!R:R,磅单!G:G,B12)</f>
        <v>9000</v>
      </c>
      <c r="G12" s="33"/>
      <c r="H12" s="33"/>
      <c r="I12" s="33"/>
      <c r="J12" s="33"/>
      <c r="K12" s="33"/>
      <c r="L12" s="33"/>
      <c r="M12" s="33"/>
      <c r="N12" s="33"/>
      <c r="O12" s="33">
        <f t="shared" si="0"/>
        <v>9000</v>
      </c>
      <c r="P12" s="30">
        <f>COUNTIFS(磅单!G:G,B12)</f>
        <v>15</v>
      </c>
      <c r="Q12" s="34"/>
    </row>
    <row r="13" s="17" customFormat="1" ht="22" customHeight="1" spans="1:17">
      <c r="A13" s="30">
        <v>11</v>
      </c>
      <c r="B13" s="31" t="s">
        <v>97</v>
      </c>
      <c r="C13" s="30">
        <f>COUNTIFS(磅单!G:G,B13)</f>
        <v>22</v>
      </c>
      <c r="D13" s="33"/>
      <c r="E13" s="32"/>
      <c r="F13" s="33">
        <f>SUMIFS(磅单!R:R,磅单!G:G,B13)</f>
        <v>12400</v>
      </c>
      <c r="G13" s="33"/>
      <c r="H13" s="33"/>
      <c r="I13" s="33"/>
      <c r="J13" s="33"/>
      <c r="K13" s="33"/>
      <c r="L13" s="33"/>
      <c r="M13" s="33"/>
      <c r="N13" s="33"/>
      <c r="O13" s="33">
        <f t="shared" si="0"/>
        <v>12400</v>
      </c>
      <c r="P13" s="30">
        <f>COUNTIFS(磅单!G:G,B13)</f>
        <v>22</v>
      </c>
      <c r="Q13" s="34"/>
    </row>
    <row r="14" s="17" customFormat="1" ht="22" customHeight="1" spans="1:17">
      <c r="A14" s="30">
        <v>12</v>
      </c>
      <c r="B14" s="31" t="s">
        <v>94</v>
      </c>
      <c r="C14" s="30">
        <f>COUNTIFS(磅单!G:G,B14)</f>
        <v>21</v>
      </c>
      <c r="D14" s="33"/>
      <c r="E14" s="32"/>
      <c r="F14" s="33">
        <f>SUMIFS(磅单!R:R,磅单!G:G,B14)</f>
        <v>12200</v>
      </c>
      <c r="G14" s="33"/>
      <c r="H14" s="33"/>
      <c r="I14" s="33"/>
      <c r="J14" s="33"/>
      <c r="K14" s="33"/>
      <c r="L14" s="33"/>
      <c r="M14" s="33"/>
      <c r="N14" s="33"/>
      <c r="O14" s="33">
        <f t="shared" si="0"/>
        <v>12200</v>
      </c>
      <c r="P14" s="30">
        <f>COUNTIFS(磅单!G:G,B14)</f>
        <v>21</v>
      </c>
      <c r="Q14" s="34"/>
    </row>
    <row r="15" s="17" customFormat="1" ht="22" customHeight="1" spans="1:17">
      <c r="A15" s="30">
        <v>13</v>
      </c>
      <c r="B15" s="31" t="s">
        <v>52</v>
      </c>
      <c r="C15" s="30">
        <f>COUNTIFS(磅单!G:G,B15)</f>
        <v>19</v>
      </c>
      <c r="D15" s="33"/>
      <c r="E15" s="32"/>
      <c r="F15" s="33">
        <f>SUMIFS(磅单!R:R,磅单!G:G,B15)</f>
        <v>11800</v>
      </c>
      <c r="G15" s="33"/>
      <c r="H15" s="33"/>
      <c r="I15" s="33"/>
      <c r="J15" s="33"/>
      <c r="K15" s="33"/>
      <c r="L15" s="33"/>
      <c r="M15" s="33"/>
      <c r="N15" s="33"/>
      <c r="O15" s="33">
        <f t="shared" si="0"/>
        <v>11800</v>
      </c>
      <c r="P15" s="30">
        <f>COUNTIFS(磅单!G:G,B15)</f>
        <v>19</v>
      </c>
      <c r="Q15" s="34"/>
    </row>
    <row r="16" s="17" customFormat="1" ht="22" customHeight="1" spans="1:17">
      <c r="A16" s="30">
        <v>14</v>
      </c>
      <c r="B16" s="31" t="s">
        <v>67</v>
      </c>
      <c r="C16" s="30">
        <f>COUNTIFS(磅单!G:G,B16)</f>
        <v>19</v>
      </c>
      <c r="D16" s="33"/>
      <c r="E16" s="33">
        <v>200</v>
      </c>
      <c r="F16" s="33">
        <f>SUMIFS(磅单!R:R,磅单!G:G,B16)</f>
        <v>11600</v>
      </c>
      <c r="G16" s="33"/>
      <c r="H16" s="33"/>
      <c r="I16" s="33">
        <v>200</v>
      </c>
      <c r="J16" s="33"/>
      <c r="K16" s="33"/>
      <c r="L16" s="33"/>
      <c r="M16" s="33"/>
      <c r="N16" s="33"/>
      <c r="O16" s="33">
        <f t="shared" si="0"/>
        <v>11600</v>
      </c>
      <c r="P16" s="30">
        <f>COUNTIFS(磅单!G:G,B16)</f>
        <v>19</v>
      </c>
      <c r="Q16" s="34"/>
    </row>
    <row r="17" s="17" customFormat="1" ht="22" customHeight="1" spans="1:17">
      <c r="A17" s="30">
        <v>15</v>
      </c>
      <c r="B17" s="31" t="s">
        <v>85</v>
      </c>
      <c r="C17" s="30">
        <f>COUNTIFS(磅单!G:G,B17)</f>
        <v>19</v>
      </c>
      <c r="D17" s="33"/>
      <c r="E17" s="33">
        <v>200</v>
      </c>
      <c r="F17" s="33">
        <f>SUMIFS(磅单!R:R,磅单!G:G,B17)</f>
        <v>11000</v>
      </c>
      <c r="G17" s="33"/>
      <c r="H17" s="33"/>
      <c r="I17" s="33">
        <v>200</v>
      </c>
      <c r="J17" s="33"/>
      <c r="K17" s="33"/>
      <c r="L17" s="33"/>
      <c r="M17" s="33"/>
      <c r="N17" s="33"/>
      <c r="O17" s="33">
        <f t="shared" si="0"/>
        <v>11000</v>
      </c>
      <c r="P17" s="30">
        <f>COUNTIFS(磅单!G:G,B17)</f>
        <v>19</v>
      </c>
      <c r="Q17" s="34"/>
    </row>
    <row r="18" s="17" customFormat="1" ht="22" customHeight="1" spans="1:17">
      <c r="A18" s="30">
        <v>16</v>
      </c>
      <c r="B18" s="31" t="s">
        <v>372</v>
      </c>
      <c r="C18" s="30">
        <f>COUNTIFS(磅单!G:G,B18)</f>
        <v>1</v>
      </c>
      <c r="D18" s="33"/>
      <c r="E18" s="33">
        <v>200</v>
      </c>
      <c r="F18" s="33">
        <f>SUMIFS(磅单!R:R,磅单!G:G,B18)</f>
        <v>600</v>
      </c>
      <c r="G18" s="33"/>
      <c r="H18" s="33"/>
      <c r="I18" s="33">
        <v>200</v>
      </c>
      <c r="J18" s="33"/>
      <c r="K18" s="33"/>
      <c r="L18" s="33"/>
      <c r="M18" s="33"/>
      <c r="N18" s="33"/>
      <c r="O18" s="33">
        <f t="shared" si="0"/>
        <v>600</v>
      </c>
      <c r="P18" s="30">
        <f>COUNTIFS(磅单!G:G,B18)</f>
        <v>1</v>
      </c>
      <c r="Q18" s="34"/>
    </row>
    <row r="19" s="17" customFormat="1" ht="29" customHeight="1" spans="1:17">
      <c r="A19" s="30">
        <v>17</v>
      </c>
      <c r="B19" s="31" t="s">
        <v>136</v>
      </c>
      <c r="C19" s="30">
        <f>COUNTIFS(磅单!G:G,B19)</f>
        <v>17</v>
      </c>
      <c r="D19" s="33"/>
      <c r="E19" s="33"/>
      <c r="F19" s="33">
        <f>SUMIFS(磅单!R:R,磅单!G:G,B19)</f>
        <v>10600</v>
      </c>
      <c r="G19" s="35">
        <f>2550*10%</f>
        <v>255</v>
      </c>
      <c r="H19" s="33"/>
      <c r="I19" s="33"/>
      <c r="J19" s="33"/>
      <c r="K19" s="33"/>
      <c r="L19" s="33"/>
      <c r="M19" s="33"/>
      <c r="N19" s="33"/>
      <c r="O19" s="33">
        <f t="shared" si="0"/>
        <v>10345</v>
      </c>
      <c r="P19" s="30">
        <f>COUNTIFS(磅单!G:G,B19)</f>
        <v>17</v>
      </c>
      <c r="Q19" s="36"/>
    </row>
    <row r="20" s="17" customFormat="1" ht="29" customHeight="1" spans="1:17">
      <c r="A20" s="30">
        <v>18</v>
      </c>
      <c r="B20" s="31" t="s">
        <v>133</v>
      </c>
      <c r="C20" s="30">
        <f>COUNTIFS(磅单!G:G,B20)</f>
        <v>19</v>
      </c>
      <c r="D20" s="33"/>
      <c r="E20" s="33"/>
      <c r="F20" s="33">
        <f>SUMIFS(磅单!R:R,磅单!G:G,B20)</f>
        <v>11200</v>
      </c>
      <c r="G20" s="33"/>
      <c r="H20" s="33"/>
      <c r="I20" s="33"/>
      <c r="J20" s="33"/>
      <c r="K20" s="33"/>
      <c r="L20" s="33"/>
      <c r="M20" s="33"/>
      <c r="N20" s="33"/>
      <c r="O20" s="33">
        <f t="shared" si="0"/>
        <v>11200</v>
      </c>
      <c r="P20" s="30">
        <f>COUNTIFS(磅单!G:G,B20)</f>
        <v>19</v>
      </c>
      <c r="Q20" s="36"/>
    </row>
    <row r="21" s="17" customFormat="1" ht="29" customHeight="1" spans="1:17">
      <c r="A21" s="30">
        <v>19</v>
      </c>
      <c r="B21" s="31" t="s">
        <v>109</v>
      </c>
      <c r="C21" s="30">
        <f>COUNTIFS(磅单!G:G,B21)</f>
        <v>17</v>
      </c>
      <c r="D21" s="33"/>
      <c r="E21" s="33">
        <v>200</v>
      </c>
      <c r="F21" s="33">
        <f>SUMIFS(磅单!R:R,磅单!G:G,B21)</f>
        <v>11000</v>
      </c>
      <c r="G21" s="33"/>
      <c r="H21" s="33"/>
      <c r="I21" s="33">
        <v>200</v>
      </c>
      <c r="J21" s="33"/>
      <c r="K21" s="33"/>
      <c r="L21" s="33"/>
      <c r="M21" s="33"/>
      <c r="N21" s="33"/>
      <c r="O21" s="33">
        <f t="shared" si="0"/>
        <v>11000</v>
      </c>
      <c r="P21" s="30">
        <f>COUNTIFS(磅单!G:G,B21)</f>
        <v>17</v>
      </c>
      <c r="Q21" s="36"/>
    </row>
    <row r="22" s="17" customFormat="1" ht="29" customHeight="1" spans="1:17">
      <c r="A22" s="30">
        <v>20</v>
      </c>
      <c r="B22" s="31" t="s">
        <v>58</v>
      </c>
      <c r="C22" s="30">
        <f>COUNTIFS(磅单!G:G,B22)</f>
        <v>22</v>
      </c>
      <c r="D22" s="33"/>
      <c r="E22" s="33">
        <v>200</v>
      </c>
      <c r="F22" s="33">
        <f>SUMIFS(磅单!R:R,磅单!G:G,B22)</f>
        <v>13000</v>
      </c>
      <c r="G22" s="33"/>
      <c r="H22" s="33"/>
      <c r="I22" s="33">
        <v>200</v>
      </c>
      <c r="J22" s="33"/>
      <c r="K22" s="33"/>
      <c r="L22" s="33"/>
      <c r="M22" s="33"/>
      <c r="N22" s="33"/>
      <c r="O22" s="33">
        <f t="shared" si="0"/>
        <v>13000</v>
      </c>
      <c r="P22" s="30">
        <f>COUNTIFS(磅单!G:G,B22)</f>
        <v>22</v>
      </c>
      <c r="Q22" s="36"/>
    </row>
    <row r="23" s="17" customFormat="1" ht="29" customHeight="1" spans="1:17">
      <c r="A23" s="30">
        <v>21</v>
      </c>
      <c r="B23" s="31" t="s">
        <v>55</v>
      </c>
      <c r="C23" s="30">
        <f>COUNTIFS(磅单!G:G,B23)</f>
        <v>21</v>
      </c>
      <c r="D23" s="33"/>
      <c r="E23" s="33">
        <v>200</v>
      </c>
      <c r="F23" s="33">
        <f>SUMIFS(磅单!R:R,磅单!G:G,B23)</f>
        <v>13000</v>
      </c>
      <c r="G23" s="33"/>
      <c r="H23" s="33"/>
      <c r="I23" s="33">
        <v>200</v>
      </c>
      <c r="J23" s="33"/>
      <c r="K23" s="33"/>
      <c r="L23" s="33"/>
      <c r="M23" s="33"/>
      <c r="N23" s="33"/>
      <c r="O23" s="33">
        <f t="shared" si="0"/>
        <v>13000</v>
      </c>
      <c r="P23" s="30">
        <f>COUNTIFS(磅单!G:G,B23)</f>
        <v>21</v>
      </c>
      <c r="Q23" s="36"/>
    </row>
    <row r="24" s="17" customFormat="1" ht="29" customHeight="1" spans="1:17">
      <c r="A24" s="30">
        <v>22</v>
      </c>
      <c r="B24" s="31" t="s">
        <v>61</v>
      </c>
      <c r="C24" s="30">
        <f>COUNTIFS(磅单!G:G,B24)</f>
        <v>21</v>
      </c>
      <c r="D24" s="33"/>
      <c r="E24" s="33"/>
      <c r="F24" s="33">
        <f>SUMIFS(磅单!R:R,磅单!G:G,B24)</f>
        <v>12200</v>
      </c>
      <c r="G24" s="33">
        <v>50</v>
      </c>
      <c r="H24" s="33"/>
      <c r="I24" s="33"/>
      <c r="J24" s="33"/>
      <c r="K24" s="33"/>
      <c r="L24" s="33"/>
      <c r="M24" s="33"/>
      <c r="N24" s="33"/>
      <c r="O24" s="33">
        <f t="shared" si="0"/>
        <v>12150</v>
      </c>
      <c r="P24" s="30">
        <f>COUNTIFS(磅单!G:G,B24)</f>
        <v>21</v>
      </c>
      <c r="Q24" s="36"/>
    </row>
    <row r="25" s="17" customFormat="1" ht="29" customHeight="1" spans="1:17">
      <c r="A25" s="30">
        <v>23</v>
      </c>
      <c r="B25" s="6" t="s">
        <v>112</v>
      </c>
      <c r="C25" s="30">
        <f>COUNTIFS(磅单!G:G,B25)</f>
        <v>23</v>
      </c>
      <c r="D25" s="33"/>
      <c r="E25" s="33">
        <v>200</v>
      </c>
      <c r="F25" s="33">
        <f>SUMIFS(磅单!R:R,磅单!G:G,B25)</f>
        <v>14200</v>
      </c>
      <c r="G25" s="33"/>
      <c r="H25" s="33"/>
      <c r="I25" s="33">
        <v>200</v>
      </c>
      <c r="J25" s="33"/>
      <c r="K25" s="33"/>
      <c r="L25" s="33"/>
      <c r="M25" s="33"/>
      <c r="N25" s="33"/>
      <c r="O25" s="33">
        <f t="shared" si="0"/>
        <v>14200</v>
      </c>
      <c r="P25" s="30">
        <f>COUNTIFS(磅单!G:G,B25)</f>
        <v>23</v>
      </c>
      <c r="Q25" s="36"/>
    </row>
    <row r="26" s="17" customFormat="1" ht="29" customHeight="1" spans="1:17">
      <c r="A26" s="30">
        <v>24</v>
      </c>
      <c r="B26" s="6" t="s">
        <v>125</v>
      </c>
      <c r="C26" s="30">
        <f>COUNTIFS(磅单!G:G,B26)</f>
        <v>18</v>
      </c>
      <c r="D26" s="33"/>
      <c r="E26" s="33">
        <f>200+200</f>
        <v>400</v>
      </c>
      <c r="F26" s="33">
        <f>SUMIFS(磅单!R:R,磅单!G:G,B26)</f>
        <v>10600</v>
      </c>
      <c r="G26" s="33">
        <v>50</v>
      </c>
      <c r="H26" s="33"/>
      <c r="I26" s="33">
        <f>200+200</f>
        <v>400</v>
      </c>
      <c r="J26" s="33"/>
      <c r="K26" s="33"/>
      <c r="L26" s="33"/>
      <c r="M26" s="33"/>
      <c r="N26" s="33"/>
      <c r="O26" s="33">
        <f t="shared" si="0"/>
        <v>10550</v>
      </c>
      <c r="P26" s="30">
        <f>COUNTIFS(磅单!G:G,B26)</f>
        <v>18</v>
      </c>
      <c r="Q26" s="36"/>
    </row>
    <row r="27" s="17" customFormat="1" ht="29" customHeight="1" spans="1:17">
      <c r="A27" s="30">
        <v>25</v>
      </c>
      <c r="B27" s="37" t="s">
        <v>115</v>
      </c>
      <c r="C27" s="30">
        <f>COUNTIFS(磅单!G:G,B27)</f>
        <v>21</v>
      </c>
      <c r="D27" s="33"/>
      <c r="E27" s="33"/>
      <c r="F27" s="33">
        <f>SUMIFS(磅单!R:R,磅单!G:G,B27)</f>
        <v>13200</v>
      </c>
      <c r="G27" s="33"/>
      <c r="H27" s="33"/>
      <c r="I27" s="33"/>
      <c r="J27" s="33"/>
      <c r="K27" s="33"/>
      <c r="L27" s="33"/>
      <c r="M27" s="33"/>
      <c r="N27" s="33"/>
      <c r="O27" s="33">
        <f t="shared" si="0"/>
        <v>13200</v>
      </c>
      <c r="P27" s="30">
        <f>COUNTIFS(磅单!G:G,B27)</f>
        <v>21</v>
      </c>
      <c r="Q27" s="36"/>
    </row>
    <row r="28" s="17" customFormat="1" ht="29" customHeight="1" spans="1:17">
      <c r="A28" s="30">
        <v>26</v>
      </c>
      <c r="B28" s="37" t="s">
        <v>122</v>
      </c>
      <c r="C28" s="30">
        <f>COUNTIFS(磅单!G:G,B28)</f>
        <v>17</v>
      </c>
      <c r="D28" s="33"/>
      <c r="E28" s="33">
        <v>780</v>
      </c>
      <c r="F28" s="33">
        <f>SUMIFS(磅单!R:R,磅单!G:G,B28)</f>
        <v>9800</v>
      </c>
      <c r="G28" s="33"/>
      <c r="H28" s="33"/>
      <c r="I28" s="33"/>
      <c r="J28" s="33"/>
      <c r="K28" s="33"/>
      <c r="L28" s="33"/>
      <c r="M28" s="33"/>
      <c r="N28" s="33"/>
      <c r="O28" s="33">
        <f t="shared" si="0"/>
        <v>10580</v>
      </c>
      <c r="P28" s="30">
        <f>COUNTIFS(磅单!G:G,B28)</f>
        <v>17</v>
      </c>
      <c r="Q28" s="36"/>
    </row>
    <row r="29" s="17" customFormat="1" ht="29" customHeight="1" spans="1:17">
      <c r="A29" s="30">
        <v>27</v>
      </c>
      <c r="B29" s="37" t="s">
        <v>128</v>
      </c>
      <c r="C29" s="30">
        <f>COUNTIFS(磅单!G:G,B29)</f>
        <v>16</v>
      </c>
      <c r="D29" s="33"/>
      <c r="E29" s="33"/>
      <c r="F29" s="33">
        <f>SUMIFS(磅单!R:R,磅单!G:G,B29)</f>
        <v>10000</v>
      </c>
      <c r="G29" s="33"/>
      <c r="H29" s="33"/>
      <c r="I29" s="33"/>
      <c r="J29" s="33"/>
      <c r="K29" s="33"/>
      <c r="L29" s="33"/>
      <c r="M29" s="33"/>
      <c r="N29" s="33"/>
      <c r="O29" s="33">
        <f t="shared" si="0"/>
        <v>10000</v>
      </c>
      <c r="P29" s="30">
        <f>COUNTIFS(磅单!G:G,B29)</f>
        <v>16</v>
      </c>
      <c r="Q29" s="36"/>
    </row>
    <row r="30" s="17" customFormat="1" ht="29" customHeight="1" spans="1:17">
      <c r="A30" s="30">
        <v>28</v>
      </c>
      <c r="B30" s="37" t="s">
        <v>139</v>
      </c>
      <c r="C30" s="30">
        <f>COUNTIFS(磅单!G:G,B30)</f>
        <v>16</v>
      </c>
      <c r="D30" s="33"/>
      <c r="E30" s="33">
        <f>200+200+200+200</f>
        <v>800</v>
      </c>
      <c r="F30" s="33">
        <f>SUMIFS(磅单!R:R,磅单!G:G,B30)</f>
        <v>9200</v>
      </c>
      <c r="G30" s="33"/>
      <c r="H30" s="33"/>
      <c r="I30" s="33">
        <f>200+200+200</f>
        <v>600</v>
      </c>
      <c r="J30" s="33"/>
      <c r="K30" s="33"/>
      <c r="L30" s="33"/>
      <c r="M30" s="33"/>
      <c r="N30" s="33"/>
      <c r="O30" s="33">
        <f t="shared" si="0"/>
        <v>9400</v>
      </c>
      <c r="P30" s="30">
        <f>COUNTIFS(磅单!G:G,B30)</f>
        <v>16</v>
      </c>
      <c r="Q30" s="36"/>
    </row>
    <row r="31" s="17" customFormat="1" ht="29" customHeight="1" spans="1:17">
      <c r="A31" s="30">
        <v>29</v>
      </c>
      <c r="B31" s="37" t="s">
        <v>929</v>
      </c>
      <c r="C31" s="30">
        <f>COUNTIFS(磅单!G:G,B31)</f>
        <v>0</v>
      </c>
      <c r="D31" s="33"/>
      <c r="E31" s="33"/>
      <c r="F31" s="33">
        <f>SUMIFS(磅单!R:R,磅单!G:G,B31)</f>
        <v>0</v>
      </c>
      <c r="G31" s="33"/>
      <c r="H31" s="33"/>
      <c r="I31" s="33"/>
      <c r="J31" s="33"/>
      <c r="K31" s="33"/>
      <c r="L31" s="33"/>
      <c r="M31" s="33"/>
      <c r="N31" s="33"/>
      <c r="O31" s="33">
        <f t="shared" si="0"/>
        <v>0</v>
      </c>
      <c r="P31" s="30">
        <f>COUNTIFS(磅单!G:G,B31)</f>
        <v>0</v>
      </c>
      <c r="Q31" s="36"/>
    </row>
    <row r="32" s="17" customFormat="1" ht="29" customHeight="1" spans="1:17">
      <c r="A32" s="30">
        <v>30</v>
      </c>
      <c r="B32" s="37" t="s">
        <v>370</v>
      </c>
      <c r="C32" s="30">
        <f>COUNTIFS(磅单!G:G,B32)</f>
        <v>1</v>
      </c>
      <c r="D32" s="33"/>
      <c r="E32" s="33"/>
      <c r="F32" s="33">
        <f>SUMIFS(磅单!R:R,磅单!G:G,B32)</f>
        <v>600</v>
      </c>
      <c r="G32" s="33"/>
      <c r="H32" s="33"/>
      <c r="I32" s="33">
        <v>600</v>
      </c>
      <c r="J32" s="33"/>
      <c r="K32" s="33"/>
      <c r="L32" s="33"/>
      <c r="M32" s="33"/>
      <c r="N32" s="33"/>
      <c r="O32" s="33">
        <f t="shared" si="0"/>
        <v>0</v>
      </c>
      <c r="P32" s="30">
        <f>COUNTIFS(磅单!G:G,B32)</f>
        <v>1</v>
      </c>
      <c r="Q32" s="36"/>
    </row>
    <row r="33" s="18" customFormat="1" ht="29" customHeight="1" spans="1:17">
      <c r="A33" s="38">
        <v>31</v>
      </c>
      <c r="B33" s="39" t="s">
        <v>410</v>
      </c>
      <c r="C33" s="38">
        <f>COUNTIFS(磅单!G:G,B33)</f>
        <v>1</v>
      </c>
      <c r="D33" s="35"/>
      <c r="E33" s="35"/>
      <c r="F33" s="35">
        <f>SUMIFS(磅单!R:R,磅单!G:G,B33)</f>
        <v>800</v>
      </c>
      <c r="G33" s="35"/>
      <c r="H33" s="35"/>
      <c r="I33" s="35"/>
      <c r="J33" s="35"/>
      <c r="K33" s="35"/>
      <c r="L33" s="35"/>
      <c r="M33" s="35"/>
      <c r="N33" s="35"/>
      <c r="O33" s="35">
        <f t="shared" si="0"/>
        <v>800</v>
      </c>
      <c r="P33" s="30">
        <f>COUNTIFS(磅单!G:G,B33)</f>
        <v>1</v>
      </c>
      <c r="Q33" s="40"/>
    </row>
    <row r="34" s="17" customFormat="1" ht="29" customHeight="1" spans="1:17">
      <c r="A34" s="30">
        <v>32</v>
      </c>
      <c r="B34" s="10" t="s">
        <v>152</v>
      </c>
      <c r="C34" s="30">
        <f>COUNTIFS(磅单!G:G,B34)</f>
        <v>12</v>
      </c>
      <c r="D34" s="33"/>
      <c r="E34" s="33">
        <v>200</v>
      </c>
      <c r="F34" s="33">
        <f>SUMIFS(磅单!R:R,磅单!G:G,B34)</f>
        <v>7200</v>
      </c>
      <c r="G34" s="33"/>
      <c r="H34" s="33"/>
      <c r="I34" s="33">
        <f>200+2000</f>
        <v>2200</v>
      </c>
      <c r="J34" s="33"/>
      <c r="K34" s="33"/>
      <c r="L34" s="33"/>
      <c r="M34" s="33"/>
      <c r="N34" s="33"/>
      <c r="O34" s="33">
        <f t="shared" si="0"/>
        <v>5200</v>
      </c>
      <c r="P34" s="30">
        <f>COUNTIFS(磅单!G:G,B34)</f>
        <v>12</v>
      </c>
      <c r="Q34" s="36"/>
    </row>
    <row r="35" s="18" customFormat="1" ht="29" customHeight="1" spans="1:17">
      <c r="A35" s="38">
        <v>33</v>
      </c>
      <c r="B35" s="41" t="s">
        <v>419</v>
      </c>
      <c r="C35" s="38">
        <f>COUNTIFS(磅单!G:G,B35)</f>
        <v>1</v>
      </c>
      <c r="D35" s="35"/>
      <c r="E35" s="35"/>
      <c r="F35" s="35">
        <f>SUMIFS(磅单!R:R,磅单!G:G,B35)</f>
        <v>800</v>
      </c>
      <c r="G35" s="35"/>
      <c r="H35" s="35"/>
      <c r="I35" s="35"/>
      <c r="J35" s="35"/>
      <c r="K35" s="35"/>
      <c r="L35" s="35"/>
      <c r="M35" s="35"/>
      <c r="N35" s="35"/>
      <c r="O35" s="35">
        <f t="shared" si="0"/>
        <v>800</v>
      </c>
      <c r="P35" s="30">
        <f>COUNTIFS(磅单!G:G,B35)</f>
        <v>1</v>
      </c>
      <c r="Q35" s="40"/>
    </row>
    <row r="36" s="17" customFormat="1" ht="29" customHeight="1" spans="1:17">
      <c r="A36" s="30">
        <v>34</v>
      </c>
      <c r="B36" s="37" t="s">
        <v>142</v>
      </c>
      <c r="C36" s="30">
        <f>COUNTIFS(磅单!G:G,B36)</f>
        <v>19</v>
      </c>
      <c r="D36" s="33"/>
      <c r="E36" s="33"/>
      <c r="F36" s="33">
        <f>SUMIFS(磅单!R:R,磅单!G:G,B36)</f>
        <v>11200</v>
      </c>
      <c r="G36" s="33"/>
      <c r="H36" s="33"/>
      <c r="I36" s="33"/>
      <c r="J36" s="33"/>
      <c r="K36" s="33"/>
      <c r="L36" s="33"/>
      <c r="M36" s="33"/>
      <c r="N36" s="33"/>
      <c r="O36" s="33">
        <f t="shared" si="0"/>
        <v>11200</v>
      </c>
      <c r="P36" s="30">
        <f>COUNTIFS(磅单!G:G,B36)</f>
        <v>19</v>
      </c>
      <c r="Q36" s="36"/>
    </row>
    <row r="37" s="17" customFormat="1" ht="29" customHeight="1" spans="1:17">
      <c r="A37" s="30">
        <v>35</v>
      </c>
      <c r="B37" s="37" t="s">
        <v>145</v>
      </c>
      <c r="C37" s="30">
        <f>COUNTIFS(磅单!G:G,B37)</f>
        <v>15</v>
      </c>
      <c r="D37" s="33"/>
      <c r="E37" s="33"/>
      <c r="F37" s="33">
        <f>SUMIFS(磅单!R:R,磅单!G:G,B37)</f>
        <v>9200</v>
      </c>
      <c r="G37" s="33"/>
      <c r="H37" s="33"/>
      <c r="I37" s="33">
        <v>4000</v>
      </c>
      <c r="J37" s="33"/>
      <c r="K37" s="33"/>
      <c r="L37" s="33"/>
      <c r="M37" s="33"/>
      <c r="N37" s="33"/>
      <c r="O37" s="33">
        <f t="shared" si="0"/>
        <v>5200</v>
      </c>
      <c r="P37" s="30">
        <f>COUNTIFS(磅单!G:G,B37)</f>
        <v>15</v>
      </c>
      <c r="Q37" s="36"/>
    </row>
    <row r="38" s="17" customFormat="1" ht="29" customHeight="1" spans="1:17">
      <c r="A38" s="30">
        <v>36</v>
      </c>
      <c r="B38" s="37" t="s">
        <v>155</v>
      </c>
      <c r="C38" s="30">
        <f>COUNTIFS(磅单!G:G,B38)</f>
        <v>12</v>
      </c>
      <c r="D38" s="33"/>
      <c r="E38" s="33">
        <v>200</v>
      </c>
      <c r="F38" s="33">
        <f>SUMIFS(磅单!R:R,磅单!G:G,B38)</f>
        <v>8400</v>
      </c>
      <c r="G38" s="33"/>
      <c r="H38" s="33"/>
      <c r="I38" s="33">
        <v>200</v>
      </c>
      <c r="J38" s="33"/>
      <c r="K38" s="33"/>
      <c r="L38" s="33"/>
      <c r="M38" s="33"/>
      <c r="N38" s="33"/>
      <c r="O38" s="33">
        <f t="shared" si="0"/>
        <v>8400</v>
      </c>
      <c r="P38" s="30">
        <f>COUNTIFS(磅单!G:G,B38)</f>
        <v>12</v>
      </c>
      <c r="Q38" s="36"/>
    </row>
    <row r="39" s="17" customFormat="1" ht="29" customHeight="1" spans="1:17">
      <c r="A39" s="30">
        <v>37</v>
      </c>
      <c r="B39" s="37" t="s">
        <v>158</v>
      </c>
      <c r="C39" s="30">
        <f>COUNTIFS(磅单!G:G,B39)</f>
        <v>13</v>
      </c>
      <c r="D39" s="33"/>
      <c r="E39" s="33">
        <v>200</v>
      </c>
      <c r="F39" s="33">
        <f>SUMIFS(磅单!R:R,磅单!G:G,B39)</f>
        <v>8600</v>
      </c>
      <c r="G39" s="33"/>
      <c r="H39" s="33"/>
      <c r="I39" s="33">
        <f>200+4000</f>
        <v>4200</v>
      </c>
      <c r="J39" s="33"/>
      <c r="K39" s="33"/>
      <c r="L39" s="33"/>
      <c r="M39" s="33"/>
      <c r="N39" s="33"/>
      <c r="O39" s="33">
        <f t="shared" si="0"/>
        <v>4600</v>
      </c>
      <c r="P39" s="30">
        <f>COUNTIFS(磅单!G:G,B39)</f>
        <v>13</v>
      </c>
      <c r="Q39" s="36"/>
    </row>
    <row r="40" s="17" customFormat="1" ht="29" customHeight="1" spans="1:17">
      <c r="A40" s="30">
        <v>38</v>
      </c>
      <c r="B40" s="37" t="s">
        <v>161</v>
      </c>
      <c r="C40" s="30">
        <f>COUNTIFS(磅单!G:G,B40)</f>
        <v>12</v>
      </c>
      <c r="D40" s="33"/>
      <c r="E40" s="33">
        <v>200</v>
      </c>
      <c r="F40" s="33">
        <f>SUMIFS(磅单!R:R,磅单!G:G,B40)</f>
        <v>7800</v>
      </c>
      <c r="G40" s="33"/>
      <c r="H40" s="33"/>
      <c r="I40" s="33">
        <f>200+3000</f>
        <v>3200</v>
      </c>
      <c r="J40" s="33"/>
      <c r="K40" s="33"/>
      <c r="L40" s="33"/>
      <c r="M40" s="33"/>
      <c r="N40" s="33"/>
      <c r="O40" s="33">
        <f t="shared" si="0"/>
        <v>4800</v>
      </c>
      <c r="P40" s="30">
        <f>COUNTIFS(磅单!G:G,B40)</f>
        <v>12</v>
      </c>
      <c r="Q40" s="36"/>
    </row>
    <row r="41" s="17" customFormat="1" ht="29" customHeight="1" spans="1:17">
      <c r="A41" s="30">
        <v>39</v>
      </c>
      <c r="B41" s="37" t="s">
        <v>164</v>
      </c>
      <c r="C41" s="30">
        <f>COUNTIFS(磅单!G:G,B41)</f>
        <v>12</v>
      </c>
      <c r="D41" s="33"/>
      <c r="E41" s="33">
        <v>200</v>
      </c>
      <c r="F41" s="33">
        <f>SUMIFS(磅单!R:R,磅单!G:G,B41)</f>
        <v>7800</v>
      </c>
      <c r="G41" s="33"/>
      <c r="H41" s="33"/>
      <c r="I41" s="33">
        <v>200</v>
      </c>
      <c r="J41" s="33"/>
      <c r="K41" s="33"/>
      <c r="L41" s="33"/>
      <c r="M41" s="33"/>
      <c r="N41" s="33"/>
      <c r="O41" s="33">
        <f t="shared" si="0"/>
        <v>7800</v>
      </c>
      <c r="P41" s="30">
        <f>COUNTIFS(磅单!G:G,B41)</f>
        <v>12</v>
      </c>
      <c r="Q41" s="36"/>
    </row>
    <row r="42" s="17" customFormat="1" ht="29" customHeight="1" spans="1:17">
      <c r="A42" s="30">
        <v>40</v>
      </c>
      <c r="B42" s="37" t="s">
        <v>167</v>
      </c>
      <c r="C42" s="30">
        <f>COUNTIFS(磅单!G:G,B42)</f>
        <v>14</v>
      </c>
      <c r="D42" s="33"/>
      <c r="E42" s="33"/>
      <c r="F42" s="33">
        <f>SUMIFS(磅单!R:R,磅单!G:G,B42)</f>
        <v>9000</v>
      </c>
      <c r="G42" s="33"/>
      <c r="H42" s="33"/>
      <c r="I42" s="33"/>
      <c r="J42" s="33"/>
      <c r="K42" s="33"/>
      <c r="L42" s="33"/>
      <c r="M42" s="33"/>
      <c r="N42" s="33"/>
      <c r="O42" s="33">
        <f t="shared" si="0"/>
        <v>9000</v>
      </c>
      <c r="P42" s="30">
        <f>COUNTIFS(磅单!G:G,B42)</f>
        <v>14</v>
      </c>
      <c r="Q42" s="36"/>
    </row>
    <row r="43" s="17" customFormat="1" ht="29" customHeight="1" spans="1:17">
      <c r="A43" s="30">
        <v>41</v>
      </c>
      <c r="B43" s="37" t="s">
        <v>170</v>
      </c>
      <c r="C43" s="30">
        <f>COUNTIFS(磅单!G:G,B43)</f>
        <v>10</v>
      </c>
      <c r="D43" s="33"/>
      <c r="E43" s="33"/>
      <c r="F43" s="33">
        <f>SUMIFS(磅单!R:R,磅单!G:G,B43)</f>
        <v>7000</v>
      </c>
      <c r="G43" s="33"/>
      <c r="H43" s="33"/>
      <c r="I43" s="33"/>
      <c r="J43" s="33"/>
      <c r="K43" s="33"/>
      <c r="L43" s="33"/>
      <c r="M43" s="33"/>
      <c r="N43" s="33"/>
      <c r="O43" s="33">
        <f t="shared" si="0"/>
        <v>7000</v>
      </c>
      <c r="P43" s="30">
        <f>COUNTIFS(磅单!G:G,B43)</f>
        <v>10</v>
      </c>
      <c r="Q43" s="36"/>
    </row>
    <row r="44" s="17" customFormat="1" ht="29" customHeight="1" spans="1:17">
      <c r="A44" s="30">
        <v>42</v>
      </c>
      <c r="B44" s="37" t="s">
        <v>454</v>
      </c>
      <c r="C44" s="30">
        <f>COUNTIFS(磅单!G:G,B44)</f>
        <v>5</v>
      </c>
      <c r="D44" s="33"/>
      <c r="E44" s="33">
        <f>200+200</f>
        <v>400</v>
      </c>
      <c r="F44" s="33">
        <f>SUMIFS(磅单!R:R,磅单!G:G,B44)</f>
        <v>3000</v>
      </c>
      <c r="G44" s="33"/>
      <c r="H44" s="33"/>
      <c r="I44" s="33">
        <f>200+200</f>
        <v>400</v>
      </c>
      <c r="J44" s="33"/>
      <c r="K44" s="33"/>
      <c r="L44" s="33"/>
      <c r="M44" s="33"/>
      <c r="N44" s="33"/>
      <c r="O44" s="33">
        <f t="shared" si="0"/>
        <v>3000</v>
      </c>
      <c r="P44" s="30">
        <f>COUNTIFS(磅单!G:G,B44)</f>
        <v>5</v>
      </c>
      <c r="Q44" s="36"/>
    </row>
    <row r="45" s="17" customFormat="1" ht="29" customHeight="1" spans="1:17">
      <c r="A45" s="30">
        <v>43</v>
      </c>
      <c r="B45" s="37" t="s">
        <v>327</v>
      </c>
      <c r="C45" s="30">
        <f>COUNTIFS(磅单!G:G,B45)</f>
        <v>16</v>
      </c>
      <c r="D45" s="33"/>
      <c r="E45" s="33"/>
      <c r="F45" s="33">
        <f>SUMIFS(磅单!R:R,磅单!G:G,B45)</f>
        <v>10000</v>
      </c>
      <c r="G45" s="33"/>
      <c r="H45" s="33"/>
      <c r="I45" s="33">
        <v>2000</v>
      </c>
      <c r="J45" s="33"/>
      <c r="K45" s="33"/>
      <c r="L45" s="33"/>
      <c r="M45" s="33"/>
      <c r="N45" s="33"/>
      <c r="O45" s="33">
        <f t="shared" si="0"/>
        <v>8000</v>
      </c>
      <c r="P45" s="30">
        <f>COUNTIFS(磅单!G:G,B45)</f>
        <v>16</v>
      </c>
      <c r="Q45" s="36"/>
    </row>
    <row r="46" s="17" customFormat="1" ht="29" customHeight="1" spans="1:17">
      <c r="A46" s="30">
        <v>44</v>
      </c>
      <c r="B46" s="10" t="s">
        <v>175</v>
      </c>
      <c r="C46" s="30">
        <f>COUNTIFS(磅单!G:G,B46)</f>
        <v>11</v>
      </c>
      <c r="D46" s="33"/>
      <c r="E46" s="33">
        <v>200</v>
      </c>
      <c r="F46" s="33">
        <f>SUMIFS(磅单!R:R,磅单!G:G,B46)</f>
        <v>7000</v>
      </c>
      <c r="G46" s="33"/>
      <c r="H46" s="33"/>
      <c r="I46" s="33">
        <v>200</v>
      </c>
      <c r="J46" s="33"/>
      <c r="K46" s="33"/>
      <c r="L46" s="33"/>
      <c r="M46" s="33"/>
      <c r="N46" s="33"/>
      <c r="O46" s="33">
        <f t="shared" si="0"/>
        <v>7000</v>
      </c>
      <c r="P46" s="30">
        <f>COUNTIFS(磅单!G:G,B46)</f>
        <v>11</v>
      </c>
      <c r="Q46" s="36"/>
    </row>
    <row r="47" s="17" customFormat="1" ht="29" customHeight="1" spans="1:17">
      <c r="A47" s="30">
        <v>45</v>
      </c>
      <c r="B47" s="10" t="s">
        <v>178</v>
      </c>
      <c r="C47" s="30">
        <f>COUNTIFS(磅单!G:G,B47)</f>
        <v>12</v>
      </c>
      <c r="D47" s="33"/>
      <c r="E47" s="33"/>
      <c r="F47" s="33">
        <f>SUMIFS(磅单!R:R,磅单!G:G,B47)</f>
        <v>7800</v>
      </c>
      <c r="G47" s="33"/>
      <c r="H47" s="33"/>
      <c r="I47" s="33"/>
      <c r="J47" s="33"/>
      <c r="K47" s="33"/>
      <c r="L47" s="33"/>
      <c r="M47" s="33"/>
      <c r="N47" s="33"/>
      <c r="O47" s="33">
        <f t="shared" si="0"/>
        <v>7800</v>
      </c>
      <c r="P47" s="30">
        <f>COUNTIFS(磅单!G:G,B47)</f>
        <v>12</v>
      </c>
      <c r="Q47" s="36"/>
    </row>
    <row r="48" s="17" customFormat="1" ht="29" customHeight="1" spans="1:17">
      <c r="A48" s="30">
        <v>46</v>
      </c>
      <c r="B48" s="10" t="s">
        <v>181</v>
      </c>
      <c r="C48" s="30">
        <f>COUNTIFS(磅单!G:G,B48)</f>
        <v>12</v>
      </c>
      <c r="D48" s="33"/>
      <c r="E48" s="33">
        <v>200</v>
      </c>
      <c r="F48" s="33">
        <f>SUMIFS(磅单!R:R,磅单!G:G,B48)</f>
        <v>8600</v>
      </c>
      <c r="G48" s="33"/>
      <c r="H48" s="33"/>
      <c r="I48" s="33">
        <v>200</v>
      </c>
      <c r="J48" s="33"/>
      <c r="K48" s="33"/>
      <c r="L48" s="33"/>
      <c r="M48" s="33"/>
      <c r="N48" s="33"/>
      <c r="O48" s="33">
        <f t="shared" si="0"/>
        <v>8600</v>
      </c>
      <c r="P48" s="30">
        <f>COUNTIFS(磅单!G:G,B48)</f>
        <v>12</v>
      </c>
      <c r="Q48" s="36"/>
    </row>
    <row r="49" s="17" customFormat="1" ht="29" customHeight="1" spans="1:17">
      <c r="A49" s="30">
        <v>47</v>
      </c>
      <c r="B49" s="7" t="s">
        <v>103</v>
      </c>
      <c r="C49" s="30">
        <f>COUNTIFS(磅单!G:G,B49)</f>
        <v>17</v>
      </c>
      <c r="D49" s="33"/>
      <c r="E49" s="33"/>
      <c r="F49" s="33">
        <f>SUMIFS(磅单!R:R,磅单!G:G,B49)</f>
        <v>10600</v>
      </c>
      <c r="G49" s="33"/>
      <c r="H49" s="33"/>
      <c r="I49" s="33"/>
      <c r="J49" s="33"/>
      <c r="K49" s="33"/>
      <c r="L49" s="33"/>
      <c r="M49" s="33"/>
      <c r="N49" s="33"/>
      <c r="O49" s="33">
        <f t="shared" si="0"/>
        <v>10600</v>
      </c>
      <c r="P49" s="30">
        <f>COUNTIFS(磅单!G:G,B49)</f>
        <v>17</v>
      </c>
      <c r="Q49" s="36"/>
    </row>
    <row r="50" s="17" customFormat="1" ht="29" customHeight="1" spans="1:17">
      <c r="A50" s="30">
        <v>48</v>
      </c>
      <c r="B50" s="7" t="s">
        <v>149</v>
      </c>
      <c r="C50" s="30">
        <f>COUNTIFS(磅单!G:G,B50)</f>
        <v>8</v>
      </c>
      <c r="D50" s="33"/>
      <c r="E50" s="33"/>
      <c r="F50" s="33">
        <f>SUMIFS(磅单!R:R,磅单!G:G,B50)</f>
        <v>5600</v>
      </c>
      <c r="G50" s="33"/>
      <c r="H50" s="33"/>
      <c r="I50" s="33"/>
      <c r="J50" s="33"/>
      <c r="K50" s="33"/>
      <c r="L50" s="33"/>
      <c r="M50" s="33"/>
      <c r="N50" s="33"/>
      <c r="O50" s="33">
        <f t="shared" si="0"/>
        <v>5600</v>
      </c>
      <c r="P50" s="30">
        <f>COUNTIFS(磅单!G:G,B50)</f>
        <v>8</v>
      </c>
      <c r="Q50" s="36"/>
    </row>
    <row r="51" s="17" customFormat="1" ht="29" customHeight="1" spans="1:17">
      <c r="A51" s="30">
        <v>49</v>
      </c>
      <c r="B51" s="7" t="s">
        <v>184</v>
      </c>
      <c r="C51" s="30">
        <f>COUNTIFS(磅单!G:G,B51)</f>
        <v>8</v>
      </c>
      <c r="D51" s="33"/>
      <c r="E51" s="33">
        <v>200</v>
      </c>
      <c r="F51" s="33">
        <f>SUMIFS(磅单!R:R,磅单!G:G,B51)</f>
        <v>5600</v>
      </c>
      <c r="G51" s="33"/>
      <c r="H51" s="33"/>
      <c r="I51" s="33">
        <v>200</v>
      </c>
      <c r="J51" s="33"/>
      <c r="K51" s="33"/>
      <c r="L51" s="33"/>
      <c r="M51" s="33"/>
      <c r="N51" s="33"/>
      <c r="O51" s="33">
        <f t="shared" si="0"/>
        <v>5600</v>
      </c>
      <c r="P51" s="30">
        <f>COUNTIFS(磅单!G:G,B51)</f>
        <v>8</v>
      </c>
      <c r="Q51" s="36"/>
    </row>
    <row r="52" s="17" customFormat="1" ht="29" customHeight="1" spans="1:17">
      <c r="A52" s="30">
        <v>50</v>
      </c>
      <c r="B52" s="7" t="s">
        <v>118</v>
      </c>
      <c r="C52" s="30">
        <f>COUNTIFS(磅单!G:G,B52)</f>
        <v>4</v>
      </c>
      <c r="D52" s="33"/>
      <c r="E52" s="33">
        <v>200</v>
      </c>
      <c r="F52" s="33">
        <f>SUMIFS(磅单!R:R,磅单!G:G,B52)</f>
        <v>2800</v>
      </c>
      <c r="G52" s="33"/>
      <c r="H52" s="33"/>
      <c r="I52" s="33">
        <v>200</v>
      </c>
      <c r="J52" s="33"/>
      <c r="K52" s="33"/>
      <c r="L52" s="33"/>
      <c r="M52" s="33"/>
      <c r="N52" s="33"/>
      <c r="O52" s="33">
        <f t="shared" si="0"/>
        <v>2800</v>
      </c>
      <c r="P52" s="30">
        <f>COUNTIFS(磅单!G:G,B52)</f>
        <v>4</v>
      </c>
      <c r="Q52" s="36"/>
    </row>
    <row r="53" s="17" customFormat="1" ht="29" customHeight="1" spans="1:17">
      <c r="A53" s="30">
        <v>51</v>
      </c>
      <c r="B53" s="7" t="s">
        <v>187</v>
      </c>
      <c r="C53" s="30">
        <f>COUNTIFS(磅单!G:G,B53)</f>
        <v>7</v>
      </c>
      <c r="D53" s="33"/>
      <c r="E53" s="33"/>
      <c r="F53" s="33">
        <f>SUMIFS(磅单!R:R,磅单!G:G,B53)</f>
        <v>4600</v>
      </c>
      <c r="G53" s="33"/>
      <c r="H53" s="33"/>
      <c r="I53" s="33"/>
      <c r="J53" s="33"/>
      <c r="K53" s="33"/>
      <c r="L53" s="33"/>
      <c r="M53" s="33"/>
      <c r="N53" s="33"/>
      <c r="O53" s="33">
        <f t="shared" si="0"/>
        <v>4600</v>
      </c>
      <c r="P53" s="30">
        <f>COUNTIFS(磅单!G:G,B53)</f>
        <v>7</v>
      </c>
      <c r="Q53" s="36"/>
    </row>
    <row r="54" s="17" customFormat="1" ht="29" customHeight="1" spans="1:17">
      <c r="A54" s="30">
        <v>52</v>
      </c>
      <c r="B54" s="42" t="s">
        <v>190</v>
      </c>
      <c r="C54" s="30">
        <f>COUNTIFS(磅单!G:G,B54)</f>
        <v>6</v>
      </c>
      <c r="D54" s="33"/>
      <c r="E54" s="33"/>
      <c r="F54" s="33">
        <f>SUMIFS(磅单!R:R,磅单!G:G,B54)</f>
        <v>4000</v>
      </c>
      <c r="G54" s="33"/>
      <c r="H54" s="33"/>
      <c r="I54" s="33"/>
      <c r="J54" s="33"/>
      <c r="K54" s="33"/>
      <c r="L54" s="33"/>
      <c r="M54" s="33"/>
      <c r="N54" s="33"/>
      <c r="O54" s="33">
        <f t="shared" si="0"/>
        <v>4000</v>
      </c>
      <c r="P54" s="30">
        <f>COUNTIFS(磅单!G:G,B54)</f>
        <v>6</v>
      </c>
      <c r="Q54" s="36"/>
    </row>
    <row r="55" s="17" customFormat="1" ht="29" customHeight="1" spans="1:17">
      <c r="A55" s="30">
        <v>53</v>
      </c>
      <c r="B55" s="42" t="s">
        <v>193</v>
      </c>
      <c r="C55" s="30">
        <f>COUNTIFS(磅单!G:G,B55)</f>
        <v>9</v>
      </c>
      <c r="D55" s="33"/>
      <c r="E55" s="33"/>
      <c r="F55" s="33">
        <f>SUMIFS(磅单!R:R,磅单!G:G,B55)</f>
        <v>5600</v>
      </c>
      <c r="G55" s="33"/>
      <c r="H55" s="33"/>
      <c r="I55" s="33"/>
      <c r="J55" s="33"/>
      <c r="K55" s="33"/>
      <c r="L55" s="33"/>
      <c r="M55" s="33"/>
      <c r="N55" s="33"/>
      <c r="O55" s="33">
        <f t="shared" si="0"/>
        <v>5600</v>
      </c>
      <c r="P55" s="30">
        <f>COUNTIFS(磅单!G:G,B55)</f>
        <v>9</v>
      </c>
      <c r="Q55" s="36"/>
    </row>
    <row r="56" s="17" customFormat="1" ht="29" customHeight="1" spans="1:17">
      <c r="A56" s="30">
        <v>54</v>
      </c>
      <c r="B56" s="42" t="s">
        <v>196</v>
      </c>
      <c r="C56" s="30">
        <f>COUNTIFS(磅单!G:G,B56)</f>
        <v>6</v>
      </c>
      <c r="D56" s="33"/>
      <c r="E56" s="33"/>
      <c r="F56" s="33">
        <f>SUMIFS(磅单!R:R,磅单!G:G,B56)</f>
        <v>4400</v>
      </c>
      <c r="G56" s="33"/>
      <c r="H56" s="33"/>
      <c r="I56" s="33"/>
      <c r="J56" s="33"/>
      <c r="K56" s="33"/>
      <c r="L56" s="33"/>
      <c r="M56" s="33"/>
      <c r="N56" s="33"/>
      <c r="O56" s="33">
        <f t="shared" si="0"/>
        <v>4400</v>
      </c>
      <c r="P56" s="30">
        <f>COUNTIFS(磅单!G:G,B56)</f>
        <v>6</v>
      </c>
      <c r="Q56" s="36"/>
    </row>
    <row r="57" s="17" customFormat="1" ht="29" customHeight="1" spans="1:17">
      <c r="A57" s="30">
        <v>55</v>
      </c>
      <c r="B57" s="42" t="s">
        <v>199</v>
      </c>
      <c r="C57" s="30">
        <f>COUNTIFS(磅单!G:G,B57)</f>
        <v>2</v>
      </c>
      <c r="D57" s="33"/>
      <c r="E57" s="33"/>
      <c r="F57" s="33">
        <f>SUMIFS(磅单!R:R,磅单!G:G,B57)</f>
        <v>1400</v>
      </c>
      <c r="G57" s="33"/>
      <c r="H57" s="33"/>
      <c r="I57" s="33"/>
      <c r="J57" s="33"/>
      <c r="K57" s="33"/>
      <c r="L57" s="33"/>
      <c r="M57" s="33"/>
      <c r="N57" s="33"/>
      <c r="O57" s="33">
        <f t="shared" si="0"/>
        <v>1400</v>
      </c>
      <c r="P57" s="30">
        <f>COUNTIFS(磅单!G:G,B57)</f>
        <v>2</v>
      </c>
      <c r="Q57" s="36"/>
    </row>
    <row r="58" s="17" customFormat="1" ht="29" customHeight="1" spans="1:17">
      <c r="A58" s="30">
        <v>56</v>
      </c>
      <c r="B58" s="10" t="s">
        <v>202</v>
      </c>
      <c r="C58" s="30">
        <f>COUNTIFS(磅单!G:G,B58)</f>
        <v>1</v>
      </c>
      <c r="D58" s="33"/>
      <c r="E58" s="33"/>
      <c r="F58" s="33">
        <f>SUMIFS(磅单!R:R,磅单!G:G,B58)</f>
        <v>800</v>
      </c>
      <c r="G58" s="33"/>
      <c r="H58" s="33"/>
      <c r="I58" s="33"/>
      <c r="J58" s="33"/>
      <c r="K58" s="33"/>
      <c r="L58" s="33"/>
      <c r="M58" s="33"/>
      <c r="N58" s="33"/>
      <c r="O58" s="33">
        <f t="shared" si="0"/>
        <v>800</v>
      </c>
      <c r="P58" s="30">
        <f>COUNTIFS(磅单!G:G,B58)</f>
        <v>1</v>
      </c>
      <c r="Q58" s="36"/>
    </row>
    <row r="59" s="17" customFormat="1" ht="29" customHeight="1" spans="1:17">
      <c r="A59" s="30">
        <v>57</v>
      </c>
      <c r="B59" s="10" t="s">
        <v>205</v>
      </c>
      <c r="C59" s="30">
        <f>COUNTIFS(磅单!G:G,B59)</f>
        <v>1</v>
      </c>
      <c r="D59" s="33"/>
      <c r="E59" s="33"/>
      <c r="F59" s="33">
        <f>SUMIFS(磅单!R:R,磅单!G:G,B59)</f>
        <v>800</v>
      </c>
      <c r="G59" s="33"/>
      <c r="H59" s="33"/>
      <c r="I59" s="33"/>
      <c r="J59" s="33"/>
      <c r="K59" s="33"/>
      <c r="L59" s="33"/>
      <c r="M59" s="33"/>
      <c r="N59" s="33"/>
      <c r="O59" s="33">
        <f t="shared" si="0"/>
        <v>800</v>
      </c>
      <c r="P59" s="30">
        <f>COUNTIFS(磅单!G:G,B59)</f>
        <v>1</v>
      </c>
      <c r="Q59" s="36"/>
    </row>
    <row r="60" s="17" customFormat="1" ht="29" customHeight="1" spans="1:17">
      <c r="A60" s="30">
        <v>58</v>
      </c>
      <c r="B60" s="10" t="s">
        <v>208</v>
      </c>
      <c r="C60" s="30">
        <f>COUNTIFS(磅单!G:G,B60)</f>
        <v>1</v>
      </c>
      <c r="D60" s="33"/>
      <c r="E60" s="33"/>
      <c r="F60" s="33">
        <f>SUMIFS(磅单!R:R,磅单!G:G,B60)</f>
        <v>800</v>
      </c>
      <c r="G60" s="33"/>
      <c r="H60" s="33"/>
      <c r="I60" s="33"/>
      <c r="J60" s="33"/>
      <c r="K60" s="33"/>
      <c r="L60" s="33"/>
      <c r="M60" s="33"/>
      <c r="N60" s="33"/>
      <c r="O60" s="33">
        <f t="shared" si="0"/>
        <v>800</v>
      </c>
      <c r="P60" s="30">
        <f>COUNTIFS(磅单!G:G,B60)</f>
        <v>1</v>
      </c>
      <c r="Q60" s="36"/>
    </row>
    <row r="61" s="17" customFormat="1" ht="29" customHeight="1" spans="1:17">
      <c r="A61" s="30">
        <v>59</v>
      </c>
      <c r="B61" s="10" t="s">
        <v>211</v>
      </c>
      <c r="C61" s="30">
        <f>COUNTIFS(磅单!G:G,B61)</f>
        <v>4</v>
      </c>
      <c r="D61" s="33"/>
      <c r="E61" s="33"/>
      <c r="F61" s="33">
        <f>SUMIFS(磅单!R:R,磅单!G:G,B61)</f>
        <v>2000</v>
      </c>
      <c r="G61" s="33"/>
      <c r="H61" s="33"/>
      <c r="I61" s="33"/>
      <c r="J61" s="33"/>
      <c r="K61" s="33"/>
      <c r="L61" s="33"/>
      <c r="M61" s="33"/>
      <c r="N61" s="33"/>
      <c r="O61" s="33">
        <f t="shared" si="0"/>
        <v>2000</v>
      </c>
      <c r="P61" s="30">
        <f>COUNTIFS(磅单!G:G,B61)</f>
        <v>4</v>
      </c>
      <c r="Q61" s="36"/>
    </row>
    <row r="62" s="17" customFormat="1" ht="29" customHeight="1" spans="1:17">
      <c r="A62" s="30">
        <v>60</v>
      </c>
      <c r="B62" s="10" t="s">
        <v>214</v>
      </c>
      <c r="C62" s="30">
        <f>COUNTIFS(磅单!G:G,B62)</f>
        <v>5</v>
      </c>
      <c r="D62" s="33"/>
      <c r="E62" s="33"/>
      <c r="F62" s="33">
        <f>SUMIFS(磅单!R:R,磅单!G:G,B62)</f>
        <v>3200</v>
      </c>
      <c r="G62" s="33"/>
      <c r="H62" s="33"/>
      <c r="I62" s="33"/>
      <c r="J62" s="33"/>
      <c r="K62" s="33"/>
      <c r="L62" s="33"/>
      <c r="M62" s="33"/>
      <c r="N62" s="33"/>
      <c r="O62" s="33">
        <f t="shared" si="0"/>
        <v>3200</v>
      </c>
      <c r="P62" s="30">
        <f>COUNTIFS(磅单!G:G,B62)</f>
        <v>5</v>
      </c>
      <c r="Q62" s="36"/>
    </row>
    <row r="63" s="17" customFormat="1" ht="29" customHeight="1" spans="1:17">
      <c r="A63" s="30">
        <v>61</v>
      </c>
      <c r="B63" s="10" t="s">
        <v>217</v>
      </c>
      <c r="C63" s="30">
        <f>COUNTIFS(磅单!G:G,B63)</f>
        <v>5</v>
      </c>
      <c r="D63" s="33"/>
      <c r="E63" s="33"/>
      <c r="F63" s="33">
        <f>SUMIFS(磅单!R:R,磅单!G:G,B63)</f>
        <v>3200</v>
      </c>
      <c r="G63" s="33"/>
      <c r="H63" s="33"/>
      <c r="I63" s="33"/>
      <c r="J63" s="33"/>
      <c r="K63" s="33"/>
      <c r="L63" s="33"/>
      <c r="M63" s="33"/>
      <c r="N63" s="33"/>
      <c r="O63" s="33">
        <f t="shared" si="0"/>
        <v>3200</v>
      </c>
      <c r="P63" s="30">
        <f>COUNTIFS(磅单!G:G,B63)</f>
        <v>5</v>
      </c>
      <c r="Q63" s="36"/>
    </row>
    <row r="64" s="17" customFormat="1" ht="29" customHeight="1" spans="1:17">
      <c r="A64" s="30">
        <v>62</v>
      </c>
      <c r="B64" s="10" t="s">
        <v>330</v>
      </c>
      <c r="C64" s="30">
        <f>COUNTIFS(磅单!G:G,B64)</f>
        <v>2</v>
      </c>
      <c r="D64" s="33"/>
      <c r="E64" s="33"/>
      <c r="F64" s="33">
        <f>SUMIFS(磅单!R:R,磅单!G:G,B64)</f>
        <v>1400</v>
      </c>
      <c r="G64" s="33"/>
      <c r="H64" s="33"/>
      <c r="I64" s="33"/>
      <c r="J64" s="33"/>
      <c r="K64" s="33"/>
      <c r="L64" s="33"/>
      <c r="M64" s="33"/>
      <c r="N64" s="33"/>
      <c r="O64" s="33">
        <f t="shared" si="0"/>
        <v>1400</v>
      </c>
      <c r="P64" s="30">
        <f>COUNTIFS(磅单!G:G,B64)</f>
        <v>2</v>
      </c>
      <c r="Q64" s="36"/>
    </row>
    <row r="65" s="17" customFormat="1" ht="29" customHeight="1" spans="1:17">
      <c r="A65" s="30">
        <v>62</v>
      </c>
      <c r="B65" s="10" t="s">
        <v>704</v>
      </c>
      <c r="C65" s="30">
        <f>COUNTIFS(磅单!G:G,B65)</f>
        <v>4</v>
      </c>
      <c r="D65" s="33"/>
      <c r="E65" s="33"/>
      <c r="F65" s="33">
        <f>SUMIFS(磅单!R:R,磅单!G:G,B65)</f>
        <v>2800</v>
      </c>
      <c r="G65" s="33"/>
      <c r="H65" s="33"/>
      <c r="I65" s="33"/>
      <c r="J65" s="33"/>
      <c r="K65" s="33"/>
      <c r="L65" s="33"/>
      <c r="M65" s="33"/>
      <c r="N65" s="33"/>
      <c r="O65" s="33">
        <f t="shared" si="0"/>
        <v>2800</v>
      </c>
      <c r="P65" s="30">
        <f>COUNTIFS(磅单!G:G,B65)</f>
        <v>4</v>
      </c>
      <c r="Q65" s="36"/>
    </row>
    <row r="66" s="19" customFormat="1" ht="25" customHeight="1" spans="1:17">
      <c r="A66" s="30" t="s">
        <v>238</v>
      </c>
      <c r="B66" s="43"/>
      <c r="C66" s="43">
        <f>SUM(C3:C65)</f>
        <v>777</v>
      </c>
      <c r="D66" s="43">
        <f>SUM(D3:D65)</f>
        <v>0</v>
      </c>
      <c r="E66" s="44">
        <f>SUM(E3:E64)</f>
        <v>9780</v>
      </c>
      <c r="F66" s="43">
        <f t="shared" ref="F66:P66" si="1">SUM(F3:F65)</f>
        <v>482600</v>
      </c>
      <c r="G66" s="43">
        <f t="shared" si="1"/>
        <v>855</v>
      </c>
      <c r="H66" s="43">
        <f t="shared" si="1"/>
        <v>0</v>
      </c>
      <c r="I66" s="43">
        <f t="shared" si="1"/>
        <v>22800</v>
      </c>
      <c r="J66" s="43">
        <f t="shared" si="1"/>
        <v>0</v>
      </c>
      <c r="K66" s="43">
        <f t="shared" si="1"/>
        <v>0</v>
      </c>
      <c r="L66" s="43">
        <f t="shared" si="1"/>
        <v>0</v>
      </c>
      <c r="M66" s="43">
        <f t="shared" si="1"/>
        <v>0</v>
      </c>
      <c r="N66" s="43">
        <f t="shared" si="1"/>
        <v>0</v>
      </c>
      <c r="O66" s="43">
        <f t="shared" si="1"/>
        <v>468725</v>
      </c>
      <c r="P66" s="43">
        <f t="shared" si="1"/>
        <v>777</v>
      </c>
      <c r="Q66" s="43">
        <f>SUM(Q3:Q49)</f>
        <v>0</v>
      </c>
    </row>
    <row r="72" s="20" customFormat="1" spans="1:17">
      <c r="D72" s="21"/>
      <c r="E72" s="22"/>
      <c r="F72" s="21"/>
      <c r="G72" s="21"/>
      <c r="H72" s="21"/>
      <c r="I72" s="45"/>
      <c r="J72" s="21"/>
      <c r="K72" s="21"/>
      <c r="L72" s="21"/>
      <c r="M72" s="21"/>
      <c r="N72" s="21"/>
      <c r="O72" s="21"/>
      <c r="P72" s="22"/>
    </row>
    <row r="73" s="20" customFormat="1" spans="1:17">
      <c r="D73" s="21"/>
      <c r="E73" s="22"/>
      <c r="F73" s="21"/>
      <c r="G73" s="21"/>
      <c r="H73" s="21"/>
      <c r="I73" s="46"/>
      <c r="J73" s="21"/>
      <c r="K73" s="21"/>
      <c r="L73" s="21"/>
      <c r="M73" s="21"/>
      <c r="N73" s="21"/>
      <c r="O73" s="21"/>
      <c r="P73" s="22"/>
    </row>
    <row r="74" s="20" customFormat="1" spans="1:17">
      <c r="D74" s="21"/>
      <c r="E74" s="22"/>
      <c r="F74" s="21"/>
      <c r="G74" s="21"/>
      <c r="H74" s="21"/>
      <c r="I74" s="46"/>
      <c r="J74" s="21"/>
      <c r="K74" s="21"/>
      <c r="L74" s="21"/>
      <c r="M74" s="21"/>
      <c r="N74" s="21"/>
      <c r="O74" s="21"/>
      <c r="P74" s="22"/>
    </row>
    <row r="75" s="20" customFormat="1" spans="1:17">
      <c r="D75" s="21"/>
      <c r="E75" s="22"/>
      <c r="F75" s="21"/>
      <c r="G75" s="21"/>
      <c r="H75" s="21"/>
      <c r="I75" s="46"/>
      <c r="J75" s="21"/>
      <c r="K75" s="21"/>
      <c r="L75" s="21"/>
      <c r="M75" s="21"/>
      <c r="N75" s="21"/>
      <c r="O75" s="21"/>
      <c r="P75" s="22"/>
    </row>
    <row r="76" s="20" customFormat="1" spans="1:17">
      <c r="D76" s="21"/>
      <c r="E76" s="22"/>
      <c r="F76" s="21"/>
      <c r="G76" s="21"/>
      <c r="H76" s="21"/>
      <c r="I76" s="47"/>
      <c r="J76" s="21"/>
      <c r="K76" s="21"/>
      <c r="L76" s="21"/>
      <c r="M76" s="21"/>
      <c r="N76" s="21"/>
      <c r="O76" s="21"/>
      <c r="P76" s="22"/>
    </row>
    <row r="77" s="20" customFormat="1" spans="1:17">
      <c r="D77" s="21"/>
      <c r="E77" s="22"/>
      <c r="F77" s="21"/>
      <c r="G77" s="21"/>
      <c r="H77" s="21"/>
      <c r="I77" s="47"/>
      <c r="J77" s="21"/>
      <c r="K77" s="21"/>
      <c r="L77" s="21"/>
      <c r="M77" s="21"/>
      <c r="N77" s="21"/>
      <c r="O77" s="21"/>
      <c r="P77" s="22"/>
    </row>
    <row r="78" s="20" customFormat="1" spans="1:17">
      <c r="D78" s="21"/>
      <c r="E78" s="22"/>
      <c r="F78" s="21"/>
      <c r="G78" s="21"/>
      <c r="H78" s="21"/>
      <c r="I78" s="48"/>
      <c r="J78" s="21"/>
      <c r="K78" s="21"/>
      <c r="L78" s="21"/>
      <c r="M78" s="21"/>
      <c r="N78" s="21"/>
      <c r="O78" s="21"/>
      <c r="P78" s="22"/>
    </row>
    <row r="79" s="20" customFormat="1" spans="1:17">
      <c r="D79" s="21"/>
      <c r="E79" s="22"/>
      <c r="F79" s="21"/>
      <c r="G79" s="21"/>
      <c r="H79" s="21"/>
      <c r="I79" s="49"/>
      <c r="J79" s="21"/>
      <c r="K79" s="21"/>
      <c r="L79" s="21"/>
      <c r="M79" s="21"/>
      <c r="N79" s="21"/>
      <c r="O79" s="21"/>
      <c r="P79" s="22"/>
    </row>
  </sheetData>
  <autoFilter xmlns:etc="http://www.wps.cn/officeDocument/2017/etCustomData" ref="A2:Q66" etc:filterBottomFollowUsedRange="0">
    <extLst/>
  </autoFilter>
  <mergeCells count="1">
    <mergeCell ref="A1:Q1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H168" sqref="H168"/>
    </sheetView>
  </sheetViews>
  <sheetFormatPr defaultColWidth="8.89166666666667" defaultRowHeight="13.5" outlineLevelRow="6" outlineLevelCol="4"/>
  <cols>
    <col min="2" max="2" width="22" customWidth="1"/>
    <col min="3" max="3" width="10.775" customWidth="1"/>
    <col min="5" max="5" width="18.6666666666667" customWidth="1"/>
  </cols>
  <sheetData>
    <row r="1" spans="1:5">
      <c r="A1" s="8" t="s">
        <v>1908</v>
      </c>
      <c r="B1" s="8" t="s">
        <v>3</v>
      </c>
      <c r="C1" s="8" t="s">
        <v>311</v>
      </c>
      <c r="D1" s="8" t="s">
        <v>1909</v>
      </c>
      <c r="E1" s="8" t="s">
        <v>1910</v>
      </c>
    </row>
    <row r="2" spans="1:5">
      <c r="A2" s="9">
        <v>46078</v>
      </c>
      <c r="B2" s="10" t="s">
        <v>1911</v>
      </c>
      <c r="C2" s="10" t="s">
        <v>62</v>
      </c>
      <c r="D2" s="9">
        <v>46106</v>
      </c>
      <c r="E2" s="11">
        <v>3800</v>
      </c>
    </row>
    <row r="3" spans="1:5">
      <c r="A3" s="9">
        <v>46078</v>
      </c>
      <c r="B3" s="12" t="s">
        <v>45</v>
      </c>
      <c r="C3" s="10" t="s">
        <v>49</v>
      </c>
      <c r="D3" s="9">
        <v>46106</v>
      </c>
      <c r="E3" s="11">
        <v>3800</v>
      </c>
    </row>
    <row r="4" spans="1:5">
      <c r="A4" s="9">
        <v>46078</v>
      </c>
      <c r="B4" s="12" t="s">
        <v>51</v>
      </c>
      <c r="C4" s="10" t="s">
        <v>53</v>
      </c>
      <c r="D4" s="9">
        <v>46106</v>
      </c>
      <c r="E4" s="11">
        <v>3800</v>
      </c>
    </row>
    <row r="5" spans="1:5">
      <c r="A5" s="9">
        <v>46078</v>
      </c>
      <c r="B5" s="12" t="s">
        <v>54</v>
      </c>
      <c r="C5" s="10" t="s">
        <v>1912</v>
      </c>
      <c r="D5" s="9">
        <v>46106</v>
      </c>
      <c r="E5" s="11">
        <v>3800</v>
      </c>
    </row>
    <row r="6" spans="1:5">
      <c r="A6" s="9">
        <v>46078</v>
      </c>
      <c r="B6" s="11" t="s">
        <v>57</v>
      </c>
      <c r="C6" s="10" t="s">
        <v>59</v>
      </c>
      <c r="D6" s="9">
        <v>46106</v>
      </c>
      <c r="E6" s="11">
        <v>3800</v>
      </c>
    </row>
    <row r="7" ht="15" spans="1:5">
      <c r="A7" s="13" t="s">
        <v>238</v>
      </c>
      <c r="B7" s="14"/>
      <c r="C7" s="15"/>
      <c r="D7" s="13"/>
      <c r="E7" s="13">
        <f>SUM(E2:E6)</f>
        <v>19000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selection activeCell="G13" sqref="G13"/>
    </sheetView>
  </sheetViews>
  <sheetFormatPr defaultColWidth="9" defaultRowHeight="13.5" outlineLevelCol="6"/>
  <cols>
    <col min="1" max="1" width="29.625" customWidth="1"/>
    <col min="3" max="3" width="24.75" customWidth="1"/>
    <col min="7" max="7" width="29.5" customWidth="1"/>
  </cols>
  <sheetData>
    <row r="1" spans="1:7">
      <c r="A1" t="s">
        <v>1913</v>
      </c>
      <c r="C1" t="s">
        <v>1914</v>
      </c>
      <c r="G1" t="s">
        <v>1915</v>
      </c>
    </row>
    <row r="2" spans="1:7">
      <c r="A2" t="s">
        <v>1916</v>
      </c>
      <c r="C2" t="s">
        <v>1917</v>
      </c>
      <c r="G2" t="s">
        <v>1918</v>
      </c>
    </row>
    <row r="3" spans="1:7">
      <c r="A3" t="s">
        <v>1919</v>
      </c>
      <c r="C3" t="s">
        <v>1920</v>
      </c>
      <c r="G3" t="s">
        <v>1921</v>
      </c>
    </row>
    <row r="4" spans="1:7">
      <c r="A4" t="s">
        <v>1922</v>
      </c>
      <c r="C4" t="s">
        <v>1923</v>
      </c>
      <c r="G4" t="s">
        <v>1924</v>
      </c>
    </row>
    <row r="6" spans="1:7">
      <c r="A6" t="s">
        <v>1925</v>
      </c>
      <c r="C6" t="s">
        <v>1926</v>
      </c>
      <c r="G6" t="s">
        <v>1927</v>
      </c>
    </row>
    <row r="7" spans="1:7">
      <c r="A7" t="s">
        <v>1928</v>
      </c>
      <c r="C7" t="s">
        <v>1929</v>
      </c>
      <c r="G7" t="s">
        <v>1930</v>
      </c>
    </row>
    <row r="8" spans="1:7">
      <c r="A8" t="s">
        <v>1931</v>
      </c>
      <c r="C8" t="s">
        <v>1932</v>
      </c>
      <c r="G8" t="s">
        <v>1933</v>
      </c>
    </row>
    <row r="10" spans="1:7">
      <c r="A10" t="s">
        <v>1934</v>
      </c>
      <c r="C10" t="s">
        <v>1935</v>
      </c>
      <c r="G10" t="s">
        <v>1936</v>
      </c>
    </row>
    <row r="11" spans="1:7">
      <c r="A11" t="s">
        <v>1937</v>
      </c>
      <c r="C11" t="s">
        <v>1938</v>
      </c>
      <c r="G11" t="s">
        <v>1939</v>
      </c>
    </row>
    <row r="12" spans="1:7">
      <c r="A12" t="s">
        <v>1940</v>
      </c>
      <c r="C12" t="s">
        <v>1941</v>
      </c>
      <c r="G12" t="s">
        <v>1942</v>
      </c>
    </row>
    <row r="14" spans="1:7">
      <c r="A14" t="s">
        <v>1943</v>
      </c>
      <c r="C14" t="s">
        <v>1944</v>
      </c>
      <c r="G14" t="s">
        <v>1945</v>
      </c>
    </row>
    <row r="15" spans="1:7">
      <c r="A15" t="s">
        <v>1946</v>
      </c>
      <c r="C15" t="s">
        <v>1947</v>
      </c>
      <c r="G15" t="s">
        <v>1948</v>
      </c>
    </row>
    <row r="16" spans="1:7">
      <c r="A16" t="s">
        <v>1949</v>
      </c>
      <c r="C16" t="s">
        <v>1950</v>
      </c>
      <c r="G16" t="s">
        <v>1951</v>
      </c>
    </row>
    <row r="18" spans="1:7">
      <c r="A18" t="s">
        <v>1952</v>
      </c>
      <c r="C18" t="s">
        <v>1953</v>
      </c>
      <c r="G18" t="s">
        <v>1954</v>
      </c>
    </row>
    <row r="19" spans="1:7">
      <c r="A19" t="s">
        <v>1955</v>
      </c>
      <c r="C19" t="s">
        <v>1956</v>
      </c>
      <c r="G19" t="s">
        <v>1957</v>
      </c>
    </row>
    <row r="20" spans="1:7">
      <c r="A20" t="s">
        <v>1958</v>
      </c>
      <c r="C20" t="s">
        <v>1959</v>
      </c>
      <c r="G20" t="s">
        <v>1960</v>
      </c>
    </row>
    <row r="22" spans="1:7">
      <c r="A22" t="s">
        <v>1961</v>
      </c>
      <c r="C22" t="s">
        <v>1962</v>
      </c>
      <c r="G22" t="s">
        <v>1963</v>
      </c>
    </row>
    <row r="23" spans="1:7">
      <c r="A23" t="s">
        <v>1964</v>
      </c>
      <c r="C23" t="s">
        <v>1965</v>
      </c>
      <c r="G23" t="s">
        <v>1966</v>
      </c>
    </row>
    <row r="24" spans="1:7">
      <c r="A24" t="s">
        <v>1967</v>
      </c>
      <c r="C24" t="s">
        <v>1968</v>
      </c>
      <c r="G24" t="s">
        <v>1969</v>
      </c>
    </row>
    <row r="26" spans="1:7">
      <c r="A26" t="s">
        <v>1970</v>
      </c>
      <c r="C26" t="s">
        <v>1971</v>
      </c>
      <c r="G26" t="s">
        <v>1972</v>
      </c>
    </row>
    <row r="27" spans="1:7">
      <c r="A27" t="s">
        <v>1973</v>
      </c>
      <c r="C27" t="s">
        <v>1974</v>
      </c>
      <c r="G27" t="s">
        <v>1975</v>
      </c>
    </row>
    <row r="28" spans="1:7">
      <c r="A28" t="s">
        <v>1976</v>
      </c>
      <c r="C28" t="s">
        <v>1977</v>
      </c>
      <c r="G28" t="s">
        <v>1978</v>
      </c>
    </row>
    <row r="30" spans="1:7">
      <c r="A30" t="s">
        <v>1979</v>
      </c>
      <c r="C30" t="s">
        <v>1980</v>
      </c>
      <c r="G30" t="s">
        <v>1981</v>
      </c>
    </row>
    <row r="31" spans="1:7">
      <c r="A31" t="s">
        <v>1982</v>
      </c>
      <c r="C31" t="s">
        <v>1983</v>
      </c>
      <c r="G31" t="s">
        <v>1984</v>
      </c>
    </row>
    <row r="32" spans="1:7">
      <c r="A32" t="s">
        <v>1985</v>
      </c>
      <c r="C32" t="s">
        <v>1986</v>
      </c>
      <c r="G32" t="s">
        <v>1987</v>
      </c>
    </row>
    <row r="34" spans="1:7">
      <c r="A34" t="s">
        <v>1988</v>
      </c>
      <c r="G34" t="s">
        <v>1989</v>
      </c>
    </row>
    <row r="35" spans="1:7">
      <c r="A35" t="s">
        <v>1990</v>
      </c>
      <c r="G35" t="s">
        <v>1991</v>
      </c>
    </row>
    <row r="36" spans="1:7">
      <c r="A36" t="s">
        <v>1992</v>
      </c>
      <c r="G36" t="s">
        <v>1993</v>
      </c>
    </row>
    <row r="38" spans="1:7">
      <c r="G38" t="s">
        <v>1994</v>
      </c>
    </row>
    <row r="39" spans="1:7">
      <c r="G39" t="s">
        <v>1995</v>
      </c>
    </row>
    <row r="40" spans="1:7">
      <c r="G40" t="s">
        <v>1996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38"/>
  <sheetViews>
    <sheetView workbookViewId="0">
      <selection activeCell="H26" sqref="H26"/>
    </sheetView>
  </sheetViews>
  <sheetFormatPr defaultColWidth="9" defaultRowHeight="13.5" outlineLevelCol="3"/>
  <cols>
    <col min="2" max="2" width="11.5" customWidth="1"/>
    <col min="3" max="3" width="19.625" customWidth="1"/>
    <col min="4" max="4" width="11.625" customWidth="1"/>
  </cols>
  <sheetData>
    <row r="1" spans="2:4">
      <c r="B1" s="1" t="s">
        <v>1673</v>
      </c>
      <c r="C1" s="2" t="s">
        <v>1997</v>
      </c>
      <c r="D1" s="2" t="s">
        <v>1997</v>
      </c>
    </row>
    <row r="2" spans="2:4">
      <c r="B2" s="1"/>
      <c r="C2" s="2"/>
      <c r="D2" s="2"/>
    </row>
    <row r="3" spans="2:4">
      <c r="B3" s="3" t="s">
        <v>1998</v>
      </c>
      <c r="C3" s="4" t="s">
        <v>1999</v>
      </c>
      <c r="D3" s="5">
        <v>46191</v>
      </c>
    </row>
    <row r="4" spans="2:4">
      <c r="B4" s="3" t="s">
        <v>2000</v>
      </c>
      <c r="C4" s="4" t="s">
        <v>2001</v>
      </c>
      <c r="D4" s="5">
        <v>46191</v>
      </c>
    </row>
    <row r="5" spans="2:4">
      <c r="B5" s="3" t="s">
        <v>2002</v>
      </c>
      <c r="C5" s="4" t="s">
        <v>2003</v>
      </c>
      <c r="D5" s="5">
        <v>46191</v>
      </c>
    </row>
    <row r="6" spans="2:4">
      <c r="B6" s="3" t="s">
        <v>2004</v>
      </c>
      <c r="C6" s="4" t="s">
        <v>2005</v>
      </c>
      <c r="D6" s="5">
        <v>46191</v>
      </c>
    </row>
    <row r="7" spans="2:4">
      <c r="B7" s="3" t="s">
        <v>2006</v>
      </c>
      <c r="C7" s="4" t="s">
        <v>2007</v>
      </c>
      <c r="D7" s="5">
        <v>46191</v>
      </c>
    </row>
    <row r="8" spans="2:4">
      <c r="B8" s="3" t="s">
        <v>2008</v>
      </c>
      <c r="C8" s="4" t="s">
        <v>2009</v>
      </c>
      <c r="D8" s="5">
        <v>46191</v>
      </c>
    </row>
    <row r="9" spans="2:4">
      <c r="B9" s="3" t="s">
        <v>2010</v>
      </c>
      <c r="C9" s="4" t="s">
        <v>2011</v>
      </c>
      <c r="D9" s="5">
        <v>46191</v>
      </c>
    </row>
    <row r="10" spans="2:4">
      <c r="B10" s="3" t="s">
        <v>2012</v>
      </c>
      <c r="C10" s="4" t="s">
        <v>2013</v>
      </c>
      <c r="D10" s="5">
        <v>46191</v>
      </c>
    </row>
    <row r="11" spans="2:4">
      <c r="B11" s="3" t="s">
        <v>2014</v>
      </c>
      <c r="C11" s="4" t="s">
        <v>2015</v>
      </c>
      <c r="D11" s="5">
        <v>46190</v>
      </c>
    </row>
    <row r="12" spans="2:4">
      <c r="B12" s="3" t="s">
        <v>2016</v>
      </c>
      <c r="C12" s="4" t="s">
        <v>2017</v>
      </c>
      <c r="D12" s="5">
        <v>46190</v>
      </c>
    </row>
    <row r="13" spans="2:4">
      <c r="B13" s="3" t="s">
        <v>2018</v>
      </c>
      <c r="C13" s="4" t="s">
        <v>2019</v>
      </c>
      <c r="D13" s="5">
        <v>46190</v>
      </c>
    </row>
    <row r="14" spans="2:4">
      <c r="B14" s="3" t="s">
        <v>2020</v>
      </c>
      <c r="C14" s="4" t="s">
        <v>2021</v>
      </c>
      <c r="D14" s="5">
        <v>46190</v>
      </c>
    </row>
    <row r="15" spans="2:4">
      <c r="B15" s="3" t="s">
        <v>2022</v>
      </c>
      <c r="C15" s="4" t="s">
        <v>2023</v>
      </c>
      <c r="D15" s="5">
        <v>46190</v>
      </c>
    </row>
    <row r="16" spans="2:4">
      <c r="B16" s="3" t="s">
        <v>2024</v>
      </c>
      <c r="C16" s="4" t="s">
        <v>2025</v>
      </c>
      <c r="D16" s="5">
        <v>46190</v>
      </c>
    </row>
    <row r="17" spans="2:4">
      <c r="B17" s="3" t="s">
        <v>2026</v>
      </c>
      <c r="C17" s="4" t="s">
        <v>2027</v>
      </c>
      <c r="D17" s="5">
        <v>46190</v>
      </c>
    </row>
    <row r="18" spans="2:4">
      <c r="B18" s="3" t="s">
        <v>2028</v>
      </c>
      <c r="C18" s="4" t="s">
        <v>2029</v>
      </c>
      <c r="D18" s="5">
        <v>46190</v>
      </c>
    </row>
    <row r="19" spans="2:4">
      <c r="B19" s="3" t="s">
        <v>2030</v>
      </c>
      <c r="C19" s="4" t="s">
        <v>2031</v>
      </c>
      <c r="D19" s="5">
        <v>46190</v>
      </c>
    </row>
    <row r="20" spans="2:4">
      <c r="B20" s="3" t="s">
        <v>2032</v>
      </c>
      <c r="C20" s="4" t="s">
        <v>2033</v>
      </c>
      <c r="D20" s="5">
        <v>46190</v>
      </c>
    </row>
    <row r="21" spans="2:4">
      <c r="B21" s="3" t="s">
        <v>2034</v>
      </c>
      <c r="C21" s="4" t="s">
        <v>2035</v>
      </c>
      <c r="D21" s="5">
        <v>46190</v>
      </c>
    </row>
    <row r="22" spans="2:4">
      <c r="B22" s="6" t="s">
        <v>338</v>
      </c>
      <c r="C22" s="7" t="s">
        <v>2036</v>
      </c>
    </row>
    <row r="23" spans="2:4">
      <c r="B23" s="6" t="s">
        <v>177</v>
      </c>
      <c r="C23" s="7" t="s">
        <v>2037</v>
      </c>
    </row>
    <row r="24" spans="2:4">
      <c r="B24" s="6" t="s">
        <v>154</v>
      </c>
      <c r="C24" s="7" t="s">
        <v>2038</v>
      </c>
    </row>
    <row r="25" spans="2:4">
      <c r="B25" s="6" t="s">
        <v>132</v>
      </c>
      <c r="C25" s="7" t="s">
        <v>2039</v>
      </c>
    </row>
    <row r="26" spans="2:4">
      <c r="B26" s="6" t="s">
        <v>144</v>
      </c>
      <c r="C26" s="7" t="s">
        <v>2040</v>
      </c>
    </row>
    <row r="27" spans="2:4">
      <c r="B27" s="6" t="s">
        <v>135</v>
      </c>
      <c r="C27" s="7" t="s">
        <v>2041</v>
      </c>
    </row>
    <row r="28" spans="2:4">
      <c r="B28" s="6" t="s">
        <v>339</v>
      </c>
      <c r="C28" s="6" t="s">
        <v>2042</v>
      </c>
    </row>
    <row r="29" spans="2:4">
      <c r="B29" s="6" t="s">
        <v>163</v>
      </c>
      <c r="C29" s="6" t="s">
        <v>2043</v>
      </c>
    </row>
    <row r="30" spans="2:4">
      <c r="B30" s="6" t="s">
        <v>160</v>
      </c>
      <c r="C30" s="6" t="s">
        <v>2044</v>
      </c>
    </row>
    <row r="31" spans="2:4">
      <c r="B31" s="6" t="s">
        <v>183</v>
      </c>
      <c r="C31" s="6" t="s">
        <v>2045</v>
      </c>
    </row>
    <row r="32" spans="2:4">
      <c r="B32" s="6" t="s">
        <v>174</v>
      </c>
      <c r="C32" s="6" t="s">
        <v>2046</v>
      </c>
    </row>
    <row r="33" spans="2:3">
      <c r="B33" s="6" t="s">
        <v>180</v>
      </c>
      <c r="C33" s="6" t="s">
        <v>2047</v>
      </c>
    </row>
    <row r="34" spans="2:3">
      <c r="B34" s="6" t="s">
        <v>166</v>
      </c>
      <c r="C34" s="6" t="s">
        <v>2048</v>
      </c>
    </row>
    <row r="35" spans="2:3">
      <c r="B35" s="6" t="s">
        <v>141</v>
      </c>
      <c r="C35" s="6" t="s">
        <v>2049</v>
      </c>
    </row>
    <row r="36" spans="2:3">
      <c r="B36" s="6" t="s">
        <v>151</v>
      </c>
      <c r="C36" s="6" t="s">
        <v>2050</v>
      </c>
    </row>
    <row r="37" spans="2:3">
      <c r="B37" s="6" t="s">
        <v>148</v>
      </c>
      <c r="C37" s="6" t="s">
        <v>2051</v>
      </c>
    </row>
    <row r="38" spans="2:3">
      <c r="B38" s="6" t="s">
        <v>138</v>
      </c>
      <c r="C38" s="6" t="s">
        <v>2052</v>
      </c>
    </row>
  </sheetData>
  <mergeCells count="3">
    <mergeCell ref="B1:B2"/>
    <mergeCell ref="C1:C2"/>
    <mergeCell ref="D1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利润分析表</vt:lpstr>
      <vt:lpstr>6月</vt:lpstr>
      <vt:lpstr>月汇总</vt:lpstr>
      <vt:lpstr>日报表</vt:lpstr>
      <vt:lpstr>磅单</vt:lpstr>
      <vt:lpstr>均摊</vt:lpstr>
      <vt:lpstr>付款明细</vt:lpstr>
      <vt:lpstr>现金充电明细</vt:lpstr>
      <vt:lpstr>华瑞-曙光，大水井，老水井充电站</vt:lpstr>
      <vt:lpstr>银盛-青龙坪充电站</vt:lpstr>
      <vt:lpstr>砚山锦佳-砚山充电站</vt:lpstr>
      <vt:lpstr>中石油广西百色靖西市龙临加油充电站</vt:lpstr>
      <vt:lpstr>德保众擎充电站</vt:lpstr>
      <vt:lpstr>南网八宝充电站</vt:lpstr>
      <vt:lpstr>南屏充电站</vt:lpstr>
      <vt:lpstr>鑫鸿充电站</vt:lpstr>
      <vt:lpstr>锦田-百色田东充电站</vt:lpstr>
      <vt:lpstr>平远充电站</vt:lpstr>
      <vt:lpstr>农行卡</vt:lpstr>
      <vt:lpstr>微信</vt:lpstr>
      <vt:lpstr>骏恒对公户</vt:lpstr>
      <vt:lpstr>轮胎</vt:lpstr>
      <vt:lpstr>维修费</vt:lpstr>
      <vt:lpstr>配件</vt:lpstr>
      <vt:lpstr>司机考勤</vt:lpstr>
      <vt:lpstr>管理人员工资</vt:lpstr>
      <vt:lpstr>司机工资表</vt:lpstr>
      <vt:lpstr>挂板租金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曾紫燕</dc:creator>
  <cp:lastModifiedBy>WPS_214320440</cp:lastModifiedBy>
  <dcterms:created xsi:type="dcterms:W3CDTF">2023-05-12T11:15:00Z</dcterms:created>
  <dcterms:modified xsi:type="dcterms:W3CDTF">2026-06-29T09:27:17Z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2052-12.1.0.26381</vt:lpwstr>
  </property>
  <property fmtid="{D5CDD505-2E9C-101B-9397-08002B2CF9AE}" pid="3" name="ICV">
    <vt:lpwstr>47C74CDCD76E46329311D90979A78FE7_13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